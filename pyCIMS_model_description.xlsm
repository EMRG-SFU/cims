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CIMS\pyCIMS\Model Description\"/>
    </mc:Choice>
  </mc:AlternateContent>
  <xr:revisionPtr revIDLastSave="0" documentId="13_ncr:1_{FF06B2CF-F301-4775-9BC1-4E7B69E94FD7}" xr6:coauthVersionLast="45" xr6:coauthVersionMax="45" xr10:uidLastSave="{00000000-0000-0000-0000-000000000000}"/>
  <bookViews>
    <workbookView xWindow="23880" yWindow="-8190" windowWidth="51840" windowHeight="21240" activeTab="2" xr2:uid="{E476153B-9FEF-4406-8A04-624F81383283}"/>
  </bookViews>
  <sheets>
    <sheet name="Lists" sheetId="16" r:id="rId1"/>
    <sheet name="Model" sheetId="102" r:id="rId2"/>
    <sheet name="Example calcs 2000" sheetId="105" r:id="rId3"/>
    <sheet name="Example calcs 2005" sheetId="108" r:id="rId4"/>
    <sheet name="Macro" sheetId="103" r:id="rId5"/>
    <sheet name="Residential" sheetId="104" r:id="rId6"/>
  </sheets>
  <functionGroups builtInGroupCount="19"/>
  <definedNames>
    <definedName name="_xlnm._FilterDatabase" localSheetId="2" hidden="1">'Example calcs 2000'!$H$5:$Z$104</definedName>
    <definedName name="_xlnm._FilterDatabase" localSheetId="3" hidden="1">'Example calcs 2005'!$H$5:$AH$104</definedName>
    <definedName name="Competition">Lists!$A$2:INDEX(Lists!$A:$A,COUNTA(Lists!$A:$A))</definedName>
    <definedName name="DemandSupply">Lists!$H$2:INDEX(Lists!$H:$H,COUNTA(Lists!$H:$H))</definedName>
    <definedName name="Fuels">Lists!$J$2:INDEX(Lists!$J:$J,COUNTA(Lists!$J:$J))</definedName>
    <definedName name="GHGs">Lists!$L$2:INDEX(Lists!$L:$L,COUNTA(Lists!$L:$L))</definedName>
    <definedName name="Regions">Lists!$D$2:INDEX(Lists!$D:$D,COUNTA(Lists!$D:$D))</definedName>
    <definedName name="Sectors">Lists!$G$2:INDEX(Lists!$G:$G,COUNTA(Lists!$G:$G))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28" i="108" l="1"/>
  <c r="AF23" i="108"/>
  <c r="AF18" i="108"/>
  <c r="AF13" i="108"/>
  <c r="AF8" i="108"/>
  <c r="AF29" i="108"/>
  <c r="AF27" i="108"/>
  <c r="AF24" i="108"/>
  <c r="AF22" i="108"/>
  <c r="AF19" i="108"/>
  <c r="AF17" i="108"/>
  <c r="AF14" i="108"/>
  <c r="AF12" i="108"/>
  <c r="AF9" i="108"/>
  <c r="AF7" i="108"/>
  <c r="H104" i="108"/>
  <c r="F104" i="108"/>
  <c r="D104" i="108"/>
  <c r="C104" i="108"/>
  <c r="H103" i="108"/>
  <c r="F103" i="108"/>
  <c r="D103" i="108"/>
  <c r="C103" i="108"/>
  <c r="H102" i="108"/>
  <c r="F102" i="108"/>
  <c r="D102" i="108"/>
  <c r="C102" i="108"/>
  <c r="H101" i="108"/>
  <c r="F101" i="108"/>
  <c r="D101" i="108"/>
  <c r="C101" i="108"/>
  <c r="H100" i="108"/>
  <c r="F100" i="108"/>
  <c r="D100" i="108"/>
  <c r="C100" i="108"/>
  <c r="H99" i="108"/>
  <c r="F99" i="108"/>
  <c r="D99" i="108"/>
  <c r="C99" i="108"/>
  <c r="H98" i="108"/>
  <c r="F98" i="108"/>
  <c r="G98" i="108" s="1"/>
  <c r="I98" i="108" s="1"/>
  <c r="D98" i="108"/>
  <c r="C98" i="108"/>
  <c r="H97" i="108"/>
  <c r="F97" i="108"/>
  <c r="D97" i="108"/>
  <c r="C97" i="108"/>
  <c r="H96" i="108"/>
  <c r="F96" i="108"/>
  <c r="D96" i="108"/>
  <c r="C96" i="108"/>
  <c r="H95" i="108"/>
  <c r="F95" i="108"/>
  <c r="D95" i="108"/>
  <c r="C95" i="108"/>
  <c r="H94" i="108"/>
  <c r="F94" i="108"/>
  <c r="D94" i="108"/>
  <c r="C94" i="108"/>
  <c r="H93" i="108"/>
  <c r="F93" i="108"/>
  <c r="D93" i="108"/>
  <c r="C93" i="108"/>
  <c r="H92" i="108"/>
  <c r="F92" i="108"/>
  <c r="D92" i="108"/>
  <c r="C92" i="108"/>
  <c r="H91" i="108"/>
  <c r="F91" i="108"/>
  <c r="D91" i="108"/>
  <c r="C91" i="108"/>
  <c r="H90" i="108"/>
  <c r="F90" i="108"/>
  <c r="D90" i="108"/>
  <c r="C90" i="108"/>
  <c r="H89" i="108"/>
  <c r="F89" i="108"/>
  <c r="D89" i="108"/>
  <c r="C89" i="108"/>
  <c r="H88" i="108"/>
  <c r="F88" i="108"/>
  <c r="G88" i="108" s="1"/>
  <c r="I88" i="108" s="1"/>
  <c r="D88" i="108"/>
  <c r="C88" i="108"/>
  <c r="H87" i="108"/>
  <c r="F87" i="108"/>
  <c r="D87" i="108"/>
  <c r="C87" i="108"/>
  <c r="H86" i="108"/>
  <c r="F86" i="108"/>
  <c r="D86" i="108"/>
  <c r="C86" i="108"/>
  <c r="H85" i="108"/>
  <c r="F85" i="108"/>
  <c r="D85" i="108"/>
  <c r="C85" i="108"/>
  <c r="H84" i="108"/>
  <c r="F84" i="108"/>
  <c r="D84" i="108"/>
  <c r="C84" i="108"/>
  <c r="H83" i="108"/>
  <c r="F83" i="108"/>
  <c r="D83" i="108"/>
  <c r="C83" i="108"/>
  <c r="H82" i="108"/>
  <c r="F82" i="108"/>
  <c r="G82" i="108" s="1"/>
  <c r="I82" i="108" s="1"/>
  <c r="D82" i="108"/>
  <c r="C82" i="108"/>
  <c r="H81" i="108"/>
  <c r="F81" i="108"/>
  <c r="D81" i="108"/>
  <c r="C81" i="108"/>
  <c r="H80" i="108"/>
  <c r="F80" i="108"/>
  <c r="D80" i="108"/>
  <c r="C80" i="108"/>
  <c r="H79" i="108"/>
  <c r="F79" i="108"/>
  <c r="D79" i="108"/>
  <c r="C79" i="108"/>
  <c r="H78" i="108"/>
  <c r="F78" i="108"/>
  <c r="D78" i="108"/>
  <c r="C78" i="108"/>
  <c r="H77" i="108"/>
  <c r="F77" i="108"/>
  <c r="D77" i="108"/>
  <c r="C77" i="108"/>
  <c r="H76" i="108"/>
  <c r="F76" i="108"/>
  <c r="D76" i="108"/>
  <c r="C76" i="108"/>
  <c r="H75" i="108"/>
  <c r="F75" i="108"/>
  <c r="D75" i="108"/>
  <c r="C75" i="108"/>
  <c r="H74" i="108"/>
  <c r="F74" i="108"/>
  <c r="D74" i="108"/>
  <c r="C74" i="108"/>
  <c r="H73" i="108"/>
  <c r="F73" i="108"/>
  <c r="D73" i="108"/>
  <c r="C73" i="108"/>
  <c r="H72" i="108"/>
  <c r="F72" i="108"/>
  <c r="D72" i="108"/>
  <c r="C72" i="108"/>
  <c r="H71" i="108"/>
  <c r="F71" i="108"/>
  <c r="D71" i="108"/>
  <c r="C71" i="108"/>
  <c r="H70" i="108"/>
  <c r="F70" i="108"/>
  <c r="G70" i="108" s="1"/>
  <c r="I70" i="108" s="1"/>
  <c r="D70" i="108"/>
  <c r="C70" i="108"/>
  <c r="H69" i="108"/>
  <c r="F69" i="108"/>
  <c r="D69" i="108"/>
  <c r="C69" i="108"/>
  <c r="H68" i="108"/>
  <c r="F68" i="108"/>
  <c r="G68" i="108" s="1"/>
  <c r="I68" i="108" s="1"/>
  <c r="D68" i="108"/>
  <c r="C68" i="108"/>
  <c r="H67" i="108"/>
  <c r="F67" i="108"/>
  <c r="D67" i="108"/>
  <c r="C67" i="108"/>
  <c r="H66" i="108"/>
  <c r="F66" i="108"/>
  <c r="D66" i="108"/>
  <c r="C66" i="108"/>
  <c r="H65" i="108"/>
  <c r="F65" i="108"/>
  <c r="D65" i="108"/>
  <c r="C65" i="108"/>
  <c r="H64" i="108"/>
  <c r="F64" i="108"/>
  <c r="D64" i="108"/>
  <c r="C64" i="108"/>
  <c r="H63" i="108"/>
  <c r="F63" i="108"/>
  <c r="D63" i="108"/>
  <c r="C63" i="108"/>
  <c r="H62" i="108"/>
  <c r="F62" i="108"/>
  <c r="D62" i="108"/>
  <c r="C62" i="108"/>
  <c r="H61" i="108"/>
  <c r="F61" i="108"/>
  <c r="D61" i="108"/>
  <c r="C61" i="108"/>
  <c r="H60" i="108"/>
  <c r="F60" i="108"/>
  <c r="D60" i="108"/>
  <c r="C60" i="108"/>
  <c r="H59" i="108"/>
  <c r="F59" i="108"/>
  <c r="D59" i="108"/>
  <c r="C59" i="108"/>
  <c r="H58" i="108"/>
  <c r="F58" i="108"/>
  <c r="D58" i="108"/>
  <c r="C58" i="108"/>
  <c r="H57" i="108"/>
  <c r="F57" i="108"/>
  <c r="D57" i="108"/>
  <c r="C57" i="108"/>
  <c r="H56" i="108"/>
  <c r="F56" i="108"/>
  <c r="G56" i="108" s="1"/>
  <c r="I56" i="108" s="1"/>
  <c r="D56" i="108"/>
  <c r="C56" i="108"/>
  <c r="H55" i="108"/>
  <c r="F55" i="108"/>
  <c r="D55" i="108"/>
  <c r="C55" i="108"/>
  <c r="H54" i="108"/>
  <c r="F54" i="108"/>
  <c r="G54" i="108" s="1"/>
  <c r="I54" i="108" s="1"/>
  <c r="D54" i="108"/>
  <c r="C54" i="108"/>
  <c r="H53" i="108"/>
  <c r="F53" i="108"/>
  <c r="D53" i="108"/>
  <c r="C53" i="108"/>
  <c r="H52" i="108"/>
  <c r="F52" i="108"/>
  <c r="D52" i="108"/>
  <c r="C52" i="108"/>
  <c r="H51" i="108"/>
  <c r="F51" i="108"/>
  <c r="D51" i="108"/>
  <c r="C51" i="108"/>
  <c r="H50" i="108"/>
  <c r="F50" i="108"/>
  <c r="D50" i="108"/>
  <c r="C50" i="108"/>
  <c r="H49" i="108"/>
  <c r="F49" i="108"/>
  <c r="D49" i="108"/>
  <c r="C49" i="108"/>
  <c r="H48" i="108"/>
  <c r="F48" i="108"/>
  <c r="G48" i="108" s="1"/>
  <c r="I48" i="108" s="1"/>
  <c r="D48" i="108"/>
  <c r="C48" i="108"/>
  <c r="H47" i="108"/>
  <c r="F47" i="108"/>
  <c r="D47" i="108"/>
  <c r="C47" i="108"/>
  <c r="H46" i="108"/>
  <c r="F46" i="108"/>
  <c r="G46" i="108" s="1"/>
  <c r="I46" i="108" s="1"/>
  <c r="D46" i="108"/>
  <c r="C46" i="108"/>
  <c r="H45" i="108"/>
  <c r="F45" i="108"/>
  <c r="D45" i="108"/>
  <c r="C45" i="108"/>
  <c r="H44" i="108"/>
  <c r="F44" i="108"/>
  <c r="D44" i="108"/>
  <c r="C44" i="108"/>
  <c r="H43" i="108"/>
  <c r="F43" i="108"/>
  <c r="D43" i="108"/>
  <c r="C43" i="108"/>
  <c r="H42" i="108"/>
  <c r="F42" i="108"/>
  <c r="D42" i="108"/>
  <c r="C42" i="108"/>
  <c r="H41" i="108"/>
  <c r="F41" i="108"/>
  <c r="D41" i="108"/>
  <c r="C41" i="108"/>
  <c r="H40" i="108"/>
  <c r="F40" i="108"/>
  <c r="G40" i="108" s="1"/>
  <c r="I40" i="108" s="1"/>
  <c r="D40" i="108"/>
  <c r="C40" i="108"/>
  <c r="H39" i="108"/>
  <c r="F39" i="108"/>
  <c r="D39" i="108"/>
  <c r="C39" i="108"/>
  <c r="H38" i="108"/>
  <c r="F38" i="108"/>
  <c r="G38" i="108" s="1"/>
  <c r="I38" i="108" s="1"/>
  <c r="D38" i="108"/>
  <c r="C38" i="108"/>
  <c r="H37" i="108"/>
  <c r="F37" i="108"/>
  <c r="D37" i="108"/>
  <c r="C37" i="108"/>
  <c r="H36" i="108"/>
  <c r="F36" i="108"/>
  <c r="D36" i="108"/>
  <c r="C36" i="108"/>
  <c r="H35" i="108"/>
  <c r="F35" i="108"/>
  <c r="D35" i="108"/>
  <c r="C35" i="108"/>
  <c r="H34" i="108"/>
  <c r="F34" i="108"/>
  <c r="D34" i="108"/>
  <c r="C34" i="108"/>
  <c r="H33" i="108"/>
  <c r="F33" i="108"/>
  <c r="D33" i="108"/>
  <c r="C33" i="108"/>
  <c r="H32" i="108"/>
  <c r="F32" i="108"/>
  <c r="G32" i="108" s="1"/>
  <c r="I32" i="108" s="1"/>
  <c r="D32" i="108"/>
  <c r="C32" i="108"/>
  <c r="H31" i="108"/>
  <c r="F31" i="108"/>
  <c r="D31" i="108"/>
  <c r="C31" i="108"/>
  <c r="H30" i="108"/>
  <c r="F30" i="108"/>
  <c r="G30" i="108" s="1"/>
  <c r="I30" i="108" s="1"/>
  <c r="D30" i="108"/>
  <c r="C30" i="108"/>
  <c r="H29" i="108"/>
  <c r="F29" i="108"/>
  <c r="D29" i="108"/>
  <c r="C29" i="108"/>
  <c r="H28" i="108"/>
  <c r="F28" i="108"/>
  <c r="D28" i="108"/>
  <c r="C28" i="108"/>
  <c r="H27" i="108"/>
  <c r="F27" i="108"/>
  <c r="D27" i="108"/>
  <c r="C27" i="108"/>
  <c r="H26" i="108"/>
  <c r="F26" i="108"/>
  <c r="D26" i="108"/>
  <c r="C26" i="108"/>
  <c r="H25" i="108"/>
  <c r="F25" i="108"/>
  <c r="D25" i="108"/>
  <c r="C25" i="108"/>
  <c r="H24" i="108"/>
  <c r="F24" i="108"/>
  <c r="G24" i="108" s="1"/>
  <c r="I24" i="108" s="1"/>
  <c r="D24" i="108"/>
  <c r="C24" i="108"/>
  <c r="H23" i="108"/>
  <c r="F23" i="108"/>
  <c r="D23" i="108"/>
  <c r="C23" i="108"/>
  <c r="H22" i="108"/>
  <c r="F22" i="108"/>
  <c r="G22" i="108" s="1"/>
  <c r="I22" i="108" s="1"/>
  <c r="D22" i="108"/>
  <c r="C22" i="108"/>
  <c r="H21" i="108"/>
  <c r="F21" i="108"/>
  <c r="D21" i="108"/>
  <c r="C21" i="108"/>
  <c r="H20" i="108"/>
  <c r="F20" i="108"/>
  <c r="D20" i="108"/>
  <c r="C20" i="108"/>
  <c r="H19" i="108"/>
  <c r="F19" i="108"/>
  <c r="D19" i="108"/>
  <c r="C19" i="108"/>
  <c r="H18" i="108"/>
  <c r="F18" i="108"/>
  <c r="D18" i="108"/>
  <c r="C18" i="108"/>
  <c r="H17" i="108"/>
  <c r="F17" i="108"/>
  <c r="D17" i="108"/>
  <c r="C17" i="108"/>
  <c r="H16" i="108"/>
  <c r="F16" i="108"/>
  <c r="D16" i="108"/>
  <c r="C16" i="108"/>
  <c r="H15" i="108"/>
  <c r="F15" i="108"/>
  <c r="D15" i="108"/>
  <c r="C15" i="108"/>
  <c r="H14" i="108"/>
  <c r="F14" i="108"/>
  <c r="G14" i="108" s="1"/>
  <c r="I14" i="108" s="1"/>
  <c r="D14" i="108"/>
  <c r="C14" i="108"/>
  <c r="H13" i="108"/>
  <c r="F13" i="108"/>
  <c r="D13" i="108"/>
  <c r="C13" i="108"/>
  <c r="H12" i="108"/>
  <c r="F12" i="108"/>
  <c r="D12" i="108"/>
  <c r="C12" i="108"/>
  <c r="H11" i="108"/>
  <c r="F11" i="108"/>
  <c r="D11" i="108"/>
  <c r="C11" i="108"/>
  <c r="H10" i="108"/>
  <c r="F10" i="108"/>
  <c r="D10" i="108"/>
  <c r="C10" i="108"/>
  <c r="H9" i="108"/>
  <c r="F9" i="108"/>
  <c r="D9" i="108"/>
  <c r="C9" i="108"/>
  <c r="H8" i="108"/>
  <c r="F8" i="108"/>
  <c r="G8" i="108" s="1"/>
  <c r="I8" i="108" s="1"/>
  <c r="D8" i="108"/>
  <c r="C8" i="108"/>
  <c r="H7" i="108"/>
  <c r="F7" i="108"/>
  <c r="D7" i="108"/>
  <c r="C7" i="108"/>
  <c r="H6" i="108"/>
  <c r="F6" i="108"/>
  <c r="G6" i="108" s="1"/>
  <c r="I6" i="108" s="1"/>
  <c r="D6" i="108"/>
  <c r="C6" i="108"/>
  <c r="H5" i="108"/>
  <c r="F5" i="108"/>
  <c r="D5" i="108"/>
  <c r="C5" i="108"/>
  <c r="E104" i="108"/>
  <c r="E103" i="108"/>
  <c r="G103" i="108" s="1"/>
  <c r="I103" i="108" s="1"/>
  <c r="E102" i="108"/>
  <c r="E101" i="108"/>
  <c r="E100" i="108"/>
  <c r="E99" i="108"/>
  <c r="G99" i="108" s="1"/>
  <c r="I99" i="108" s="1"/>
  <c r="E98" i="108"/>
  <c r="E97" i="108"/>
  <c r="G97" i="108" s="1"/>
  <c r="I97" i="108" s="1"/>
  <c r="G96" i="108"/>
  <c r="I96" i="108" s="1"/>
  <c r="E96" i="108"/>
  <c r="E95" i="108"/>
  <c r="E94" i="108"/>
  <c r="E93" i="108"/>
  <c r="G93" i="108" s="1"/>
  <c r="I93" i="108" s="1"/>
  <c r="E92" i="108"/>
  <c r="E91" i="108"/>
  <c r="G90" i="108"/>
  <c r="I90" i="108" s="1"/>
  <c r="E90" i="108"/>
  <c r="E89" i="108"/>
  <c r="E88" i="108"/>
  <c r="E87" i="108"/>
  <c r="G87" i="108" s="1"/>
  <c r="I87" i="108" s="1"/>
  <c r="E86" i="108"/>
  <c r="E85" i="108"/>
  <c r="E84" i="108"/>
  <c r="E83" i="108"/>
  <c r="G83" i="108" s="1"/>
  <c r="I83" i="108" s="1"/>
  <c r="E82" i="108"/>
  <c r="E81" i="108"/>
  <c r="G81" i="108" s="1"/>
  <c r="I81" i="108" s="1"/>
  <c r="G80" i="108"/>
  <c r="I80" i="108" s="1"/>
  <c r="E80" i="108"/>
  <c r="E79" i="108"/>
  <c r="G78" i="108"/>
  <c r="E78" i="108"/>
  <c r="E77" i="108"/>
  <c r="E76" i="108"/>
  <c r="E75" i="108"/>
  <c r="G75" i="108" s="1"/>
  <c r="I75" i="108" s="1"/>
  <c r="G74" i="108"/>
  <c r="E74" i="108"/>
  <c r="E73" i="108"/>
  <c r="G72" i="108"/>
  <c r="I72" i="108" s="1"/>
  <c r="E72" i="108"/>
  <c r="E71" i="108"/>
  <c r="E70" i="108"/>
  <c r="G69" i="108"/>
  <c r="I69" i="108" s="1"/>
  <c r="E69" i="108"/>
  <c r="E68" i="108"/>
  <c r="E67" i="108"/>
  <c r="E66" i="108"/>
  <c r="E65" i="108"/>
  <c r="G65" i="108" s="1"/>
  <c r="I65" i="108" s="1"/>
  <c r="G64" i="108"/>
  <c r="I64" i="108" s="1"/>
  <c r="E64" i="108"/>
  <c r="E63" i="108"/>
  <c r="G62" i="108"/>
  <c r="E62" i="108"/>
  <c r="E61" i="108"/>
  <c r="E60" i="108"/>
  <c r="E59" i="108"/>
  <c r="G59" i="108" s="1"/>
  <c r="I59" i="108" s="1"/>
  <c r="E58" i="108"/>
  <c r="E57" i="108"/>
  <c r="E56" i="108"/>
  <c r="E55" i="108"/>
  <c r="G55" i="108" s="1"/>
  <c r="E54" i="108"/>
  <c r="G53" i="108"/>
  <c r="I53" i="108" s="1"/>
  <c r="E53" i="108"/>
  <c r="E52" i="108"/>
  <c r="E51" i="108"/>
  <c r="G51" i="108" s="1"/>
  <c r="I51" i="108" s="1"/>
  <c r="E50" i="108"/>
  <c r="E49" i="108"/>
  <c r="E48" i="108"/>
  <c r="E47" i="108"/>
  <c r="G47" i="108" s="1"/>
  <c r="E46" i="108"/>
  <c r="G45" i="108"/>
  <c r="I45" i="108" s="1"/>
  <c r="E45" i="108"/>
  <c r="E44" i="108"/>
  <c r="E43" i="108"/>
  <c r="G43" i="108" s="1"/>
  <c r="I43" i="108" s="1"/>
  <c r="E42" i="108"/>
  <c r="E41" i="108"/>
  <c r="E40" i="108"/>
  <c r="E39" i="108"/>
  <c r="G39" i="108" s="1"/>
  <c r="E38" i="108"/>
  <c r="G37" i="108"/>
  <c r="I37" i="108" s="1"/>
  <c r="E37" i="108"/>
  <c r="E36" i="108"/>
  <c r="E35" i="108"/>
  <c r="G35" i="108" s="1"/>
  <c r="I35" i="108" s="1"/>
  <c r="E34" i="108"/>
  <c r="E33" i="108"/>
  <c r="E32" i="108"/>
  <c r="E31" i="108"/>
  <c r="G31" i="108" s="1"/>
  <c r="E30" i="108"/>
  <c r="G29" i="108"/>
  <c r="I29" i="108" s="1"/>
  <c r="E29" i="108"/>
  <c r="E28" i="108"/>
  <c r="E27" i="108"/>
  <c r="G27" i="108" s="1"/>
  <c r="I27" i="108" s="1"/>
  <c r="E26" i="108"/>
  <c r="E25" i="108"/>
  <c r="E24" i="108"/>
  <c r="E23" i="108"/>
  <c r="G23" i="108" s="1"/>
  <c r="E22" i="108"/>
  <c r="G21" i="108"/>
  <c r="I21" i="108" s="1"/>
  <c r="E21" i="108"/>
  <c r="E20" i="108"/>
  <c r="E19" i="108"/>
  <c r="G19" i="108" s="1"/>
  <c r="I19" i="108" s="1"/>
  <c r="E18" i="108"/>
  <c r="E17" i="108"/>
  <c r="E16" i="108"/>
  <c r="E15" i="108"/>
  <c r="G15" i="108" s="1"/>
  <c r="E14" i="108"/>
  <c r="G13" i="108"/>
  <c r="I13" i="108" s="1"/>
  <c r="E13" i="108"/>
  <c r="E12" i="108"/>
  <c r="E11" i="108"/>
  <c r="G11" i="108" s="1"/>
  <c r="I11" i="108" s="1"/>
  <c r="E10" i="108"/>
  <c r="E9" i="108"/>
  <c r="E8" i="108"/>
  <c r="E7" i="108"/>
  <c r="G7" i="108" s="1"/>
  <c r="E6" i="108"/>
  <c r="G5" i="108"/>
  <c r="I5" i="108" s="1"/>
  <c r="E5" i="108"/>
  <c r="H104" i="105"/>
  <c r="F104" i="105"/>
  <c r="D104" i="105"/>
  <c r="E104" i="105" s="1"/>
  <c r="C104" i="105"/>
  <c r="H103" i="105"/>
  <c r="F103" i="105"/>
  <c r="E103" i="105"/>
  <c r="G103" i="105" s="1"/>
  <c r="I103" i="105" s="1"/>
  <c r="D103" i="105"/>
  <c r="C103" i="105"/>
  <c r="H102" i="105"/>
  <c r="F102" i="105"/>
  <c r="D102" i="105"/>
  <c r="E102" i="105" s="1"/>
  <c r="C102" i="105"/>
  <c r="H101" i="105"/>
  <c r="F101" i="105"/>
  <c r="D101" i="105"/>
  <c r="C101" i="105"/>
  <c r="E101" i="105" s="1"/>
  <c r="G101" i="105" s="1"/>
  <c r="I101" i="105" s="1"/>
  <c r="H100" i="105"/>
  <c r="F100" i="105"/>
  <c r="D100" i="105"/>
  <c r="E100" i="105" s="1"/>
  <c r="C100" i="105"/>
  <c r="H99" i="105"/>
  <c r="F99" i="105"/>
  <c r="E99" i="105"/>
  <c r="G99" i="105" s="1"/>
  <c r="I99" i="105" s="1"/>
  <c r="D99" i="105"/>
  <c r="C99" i="105"/>
  <c r="H98" i="105"/>
  <c r="F98" i="105"/>
  <c r="G98" i="105" s="1"/>
  <c r="I98" i="105" s="1"/>
  <c r="D98" i="105"/>
  <c r="E98" i="105" s="1"/>
  <c r="C98" i="105"/>
  <c r="H97" i="105"/>
  <c r="F97" i="105"/>
  <c r="D97" i="105"/>
  <c r="C97" i="105"/>
  <c r="E97" i="105" s="1"/>
  <c r="G97" i="105" s="1"/>
  <c r="I97" i="105" s="1"/>
  <c r="H96" i="105"/>
  <c r="F96" i="105"/>
  <c r="G96" i="105" s="1"/>
  <c r="I96" i="105" s="1"/>
  <c r="D96" i="105"/>
  <c r="E96" i="105" s="1"/>
  <c r="C96" i="105"/>
  <c r="H95" i="105"/>
  <c r="F95" i="105"/>
  <c r="E95" i="105"/>
  <c r="G95" i="105" s="1"/>
  <c r="I95" i="105" s="1"/>
  <c r="D95" i="105"/>
  <c r="C95" i="105"/>
  <c r="H94" i="105"/>
  <c r="F94" i="105"/>
  <c r="G94" i="105" s="1"/>
  <c r="I94" i="105" s="1"/>
  <c r="D94" i="105"/>
  <c r="E94" i="105" s="1"/>
  <c r="C94" i="105"/>
  <c r="H93" i="105"/>
  <c r="F93" i="105"/>
  <c r="D93" i="105"/>
  <c r="C93" i="105"/>
  <c r="E93" i="105" s="1"/>
  <c r="G93" i="105" s="1"/>
  <c r="I93" i="105" s="1"/>
  <c r="H92" i="105"/>
  <c r="F92" i="105"/>
  <c r="G92" i="105" s="1"/>
  <c r="I92" i="105" s="1"/>
  <c r="D92" i="105"/>
  <c r="E92" i="105" s="1"/>
  <c r="C92" i="105"/>
  <c r="H91" i="105"/>
  <c r="F91" i="105"/>
  <c r="E91" i="105"/>
  <c r="G91" i="105" s="1"/>
  <c r="I91" i="105" s="1"/>
  <c r="D91" i="105"/>
  <c r="C91" i="105"/>
  <c r="H90" i="105"/>
  <c r="F90" i="105"/>
  <c r="D90" i="105"/>
  <c r="E90" i="105" s="1"/>
  <c r="C90" i="105"/>
  <c r="H89" i="105"/>
  <c r="F89" i="105"/>
  <c r="D89" i="105"/>
  <c r="C89" i="105"/>
  <c r="E89" i="105" s="1"/>
  <c r="G89" i="105" s="1"/>
  <c r="I89" i="105" s="1"/>
  <c r="H88" i="105"/>
  <c r="F88" i="105"/>
  <c r="D88" i="105"/>
  <c r="E88" i="105" s="1"/>
  <c r="C88" i="105"/>
  <c r="H87" i="105"/>
  <c r="F87" i="105"/>
  <c r="E87" i="105"/>
  <c r="G87" i="105" s="1"/>
  <c r="I87" i="105" s="1"/>
  <c r="D87" i="105"/>
  <c r="C87" i="105"/>
  <c r="H86" i="105"/>
  <c r="F86" i="105"/>
  <c r="D86" i="105"/>
  <c r="E86" i="105" s="1"/>
  <c r="C86" i="105"/>
  <c r="H85" i="105"/>
  <c r="F85" i="105"/>
  <c r="D85" i="105"/>
  <c r="C85" i="105"/>
  <c r="E85" i="105" s="1"/>
  <c r="G85" i="105" s="1"/>
  <c r="I85" i="105" s="1"/>
  <c r="H84" i="105"/>
  <c r="F84" i="105"/>
  <c r="D84" i="105"/>
  <c r="E84" i="105" s="1"/>
  <c r="C84" i="105"/>
  <c r="H83" i="105"/>
  <c r="F83" i="105"/>
  <c r="E83" i="105"/>
  <c r="G83" i="105" s="1"/>
  <c r="I83" i="105" s="1"/>
  <c r="D83" i="105"/>
  <c r="C83" i="105"/>
  <c r="H82" i="105"/>
  <c r="F82" i="105"/>
  <c r="G82" i="105" s="1"/>
  <c r="I82" i="105" s="1"/>
  <c r="D82" i="105"/>
  <c r="E82" i="105" s="1"/>
  <c r="C82" i="105"/>
  <c r="H81" i="105"/>
  <c r="F81" i="105"/>
  <c r="D81" i="105"/>
  <c r="C81" i="105"/>
  <c r="E81" i="105" s="1"/>
  <c r="G81" i="105" s="1"/>
  <c r="I81" i="105" s="1"/>
  <c r="H80" i="105"/>
  <c r="F80" i="105"/>
  <c r="G80" i="105" s="1"/>
  <c r="I80" i="105" s="1"/>
  <c r="D80" i="105"/>
  <c r="E80" i="105" s="1"/>
  <c r="C80" i="105"/>
  <c r="H79" i="105"/>
  <c r="F79" i="105"/>
  <c r="E79" i="105"/>
  <c r="G79" i="105" s="1"/>
  <c r="I79" i="105" s="1"/>
  <c r="D79" i="105"/>
  <c r="C79" i="105"/>
  <c r="H78" i="105"/>
  <c r="F78" i="105"/>
  <c r="G78" i="105" s="1"/>
  <c r="I78" i="105" s="1"/>
  <c r="D78" i="105"/>
  <c r="E78" i="105" s="1"/>
  <c r="C78" i="105"/>
  <c r="H77" i="105"/>
  <c r="F77" i="105"/>
  <c r="D77" i="105"/>
  <c r="C77" i="105"/>
  <c r="E77" i="105" s="1"/>
  <c r="G77" i="105" s="1"/>
  <c r="I77" i="105" s="1"/>
  <c r="H76" i="105"/>
  <c r="F76" i="105"/>
  <c r="G76" i="105" s="1"/>
  <c r="I76" i="105" s="1"/>
  <c r="D76" i="105"/>
  <c r="E76" i="105" s="1"/>
  <c r="C76" i="105"/>
  <c r="H75" i="105"/>
  <c r="F75" i="105"/>
  <c r="E75" i="105"/>
  <c r="G75" i="105" s="1"/>
  <c r="I75" i="105" s="1"/>
  <c r="D75" i="105"/>
  <c r="C75" i="105"/>
  <c r="H74" i="105"/>
  <c r="F74" i="105"/>
  <c r="D74" i="105"/>
  <c r="E74" i="105" s="1"/>
  <c r="C74" i="105"/>
  <c r="H73" i="105"/>
  <c r="F73" i="105"/>
  <c r="D73" i="105"/>
  <c r="C73" i="105"/>
  <c r="E73" i="105" s="1"/>
  <c r="G73" i="105" s="1"/>
  <c r="I73" i="105" s="1"/>
  <c r="H72" i="105"/>
  <c r="F72" i="105"/>
  <c r="D72" i="105"/>
  <c r="E72" i="105" s="1"/>
  <c r="C72" i="105"/>
  <c r="H71" i="105"/>
  <c r="F71" i="105"/>
  <c r="E71" i="105"/>
  <c r="G71" i="105" s="1"/>
  <c r="I71" i="105" s="1"/>
  <c r="D71" i="105"/>
  <c r="C71" i="105"/>
  <c r="H70" i="105"/>
  <c r="F70" i="105"/>
  <c r="D70" i="105"/>
  <c r="E70" i="105" s="1"/>
  <c r="C70" i="105"/>
  <c r="H69" i="105"/>
  <c r="F69" i="105"/>
  <c r="D69" i="105"/>
  <c r="C69" i="105"/>
  <c r="E69" i="105" s="1"/>
  <c r="G69" i="105" s="1"/>
  <c r="I69" i="105" s="1"/>
  <c r="H68" i="105"/>
  <c r="F68" i="105"/>
  <c r="D68" i="105"/>
  <c r="E68" i="105" s="1"/>
  <c r="C68" i="105"/>
  <c r="H67" i="105"/>
  <c r="F67" i="105"/>
  <c r="E67" i="105"/>
  <c r="G67" i="105" s="1"/>
  <c r="I67" i="105" s="1"/>
  <c r="D67" i="105"/>
  <c r="C67" i="105"/>
  <c r="H66" i="105"/>
  <c r="F66" i="105"/>
  <c r="G66" i="105" s="1"/>
  <c r="I66" i="105" s="1"/>
  <c r="D66" i="105"/>
  <c r="E66" i="105" s="1"/>
  <c r="C66" i="105"/>
  <c r="H65" i="105"/>
  <c r="F65" i="105"/>
  <c r="D65" i="105"/>
  <c r="C65" i="105"/>
  <c r="E65" i="105" s="1"/>
  <c r="G65" i="105" s="1"/>
  <c r="I65" i="105" s="1"/>
  <c r="H64" i="105"/>
  <c r="F64" i="105"/>
  <c r="G64" i="105" s="1"/>
  <c r="I64" i="105" s="1"/>
  <c r="D64" i="105"/>
  <c r="E64" i="105" s="1"/>
  <c r="C64" i="105"/>
  <c r="H63" i="105"/>
  <c r="F63" i="105"/>
  <c r="E63" i="105"/>
  <c r="G63" i="105" s="1"/>
  <c r="I63" i="105" s="1"/>
  <c r="D63" i="105"/>
  <c r="C63" i="105"/>
  <c r="H62" i="105"/>
  <c r="F62" i="105"/>
  <c r="G62" i="105" s="1"/>
  <c r="I62" i="105" s="1"/>
  <c r="D62" i="105"/>
  <c r="E62" i="105" s="1"/>
  <c r="C62" i="105"/>
  <c r="H61" i="105"/>
  <c r="F61" i="105"/>
  <c r="D61" i="105"/>
  <c r="C61" i="105"/>
  <c r="E61" i="105" s="1"/>
  <c r="G61" i="105" s="1"/>
  <c r="I61" i="105" s="1"/>
  <c r="H60" i="105"/>
  <c r="F60" i="105"/>
  <c r="G60" i="105" s="1"/>
  <c r="I60" i="105" s="1"/>
  <c r="D60" i="105"/>
  <c r="E60" i="105" s="1"/>
  <c r="C60" i="105"/>
  <c r="H59" i="105"/>
  <c r="F59" i="105"/>
  <c r="E59" i="105"/>
  <c r="G59" i="105" s="1"/>
  <c r="I59" i="105" s="1"/>
  <c r="D59" i="105"/>
  <c r="C59" i="105"/>
  <c r="H58" i="105"/>
  <c r="F58" i="105"/>
  <c r="D58" i="105"/>
  <c r="E58" i="105" s="1"/>
  <c r="C58" i="105"/>
  <c r="H57" i="105"/>
  <c r="F57" i="105"/>
  <c r="D57" i="105"/>
  <c r="C57" i="105"/>
  <c r="E57" i="105" s="1"/>
  <c r="G57" i="105" s="1"/>
  <c r="I57" i="105" s="1"/>
  <c r="H56" i="105"/>
  <c r="F56" i="105"/>
  <c r="D56" i="105"/>
  <c r="E56" i="105" s="1"/>
  <c r="C56" i="105"/>
  <c r="H55" i="105"/>
  <c r="F55" i="105"/>
  <c r="E55" i="105"/>
  <c r="G55" i="105" s="1"/>
  <c r="I55" i="105" s="1"/>
  <c r="D55" i="105"/>
  <c r="C55" i="105"/>
  <c r="H54" i="105"/>
  <c r="F54" i="105"/>
  <c r="G54" i="105" s="1"/>
  <c r="D54" i="105"/>
  <c r="E54" i="105" s="1"/>
  <c r="C54" i="105"/>
  <c r="H53" i="105"/>
  <c r="F53" i="105"/>
  <c r="D53" i="105"/>
  <c r="C53" i="105"/>
  <c r="E53" i="105" s="1"/>
  <c r="G53" i="105" s="1"/>
  <c r="I53" i="105" s="1"/>
  <c r="H52" i="105"/>
  <c r="F52" i="105"/>
  <c r="D52" i="105"/>
  <c r="E52" i="105" s="1"/>
  <c r="C52" i="105"/>
  <c r="H51" i="105"/>
  <c r="F51" i="105"/>
  <c r="E51" i="105"/>
  <c r="G51" i="105" s="1"/>
  <c r="I51" i="105" s="1"/>
  <c r="D51" i="105"/>
  <c r="C51" i="105"/>
  <c r="H50" i="105"/>
  <c r="F50" i="105"/>
  <c r="G50" i="105" s="1"/>
  <c r="I50" i="105" s="1"/>
  <c r="D50" i="105"/>
  <c r="E50" i="105" s="1"/>
  <c r="C50" i="105"/>
  <c r="H49" i="105"/>
  <c r="G49" i="105"/>
  <c r="I49" i="105" s="1"/>
  <c r="F49" i="105"/>
  <c r="D49" i="105"/>
  <c r="C49" i="105"/>
  <c r="E49" i="105" s="1"/>
  <c r="H48" i="105"/>
  <c r="F48" i="105"/>
  <c r="G48" i="105" s="1"/>
  <c r="I48" i="105" s="1"/>
  <c r="D48" i="105"/>
  <c r="E48" i="105" s="1"/>
  <c r="C48" i="105"/>
  <c r="I47" i="105"/>
  <c r="H47" i="105"/>
  <c r="F47" i="105"/>
  <c r="E47" i="105"/>
  <c r="G47" i="105" s="1"/>
  <c r="D47" i="105"/>
  <c r="C47" i="105"/>
  <c r="H46" i="105"/>
  <c r="F46" i="105"/>
  <c r="D46" i="105"/>
  <c r="E46" i="105" s="1"/>
  <c r="C46" i="105"/>
  <c r="H45" i="105"/>
  <c r="G45" i="105"/>
  <c r="I45" i="105" s="1"/>
  <c r="F45" i="105"/>
  <c r="D45" i="105"/>
  <c r="C45" i="105"/>
  <c r="E45" i="105" s="1"/>
  <c r="H44" i="105"/>
  <c r="F44" i="105"/>
  <c r="G44" i="105" s="1"/>
  <c r="I44" i="105" s="1"/>
  <c r="D44" i="105"/>
  <c r="E44" i="105" s="1"/>
  <c r="C44" i="105"/>
  <c r="I43" i="105"/>
  <c r="H43" i="105"/>
  <c r="F43" i="105"/>
  <c r="E43" i="105"/>
  <c r="G43" i="105" s="1"/>
  <c r="D43" i="105"/>
  <c r="C43" i="105"/>
  <c r="H42" i="105"/>
  <c r="F42" i="105"/>
  <c r="D42" i="105"/>
  <c r="E42" i="105" s="1"/>
  <c r="C42" i="105"/>
  <c r="H41" i="105"/>
  <c r="F41" i="105"/>
  <c r="D41" i="105"/>
  <c r="C41" i="105"/>
  <c r="E41" i="105" s="1"/>
  <c r="G41" i="105" s="1"/>
  <c r="I41" i="105" s="1"/>
  <c r="H40" i="105"/>
  <c r="F40" i="105"/>
  <c r="D40" i="105"/>
  <c r="E40" i="105" s="1"/>
  <c r="C40" i="105"/>
  <c r="H39" i="105"/>
  <c r="F39" i="105"/>
  <c r="E39" i="105"/>
  <c r="G39" i="105" s="1"/>
  <c r="I39" i="105" s="1"/>
  <c r="D39" i="105"/>
  <c r="C39" i="105"/>
  <c r="H38" i="105"/>
  <c r="F38" i="105"/>
  <c r="G38" i="105" s="1"/>
  <c r="D38" i="105"/>
  <c r="E38" i="105" s="1"/>
  <c r="C38" i="105"/>
  <c r="H37" i="105"/>
  <c r="F37" i="105"/>
  <c r="D37" i="105"/>
  <c r="C37" i="105"/>
  <c r="E37" i="105" s="1"/>
  <c r="G37" i="105" s="1"/>
  <c r="I37" i="105" s="1"/>
  <c r="H36" i="105"/>
  <c r="F36" i="105"/>
  <c r="D36" i="105"/>
  <c r="E36" i="105" s="1"/>
  <c r="C36" i="105"/>
  <c r="H35" i="105"/>
  <c r="F35" i="105"/>
  <c r="E35" i="105"/>
  <c r="G35" i="105" s="1"/>
  <c r="I35" i="105" s="1"/>
  <c r="D35" i="105"/>
  <c r="C35" i="105"/>
  <c r="H34" i="105"/>
  <c r="F34" i="105"/>
  <c r="G34" i="105" s="1"/>
  <c r="I34" i="105" s="1"/>
  <c r="D34" i="105"/>
  <c r="E34" i="105" s="1"/>
  <c r="C34" i="105"/>
  <c r="H33" i="105"/>
  <c r="G33" i="105"/>
  <c r="I33" i="105" s="1"/>
  <c r="F33" i="105"/>
  <c r="D33" i="105"/>
  <c r="C33" i="105"/>
  <c r="E33" i="105" s="1"/>
  <c r="H32" i="105"/>
  <c r="F32" i="105"/>
  <c r="G32" i="105" s="1"/>
  <c r="I32" i="105" s="1"/>
  <c r="D32" i="105"/>
  <c r="E32" i="105" s="1"/>
  <c r="C32" i="105"/>
  <c r="I31" i="105"/>
  <c r="H31" i="105"/>
  <c r="F31" i="105"/>
  <c r="E31" i="105"/>
  <c r="G31" i="105" s="1"/>
  <c r="D31" i="105"/>
  <c r="C31" i="105"/>
  <c r="H30" i="105"/>
  <c r="F30" i="105"/>
  <c r="D30" i="105"/>
  <c r="E30" i="105" s="1"/>
  <c r="C30" i="105"/>
  <c r="H29" i="105"/>
  <c r="G29" i="105"/>
  <c r="I29" i="105" s="1"/>
  <c r="F29" i="105"/>
  <c r="D29" i="105"/>
  <c r="C29" i="105"/>
  <c r="E29" i="105" s="1"/>
  <c r="H28" i="105"/>
  <c r="F28" i="105"/>
  <c r="G28" i="105" s="1"/>
  <c r="I28" i="105" s="1"/>
  <c r="D28" i="105"/>
  <c r="E28" i="105" s="1"/>
  <c r="C28" i="105"/>
  <c r="I27" i="105"/>
  <c r="H27" i="105"/>
  <c r="F27" i="105"/>
  <c r="E27" i="105"/>
  <c r="G27" i="105" s="1"/>
  <c r="D27" i="105"/>
  <c r="C27" i="105"/>
  <c r="H26" i="105"/>
  <c r="F26" i="105"/>
  <c r="D26" i="105"/>
  <c r="E26" i="105" s="1"/>
  <c r="C26" i="105"/>
  <c r="H25" i="105"/>
  <c r="F25" i="105"/>
  <c r="D25" i="105"/>
  <c r="C25" i="105"/>
  <c r="E25" i="105" s="1"/>
  <c r="G25" i="105" s="1"/>
  <c r="I25" i="105" s="1"/>
  <c r="H24" i="105"/>
  <c r="F24" i="105"/>
  <c r="D24" i="105"/>
  <c r="E24" i="105" s="1"/>
  <c r="C24" i="105"/>
  <c r="H23" i="105"/>
  <c r="F23" i="105"/>
  <c r="E23" i="105"/>
  <c r="G23" i="105" s="1"/>
  <c r="I23" i="105" s="1"/>
  <c r="D23" i="105"/>
  <c r="C23" i="105"/>
  <c r="H22" i="105"/>
  <c r="F22" i="105"/>
  <c r="G22" i="105" s="1"/>
  <c r="D22" i="105"/>
  <c r="E22" i="105" s="1"/>
  <c r="C22" i="105"/>
  <c r="H21" i="105"/>
  <c r="F21" i="105"/>
  <c r="D21" i="105"/>
  <c r="C21" i="105"/>
  <c r="E21" i="105" s="1"/>
  <c r="G21" i="105" s="1"/>
  <c r="I21" i="105" s="1"/>
  <c r="H20" i="105"/>
  <c r="F20" i="105"/>
  <c r="D20" i="105"/>
  <c r="E20" i="105" s="1"/>
  <c r="C20" i="105"/>
  <c r="H19" i="105"/>
  <c r="F19" i="105"/>
  <c r="E19" i="105"/>
  <c r="G19" i="105" s="1"/>
  <c r="I19" i="105" s="1"/>
  <c r="D19" i="105"/>
  <c r="C19" i="105"/>
  <c r="H18" i="105"/>
  <c r="F18" i="105"/>
  <c r="G18" i="105" s="1"/>
  <c r="I18" i="105" s="1"/>
  <c r="D18" i="105"/>
  <c r="E18" i="105" s="1"/>
  <c r="C18" i="105"/>
  <c r="H17" i="105"/>
  <c r="G17" i="105"/>
  <c r="I17" i="105" s="1"/>
  <c r="F17" i="105"/>
  <c r="D17" i="105"/>
  <c r="C17" i="105"/>
  <c r="E17" i="105" s="1"/>
  <c r="H16" i="105"/>
  <c r="F16" i="105"/>
  <c r="G16" i="105" s="1"/>
  <c r="D16" i="105"/>
  <c r="E16" i="105" s="1"/>
  <c r="C16" i="105"/>
  <c r="I15" i="105"/>
  <c r="H15" i="105"/>
  <c r="F15" i="105"/>
  <c r="E15" i="105"/>
  <c r="G15" i="105" s="1"/>
  <c r="D15" i="105"/>
  <c r="C15" i="105"/>
  <c r="H14" i="105"/>
  <c r="F14" i="105"/>
  <c r="D14" i="105"/>
  <c r="E14" i="105" s="1"/>
  <c r="C14" i="105"/>
  <c r="H13" i="105"/>
  <c r="G13" i="105"/>
  <c r="I13" i="105" s="1"/>
  <c r="F13" i="105"/>
  <c r="D13" i="105"/>
  <c r="C13" i="105"/>
  <c r="E13" i="105" s="1"/>
  <c r="H12" i="105"/>
  <c r="F12" i="105"/>
  <c r="G12" i="105" s="1"/>
  <c r="I12" i="105" s="1"/>
  <c r="D12" i="105"/>
  <c r="E12" i="105" s="1"/>
  <c r="C12" i="105"/>
  <c r="H11" i="105"/>
  <c r="I11" i="105" s="1"/>
  <c r="F11" i="105"/>
  <c r="E11" i="105"/>
  <c r="G11" i="105" s="1"/>
  <c r="D11" i="105"/>
  <c r="C11" i="105"/>
  <c r="H10" i="105"/>
  <c r="F10" i="105"/>
  <c r="D10" i="105"/>
  <c r="E10" i="105" s="1"/>
  <c r="C10" i="105"/>
  <c r="H9" i="105"/>
  <c r="F9" i="105"/>
  <c r="D9" i="105"/>
  <c r="C9" i="105"/>
  <c r="E9" i="105" s="1"/>
  <c r="G9" i="105" s="1"/>
  <c r="I9" i="105" s="1"/>
  <c r="H8" i="105"/>
  <c r="F8" i="105"/>
  <c r="D8" i="105"/>
  <c r="E8" i="105" s="1"/>
  <c r="C8" i="105"/>
  <c r="H7" i="105"/>
  <c r="F7" i="105"/>
  <c r="E7" i="105"/>
  <c r="G7" i="105" s="1"/>
  <c r="I7" i="105" s="1"/>
  <c r="D7" i="105"/>
  <c r="C7" i="105"/>
  <c r="H6" i="105"/>
  <c r="F6" i="105"/>
  <c r="G6" i="105" s="1"/>
  <c r="D6" i="105"/>
  <c r="E6" i="105" s="1"/>
  <c r="C6" i="105"/>
  <c r="F5" i="105"/>
  <c r="D5" i="105"/>
  <c r="C5" i="105"/>
  <c r="AD171" i="102"/>
  <c r="AS14" i="108" s="1"/>
  <c r="AW14" i="108"/>
  <c r="AV14" i="108"/>
  <c r="AW13" i="108"/>
  <c r="AV13" i="108"/>
  <c r="AW12" i="108"/>
  <c r="AV12" i="108"/>
  <c r="AW9" i="108"/>
  <c r="AV9" i="108"/>
  <c r="AW7" i="108"/>
  <c r="AV7" i="108"/>
  <c r="AW6" i="108"/>
  <c r="AV6" i="108"/>
  <c r="AW5" i="108"/>
  <c r="AV5" i="108"/>
  <c r="AS9" i="108"/>
  <c r="AU14" i="108"/>
  <c r="AT14" i="108"/>
  <c r="AR14" i="108"/>
  <c r="AU13" i="108"/>
  <c r="AT13" i="108"/>
  <c r="AR13" i="108"/>
  <c r="AU12" i="108"/>
  <c r="AT12" i="108"/>
  <c r="AR12" i="108"/>
  <c r="AR10" i="108"/>
  <c r="AU9" i="108"/>
  <c r="AT9" i="108"/>
  <c r="AR9" i="108"/>
  <c r="AU7" i="108"/>
  <c r="AT7" i="108"/>
  <c r="AR7" i="108"/>
  <c r="AU6" i="108"/>
  <c r="AT6" i="108"/>
  <c r="AR6" i="108"/>
  <c r="AU5" i="108"/>
  <c r="AT5" i="108"/>
  <c r="AR5" i="108"/>
  <c r="AD100" i="108"/>
  <c r="AD95" i="108"/>
  <c r="AD90" i="108"/>
  <c r="AD85" i="108"/>
  <c r="AD80" i="108"/>
  <c r="AD75" i="108"/>
  <c r="AD70" i="108"/>
  <c r="AD65" i="108"/>
  <c r="AD60" i="108"/>
  <c r="AD55" i="108"/>
  <c r="AD50" i="108"/>
  <c r="AD45" i="108"/>
  <c r="AD40" i="108"/>
  <c r="AD35" i="108"/>
  <c r="AD30" i="108"/>
  <c r="AD25" i="108"/>
  <c r="AD20" i="108"/>
  <c r="AD15" i="108"/>
  <c r="AD10" i="108"/>
  <c r="AD5" i="108"/>
  <c r="AI104" i="108"/>
  <c r="AI103" i="108"/>
  <c r="AI102" i="108"/>
  <c r="AI101" i="108"/>
  <c r="AI100" i="108"/>
  <c r="AI99" i="108"/>
  <c r="AI98" i="108"/>
  <c r="AI97" i="108"/>
  <c r="AI96" i="108"/>
  <c r="AI95" i="108"/>
  <c r="AI94" i="108"/>
  <c r="AI93" i="108"/>
  <c r="AI92" i="108"/>
  <c r="AI91" i="108"/>
  <c r="AI90" i="108"/>
  <c r="AI89" i="108"/>
  <c r="AI88" i="108"/>
  <c r="AI87" i="108"/>
  <c r="AI86" i="108"/>
  <c r="AI85" i="108"/>
  <c r="AI84" i="108"/>
  <c r="AI83" i="108"/>
  <c r="AI82" i="108"/>
  <c r="AI81" i="108"/>
  <c r="AI80" i="108"/>
  <c r="AI79" i="108"/>
  <c r="AI78" i="108"/>
  <c r="AI77" i="108"/>
  <c r="AI76" i="108"/>
  <c r="AI75" i="108"/>
  <c r="AI74" i="108"/>
  <c r="AI73" i="108"/>
  <c r="AI72" i="108"/>
  <c r="AI71" i="108"/>
  <c r="AI70" i="108"/>
  <c r="AI69" i="108"/>
  <c r="AI68" i="108"/>
  <c r="AI67" i="108"/>
  <c r="AI66" i="108"/>
  <c r="AI65" i="108"/>
  <c r="AI64" i="108"/>
  <c r="AI63" i="108"/>
  <c r="AI62" i="108"/>
  <c r="AI61" i="108"/>
  <c r="AI60" i="108"/>
  <c r="AI59" i="108"/>
  <c r="AI58" i="108"/>
  <c r="AI57" i="108"/>
  <c r="AI56" i="108"/>
  <c r="AI55" i="108"/>
  <c r="AI54" i="108"/>
  <c r="AI53" i="108"/>
  <c r="AI52" i="108"/>
  <c r="AI51" i="108"/>
  <c r="AI50" i="108"/>
  <c r="AI49" i="108"/>
  <c r="AI48" i="108"/>
  <c r="AI47" i="108"/>
  <c r="AI46" i="108"/>
  <c r="AI45" i="108"/>
  <c r="AI44" i="108"/>
  <c r="AI43" i="108"/>
  <c r="AI42" i="108"/>
  <c r="AI41" i="108"/>
  <c r="AI40" i="108"/>
  <c r="AI39" i="108"/>
  <c r="AI38" i="108"/>
  <c r="AI37" i="108"/>
  <c r="AI36" i="108"/>
  <c r="AI35" i="108"/>
  <c r="AI34" i="108"/>
  <c r="AI33" i="108"/>
  <c r="AI32" i="108"/>
  <c r="AI31" i="108"/>
  <c r="AI30" i="108"/>
  <c r="AI29" i="108"/>
  <c r="AI28" i="108"/>
  <c r="AI27" i="108"/>
  <c r="AI26" i="108"/>
  <c r="AI25" i="108"/>
  <c r="AI24" i="108"/>
  <c r="AI23" i="108"/>
  <c r="AI22" i="108"/>
  <c r="AI21" i="108"/>
  <c r="AI20" i="108"/>
  <c r="AI19" i="108"/>
  <c r="AI18" i="108"/>
  <c r="AI17" i="108"/>
  <c r="AI16" i="108"/>
  <c r="AI15" i="108"/>
  <c r="AI14" i="108"/>
  <c r="AI13" i="108"/>
  <c r="AI12" i="108"/>
  <c r="AI11" i="108"/>
  <c r="AI10" i="108"/>
  <c r="AI9" i="108"/>
  <c r="AI8" i="108"/>
  <c r="AI7" i="108"/>
  <c r="AI6" i="108"/>
  <c r="AI5" i="108"/>
  <c r="R104" i="108"/>
  <c r="R103" i="108"/>
  <c r="R102" i="108"/>
  <c r="R101" i="108"/>
  <c r="R100" i="108"/>
  <c r="R99" i="108"/>
  <c r="R98" i="108"/>
  <c r="R97" i="108"/>
  <c r="R96" i="108"/>
  <c r="R95" i="108"/>
  <c r="R94" i="108"/>
  <c r="R93" i="108"/>
  <c r="R92" i="108"/>
  <c r="R91" i="108"/>
  <c r="R90" i="108"/>
  <c r="R89" i="108"/>
  <c r="R88" i="108"/>
  <c r="R87" i="108"/>
  <c r="R86" i="108"/>
  <c r="R85" i="108"/>
  <c r="R84" i="108"/>
  <c r="R83" i="108"/>
  <c r="R82" i="108"/>
  <c r="R81" i="108"/>
  <c r="R80" i="108"/>
  <c r="R79" i="108"/>
  <c r="R78" i="108"/>
  <c r="R77" i="108"/>
  <c r="R76" i="108"/>
  <c r="R75" i="108"/>
  <c r="R74" i="108"/>
  <c r="R73" i="108"/>
  <c r="R72" i="108"/>
  <c r="R71" i="108"/>
  <c r="R70" i="108"/>
  <c r="R69" i="108"/>
  <c r="R68" i="108"/>
  <c r="R67" i="108"/>
  <c r="R66" i="108"/>
  <c r="R65" i="108"/>
  <c r="R64" i="108"/>
  <c r="R63" i="108"/>
  <c r="R62" i="108"/>
  <c r="R61" i="108"/>
  <c r="R60" i="108"/>
  <c r="R59" i="108"/>
  <c r="R58" i="108"/>
  <c r="R57" i="108"/>
  <c r="R56" i="108"/>
  <c r="R55" i="108"/>
  <c r="R54" i="108"/>
  <c r="R53" i="108"/>
  <c r="R52" i="108"/>
  <c r="R51" i="108"/>
  <c r="R50" i="108"/>
  <c r="R49" i="108"/>
  <c r="R48" i="108"/>
  <c r="R47" i="108"/>
  <c r="R46" i="108"/>
  <c r="R45" i="108"/>
  <c r="R44" i="108"/>
  <c r="R43" i="108"/>
  <c r="R42" i="108"/>
  <c r="R41" i="108"/>
  <c r="R40" i="108"/>
  <c r="R39" i="108"/>
  <c r="R38" i="108"/>
  <c r="R37" i="108"/>
  <c r="R36" i="108"/>
  <c r="R35" i="108"/>
  <c r="R34" i="108"/>
  <c r="R33" i="108"/>
  <c r="R32" i="108"/>
  <c r="R31" i="108"/>
  <c r="R30" i="108"/>
  <c r="R29" i="108"/>
  <c r="R28" i="108"/>
  <c r="R27" i="108"/>
  <c r="R26" i="108"/>
  <c r="R25" i="108"/>
  <c r="R24" i="108"/>
  <c r="R23" i="108"/>
  <c r="R22" i="108"/>
  <c r="R21" i="108"/>
  <c r="R20" i="108"/>
  <c r="R19" i="108"/>
  <c r="R18" i="108"/>
  <c r="R17" i="108"/>
  <c r="R16" i="108"/>
  <c r="R15" i="108"/>
  <c r="R14" i="108"/>
  <c r="R13" i="108"/>
  <c r="R12" i="108"/>
  <c r="R11" i="108"/>
  <c r="R10" i="108"/>
  <c r="R9" i="108"/>
  <c r="R8" i="108"/>
  <c r="R7" i="108"/>
  <c r="R6" i="108"/>
  <c r="R5" i="108"/>
  <c r="Z6" i="108"/>
  <c r="Z7" i="108"/>
  <c r="Z8" i="108"/>
  <c r="Z9" i="108"/>
  <c r="Z10" i="108"/>
  <c r="Z11" i="108"/>
  <c r="Z12" i="108"/>
  <c r="Z13" i="108"/>
  <c r="Z14" i="108"/>
  <c r="Z15" i="108"/>
  <c r="Z16" i="108"/>
  <c r="Z17" i="108"/>
  <c r="Z18" i="108"/>
  <c r="Z19" i="108"/>
  <c r="Z20" i="108"/>
  <c r="Z21" i="108"/>
  <c r="Z22" i="108"/>
  <c r="Z23" i="108"/>
  <c r="Z24" i="108"/>
  <c r="Z25" i="108"/>
  <c r="Z26" i="108"/>
  <c r="Z27" i="108"/>
  <c r="Z28" i="108"/>
  <c r="Z29" i="108"/>
  <c r="Z30" i="108"/>
  <c r="Z31" i="108"/>
  <c r="Z32" i="108"/>
  <c r="Z33" i="108"/>
  <c r="Z34" i="108"/>
  <c r="Z35" i="108"/>
  <c r="Z36" i="108"/>
  <c r="Z37" i="108"/>
  <c r="Z38" i="108"/>
  <c r="Z39" i="108"/>
  <c r="Z40" i="108"/>
  <c r="Z41" i="108"/>
  <c r="Z42" i="108"/>
  <c r="Z43" i="108"/>
  <c r="Z44" i="108"/>
  <c r="Z45" i="108"/>
  <c r="Z46" i="108"/>
  <c r="Z47" i="108"/>
  <c r="Z48" i="108"/>
  <c r="Z49" i="108"/>
  <c r="Z50" i="108"/>
  <c r="Z51" i="108"/>
  <c r="Z52" i="108"/>
  <c r="Z53" i="108"/>
  <c r="Z54" i="108"/>
  <c r="Z55" i="108"/>
  <c r="Z56" i="108"/>
  <c r="Z57" i="108"/>
  <c r="Z58" i="108"/>
  <c r="Z59" i="108"/>
  <c r="Z60" i="108"/>
  <c r="Z61" i="108"/>
  <c r="Z62" i="108"/>
  <c r="Z63" i="108"/>
  <c r="Z64" i="108"/>
  <c r="Z65" i="108"/>
  <c r="Z66" i="108"/>
  <c r="Z67" i="108"/>
  <c r="Z68" i="108"/>
  <c r="Z69" i="108"/>
  <c r="Z70" i="108"/>
  <c r="Z71" i="108"/>
  <c r="Z72" i="108"/>
  <c r="Z73" i="108"/>
  <c r="Z74" i="108"/>
  <c r="Z75" i="108"/>
  <c r="Z76" i="108"/>
  <c r="Z77" i="108"/>
  <c r="Z78" i="108"/>
  <c r="Z79" i="108"/>
  <c r="Z80" i="108"/>
  <c r="Z81" i="108"/>
  <c r="Z82" i="108"/>
  <c r="Z83" i="108"/>
  <c r="Z84" i="108"/>
  <c r="Z85" i="108"/>
  <c r="Z86" i="108"/>
  <c r="Z87" i="108"/>
  <c r="Z88" i="108"/>
  <c r="Z89" i="108"/>
  <c r="Z90" i="108"/>
  <c r="Z91" i="108"/>
  <c r="Z92" i="108"/>
  <c r="Z93" i="108"/>
  <c r="Z94" i="108"/>
  <c r="Z95" i="108"/>
  <c r="Z96" i="108"/>
  <c r="Z97" i="108"/>
  <c r="Z98" i="108"/>
  <c r="Z99" i="108"/>
  <c r="Z100" i="108"/>
  <c r="Z101" i="108"/>
  <c r="Z102" i="108"/>
  <c r="Z103" i="108"/>
  <c r="Z104" i="108"/>
  <c r="AD204" i="102"/>
  <c r="AE204" i="102" s="1"/>
  <c r="AF204" i="102" s="1"/>
  <c r="AG204" i="102" s="1"/>
  <c r="AH204" i="102" s="1"/>
  <c r="AI204" i="102" s="1"/>
  <c r="AJ204" i="102" s="1"/>
  <c r="AK204" i="102" s="1"/>
  <c r="AL204" i="102" s="1"/>
  <c r="AM204" i="102" s="1"/>
  <c r="AD191" i="102"/>
  <c r="AE191" i="102" s="1"/>
  <c r="AF191" i="102" s="1"/>
  <c r="AG191" i="102" s="1"/>
  <c r="AH191" i="102" s="1"/>
  <c r="AI191" i="102" s="1"/>
  <c r="AJ191" i="102" s="1"/>
  <c r="AK191" i="102" s="1"/>
  <c r="AL191" i="102" s="1"/>
  <c r="AM191" i="102" s="1"/>
  <c r="AD178" i="102"/>
  <c r="AE178" i="102" s="1"/>
  <c r="AF178" i="102" s="1"/>
  <c r="AG178" i="102" s="1"/>
  <c r="AH178" i="102" s="1"/>
  <c r="AI178" i="102" s="1"/>
  <c r="AJ178" i="102" s="1"/>
  <c r="AK178" i="102" s="1"/>
  <c r="AL178" i="102" s="1"/>
  <c r="AM178" i="102" s="1"/>
  <c r="AD164" i="102"/>
  <c r="AE164" i="102" s="1"/>
  <c r="AF164" i="102" s="1"/>
  <c r="AG164" i="102" s="1"/>
  <c r="AH164" i="102" s="1"/>
  <c r="AI164" i="102" s="1"/>
  <c r="AJ164" i="102" s="1"/>
  <c r="AK164" i="102" s="1"/>
  <c r="AL164" i="102" s="1"/>
  <c r="AM164" i="102" s="1"/>
  <c r="X76" i="102"/>
  <c r="X75" i="102"/>
  <c r="X74" i="102"/>
  <c r="X73" i="102"/>
  <c r="X72" i="102"/>
  <c r="X71" i="102"/>
  <c r="X63" i="102"/>
  <c r="X62" i="102"/>
  <c r="X61" i="102"/>
  <c r="X60" i="102"/>
  <c r="X59" i="102"/>
  <c r="X58" i="102"/>
  <c r="AD198" i="102"/>
  <c r="AD185" i="102"/>
  <c r="AE185" i="102" s="1"/>
  <c r="AF185" i="102" s="1"/>
  <c r="AG185" i="102" s="1"/>
  <c r="AH185" i="102" s="1"/>
  <c r="AI185" i="102" s="1"/>
  <c r="AJ185" i="102" s="1"/>
  <c r="AK185" i="102" s="1"/>
  <c r="AL185" i="102" s="1"/>
  <c r="AM185" i="102" s="1"/>
  <c r="AD129" i="102"/>
  <c r="AE129" i="102" s="1"/>
  <c r="AF129" i="102" s="1"/>
  <c r="AG129" i="102" s="1"/>
  <c r="AH129" i="102" s="1"/>
  <c r="AI129" i="102" s="1"/>
  <c r="AJ129" i="102" s="1"/>
  <c r="AK129" i="102" s="1"/>
  <c r="AL129" i="102" s="1"/>
  <c r="AM129" i="102" s="1"/>
  <c r="AD147" i="102"/>
  <c r="AE147" i="102" s="1"/>
  <c r="AF147" i="102" s="1"/>
  <c r="AG147" i="102" s="1"/>
  <c r="AH147" i="102" s="1"/>
  <c r="AI147" i="102" s="1"/>
  <c r="AJ147" i="102" s="1"/>
  <c r="AK147" i="102" s="1"/>
  <c r="AL147" i="102" s="1"/>
  <c r="AM147" i="102" s="1"/>
  <c r="AD137" i="102"/>
  <c r="AE137" i="102" s="1"/>
  <c r="AF137" i="102" s="1"/>
  <c r="AG137" i="102" s="1"/>
  <c r="AH137" i="102" s="1"/>
  <c r="AI137" i="102" s="1"/>
  <c r="AJ137" i="102" s="1"/>
  <c r="AK137" i="102" s="1"/>
  <c r="AL137" i="102" s="1"/>
  <c r="AM137" i="102" s="1"/>
  <c r="AD111" i="102"/>
  <c r="AE111" i="102" s="1"/>
  <c r="AF111" i="102" s="1"/>
  <c r="AG111" i="102" s="1"/>
  <c r="AH111" i="102" s="1"/>
  <c r="AI111" i="102" s="1"/>
  <c r="AJ111" i="102" s="1"/>
  <c r="AK111" i="102" s="1"/>
  <c r="AL111" i="102" s="1"/>
  <c r="AM111" i="102" s="1"/>
  <c r="AD98" i="102"/>
  <c r="AE98" i="102" s="1"/>
  <c r="AF98" i="102" s="1"/>
  <c r="AG98" i="102" s="1"/>
  <c r="AH98" i="102" s="1"/>
  <c r="AI98" i="102" s="1"/>
  <c r="AJ98" i="102" s="1"/>
  <c r="AK98" i="102" s="1"/>
  <c r="AL98" i="102" s="1"/>
  <c r="AM98" i="102" s="1"/>
  <c r="AD85" i="102"/>
  <c r="AE85" i="102" s="1"/>
  <c r="AF85" i="102" s="1"/>
  <c r="AG85" i="102" s="1"/>
  <c r="AH85" i="102" s="1"/>
  <c r="AI85" i="102" s="1"/>
  <c r="AJ85" i="102" s="1"/>
  <c r="AK85" i="102" s="1"/>
  <c r="AL85" i="102" s="1"/>
  <c r="AM85" i="102" s="1"/>
  <c r="AD117" i="102"/>
  <c r="AE117" i="102" s="1"/>
  <c r="AF117" i="102" s="1"/>
  <c r="AG117" i="102" s="1"/>
  <c r="AH117" i="102" s="1"/>
  <c r="AI117" i="102" s="1"/>
  <c r="AJ117" i="102" s="1"/>
  <c r="AK117" i="102" s="1"/>
  <c r="AL117" i="102" s="1"/>
  <c r="AM117" i="102" s="1"/>
  <c r="AD116" i="102"/>
  <c r="AE116" i="102" s="1"/>
  <c r="AF116" i="102" s="1"/>
  <c r="AG116" i="102" s="1"/>
  <c r="AH116" i="102" s="1"/>
  <c r="AI116" i="102" s="1"/>
  <c r="AJ116" i="102" s="1"/>
  <c r="AK116" i="102" s="1"/>
  <c r="AL116" i="102" s="1"/>
  <c r="AM116" i="102" s="1"/>
  <c r="AD104" i="102"/>
  <c r="AE104" i="102" s="1"/>
  <c r="AF104" i="102" s="1"/>
  <c r="AG104" i="102" s="1"/>
  <c r="AH104" i="102" s="1"/>
  <c r="AI104" i="102" s="1"/>
  <c r="AJ104" i="102" s="1"/>
  <c r="AK104" i="102" s="1"/>
  <c r="AL104" i="102" s="1"/>
  <c r="AM104" i="102" s="1"/>
  <c r="AD103" i="102"/>
  <c r="AE103" i="102" s="1"/>
  <c r="AF103" i="102" s="1"/>
  <c r="AG103" i="102" s="1"/>
  <c r="AH103" i="102" s="1"/>
  <c r="AI103" i="102" s="1"/>
  <c r="AJ103" i="102" s="1"/>
  <c r="AK103" i="102" s="1"/>
  <c r="AL103" i="102" s="1"/>
  <c r="AM103" i="102" s="1"/>
  <c r="AD91" i="102"/>
  <c r="AE91" i="102" s="1"/>
  <c r="AF91" i="102" s="1"/>
  <c r="AG91" i="102" s="1"/>
  <c r="AH91" i="102" s="1"/>
  <c r="AI91" i="102" s="1"/>
  <c r="AJ91" i="102" s="1"/>
  <c r="AK91" i="102" s="1"/>
  <c r="AL91" i="102" s="1"/>
  <c r="AM91" i="102" s="1"/>
  <c r="AD90" i="102"/>
  <c r="AE90" i="102" s="1"/>
  <c r="AF90" i="102" s="1"/>
  <c r="AG90" i="102" s="1"/>
  <c r="AH90" i="102" s="1"/>
  <c r="AI90" i="102" s="1"/>
  <c r="AJ90" i="102" s="1"/>
  <c r="AK90" i="102" s="1"/>
  <c r="AL90" i="102" s="1"/>
  <c r="AM90" i="102" s="1"/>
  <c r="AD78" i="102"/>
  <c r="AE78" i="102" s="1"/>
  <c r="AF78" i="102" s="1"/>
  <c r="AG78" i="102" s="1"/>
  <c r="AH78" i="102" s="1"/>
  <c r="AI78" i="102" s="1"/>
  <c r="AJ78" i="102" s="1"/>
  <c r="AK78" i="102" s="1"/>
  <c r="AL78" i="102" s="1"/>
  <c r="AM78" i="102" s="1"/>
  <c r="AD77" i="102"/>
  <c r="S86" i="108" s="1"/>
  <c r="AD65" i="102"/>
  <c r="AE65" i="102" s="1"/>
  <c r="AF65" i="102" s="1"/>
  <c r="AG65" i="102" s="1"/>
  <c r="AH65" i="102" s="1"/>
  <c r="AI65" i="102" s="1"/>
  <c r="AJ65" i="102" s="1"/>
  <c r="AK65" i="102" s="1"/>
  <c r="AL65" i="102" s="1"/>
  <c r="AM65" i="102" s="1"/>
  <c r="AD64" i="102"/>
  <c r="S92" i="108" s="1"/>
  <c r="S104" i="108"/>
  <c r="S103" i="108"/>
  <c r="S102" i="108"/>
  <c r="S101" i="108"/>
  <c r="S100" i="108"/>
  <c r="S99" i="108"/>
  <c r="S98" i="108"/>
  <c r="S95" i="108"/>
  <c r="S93" i="108"/>
  <c r="S84" i="108"/>
  <c r="S83" i="108"/>
  <c r="S82" i="108"/>
  <c r="S81" i="108"/>
  <c r="S80" i="108"/>
  <c r="S79" i="108"/>
  <c r="S78" i="108"/>
  <c r="S77" i="108"/>
  <c r="S76" i="108"/>
  <c r="S75" i="108"/>
  <c r="S74" i="108"/>
  <c r="S71" i="108"/>
  <c r="S70" i="108"/>
  <c r="S69" i="108"/>
  <c r="S65" i="108"/>
  <c r="S64" i="108"/>
  <c r="S60" i="108"/>
  <c r="S59" i="108"/>
  <c r="S58" i="108"/>
  <c r="S57" i="108"/>
  <c r="S56" i="108"/>
  <c r="S55" i="108"/>
  <c r="S54" i="108"/>
  <c r="S53" i="108"/>
  <c r="S52" i="108"/>
  <c r="S51" i="108"/>
  <c r="S50" i="108"/>
  <c r="S49" i="108"/>
  <c r="S48" i="108"/>
  <c r="S45" i="108"/>
  <c r="S41" i="108"/>
  <c r="S34" i="108"/>
  <c r="S33" i="108"/>
  <c r="S32" i="108"/>
  <c r="S31" i="108"/>
  <c r="S30" i="108"/>
  <c r="S29" i="108"/>
  <c r="S28" i="108"/>
  <c r="S27" i="108"/>
  <c r="S26" i="108"/>
  <c r="S25" i="108"/>
  <c r="S24" i="108"/>
  <c r="S21" i="108"/>
  <c r="S20" i="108"/>
  <c r="S17" i="108"/>
  <c r="S16" i="108"/>
  <c r="S13" i="108"/>
  <c r="S9" i="108"/>
  <c r="S8" i="108"/>
  <c r="S7" i="108"/>
  <c r="S6" i="108"/>
  <c r="S5" i="108"/>
  <c r="AN7" i="105"/>
  <c r="AM7" i="105"/>
  <c r="AL7" i="105"/>
  <c r="AK7" i="105"/>
  <c r="AJ7" i="105"/>
  <c r="AI7" i="105"/>
  <c r="AN6" i="105"/>
  <c r="AM6" i="105"/>
  <c r="AL6" i="105"/>
  <c r="AK6" i="105"/>
  <c r="AJ6" i="105"/>
  <c r="AI6" i="105"/>
  <c r="AN5" i="105"/>
  <c r="AM5" i="105"/>
  <c r="AL5" i="105"/>
  <c r="AK5" i="105"/>
  <c r="AJ5" i="105"/>
  <c r="AI5" i="105"/>
  <c r="AK104" i="108"/>
  <c r="AA104" i="108"/>
  <c r="AK103" i="108"/>
  <c r="AA103" i="108"/>
  <c r="AJ102" i="108"/>
  <c r="AA102" i="108"/>
  <c r="AJ101" i="108"/>
  <c r="AA101" i="108"/>
  <c r="AB100" i="108"/>
  <c r="AK99" i="108"/>
  <c r="AA99" i="108"/>
  <c r="AK98" i="108"/>
  <c r="AA98" i="108"/>
  <c r="AJ97" i="108"/>
  <c r="AA97" i="108"/>
  <c r="AJ96" i="108"/>
  <c r="AA96" i="108"/>
  <c r="AB95" i="108"/>
  <c r="AK94" i="108"/>
  <c r="AA94" i="108"/>
  <c r="AK93" i="108"/>
  <c r="AA93" i="108"/>
  <c r="AJ92" i="108"/>
  <c r="AA92" i="108"/>
  <c r="AJ91" i="108"/>
  <c r="AA91" i="108"/>
  <c r="AB90" i="108"/>
  <c r="AK89" i="108"/>
  <c r="AA89" i="108"/>
  <c r="AK88" i="108"/>
  <c r="AA88" i="108"/>
  <c r="AJ87" i="108"/>
  <c r="AA87" i="108"/>
  <c r="AJ86" i="108"/>
  <c r="AA86" i="108"/>
  <c r="AB85" i="108"/>
  <c r="AK84" i="108"/>
  <c r="AA84" i="108"/>
  <c r="AK83" i="108"/>
  <c r="AA83" i="108"/>
  <c r="AJ82" i="108"/>
  <c r="AA82" i="108"/>
  <c r="AJ81" i="108"/>
  <c r="AA81" i="108"/>
  <c r="AB80" i="108"/>
  <c r="AK79" i="108"/>
  <c r="AA79" i="108"/>
  <c r="AK78" i="108"/>
  <c r="AA78" i="108"/>
  <c r="AJ77" i="108"/>
  <c r="AA77" i="108"/>
  <c r="AJ76" i="108"/>
  <c r="AA76" i="108"/>
  <c r="AB75" i="108"/>
  <c r="AK74" i="108"/>
  <c r="AA74" i="108"/>
  <c r="AK73" i="108"/>
  <c r="AA73" i="108"/>
  <c r="AJ72" i="108"/>
  <c r="AA72" i="108"/>
  <c r="AJ71" i="108"/>
  <c r="AA71" i="108"/>
  <c r="AB70" i="108"/>
  <c r="AK69" i="108"/>
  <c r="AA69" i="108"/>
  <c r="AK68" i="108"/>
  <c r="AA68" i="108"/>
  <c r="AJ67" i="108"/>
  <c r="AA67" i="108"/>
  <c r="AJ66" i="108"/>
  <c r="AA66" i="108"/>
  <c r="AB65" i="108"/>
  <c r="AK64" i="108"/>
  <c r="AA64" i="108"/>
  <c r="AK63" i="108"/>
  <c r="AA63" i="108"/>
  <c r="AJ62" i="108"/>
  <c r="AA62" i="108"/>
  <c r="AJ61" i="108"/>
  <c r="AA61" i="108"/>
  <c r="AB60" i="108"/>
  <c r="AK59" i="108"/>
  <c r="AA59" i="108"/>
  <c r="AK58" i="108"/>
  <c r="AA58" i="108"/>
  <c r="AJ57" i="108"/>
  <c r="AA57" i="108"/>
  <c r="AJ56" i="108"/>
  <c r="AA56" i="108"/>
  <c r="AB55" i="108"/>
  <c r="AK54" i="108"/>
  <c r="AA54" i="108"/>
  <c r="AK53" i="108"/>
  <c r="AA53" i="108"/>
  <c r="AJ52" i="108"/>
  <c r="AA52" i="108"/>
  <c r="AJ51" i="108"/>
  <c r="AA51" i="108"/>
  <c r="AB50" i="108"/>
  <c r="AK49" i="108"/>
  <c r="AA49" i="108"/>
  <c r="AK48" i="108"/>
  <c r="AA48" i="108"/>
  <c r="AJ47" i="108"/>
  <c r="AA47" i="108"/>
  <c r="AJ46" i="108"/>
  <c r="AA46" i="108"/>
  <c r="AB45" i="108"/>
  <c r="AK44" i="108"/>
  <c r="AA44" i="108"/>
  <c r="AK43" i="108"/>
  <c r="AA43" i="108"/>
  <c r="AJ42" i="108"/>
  <c r="AA42" i="108"/>
  <c r="AJ41" i="108"/>
  <c r="AA41" i="108"/>
  <c r="AB40" i="108"/>
  <c r="AK39" i="108"/>
  <c r="AA39" i="108"/>
  <c r="AK38" i="108"/>
  <c r="AA38" i="108"/>
  <c r="AJ37" i="108"/>
  <c r="AA37" i="108"/>
  <c r="AJ36" i="108"/>
  <c r="AA36" i="108"/>
  <c r="AB35" i="108"/>
  <c r="AK34" i="108"/>
  <c r="AA34" i="108"/>
  <c r="AK33" i="108"/>
  <c r="AA33" i="108"/>
  <c r="AJ32" i="108"/>
  <c r="AA32" i="108"/>
  <c r="AJ31" i="108"/>
  <c r="AA31" i="108"/>
  <c r="AB30" i="108"/>
  <c r="AK29" i="108"/>
  <c r="AA29" i="108"/>
  <c r="AK28" i="108"/>
  <c r="AA28" i="108"/>
  <c r="AJ27" i="108"/>
  <c r="AA27" i="108"/>
  <c r="AJ26" i="108"/>
  <c r="AA26" i="108"/>
  <c r="AB25" i="108"/>
  <c r="AK24" i="108"/>
  <c r="AA24" i="108"/>
  <c r="AK23" i="108"/>
  <c r="AA23" i="108"/>
  <c r="AJ22" i="108"/>
  <c r="AA22" i="108"/>
  <c r="AJ21" i="108"/>
  <c r="AA21" i="108"/>
  <c r="AB20" i="108"/>
  <c r="AK19" i="108"/>
  <c r="AA19" i="108"/>
  <c r="AK18" i="108"/>
  <c r="AA18" i="108"/>
  <c r="AJ17" i="108"/>
  <c r="AA17" i="108"/>
  <c r="AJ16" i="108"/>
  <c r="AA16" i="108"/>
  <c r="AB15" i="108"/>
  <c r="AK14" i="108"/>
  <c r="AA14" i="108"/>
  <c r="AK13" i="108"/>
  <c r="AA13" i="108"/>
  <c r="AJ12" i="108"/>
  <c r="AA12" i="108"/>
  <c r="AJ11" i="108"/>
  <c r="AA11" i="108"/>
  <c r="AB10" i="108"/>
  <c r="AK9" i="108"/>
  <c r="AA9" i="108"/>
  <c r="AK8" i="108"/>
  <c r="AA8" i="108"/>
  <c r="AJ7" i="108"/>
  <c r="AA7" i="108"/>
  <c r="AJ6" i="108"/>
  <c r="AA6" i="108"/>
  <c r="AB5" i="108"/>
  <c r="X29" i="105"/>
  <c r="X28" i="105"/>
  <c r="X27" i="105"/>
  <c r="X24" i="105"/>
  <c r="X23" i="105"/>
  <c r="X22" i="105"/>
  <c r="X19" i="105"/>
  <c r="X18" i="105"/>
  <c r="X17" i="105"/>
  <c r="X14" i="105"/>
  <c r="X13" i="105"/>
  <c r="X12" i="105"/>
  <c r="X8" i="105"/>
  <c r="X9" i="105"/>
  <c r="X7" i="105"/>
  <c r="X104" i="105"/>
  <c r="X103" i="105"/>
  <c r="X102" i="105"/>
  <c r="X101" i="105"/>
  <c r="X99" i="105"/>
  <c r="X98" i="105"/>
  <c r="X97" i="105"/>
  <c r="X96" i="105"/>
  <c r="X94" i="105"/>
  <c r="X93" i="105"/>
  <c r="X92" i="105"/>
  <c r="X91" i="105"/>
  <c r="X89" i="105"/>
  <c r="X88" i="105"/>
  <c r="X87" i="105"/>
  <c r="X86" i="105"/>
  <c r="X84" i="105"/>
  <c r="X83" i="105"/>
  <c r="X82" i="105"/>
  <c r="X81" i="105"/>
  <c r="X79" i="105"/>
  <c r="X78" i="105"/>
  <c r="X77" i="105"/>
  <c r="X76" i="105"/>
  <c r="X74" i="105"/>
  <c r="X73" i="105"/>
  <c r="X72" i="105"/>
  <c r="X71" i="105"/>
  <c r="X69" i="105"/>
  <c r="X68" i="105"/>
  <c r="X67" i="105"/>
  <c r="X66" i="105"/>
  <c r="X64" i="105"/>
  <c r="X63" i="105"/>
  <c r="X62" i="105"/>
  <c r="X61" i="105"/>
  <c r="X59" i="105"/>
  <c r="X58" i="105"/>
  <c r="X57" i="105"/>
  <c r="X56" i="105"/>
  <c r="X54" i="105"/>
  <c r="X53" i="105"/>
  <c r="X52" i="105"/>
  <c r="X51" i="105"/>
  <c r="X49" i="105"/>
  <c r="X48" i="105"/>
  <c r="X47" i="105"/>
  <c r="X46" i="105"/>
  <c r="X44" i="105"/>
  <c r="X43" i="105"/>
  <c r="X42" i="105"/>
  <c r="X41" i="105"/>
  <c r="X39" i="105"/>
  <c r="X38" i="105"/>
  <c r="X37" i="105"/>
  <c r="X36" i="105"/>
  <c r="X34" i="105"/>
  <c r="X33" i="105"/>
  <c r="X32" i="105"/>
  <c r="X31" i="105"/>
  <c r="Y100" i="105"/>
  <c r="Y95" i="105"/>
  <c r="Y90" i="105"/>
  <c r="Y85" i="105"/>
  <c r="Y80" i="105"/>
  <c r="Y75" i="105"/>
  <c r="Y70" i="105"/>
  <c r="Y65" i="105"/>
  <c r="Y60" i="105"/>
  <c r="Y55" i="105"/>
  <c r="Y50" i="105"/>
  <c r="Y45" i="105"/>
  <c r="Y40" i="105"/>
  <c r="Y35" i="105"/>
  <c r="Y30" i="105"/>
  <c r="Y25" i="105"/>
  <c r="Y20" i="105"/>
  <c r="Y15" i="105"/>
  <c r="Y10" i="105"/>
  <c r="Y5" i="105"/>
  <c r="R100" i="105"/>
  <c r="R95" i="105"/>
  <c r="R90" i="105"/>
  <c r="R85" i="105"/>
  <c r="R80" i="105"/>
  <c r="R75" i="105"/>
  <c r="R70" i="105"/>
  <c r="R65" i="105"/>
  <c r="R60" i="105"/>
  <c r="R55" i="105"/>
  <c r="R50" i="105"/>
  <c r="R45" i="105"/>
  <c r="R40" i="105"/>
  <c r="R35" i="105"/>
  <c r="R30" i="105"/>
  <c r="R25" i="105"/>
  <c r="R20" i="105"/>
  <c r="R15" i="105"/>
  <c r="R10" i="105"/>
  <c r="R5" i="105"/>
  <c r="M104" i="105"/>
  <c r="M103" i="105"/>
  <c r="M102" i="105"/>
  <c r="M101" i="105"/>
  <c r="M100" i="105"/>
  <c r="M99" i="105"/>
  <c r="M98" i="105"/>
  <c r="M97" i="105"/>
  <c r="M96" i="105"/>
  <c r="M95" i="105"/>
  <c r="M94" i="105"/>
  <c r="M93" i="105"/>
  <c r="M92" i="105"/>
  <c r="M91" i="105"/>
  <c r="M90" i="105"/>
  <c r="M89" i="105"/>
  <c r="M88" i="105"/>
  <c r="M87" i="105"/>
  <c r="M86" i="105"/>
  <c r="M85" i="105"/>
  <c r="M84" i="105"/>
  <c r="M83" i="105"/>
  <c r="M82" i="105"/>
  <c r="M81" i="105"/>
  <c r="M80" i="105"/>
  <c r="M79" i="105"/>
  <c r="M78" i="105"/>
  <c r="M77" i="105"/>
  <c r="M76" i="105"/>
  <c r="M75" i="105"/>
  <c r="M74" i="105"/>
  <c r="M73" i="105"/>
  <c r="M72" i="105"/>
  <c r="M71" i="105"/>
  <c r="M70" i="105"/>
  <c r="M69" i="105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AN13" i="105"/>
  <c r="AM13" i="105"/>
  <c r="AL13" i="105"/>
  <c r="AK13" i="105"/>
  <c r="AJ13" i="105"/>
  <c r="AI13" i="105"/>
  <c r="AN12" i="105"/>
  <c r="AM12" i="105"/>
  <c r="AL12" i="105"/>
  <c r="AK12" i="105"/>
  <c r="AJ12" i="105"/>
  <c r="AI12" i="105"/>
  <c r="AN14" i="105"/>
  <c r="AM14" i="105"/>
  <c r="AL14" i="105"/>
  <c r="AK14" i="105"/>
  <c r="AJ14" i="105"/>
  <c r="AI14" i="105"/>
  <c r="AI10" i="105"/>
  <c r="AN9" i="105"/>
  <c r="AM9" i="105"/>
  <c r="AL9" i="105"/>
  <c r="AK9" i="105"/>
  <c r="AJ9" i="105"/>
  <c r="AI9" i="105"/>
  <c r="U26" i="105"/>
  <c r="U21" i="105"/>
  <c r="U16" i="105"/>
  <c r="U11" i="105"/>
  <c r="U6" i="105"/>
  <c r="G16" i="108" l="1"/>
  <c r="I16" i="108" s="1"/>
  <c r="G63" i="108"/>
  <c r="I63" i="108" s="1"/>
  <c r="G73" i="108"/>
  <c r="I73" i="108" s="1"/>
  <c r="G79" i="108"/>
  <c r="I79" i="108" s="1"/>
  <c r="G85" i="108"/>
  <c r="I85" i="108" s="1"/>
  <c r="G91" i="108"/>
  <c r="I91" i="108" s="1"/>
  <c r="G95" i="108"/>
  <c r="I95" i="108" s="1"/>
  <c r="G101" i="108"/>
  <c r="I101" i="108" s="1"/>
  <c r="G9" i="108"/>
  <c r="I9" i="108" s="1"/>
  <c r="G17" i="108"/>
  <c r="I17" i="108" s="1"/>
  <c r="G25" i="108"/>
  <c r="I25" i="108" s="1"/>
  <c r="G33" i="108"/>
  <c r="I33" i="108" s="1"/>
  <c r="G41" i="108"/>
  <c r="I41" i="108" s="1"/>
  <c r="G49" i="108"/>
  <c r="I49" i="108" s="1"/>
  <c r="G57" i="108"/>
  <c r="I57" i="108" s="1"/>
  <c r="G61" i="108"/>
  <c r="I61" i="108" s="1"/>
  <c r="G67" i="108"/>
  <c r="I67" i="108" s="1"/>
  <c r="G71" i="108"/>
  <c r="I71" i="108" s="1"/>
  <c r="G77" i="108"/>
  <c r="I77" i="108" s="1"/>
  <c r="G89" i="108"/>
  <c r="I89" i="108" s="1"/>
  <c r="I7" i="108"/>
  <c r="I15" i="108"/>
  <c r="I23" i="108"/>
  <c r="I31" i="108"/>
  <c r="I39" i="108"/>
  <c r="I47" i="108"/>
  <c r="I55" i="108"/>
  <c r="G12" i="108"/>
  <c r="I12" i="108" s="1"/>
  <c r="G18" i="108"/>
  <c r="I18" i="108" s="1"/>
  <c r="G28" i="108"/>
  <c r="I28" i="108" s="1"/>
  <c r="G34" i="108"/>
  <c r="I34" i="108" s="1"/>
  <c r="G44" i="108"/>
  <c r="I44" i="108" s="1"/>
  <c r="G50" i="108"/>
  <c r="I50" i="108" s="1"/>
  <c r="G60" i="108"/>
  <c r="I60" i="108" s="1"/>
  <c r="G66" i="108"/>
  <c r="I66" i="108" s="1"/>
  <c r="G76" i="108"/>
  <c r="I76" i="108" s="1"/>
  <c r="G84" i="108"/>
  <c r="I84" i="108" s="1"/>
  <c r="G86" i="108"/>
  <c r="I86" i="108" s="1"/>
  <c r="G100" i="108"/>
  <c r="I100" i="108" s="1"/>
  <c r="G102" i="108"/>
  <c r="I102" i="108" s="1"/>
  <c r="I62" i="108"/>
  <c r="I78" i="108"/>
  <c r="G104" i="108"/>
  <c r="I104" i="108" s="1"/>
  <c r="G10" i="108"/>
  <c r="I10" i="108" s="1"/>
  <c r="G20" i="108"/>
  <c r="I20" i="108" s="1"/>
  <c r="G26" i="108"/>
  <c r="I26" i="108" s="1"/>
  <c r="G36" i="108"/>
  <c r="I36" i="108" s="1"/>
  <c r="G42" i="108"/>
  <c r="I42" i="108" s="1"/>
  <c r="G52" i="108"/>
  <c r="I52" i="108" s="1"/>
  <c r="G58" i="108"/>
  <c r="I58" i="108" s="1"/>
  <c r="I74" i="108"/>
  <c r="G92" i="108"/>
  <c r="I92" i="108" s="1"/>
  <c r="G94" i="108"/>
  <c r="I94" i="108" s="1"/>
  <c r="I16" i="105"/>
  <c r="G8" i="105"/>
  <c r="I8" i="105" s="1"/>
  <c r="G14" i="105"/>
  <c r="I14" i="105" s="1"/>
  <c r="G24" i="105"/>
  <c r="I24" i="105" s="1"/>
  <c r="G30" i="105"/>
  <c r="I30" i="105" s="1"/>
  <c r="G40" i="105"/>
  <c r="I40" i="105" s="1"/>
  <c r="G46" i="105"/>
  <c r="I46" i="105" s="1"/>
  <c r="G56" i="105"/>
  <c r="I56" i="105" s="1"/>
  <c r="G68" i="105"/>
  <c r="I68" i="105" s="1"/>
  <c r="G70" i="105"/>
  <c r="I70" i="105" s="1"/>
  <c r="G84" i="105"/>
  <c r="I84" i="105" s="1"/>
  <c r="G86" i="105"/>
  <c r="I86" i="105" s="1"/>
  <c r="G100" i="105"/>
  <c r="I100" i="105" s="1"/>
  <c r="G102" i="105"/>
  <c r="I102" i="105" s="1"/>
  <c r="G10" i="105"/>
  <c r="I10" i="105" s="1"/>
  <c r="G20" i="105"/>
  <c r="I20" i="105" s="1"/>
  <c r="G26" i="105"/>
  <c r="I26" i="105" s="1"/>
  <c r="G36" i="105"/>
  <c r="I36" i="105" s="1"/>
  <c r="G42" i="105"/>
  <c r="I42" i="105" s="1"/>
  <c r="G52" i="105"/>
  <c r="I52" i="105" s="1"/>
  <c r="G58" i="105"/>
  <c r="I58" i="105" s="1"/>
  <c r="G72" i="105"/>
  <c r="I72" i="105" s="1"/>
  <c r="G74" i="105"/>
  <c r="I74" i="105" s="1"/>
  <c r="G88" i="105"/>
  <c r="I88" i="105" s="1"/>
  <c r="G90" i="105"/>
  <c r="I90" i="105" s="1"/>
  <c r="G104" i="105"/>
  <c r="I104" i="105" s="1"/>
  <c r="I6" i="105"/>
  <c r="I22" i="105"/>
  <c r="I38" i="105"/>
  <c r="I54" i="105"/>
  <c r="AE198" i="102"/>
  <c r="AF198" i="102" s="1"/>
  <c r="AG198" i="102" s="1"/>
  <c r="AH198" i="102" s="1"/>
  <c r="AI198" i="102" s="1"/>
  <c r="AJ198" i="102" s="1"/>
  <c r="AK198" i="102" s="1"/>
  <c r="AL198" i="102" s="1"/>
  <c r="AM198" i="102" s="1"/>
  <c r="AS13" i="108"/>
  <c r="AS5" i="108"/>
  <c r="AS12" i="108"/>
  <c r="S22" i="108"/>
  <c r="S46" i="108"/>
  <c r="S72" i="108"/>
  <c r="S96" i="108"/>
  <c r="AS6" i="108"/>
  <c r="AE171" i="102"/>
  <c r="AF171" i="102" s="1"/>
  <c r="AG171" i="102" s="1"/>
  <c r="AH171" i="102" s="1"/>
  <c r="AI171" i="102" s="1"/>
  <c r="AJ171" i="102" s="1"/>
  <c r="AK171" i="102" s="1"/>
  <c r="AL171" i="102" s="1"/>
  <c r="AM171" i="102" s="1"/>
  <c r="S23" i="108"/>
  <c r="S36" i="108"/>
  <c r="S47" i="108"/>
  <c r="S73" i="108"/>
  <c r="S87" i="108"/>
  <c r="S97" i="108"/>
  <c r="AS7" i="108"/>
  <c r="Z5" i="108"/>
  <c r="S10" i="108"/>
  <c r="S14" i="108"/>
  <c r="S37" i="108"/>
  <c r="S61" i="108"/>
  <c r="S88" i="108"/>
  <c r="AE77" i="102"/>
  <c r="AF77" i="102" s="1"/>
  <c r="AG77" i="102" s="1"/>
  <c r="AH77" i="102" s="1"/>
  <c r="AI77" i="102" s="1"/>
  <c r="AJ77" i="102" s="1"/>
  <c r="AK77" i="102" s="1"/>
  <c r="AL77" i="102" s="1"/>
  <c r="AM77" i="102" s="1"/>
  <c r="S11" i="108"/>
  <c r="S38" i="108"/>
  <c r="S62" i="108"/>
  <c r="S85" i="108"/>
  <c r="S89" i="108"/>
  <c r="S12" i="108"/>
  <c r="S35" i="108"/>
  <c r="S39" i="108"/>
  <c r="S63" i="108"/>
  <c r="AH6" i="105"/>
  <c r="AQ5" i="108"/>
  <c r="AH5" i="105"/>
  <c r="AH7" i="105"/>
  <c r="AE64" i="102"/>
  <c r="AF64" i="102" s="1"/>
  <c r="AG64" i="102" s="1"/>
  <c r="AH64" i="102" s="1"/>
  <c r="AI64" i="102" s="1"/>
  <c r="AJ64" i="102" s="1"/>
  <c r="AK64" i="102" s="1"/>
  <c r="AL64" i="102" s="1"/>
  <c r="AM64" i="102" s="1"/>
  <c r="S18" i="108"/>
  <c r="S42" i="108"/>
  <c r="S66" i="108"/>
  <c r="S90" i="108"/>
  <c r="S94" i="108"/>
  <c r="S15" i="108"/>
  <c r="S19" i="108"/>
  <c r="S43" i="108"/>
  <c r="S67" i="108"/>
  <c r="S91" i="108"/>
  <c r="S40" i="108"/>
  <c r="S44" i="108"/>
  <c r="S68" i="108"/>
  <c r="AQ7" i="108"/>
  <c r="AQ6" i="108"/>
  <c r="X141" i="102"/>
  <c r="X140" i="102"/>
  <c r="AC160" i="102"/>
  <c r="AD160" i="102" s="1"/>
  <c r="AE160" i="102" s="1"/>
  <c r="AF160" i="102" s="1"/>
  <c r="AG160" i="102" s="1"/>
  <c r="AH160" i="102" s="1"/>
  <c r="AI160" i="102" s="1"/>
  <c r="AJ160" i="102" s="1"/>
  <c r="AK160" i="102" s="1"/>
  <c r="AL160" i="102" s="1"/>
  <c r="AM160" i="102" s="1"/>
  <c r="X159" i="102"/>
  <c r="X160" i="102"/>
  <c r="X161" i="102"/>
  <c r="X162" i="102"/>
  <c r="X163" i="102"/>
  <c r="AC163" i="102"/>
  <c r="AD100" i="105"/>
  <c r="AD95" i="105"/>
  <c r="AD90" i="105"/>
  <c r="AD85" i="105"/>
  <c r="AD80" i="105"/>
  <c r="AD75" i="105"/>
  <c r="AD70" i="105"/>
  <c r="AD65" i="105"/>
  <c r="AD60" i="105"/>
  <c r="AD55" i="105"/>
  <c r="AD50" i="105"/>
  <c r="AD45" i="105"/>
  <c r="AD40" i="105"/>
  <c r="AD35" i="105"/>
  <c r="AD30" i="105"/>
  <c r="AD25" i="105"/>
  <c r="AD20" i="105"/>
  <c r="AD15" i="105"/>
  <c r="AD10" i="105"/>
  <c r="AD5" i="105"/>
  <c r="AB104" i="105"/>
  <c r="AB103" i="105"/>
  <c r="AA102" i="105"/>
  <c r="AA101" i="105"/>
  <c r="AB99" i="105"/>
  <c r="AB98" i="105"/>
  <c r="AA97" i="105"/>
  <c r="AA96" i="105"/>
  <c r="AB94" i="105"/>
  <c r="AB93" i="105"/>
  <c r="AA92" i="105"/>
  <c r="AA91" i="105"/>
  <c r="AB89" i="105"/>
  <c r="AB88" i="105"/>
  <c r="AA87" i="105"/>
  <c r="AA86" i="105"/>
  <c r="AB84" i="105"/>
  <c r="AB83" i="105"/>
  <c r="AA82" i="105"/>
  <c r="AA81" i="105"/>
  <c r="AB79" i="105"/>
  <c r="AB78" i="105"/>
  <c r="AA77" i="105"/>
  <c r="AA76" i="105"/>
  <c r="AB74" i="105"/>
  <c r="AB73" i="105"/>
  <c r="AA72" i="105"/>
  <c r="AA71" i="105"/>
  <c r="AB69" i="105"/>
  <c r="AB68" i="105"/>
  <c r="AA67" i="105"/>
  <c r="AA66" i="105"/>
  <c r="AB64" i="105"/>
  <c r="AB63" i="105"/>
  <c r="AA62" i="105"/>
  <c r="AA61" i="105"/>
  <c r="AB59" i="105"/>
  <c r="AB58" i="105"/>
  <c r="AA57" i="105"/>
  <c r="AA56" i="105"/>
  <c r="AB54" i="105"/>
  <c r="AB53" i="105"/>
  <c r="AA52" i="105"/>
  <c r="AA51" i="105"/>
  <c r="AB49" i="105"/>
  <c r="AB48" i="105"/>
  <c r="AA47" i="105"/>
  <c r="AA46" i="105"/>
  <c r="AB44" i="105"/>
  <c r="AB43" i="105"/>
  <c r="AA42" i="105"/>
  <c r="AA41" i="105"/>
  <c r="AB39" i="105"/>
  <c r="AB38" i="105"/>
  <c r="AA37" i="105"/>
  <c r="AA36" i="105"/>
  <c r="AB34" i="105"/>
  <c r="AB33" i="105"/>
  <c r="AA32" i="105"/>
  <c r="AA31" i="105"/>
  <c r="AB29" i="105"/>
  <c r="AB28" i="105"/>
  <c r="AA27" i="105"/>
  <c r="AA26" i="105"/>
  <c r="AB24" i="105"/>
  <c r="AB23" i="105"/>
  <c r="AA22" i="105"/>
  <c r="AA21" i="105"/>
  <c r="AB19" i="105"/>
  <c r="AB18" i="105"/>
  <c r="AA17" i="105"/>
  <c r="AA16" i="105"/>
  <c r="AB14" i="105"/>
  <c r="AB13" i="105"/>
  <c r="AA12" i="105"/>
  <c r="AA11" i="105"/>
  <c r="AB9" i="105"/>
  <c r="AB8" i="105"/>
  <c r="U104" i="105"/>
  <c r="U103" i="105"/>
  <c r="U102" i="105"/>
  <c r="U101" i="105"/>
  <c r="V100" i="105"/>
  <c r="U99" i="105"/>
  <c r="U98" i="105"/>
  <c r="U97" i="105"/>
  <c r="U96" i="105"/>
  <c r="V95" i="105"/>
  <c r="U94" i="105"/>
  <c r="U93" i="105"/>
  <c r="U92" i="105"/>
  <c r="U91" i="105"/>
  <c r="V90" i="105"/>
  <c r="U89" i="105"/>
  <c r="U88" i="105"/>
  <c r="U87" i="105"/>
  <c r="U86" i="105"/>
  <c r="V85" i="105"/>
  <c r="U84" i="105"/>
  <c r="U83" i="105"/>
  <c r="U82" i="105"/>
  <c r="U81" i="105"/>
  <c r="V80" i="105"/>
  <c r="U79" i="105"/>
  <c r="U78" i="105"/>
  <c r="U77" i="105"/>
  <c r="U76" i="105"/>
  <c r="V75" i="105"/>
  <c r="U74" i="105"/>
  <c r="U73" i="105"/>
  <c r="U72" i="105"/>
  <c r="U71" i="105"/>
  <c r="V70" i="105"/>
  <c r="U69" i="105"/>
  <c r="U68" i="105"/>
  <c r="U67" i="105"/>
  <c r="U66" i="105"/>
  <c r="V65" i="105"/>
  <c r="U64" i="105"/>
  <c r="U63" i="105"/>
  <c r="U62" i="105"/>
  <c r="U61" i="105"/>
  <c r="V60" i="105"/>
  <c r="U59" i="105"/>
  <c r="U58" i="105"/>
  <c r="U57" i="105"/>
  <c r="U56" i="105"/>
  <c r="V55" i="105"/>
  <c r="U54" i="105"/>
  <c r="U53" i="105"/>
  <c r="U52" i="105"/>
  <c r="U51" i="105"/>
  <c r="V50" i="105"/>
  <c r="U49" i="105"/>
  <c r="U48" i="105"/>
  <c r="U47" i="105"/>
  <c r="U46" i="105"/>
  <c r="V45" i="105"/>
  <c r="U44" i="105"/>
  <c r="U43" i="105"/>
  <c r="U42" i="105"/>
  <c r="U41" i="105"/>
  <c r="V40" i="105"/>
  <c r="U39" i="105"/>
  <c r="U38" i="105"/>
  <c r="U37" i="105"/>
  <c r="U36" i="105"/>
  <c r="V35" i="105"/>
  <c r="U34" i="105"/>
  <c r="U33" i="105"/>
  <c r="U32" i="105"/>
  <c r="U31" i="105"/>
  <c r="V30" i="105"/>
  <c r="U29" i="105"/>
  <c r="U28" i="105"/>
  <c r="U27" i="105"/>
  <c r="V25" i="105"/>
  <c r="U24" i="105"/>
  <c r="U23" i="105"/>
  <c r="U22" i="105"/>
  <c r="V20" i="105"/>
  <c r="U19" i="105"/>
  <c r="U18" i="105"/>
  <c r="U17" i="105"/>
  <c r="V15" i="105"/>
  <c r="U14" i="105"/>
  <c r="U13" i="105"/>
  <c r="U12" i="105"/>
  <c r="V10" i="105"/>
  <c r="AA7" i="105"/>
  <c r="AA6" i="105"/>
  <c r="U9" i="105"/>
  <c r="U8" i="105"/>
  <c r="U7" i="105"/>
  <c r="V5" i="105"/>
  <c r="P6" i="105"/>
  <c r="P7" i="105"/>
  <c r="P8" i="105"/>
  <c r="P9" i="105"/>
  <c r="P10" i="105"/>
  <c r="P11" i="105"/>
  <c r="P12" i="105"/>
  <c r="P13" i="105"/>
  <c r="P14" i="105"/>
  <c r="P15" i="105"/>
  <c r="P16" i="105"/>
  <c r="P17" i="105"/>
  <c r="P18" i="105"/>
  <c r="P19" i="105"/>
  <c r="P20" i="105"/>
  <c r="P21" i="105"/>
  <c r="P22" i="105"/>
  <c r="P23" i="105"/>
  <c r="P24" i="105"/>
  <c r="P25" i="105"/>
  <c r="P26" i="105"/>
  <c r="P27" i="105"/>
  <c r="P28" i="105"/>
  <c r="P29" i="105"/>
  <c r="P30" i="105"/>
  <c r="P31" i="105"/>
  <c r="P32" i="105"/>
  <c r="P33" i="105"/>
  <c r="P34" i="105"/>
  <c r="P35" i="105"/>
  <c r="P36" i="105"/>
  <c r="P37" i="105"/>
  <c r="P38" i="105"/>
  <c r="P39" i="105"/>
  <c r="P40" i="105"/>
  <c r="P41" i="105"/>
  <c r="P42" i="105"/>
  <c r="P43" i="105"/>
  <c r="P44" i="105"/>
  <c r="P45" i="105"/>
  <c r="P46" i="105"/>
  <c r="P47" i="105"/>
  <c r="P48" i="105"/>
  <c r="P49" i="105"/>
  <c r="P50" i="105"/>
  <c r="P51" i="105"/>
  <c r="P52" i="105"/>
  <c r="P53" i="105"/>
  <c r="P54" i="105"/>
  <c r="P55" i="105"/>
  <c r="P56" i="105"/>
  <c r="P57" i="105"/>
  <c r="P58" i="105"/>
  <c r="P59" i="105"/>
  <c r="P60" i="105"/>
  <c r="P61" i="105"/>
  <c r="P62" i="105"/>
  <c r="P63" i="105"/>
  <c r="P64" i="105"/>
  <c r="P65" i="105"/>
  <c r="P66" i="105"/>
  <c r="P67" i="105"/>
  <c r="P68" i="105"/>
  <c r="P69" i="105"/>
  <c r="P70" i="105"/>
  <c r="P71" i="105"/>
  <c r="P72" i="105"/>
  <c r="P73" i="105"/>
  <c r="P74" i="105"/>
  <c r="P75" i="105"/>
  <c r="P76" i="105"/>
  <c r="P77" i="105"/>
  <c r="P78" i="105"/>
  <c r="P79" i="105"/>
  <c r="P80" i="105"/>
  <c r="P81" i="105"/>
  <c r="P82" i="105"/>
  <c r="P83" i="105"/>
  <c r="P84" i="105"/>
  <c r="P85" i="105"/>
  <c r="P86" i="105"/>
  <c r="P87" i="105"/>
  <c r="P88" i="105"/>
  <c r="P89" i="105"/>
  <c r="P90" i="105"/>
  <c r="P91" i="105"/>
  <c r="P92" i="105"/>
  <c r="P93" i="105"/>
  <c r="P94" i="105"/>
  <c r="P95" i="105"/>
  <c r="P96" i="105"/>
  <c r="P97" i="105"/>
  <c r="P98" i="105"/>
  <c r="P99" i="105"/>
  <c r="P100" i="105"/>
  <c r="P101" i="105"/>
  <c r="P102" i="105"/>
  <c r="P103" i="105"/>
  <c r="P104" i="105"/>
  <c r="P5" i="105"/>
  <c r="H5" i="105"/>
  <c r="AC17" i="102"/>
  <c r="AM40" i="102"/>
  <c r="AL40" i="102"/>
  <c r="AK40" i="102"/>
  <c r="AJ40" i="102"/>
  <c r="AI40" i="102"/>
  <c r="AH40" i="102"/>
  <c r="AG40" i="102"/>
  <c r="AF40" i="102"/>
  <c r="AE40" i="102"/>
  <c r="AD40" i="102"/>
  <c r="AC40" i="102"/>
  <c r="AM39" i="102"/>
  <c r="AL39" i="102"/>
  <c r="AK39" i="102"/>
  <c r="AJ39" i="102"/>
  <c r="AI39" i="102"/>
  <c r="AH39" i="102"/>
  <c r="AG39" i="102"/>
  <c r="AF39" i="102"/>
  <c r="AE39" i="102"/>
  <c r="AD39" i="102"/>
  <c r="AC39" i="102"/>
  <c r="AM38" i="102"/>
  <c r="AL38" i="102"/>
  <c r="AK38" i="102"/>
  <c r="AJ38" i="102"/>
  <c r="AI38" i="102"/>
  <c r="AH38" i="102"/>
  <c r="AG38" i="102"/>
  <c r="AF38" i="102"/>
  <c r="AE38" i="102"/>
  <c r="AD38" i="102"/>
  <c r="AC38" i="102"/>
  <c r="AM37" i="102"/>
  <c r="AL37" i="102"/>
  <c r="AK37" i="102"/>
  <c r="AJ37" i="102"/>
  <c r="AI37" i="102"/>
  <c r="AH37" i="102"/>
  <c r="AG37" i="102"/>
  <c r="AF37" i="102"/>
  <c r="AE37" i="102"/>
  <c r="AD37" i="102"/>
  <c r="AC37" i="102"/>
  <c r="P91" i="104"/>
  <c r="O91" i="104"/>
  <c r="N91" i="104"/>
  <c r="M91" i="104"/>
  <c r="L91" i="104"/>
  <c r="K91" i="104"/>
  <c r="J91" i="104"/>
  <c r="I91" i="104"/>
  <c r="H91" i="104"/>
  <c r="G91" i="104"/>
  <c r="F91" i="104"/>
  <c r="P90" i="104"/>
  <c r="O90" i="104"/>
  <c r="N90" i="104"/>
  <c r="M90" i="104"/>
  <c r="L90" i="104"/>
  <c r="K90" i="104"/>
  <c r="J90" i="104"/>
  <c r="I90" i="104"/>
  <c r="H90" i="104"/>
  <c r="G90" i="104"/>
  <c r="F90" i="104"/>
  <c r="P89" i="104"/>
  <c r="O89" i="104"/>
  <c r="N89" i="104"/>
  <c r="M89" i="104"/>
  <c r="L89" i="104"/>
  <c r="K89" i="104"/>
  <c r="J89" i="104"/>
  <c r="I89" i="104"/>
  <c r="H89" i="104"/>
  <c r="G89" i="104"/>
  <c r="F89" i="104"/>
  <c r="P88" i="104"/>
  <c r="O88" i="104"/>
  <c r="N88" i="104"/>
  <c r="M88" i="104"/>
  <c r="L88" i="104"/>
  <c r="K88" i="104"/>
  <c r="J88" i="104"/>
  <c r="I88" i="104"/>
  <c r="H88" i="104"/>
  <c r="G88" i="104"/>
  <c r="F88" i="104"/>
  <c r="P87" i="104"/>
  <c r="O87" i="104"/>
  <c r="N87" i="104"/>
  <c r="M87" i="104"/>
  <c r="L87" i="104"/>
  <c r="K87" i="104"/>
  <c r="J87" i="104"/>
  <c r="I87" i="104"/>
  <c r="H87" i="104"/>
  <c r="G87" i="104"/>
  <c r="F87" i="104"/>
  <c r="P86" i="104"/>
  <c r="O86" i="104"/>
  <c r="N86" i="104"/>
  <c r="M86" i="104"/>
  <c r="L86" i="104"/>
  <c r="K86" i="104"/>
  <c r="J86" i="104"/>
  <c r="I86" i="104"/>
  <c r="H86" i="104"/>
  <c r="G86" i="104"/>
  <c r="F86" i="104"/>
  <c r="P85" i="104"/>
  <c r="O85" i="104"/>
  <c r="N85" i="104"/>
  <c r="M85" i="104"/>
  <c r="L85" i="104"/>
  <c r="K85" i="104"/>
  <c r="J85" i="104"/>
  <c r="I85" i="104"/>
  <c r="H85" i="104"/>
  <c r="G85" i="104"/>
  <c r="F85" i="104"/>
  <c r="P84" i="104"/>
  <c r="O84" i="104"/>
  <c r="N84" i="104"/>
  <c r="M84" i="104"/>
  <c r="L84" i="104"/>
  <c r="K84" i="104"/>
  <c r="J84" i="104"/>
  <c r="I84" i="104"/>
  <c r="H84" i="104"/>
  <c r="G84" i="104"/>
  <c r="F84" i="104"/>
  <c r="P83" i="104"/>
  <c r="O83" i="104"/>
  <c r="N83" i="104"/>
  <c r="M83" i="104"/>
  <c r="L83" i="104"/>
  <c r="K83" i="104"/>
  <c r="J83" i="104"/>
  <c r="I83" i="104"/>
  <c r="H83" i="104"/>
  <c r="G83" i="104"/>
  <c r="F83" i="104"/>
  <c r="P82" i="104"/>
  <c r="O82" i="104"/>
  <c r="N82" i="104"/>
  <c r="M82" i="104"/>
  <c r="L82" i="104"/>
  <c r="K82" i="104"/>
  <c r="J82" i="104"/>
  <c r="I82" i="104"/>
  <c r="H82" i="104"/>
  <c r="G82" i="104"/>
  <c r="F82" i="104"/>
  <c r="P81" i="104"/>
  <c r="O81" i="104"/>
  <c r="N81" i="104"/>
  <c r="M81" i="104"/>
  <c r="L81" i="104"/>
  <c r="K81" i="104"/>
  <c r="J81" i="104"/>
  <c r="I81" i="104"/>
  <c r="H81" i="104"/>
  <c r="G81" i="104"/>
  <c r="F81" i="104"/>
  <c r="P80" i="104"/>
  <c r="O80" i="104"/>
  <c r="N80" i="104"/>
  <c r="M80" i="104"/>
  <c r="L80" i="104"/>
  <c r="K80" i="104"/>
  <c r="J80" i="104"/>
  <c r="I80" i="104"/>
  <c r="H80" i="104"/>
  <c r="G80" i="104"/>
  <c r="F80" i="104"/>
  <c r="P79" i="104"/>
  <c r="O79" i="104"/>
  <c r="N79" i="104"/>
  <c r="M79" i="104"/>
  <c r="L79" i="104"/>
  <c r="K79" i="104"/>
  <c r="J79" i="104"/>
  <c r="I79" i="104"/>
  <c r="H79" i="104"/>
  <c r="G79" i="104"/>
  <c r="F79" i="104"/>
  <c r="P78" i="104"/>
  <c r="O78" i="104"/>
  <c r="N78" i="104"/>
  <c r="M78" i="104"/>
  <c r="L78" i="104"/>
  <c r="K78" i="104"/>
  <c r="J78" i="104"/>
  <c r="I78" i="104"/>
  <c r="H78" i="104"/>
  <c r="G78" i="104"/>
  <c r="F78" i="104"/>
  <c r="P77" i="104"/>
  <c r="O77" i="104"/>
  <c r="N77" i="104"/>
  <c r="M77" i="104"/>
  <c r="L77" i="104"/>
  <c r="K77" i="104"/>
  <c r="J77" i="104"/>
  <c r="I77" i="104"/>
  <c r="H77" i="104"/>
  <c r="G77" i="104"/>
  <c r="F77" i="104"/>
  <c r="P76" i="104"/>
  <c r="O76" i="104"/>
  <c r="N76" i="104"/>
  <c r="M76" i="104"/>
  <c r="L76" i="104"/>
  <c r="K76" i="104"/>
  <c r="J76" i="104"/>
  <c r="I76" i="104"/>
  <c r="H76" i="104"/>
  <c r="G76" i="104"/>
  <c r="F76" i="104"/>
  <c r="P75" i="104"/>
  <c r="O75" i="104"/>
  <c r="N75" i="104"/>
  <c r="M75" i="104"/>
  <c r="L75" i="104"/>
  <c r="K75" i="104"/>
  <c r="J75" i="104"/>
  <c r="I75" i="104"/>
  <c r="H75" i="104"/>
  <c r="G75" i="104"/>
  <c r="F75" i="104"/>
  <c r="P74" i="104"/>
  <c r="O74" i="104"/>
  <c r="N74" i="104"/>
  <c r="M74" i="104"/>
  <c r="L74" i="104"/>
  <c r="K74" i="104"/>
  <c r="J74" i="104"/>
  <c r="I74" i="104"/>
  <c r="H74" i="104"/>
  <c r="G74" i="104"/>
  <c r="F74" i="104"/>
  <c r="P73" i="104"/>
  <c r="O73" i="104"/>
  <c r="N73" i="104"/>
  <c r="M73" i="104"/>
  <c r="L73" i="104"/>
  <c r="K73" i="104"/>
  <c r="J73" i="104"/>
  <c r="I73" i="104"/>
  <c r="H73" i="104"/>
  <c r="G73" i="104"/>
  <c r="F73" i="104"/>
  <c r="P72" i="104"/>
  <c r="O72" i="104"/>
  <c r="N72" i="104"/>
  <c r="M72" i="104"/>
  <c r="L72" i="104"/>
  <c r="K72" i="104"/>
  <c r="J72" i="104"/>
  <c r="I72" i="104"/>
  <c r="H72" i="104"/>
  <c r="G72" i="104"/>
  <c r="F72" i="104"/>
  <c r="P71" i="104"/>
  <c r="O71" i="104"/>
  <c r="N71" i="104"/>
  <c r="M71" i="104"/>
  <c r="L71" i="104"/>
  <c r="K71" i="104"/>
  <c r="J71" i="104"/>
  <c r="I71" i="104"/>
  <c r="H71" i="104"/>
  <c r="G71" i="104"/>
  <c r="F71" i="104"/>
  <c r="P70" i="104"/>
  <c r="O70" i="104"/>
  <c r="N70" i="104"/>
  <c r="M70" i="104"/>
  <c r="L70" i="104"/>
  <c r="K70" i="104"/>
  <c r="J70" i="104"/>
  <c r="I70" i="104"/>
  <c r="H70" i="104"/>
  <c r="G70" i="104"/>
  <c r="F70" i="104"/>
  <c r="P69" i="104"/>
  <c r="O69" i="104"/>
  <c r="N69" i="104"/>
  <c r="M69" i="104"/>
  <c r="L69" i="104"/>
  <c r="K69" i="104"/>
  <c r="J69" i="104"/>
  <c r="I69" i="104"/>
  <c r="H69" i="104"/>
  <c r="G69" i="104"/>
  <c r="F69" i="104"/>
  <c r="P68" i="104"/>
  <c r="O68" i="104"/>
  <c r="N68" i="104"/>
  <c r="M68" i="104"/>
  <c r="L68" i="104"/>
  <c r="K68" i="104"/>
  <c r="J68" i="104"/>
  <c r="I68" i="104"/>
  <c r="H68" i="104"/>
  <c r="G68" i="104"/>
  <c r="F68" i="104"/>
  <c r="P67" i="104"/>
  <c r="O67" i="104"/>
  <c r="N67" i="104"/>
  <c r="M67" i="104"/>
  <c r="L67" i="104"/>
  <c r="K67" i="104"/>
  <c r="J67" i="104"/>
  <c r="I67" i="104"/>
  <c r="H67" i="104"/>
  <c r="G67" i="104"/>
  <c r="F67" i="104"/>
  <c r="P66" i="104"/>
  <c r="O66" i="104"/>
  <c r="N66" i="104"/>
  <c r="M66" i="104"/>
  <c r="L66" i="104"/>
  <c r="K66" i="104"/>
  <c r="J66" i="104"/>
  <c r="I66" i="104"/>
  <c r="H66" i="104"/>
  <c r="G66" i="104"/>
  <c r="F66" i="104"/>
  <c r="P65" i="104"/>
  <c r="O65" i="104"/>
  <c r="N65" i="104"/>
  <c r="M65" i="104"/>
  <c r="L65" i="104"/>
  <c r="K65" i="104"/>
  <c r="J65" i="104"/>
  <c r="I65" i="104"/>
  <c r="H65" i="104"/>
  <c r="G65" i="104"/>
  <c r="F65" i="104"/>
  <c r="P64" i="104"/>
  <c r="O64" i="104"/>
  <c r="N64" i="104"/>
  <c r="M64" i="104"/>
  <c r="L64" i="104"/>
  <c r="K64" i="104"/>
  <c r="J64" i="104"/>
  <c r="I64" i="104"/>
  <c r="H64" i="104"/>
  <c r="G64" i="104"/>
  <c r="F64" i="104"/>
  <c r="P63" i="104"/>
  <c r="O63" i="104"/>
  <c r="N63" i="104"/>
  <c r="M63" i="104"/>
  <c r="L63" i="104"/>
  <c r="K63" i="104"/>
  <c r="J63" i="104"/>
  <c r="I63" i="104"/>
  <c r="H63" i="104"/>
  <c r="G63" i="104"/>
  <c r="F63" i="104"/>
  <c r="P62" i="104"/>
  <c r="O62" i="104"/>
  <c r="N62" i="104"/>
  <c r="M62" i="104"/>
  <c r="L62" i="104"/>
  <c r="K62" i="104"/>
  <c r="J62" i="104"/>
  <c r="I62" i="104"/>
  <c r="H62" i="104"/>
  <c r="G62" i="104"/>
  <c r="F62" i="104"/>
  <c r="P61" i="104"/>
  <c r="O61" i="104"/>
  <c r="N61" i="104"/>
  <c r="M61" i="104"/>
  <c r="L61" i="104"/>
  <c r="K61" i="104"/>
  <c r="J61" i="104"/>
  <c r="I61" i="104"/>
  <c r="H61" i="104"/>
  <c r="G61" i="104"/>
  <c r="F61" i="104"/>
  <c r="P60" i="104"/>
  <c r="O60" i="104"/>
  <c r="N60" i="104"/>
  <c r="M60" i="104"/>
  <c r="L60" i="104"/>
  <c r="K60" i="104"/>
  <c r="J60" i="104"/>
  <c r="I60" i="104"/>
  <c r="H60" i="104"/>
  <c r="G60" i="104"/>
  <c r="F60" i="104"/>
  <c r="P59" i="104"/>
  <c r="O59" i="104"/>
  <c r="N59" i="104"/>
  <c r="M59" i="104"/>
  <c r="L59" i="104"/>
  <c r="K59" i="104"/>
  <c r="J59" i="104"/>
  <c r="I59" i="104"/>
  <c r="H59" i="104"/>
  <c r="G59" i="104"/>
  <c r="F59" i="104"/>
  <c r="P58" i="104"/>
  <c r="O58" i="104"/>
  <c r="N58" i="104"/>
  <c r="M58" i="104"/>
  <c r="L58" i="104"/>
  <c r="K58" i="104"/>
  <c r="J58" i="104"/>
  <c r="I58" i="104"/>
  <c r="H58" i="104"/>
  <c r="G58" i="104"/>
  <c r="F58" i="104"/>
  <c r="P57" i="104"/>
  <c r="O57" i="104"/>
  <c r="N57" i="104"/>
  <c r="M57" i="104"/>
  <c r="L57" i="104"/>
  <c r="K57" i="104"/>
  <c r="J57" i="104"/>
  <c r="I57" i="104"/>
  <c r="H57" i="104"/>
  <c r="G57" i="104"/>
  <c r="F57" i="104"/>
  <c r="P56" i="104"/>
  <c r="O56" i="104"/>
  <c r="N56" i="104"/>
  <c r="M56" i="104"/>
  <c r="L56" i="104"/>
  <c r="K56" i="104"/>
  <c r="J56" i="104"/>
  <c r="I56" i="104"/>
  <c r="H56" i="104"/>
  <c r="G56" i="104"/>
  <c r="F56" i="104"/>
  <c r="P55" i="104"/>
  <c r="O55" i="104"/>
  <c r="N55" i="104"/>
  <c r="M55" i="104"/>
  <c r="L55" i="104"/>
  <c r="K55" i="104"/>
  <c r="J55" i="104"/>
  <c r="I55" i="104"/>
  <c r="H55" i="104"/>
  <c r="G55" i="104"/>
  <c r="F55" i="104"/>
  <c r="P54" i="104"/>
  <c r="O54" i="104"/>
  <c r="N54" i="104"/>
  <c r="M54" i="104"/>
  <c r="L54" i="104"/>
  <c r="K54" i="104"/>
  <c r="J54" i="104"/>
  <c r="I54" i="104"/>
  <c r="H54" i="104"/>
  <c r="G54" i="104"/>
  <c r="F54" i="104"/>
  <c r="P53" i="104"/>
  <c r="O53" i="104"/>
  <c r="N53" i="104"/>
  <c r="M53" i="104"/>
  <c r="L53" i="104"/>
  <c r="K53" i="104"/>
  <c r="J53" i="104"/>
  <c r="I53" i="104"/>
  <c r="H53" i="104"/>
  <c r="G53" i="104"/>
  <c r="F53" i="104"/>
  <c r="P52" i="104"/>
  <c r="O52" i="104"/>
  <c r="N52" i="104"/>
  <c r="M52" i="104"/>
  <c r="L52" i="104"/>
  <c r="K52" i="104"/>
  <c r="J52" i="104"/>
  <c r="I52" i="104"/>
  <c r="H52" i="104"/>
  <c r="G52" i="104"/>
  <c r="F52" i="104"/>
  <c r="P51" i="104"/>
  <c r="O51" i="104"/>
  <c r="N51" i="104"/>
  <c r="M51" i="104"/>
  <c r="L51" i="104"/>
  <c r="K51" i="104"/>
  <c r="J51" i="104"/>
  <c r="I51" i="104"/>
  <c r="H51" i="104"/>
  <c r="G51" i="104"/>
  <c r="F51" i="104"/>
  <c r="P50" i="104"/>
  <c r="O50" i="104"/>
  <c r="N50" i="104"/>
  <c r="M50" i="104"/>
  <c r="L50" i="104"/>
  <c r="K50" i="104"/>
  <c r="J50" i="104"/>
  <c r="I50" i="104"/>
  <c r="H50" i="104"/>
  <c r="G50" i="104"/>
  <c r="F50" i="104"/>
  <c r="P49" i="104"/>
  <c r="O49" i="104"/>
  <c r="N49" i="104"/>
  <c r="M49" i="104"/>
  <c r="L49" i="104"/>
  <c r="K49" i="104"/>
  <c r="J49" i="104"/>
  <c r="I49" i="104"/>
  <c r="H49" i="104"/>
  <c r="G49" i="104"/>
  <c r="F49" i="104"/>
  <c r="P48" i="104"/>
  <c r="O48" i="104"/>
  <c r="N48" i="104"/>
  <c r="M48" i="104"/>
  <c r="L48" i="104"/>
  <c r="K48" i="104"/>
  <c r="J48" i="104"/>
  <c r="I48" i="104"/>
  <c r="H48" i="104"/>
  <c r="G48" i="104"/>
  <c r="F48" i="104"/>
  <c r="P47" i="104"/>
  <c r="O47" i="104"/>
  <c r="N47" i="104"/>
  <c r="M47" i="104"/>
  <c r="L47" i="104"/>
  <c r="K47" i="104"/>
  <c r="J47" i="104"/>
  <c r="I47" i="104"/>
  <c r="H47" i="104"/>
  <c r="G47" i="104"/>
  <c r="F47" i="104"/>
  <c r="P46" i="104"/>
  <c r="O46" i="104"/>
  <c r="N46" i="104"/>
  <c r="M46" i="104"/>
  <c r="L46" i="104"/>
  <c r="K46" i="104"/>
  <c r="J46" i="104"/>
  <c r="I46" i="104"/>
  <c r="H46" i="104"/>
  <c r="G46" i="104"/>
  <c r="F46" i="104"/>
  <c r="P45" i="104"/>
  <c r="O45" i="104"/>
  <c r="N45" i="104"/>
  <c r="M45" i="104"/>
  <c r="L45" i="104"/>
  <c r="K45" i="104"/>
  <c r="J45" i="104"/>
  <c r="I45" i="104"/>
  <c r="H45" i="104"/>
  <c r="G45" i="104"/>
  <c r="F45" i="104"/>
  <c r="P44" i="104"/>
  <c r="O44" i="104"/>
  <c r="N44" i="104"/>
  <c r="M44" i="104"/>
  <c r="L44" i="104"/>
  <c r="K44" i="104"/>
  <c r="J44" i="104"/>
  <c r="I44" i="104"/>
  <c r="H44" i="104"/>
  <c r="G44" i="104"/>
  <c r="F44" i="104"/>
  <c r="P43" i="104"/>
  <c r="O43" i="104"/>
  <c r="N43" i="104"/>
  <c r="M43" i="104"/>
  <c r="L43" i="104"/>
  <c r="K43" i="104"/>
  <c r="J43" i="104"/>
  <c r="I43" i="104"/>
  <c r="H43" i="104"/>
  <c r="G43" i="104"/>
  <c r="F43" i="104"/>
  <c r="P42" i="104"/>
  <c r="O42" i="104"/>
  <c r="N42" i="104"/>
  <c r="M42" i="104"/>
  <c r="L42" i="104"/>
  <c r="K42" i="104"/>
  <c r="J42" i="104"/>
  <c r="I42" i="104"/>
  <c r="H42" i="104"/>
  <c r="G42" i="104"/>
  <c r="F42" i="104"/>
  <c r="P41" i="104"/>
  <c r="O41" i="104"/>
  <c r="N41" i="104"/>
  <c r="M41" i="104"/>
  <c r="L41" i="104"/>
  <c r="K41" i="104"/>
  <c r="J41" i="104"/>
  <c r="I41" i="104"/>
  <c r="H41" i="104"/>
  <c r="G41" i="104"/>
  <c r="F41" i="104"/>
  <c r="P40" i="104"/>
  <c r="O40" i="104"/>
  <c r="N40" i="104"/>
  <c r="M40" i="104"/>
  <c r="L40" i="104"/>
  <c r="K40" i="104"/>
  <c r="J40" i="104"/>
  <c r="I40" i="104"/>
  <c r="H40" i="104"/>
  <c r="G40" i="104"/>
  <c r="F40" i="104"/>
  <c r="P39" i="104"/>
  <c r="O39" i="104"/>
  <c r="N39" i="104"/>
  <c r="M39" i="104"/>
  <c r="L39" i="104"/>
  <c r="K39" i="104"/>
  <c r="J39" i="104"/>
  <c r="I39" i="104"/>
  <c r="H39" i="104"/>
  <c r="G39" i="104"/>
  <c r="F39" i="104"/>
  <c r="P38" i="104"/>
  <c r="O38" i="104"/>
  <c r="N38" i="104"/>
  <c r="M38" i="104"/>
  <c r="L38" i="104"/>
  <c r="K38" i="104"/>
  <c r="J38" i="104"/>
  <c r="I38" i="104"/>
  <c r="H38" i="104"/>
  <c r="G38" i="104"/>
  <c r="F38" i="104"/>
  <c r="P37" i="104"/>
  <c r="O37" i="104"/>
  <c r="N37" i="104"/>
  <c r="M37" i="104"/>
  <c r="L37" i="104"/>
  <c r="K37" i="104"/>
  <c r="J37" i="104"/>
  <c r="I37" i="104"/>
  <c r="H37" i="104"/>
  <c r="G37" i="104"/>
  <c r="F37" i="104"/>
  <c r="P36" i="104"/>
  <c r="O36" i="104"/>
  <c r="N36" i="104"/>
  <c r="M36" i="104"/>
  <c r="L36" i="104"/>
  <c r="K36" i="104"/>
  <c r="J36" i="104"/>
  <c r="I36" i="104"/>
  <c r="H36" i="104"/>
  <c r="G36" i="104"/>
  <c r="F36" i="104"/>
  <c r="X40" i="102"/>
  <c r="X39" i="102"/>
  <c r="X38" i="102"/>
  <c r="X37" i="102"/>
  <c r="X48" i="102"/>
  <c r="X47" i="102"/>
  <c r="X46" i="102"/>
  <c r="X45" i="102"/>
  <c r="X44" i="102"/>
  <c r="X43" i="102"/>
  <c r="X42" i="102"/>
  <c r="X41" i="102"/>
  <c r="X388" i="102"/>
  <c r="X387" i="102"/>
  <c r="X386" i="102"/>
  <c r="X385" i="102"/>
  <c r="X384" i="102"/>
  <c r="X383" i="102"/>
  <c r="X382" i="102"/>
  <c r="X381" i="102"/>
  <c r="X380" i="102"/>
  <c r="X379" i="102"/>
  <c r="X378" i="102"/>
  <c r="X377" i="102"/>
  <c r="X376" i="102"/>
  <c r="X375" i="102"/>
  <c r="X374" i="102"/>
  <c r="X373" i="102"/>
  <c r="X372" i="102"/>
  <c r="X371" i="102"/>
  <c r="X370" i="102"/>
  <c r="X369" i="102"/>
  <c r="X368" i="102"/>
  <c r="X367" i="102"/>
  <c r="X366" i="102"/>
  <c r="X365" i="102"/>
  <c r="X364" i="102"/>
  <c r="X363" i="102"/>
  <c r="X362" i="102"/>
  <c r="X361" i="102"/>
  <c r="X360" i="102"/>
  <c r="X359" i="102"/>
  <c r="X358" i="102"/>
  <c r="X357" i="102"/>
  <c r="X356" i="102"/>
  <c r="X355" i="102"/>
  <c r="X354" i="102"/>
  <c r="X353" i="102"/>
  <c r="X352" i="102"/>
  <c r="X351" i="102"/>
  <c r="X350" i="102"/>
  <c r="X349" i="102"/>
  <c r="X348" i="102"/>
  <c r="X347" i="102"/>
  <c r="X346" i="102"/>
  <c r="X345" i="102"/>
  <c r="X344" i="102"/>
  <c r="X343" i="102"/>
  <c r="X342" i="102"/>
  <c r="X341" i="102"/>
  <c r="X340" i="102"/>
  <c r="X339" i="102"/>
  <c r="X338" i="102"/>
  <c r="X337" i="102"/>
  <c r="X336" i="102"/>
  <c r="X335" i="102"/>
  <c r="X334" i="102"/>
  <c r="X333" i="102"/>
  <c r="X332" i="102"/>
  <c r="X331" i="102"/>
  <c r="X330" i="102"/>
  <c r="X329" i="102"/>
  <c r="X328" i="102"/>
  <c r="X327" i="102"/>
  <c r="X326" i="102"/>
  <c r="X325" i="102"/>
  <c r="X324" i="102"/>
  <c r="X323" i="102"/>
  <c r="X322" i="102"/>
  <c r="X321" i="102"/>
  <c r="X320" i="102"/>
  <c r="X319" i="102"/>
  <c r="X318" i="102"/>
  <c r="X317" i="102"/>
  <c r="X316" i="102"/>
  <c r="X315" i="102"/>
  <c r="X314" i="102"/>
  <c r="X313" i="102"/>
  <c r="X312" i="102"/>
  <c r="X311" i="102"/>
  <c r="X310" i="102"/>
  <c r="X309" i="102"/>
  <c r="X308" i="102"/>
  <c r="X307" i="102"/>
  <c r="X306" i="102"/>
  <c r="X305" i="102"/>
  <c r="X304" i="102"/>
  <c r="X303" i="102"/>
  <c r="X302" i="102"/>
  <c r="X301" i="102"/>
  <c r="X300" i="102"/>
  <c r="X299" i="102"/>
  <c r="X298" i="102"/>
  <c r="X297" i="102"/>
  <c r="X296" i="102"/>
  <c r="X295" i="102"/>
  <c r="X294" i="102"/>
  <c r="X293" i="102"/>
  <c r="X292" i="102"/>
  <c r="X291" i="102"/>
  <c r="X290" i="102"/>
  <c r="X289" i="102"/>
  <c r="X288" i="102"/>
  <c r="X287" i="102"/>
  <c r="X286" i="102"/>
  <c r="X285" i="102"/>
  <c r="X284" i="102"/>
  <c r="X283" i="102"/>
  <c r="X282" i="102"/>
  <c r="X281" i="102"/>
  <c r="X280" i="102"/>
  <c r="X279" i="102"/>
  <c r="X278" i="102"/>
  <c r="X277" i="102"/>
  <c r="X276" i="102"/>
  <c r="X275" i="102"/>
  <c r="X274" i="102"/>
  <c r="X273" i="102"/>
  <c r="X272" i="102"/>
  <c r="X271" i="102"/>
  <c r="X270" i="102"/>
  <c r="X269" i="102"/>
  <c r="X268" i="102"/>
  <c r="X267" i="102"/>
  <c r="X266" i="102"/>
  <c r="X265" i="102"/>
  <c r="X264" i="102"/>
  <c r="AC359" i="102"/>
  <c r="AC353" i="102"/>
  <c r="AC345" i="102"/>
  <c r="AC188" i="102"/>
  <c r="AX12" i="108" s="1"/>
  <c r="AC201" i="102"/>
  <c r="AX13" i="108" s="1"/>
  <c r="O103" i="108" l="1"/>
  <c r="O79" i="108"/>
  <c r="O75" i="108"/>
  <c r="O51" i="108"/>
  <c r="O27" i="108"/>
  <c r="O102" i="108"/>
  <c r="O78" i="108"/>
  <c r="O54" i="108"/>
  <c r="O50" i="108"/>
  <c r="O26" i="108"/>
  <c r="O101" i="108"/>
  <c r="O77" i="108"/>
  <c r="O53" i="108"/>
  <c r="O29" i="108"/>
  <c r="O25" i="108"/>
  <c r="O104" i="108"/>
  <c r="O100" i="108"/>
  <c r="O76" i="108"/>
  <c r="O52" i="108"/>
  <c r="O28" i="108"/>
  <c r="O91" i="108"/>
  <c r="O87" i="108"/>
  <c r="O83" i="108"/>
  <c r="O67" i="108"/>
  <c r="O63" i="108"/>
  <c r="O59" i="108"/>
  <c r="O55" i="108"/>
  <c r="O43" i="108"/>
  <c r="O39" i="108"/>
  <c r="O35" i="108"/>
  <c r="O31" i="108"/>
  <c r="O19" i="108"/>
  <c r="O15" i="108"/>
  <c r="O11" i="108"/>
  <c r="O7" i="108"/>
  <c r="O94" i="108"/>
  <c r="O90" i="108"/>
  <c r="O86" i="108"/>
  <c r="O82" i="108"/>
  <c r="O66" i="108"/>
  <c r="O62" i="108"/>
  <c r="O58" i="108"/>
  <c r="O42" i="108"/>
  <c r="O38" i="108"/>
  <c r="O34" i="108"/>
  <c r="O30" i="108"/>
  <c r="O18" i="108"/>
  <c r="O14" i="108"/>
  <c r="O10" i="108"/>
  <c r="O6" i="108"/>
  <c r="O93" i="108"/>
  <c r="O89" i="108"/>
  <c r="O85" i="108"/>
  <c r="O81" i="108"/>
  <c r="O69" i="108"/>
  <c r="O65" i="108"/>
  <c r="O61" i="108"/>
  <c r="O57" i="108"/>
  <c r="O41" i="108"/>
  <c r="O37" i="108"/>
  <c r="O33" i="108"/>
  <c r="O17" i="108"/>
  <c r="O13" i="108"/>
  <c r="O9" i="108"/>
  <c r="O5" i="108"/>
  <c r="O92" i="108"/>
  <c r="O88" i="108"/>
  <c r="O84" i="108"/>
  <c r="O80" i="108"/>
  <c r="O68" i="108"/>
  <c r="O64" i="108"/>
  <c r="O60" i="108"/>
  <c r="O56" i="108"/>
  <c r="O44" i="108"/>
  <c r="O40" i="108"/>
  <c r="O36" i="108"/>
  <c r="O32" i="108"/>
  <c r="O16" i="108"/>
  <c r="O12" i="108"/>
  <c r="O8" i="108"/>
  <c r="O99" i="108"/>
  <c r="O95" i="108"/>
  <c r="O71" i="108"/>
  <c r="O47" i="108"/>
  <c r="O23" i="108"/>
  <c r="O98" i="108"/>
  <c r="O74" i="108"/>
  <c r="O70" i="108"/>
  <c r="O46" i="108"/>
  <c r="O22" i="108"/>
  <c r="O97" i="108"/>
  <c r="O73" i="108"/>
  <c r="O49" i="108"/>
  <c r="O45" i="108"/>
  <c r="O21" i="108"/>
  <c r="O96" i="108"/>
  <c r="O72" i="108"/>
  <c r="O48" i="108"/>
  <c r="O24" i="108"/>
  <c r="O20" i="108"/>
  <c r="AQ12" i="108"/>
  <c r="AO12" i="105"/>
  <c r="AH12" i="105" s="1"/>
  <c r="K28" i="105"/>
  <c r="K76" i="105"/>
  <c r="K28" i="108"/>
  <c r="K24" i="108"/>
  <c r="K20" i="108"/>
  <c r="K16" i="108"/>
  <c r="K12" i="108"/>
  <c r="K8" i="108"/>
  <c r="K27" i="108"/>
  <c r="K23" i="108"/>
  <c r="K19" i="108"/>
  <c r="K15" i="108"/>
  <c r="K11" i="108"/>
  <c r="K7" i="108"/>
  <c r="K25" i="108"/>
  <c r="K17" i="108"/>
  <c r="K9" i="108"/>
  <c r="K22" i="108"/>
  <c r="K14" i="108"/>
  <c r="K6" i="108"/>
  <c r="K29" i="108"/>
  <c r="K13" i="108"/>
  <c r="K26" i="108"/>
  <c r="K10" i="108"/>
  <c r="K21" i="108"/>
  <c r="K18" i="108"/>
  <c r="K5" i="108"/>
  <c r="K104" i="105"/>
  <c r="K76" i="108"/>
  <c r="K72" i="108"/>
  <c r="K68" i="108"/>
  <c r="K64" i="108"/>
  <c r="K60" i="108"/>
  <c r="K56" i="108"/>
  <c r="K79" i="108"/>
  <c r="K75" i="108"/>
  <c r="K71" i="108"/>
  <c r="K67" i="108"/>
  <c r="K63" i="108"/>
  <c r="K59" i="108"/>
  <c r="K55" i="108"/>
  <c r="K73" i="108"/>
  <c r="K65" i="108"/>
  <c r="K57" i="108"/>
  <c r="K78" i="108"/>
  <c r="K70" i="108"/>
  <c r="K62" i="108"/>
  <c r="K77" i="108"/>
  <c r="K61" i="108"/>
  <c r="K74" i="108"/>
  <c r="K58" i="108"/>
  <c r="K66" i="108"/>
  <c r="K69" i="108"/>
  <c r="AO13" i="105"/>
  <c r="AH13" i="105" s="1"/>
  <c r="AQ13" i="108"/>
  <c r="K104" i="108"/>
  <c r="K100" i="108"/>
  <c r="K96" i="108"/>
  <c r="K92" i="108"/>
  <c r="K88" i="108"/>
  <c r="K84" i="108"/>
  <c r="K80" i="108"/>
  <c r="K103" i="108"/>
  <c r="K99" i="108"/>
  <c r="K95" i="108"/>
  <c r="K91" i="108"/>
  <c r="K87" i="108"/>
  <c r="K83" i="108"/>
  <c r="K97" i="108"/>
  <c r="K89" i="108"/>
  <c r="K81" i="108"/>
  <c r="K102" i="108"/>
  <c r="K94" i="108"/>
  <c r="K86" i="108"/>
  <c r="K93" i="108"/>
  <c r="K90" i="108"/>
  <c r="K101" i="108"/>
  <c r="K98" i="108"/>
  <c r="K82" i="108"/>
  <c r="K85" i="108"/>
  <c r="K52" i="105"/>
  <c r="K52" i="108"/>
  <c r="K48" i="108"/>
  <c r="K44" i="108"/>
  <c r="K40" i="108"/>
  <c r="K36" i="108"/>
  <c r="K32" i="108"/>
  <c r="K51" i="108"/>
  <c r="K47" i="108"/>
  <c r="K43" i="108"/>
  <c r="K39" i="108"/>
  <c r="K35" i="108"/>
  <c r="K31" i="108"/>
  <c r="K49" i="108"/>
  <c r="K41" i="108"/>
  <c r="K33" i="108"/>
  <c r="K54" i="108"/>
  <c r="K46" i="108"/>
  <c r="K38" i="108"/>
  <c r="K30" i="108"/>
  <c r="K45" i="108"/>
  <c r="K42" i="108"/>
  <c r="K53" i="108"/>
  <c r="K50" i="108"/>
  <c r="K34" i="108"/>
  <c r="K37" i="108"/>
  <c r="K53" i="105"/>
  <c r="K37" i="105"/>
  <c r="K69" i="105"/>
  <c r="K41" i="105"/>
  <c r="K57" i="105"/>
  <c r="K73" i="105"/>
  <c r="K45" i="105"/>
  <c r="K61" i="105"/>
  <c r="K77" i="105"/>
  <c r="K33" i="105"/>
  <c r="K49" i="105"/>
  <c r="K65" i="105"/>
  <c r="K7" i="105"/>
  <c r="K15" i="105"/>
  <c r="K5" i="105"/>
  <c r="K9" i="105"/>
  <c r="K13" i="105"/>
  <c r="K17" i="105"/>
  <c r="K21" i="105"/>
  <c r="K25" i="105"/>
  <c r="K29" i="105"/>
  <c r="K81" i="105"/>
  <c r="K85" i="105"/>
  <c r="K89" i="105"/>
  <c r="K93" i="105"/>
  <c r="K97" i="105"/>
  <c r="K101" i="105"/>
  <c r="K6" i="105"/>
  <c r="K10" i="105"/>
  <c r="K14" i="105"/>
  <c r="K18" i="105"/>
  <c r="K22" i="105"/>
  <c r="K26" i="105"/>
  <c r="K30" i="105"/>
  <c r="K34" i="105"/>
  <c r="K38" i="105"/>
  <c r="K42" i="105"/>
  <c r="K46" i="105"/>
  <c r="K50" i="105"/>
  <c r="K54" i="105"/>
  <c r="K58" i="105"/>
  <c r="K62" i="105"/>
  <c r="K66" i="105"/>
  <c r="K70" i="105"/>
  <c r="K74" i="105"/>
  <c r="K78" i="105"/>
  <c r="K82" i="105"/>
  <c r="K86" i="105"/>
  <c r="K90" i="105"/>
  <c r="K94" i="105"/>
  <c r="K98" i="105"/>
  <c r="K102" i="105"/>
  <c r="K19" i="105"/>
  <c r="K23" i="105"/>
  <c r="K27" i="105"/>
  <c r="K31" i="105"/>
  <c r="K35" i="105"/>
  <c r="K39" i="105"/>
  <c r="K43" i="105"/>
  <c r="K47" i="105"/>
  <c r="K51" i="105"/>
  <c r="K55" i="105"/>
  <c r="K59" i="105"/>
  <c r="K63" i="105"/>
  <c r="K67" i="105"/>
  <c r="K71" i="105"/>
  <c r="K75" i="105"/>
  <c r="K79" i="105"/>
  <c r="K83" i="105"/>
  <c r="K87" i="105"/>
  <c r="K91" i="105"/>
  <c r="K95" i="105"/>
  <c r="K99" i="105"/>
  <c r="K103" i="105"/>
  <c r="K11" i="105"/>
  <c r="K8" i="105"/>
  <c r="K12" i="105"/>
  <c r="K16" i="105"/>
  <c r="K20" i="105"/>
  <c r="K24" i="105"/>
  <c r="K32" i="105"/>
  <c r="K36" i="105"/>
  <c r="K40" i="105"/>
  <c r="K44" i="105"/>
  <c r="K48" i="105"/>
  <c r="K56" i="105"/>
  <c r="K60" i="105"/>
  <c r="K64" i="105"/>
  <c r="K68" i="105"/>
  <c r="K72" i="105"/>
  <c r="K80" i="105"/>
  <c r="K84" i="105"/>
  <c r="K88" i="105"/>
  <c r="K92" i="105"/>
  <c r="K96" i="105"/>
  <c r="K100" i="105"/>
  <c r="AC148" i="102"/>
  <c r="X8" i="102"/>
  <c r="X210" i="102"/>
  <c r="X209" i="102"/>
  <c r="X208" i="102"/>
  <c r="X263" i="102"/>
  <c r="X261" i="102"/>
  <c r="X260" i="102"/>
  <c r="X259" i="102"/>
  <c r="X258" i="102"/>
  <c r="X257" i="102"/>
  <c r="X256" i="102"/>
  <c r="X255" i="102"/>
  <c r="X254" i="102"/>
  <c r="X253" i="102"/>
  <c r="X252" i="102"/>
  <c r="X251" i="102"/>
  <c r="X250" i="102"/>
  <c r="X249" i="102"/>
  <c r="X247" i="102"/>
  <c r="X246" i="102"/>
  <c r="X245" i="102"/>
  <c r="X244" i="102"/>
  <c r="X243" i="102"/>
  <c r="X242" i="102"/>
  <c r="X241" i="102"/>
  <c r="X240" i="102"/>
  <c r="X239" i="102"/>
  <c r="X238" i="102"/>
  <c r="X237" i="102"/>
  <c r="X236" i="102"/>
  <c r="X235" i="102"/>
  <c r="X233" i="102"/>
  <c r="X232" i="102"/>
  <c r="X231" i="102"/>
  <c r="X230" i="102"/>
  <c r="X229" i="102"/>
  <c r="X228" i="102"/>
  <c r="X227" i="102"/>
  <c r="X226" i="102"/>
  <c r="X225" i="102"/>
  <c r="X224" i="102"/>
  <c r="X223" i="102"/>
  <c r="X222" i="102"/>
  <c r="X221" i="102"/>
  <c r="X219" i="102"/>
  <c r="X218" i="102"/>
  <c r="X217" i="102"/>
  <c r="X216" i="102"/>
  <c r="X215" i="102"/>
  <c r="X214" i="102"/>
  <c r="X213" i="102"/>
  <c r="X212" i="102"/>
  <c r="X211" i="102"/>
  <c r="P32" i="104"/>
  <c r="O32" i="104"/>
  <c r="N32" i="104"/>
  <c r="M32" i="104"/>
  <c r="L32" i="104"/>
  <c r="K32" i="104"/>
  <c r="J32" i="104"/>
  <c r="F32" i="104"/>
  <c r="P31" i="104"/>
  <c r="O31" i="104"/>
  <c r="N31" i="104"/>
  <c r="M31" i="104"/>
  <c r="L31" i="104"/>
  <c r="K31" i="104"/>
  <c r="J31" i="104"/>
  <c r="F31" i="104"/>
  <c r="P30" i="104"/>
  <c r="O30" i="104"/>
  <c r="N30" i="104"/>
  <c r="M30" i="104"/>
  <c r="L30" i="104"/>
  <c r="K30" i="104"/>
  <c r="J30" i="104"/>
  <c r="F30" i="104"/>
  <c r="P29" i="104"/>
  <c r="O29" i="104"/>
  <c r="N29" i="104"/>
  <c r="M29" i="104"/>
  <c r="L29" i="104"/>
  <c r="K29" i="104"/>
  <c r="J29" i="104"/>
  <c r="F29" i="104"/>
  <c r="P28" i="104"/>
  <c r="O28" i="104"/>
  <c r="N28" i="104"/>
  <c r="M28" i="104"/>
  <c r="L28" i="104"/>
  <c r="K28" i="104"/>
  <c r="J28" i="104"/>
  <c r="F28" i="104"/>
  <c r="P27" i="104"/>
  <c r="O27" i="104"/>
  <c r="N27" i="104"/>
  <c r="M27" i="104"/>
  <c r="L27" i="104"/>
  <c r="K27" i="104"/>
  <c r="J27" i="104"/>
  <c r="F27" i="104"/>
  <c r="P26" i="104"/>
  <c r="O26" i="104"/>
  <c r="N26" i="104"/>
  <c r="M26" i="104"/>
  <c r="L26" i="104"/>
  <c r="K26" i="104"/>
  <c r="J26" i="104"/>
  <c r="F26" i="104"/>
  <c r="P25" i="104"/>
  <c r="O25" i="104"/>
  <c r="N25" i="104"/>
  <c r="M25" i="104"/>
  <c r="L25" i="104"/>
  <c r="K25" i="104"/>
  <c r="J25" i="104"/>
  <c r="F25" i="104"/>
  <c r="P24" i="104"/>
  <c r="O24" i="104"/>
  <c r="N24" i="104"/>
  <c r="M24" i="104"/>
  <c r="L24" i="104"/>
  <c r="K24" i="104"/>
  <c r="J24" i="104"/>
  <c r="F24" i="104"/>
  <c r="P23" i="104"/>
  <c r="O23" i="104"/>
  <c r="N23" i="104"/>
  <c r="M23" i="104"/>
  <c r="L23" i="104"/>
  <c r="K23" i="104"/>
  <c r="J23" i="104"/>
  <c r="F23" i="104"/>
  <c r="P22" i="104"/>
  <c r="O22" i="104"/>
  <c r="N22" i="104"/>
  <c r="M22" i="104"/>
  <c r="L22" i="104"/>
  <c r="K22" i="104"/>
  <c r="J22" i="104"/>
  <c r="F22" i="104"/>
  <c r="P21" i="104"/>
  <c r="O21" i="104"/>
  <c r="N21" i="104"/>
  <c r="M21" i="104"/>
  <c r="L21" i="104"/>
  <c r="K21" i="104"/>
  <c r="J21" i="104"/>
  <c r="F21" i="104"/>
  <c r="P20" i="104"/>
  <c r="O20" i="104"/>
  <c r="N20" i="104"/>
  <c r="M20" i="104"/>
  <c r="L20" i="104"/>
  <c r="K20" i="104"/>
  <c r="J20" i="104"/>
  <c r="F20" i="104"/>
  <c r="P19" i="104"/>
  <c r="O19" i="104"/>
  <c r="N19" i="104"/>
  <c r="M19" i="104"/>
  <c r="L19" i="104"/>
  <c r="K19" i="104"/>
  <c r="J19" i="104"/>
  <c r="F19" i="104"/>
  <c r="AM17" i="102"/>
  <c r="AL17" i="102"/>
  <c r="AK17" i="102"/>
  <c r="AJ17" i="102"/>
  <c r="AI17" i="102"/>
  <c r="AH17" i="102"/>
  <c r="AG17" i="102"/>
  <c r="AM15" i="102"/>
  <c r="AL15" i="102"/>
  <c r="AK15" i="102"/>
  <c r="AJ15" i="102"/>
  <c r="AI15" i="102"/>
  <c r="AH15" i="102"/>
  <c r="AG15" i="102"/>
  <c r="AF15" i="102"/>
  <c r="AE15" i="102"/>
  <c r="AD15" i="102"/>
  <c r="AC15" i="102"/>
  <c r="AM14" i="102"/>
  <c r="AL14" i="102"/>
  <c r="AK14" i="102"/>
  <c r="AJ14" i="102"/>
  <c r="AI14" i="102"/>
  <c r="AH14" i="102"/>
  <c r="AG14" i="102"/>
  <c r="AF14" i="102"/>
  <c r="AE14" i="102"/>
  <c r="AD14" i="102"/>
  <c r="AC14" i="102"/>
  <c r="P150" i="104"/>
  <c r="O150" i="104"/>
  <c r="N150" i="104"/>
  <c r="M150" i="104"/>
  <c r="L150" i="104"/>
  <c r="K150" i="104"/>
  <c r="J150" i="104"/>
  <c r="P149" i="104"/>
  <c r="O149" i="104"/>
  <c r="N149" i="104"/>
  <c r="M149" i="104"/>
  <c r="L149" i="104"/>
  <c r="K149" i="104"/>
  <c r="J149" i="104"/>
  <c r="P148" i="104"/>
  <c r="O148" i="104"/>
  <c r="N148" i="104"/>
  <c r="M148" i="104"/>
  <c r="L148" i="104"/>
  <c r="K148" i="104"/>
  <c r="J148" i="104"/>
  <c r="P147" i="104"/>
  <c r="O147" i="104"/>
  <c r="N147" i="104"/>
  <c r="M147" i="104"/>
  <c r="L147" i="104"/>
  <c r="K147" i="104"/>
  <c r="J147" i="104"/>
  <c r="P146" i="104"/>
  <c r="O146" i="104"/>
  <c r="N146" i="104"/>
  <c r="M146" i="104"/>
  <c r="L146" i="104"/>
  <c r="K146" i="104"/>
  <c r="J146" i="104"/>
  <c r="P145" i="104"/>
  <c r="O145" i="104"/>
  <c r="N145" i="104"/>
  <c r="M145" i="104"/>
  <c r="L145" i="104"/>
  <c r="K145" i="104"/>
  <c r="J145" i="104"/>
  <c r="P144" i="104"/>
  <c r="O144" i="104"/>
  <c r="N144" i="104"/>
  <c r="M144" i="104"/>
  <c r="L144" i="104"/>
  <c r="K144" i="104"/>
  <c r="J144" i="104"/>
  <c r="P143" i="104"/>
  <c r="O143" i="104"/>
  <c r="N143" i="104"/>
  <c r="M143" i="104"/>
  <c r="L143" i="104"/>
  <c r="K143" i="104"/>
  <c r="J143" i="104"/>
  <c r="P142" i="104"/>
  <c r="O142" i="104"/>
  <c r="N142" i="104"/>
  <c r="M142" i="104"/>
  <c r="L142" i="104"/>
  <c r="K142" i="104"/>
  <c r="J142" i="104"/>
  <c r="P141" i="104"/>
  <c r="O141" i="104"/>
  <c r="N141" i="104"/>
  <c r="M141" i="104"/>
  <c r="L141" i="104"/>
  <c r="K141" i="104"/>
  <c r="J141" i="104"/>
  <c r="P140" i="104"/>
  <c r="O140" i="104"/>
  <c r="N140" i="104"/>
  <c r="M140" i="104"/>
  <c r="L140" i="104"/>
  <c r="K140" i="104"/>
  <c r="J140" i="104"/>
  <c r="P139" i="104"/>
  <c r="O139" i="104"/>
  <c r="N139" i="104"/>
  <c r="M139" i="104"/>
  <c r="L139" i="104"/>
  <c r="K139" i="104"/>
  <c r="J139" i="104"/>
  <c r="P138" i="104"/>
  <c r="O138" i="104"/>
  <c r="N138" i="104"/>
  <c r="M138" i="104"/>
  <c r="L138" i="104"/>
  <c r="K138" i="104"/>
  <c r="J138" i="104"/>
  <c r="P137" i="104"/>
  <c r="O137" i="104"/>
  <c r="N137" i="104"/>
  <c r="M137" i="104"/>
  <c r="L137" i="104"/>
  <c r="K137" i="104"/>
  <c r="J137" i="104"/>
  <c r="P136" i="104"/>
  <c r="O136" i="104"/>
  <c r="N136" i="104"/>
  <c r="M136" i="104"/>
  <c r="L136" i="104"/>
  <c r="K136" i="104"/>
  <c r="J136" i="104"/>
  <c r="P135" i="104"/>
  <c r="O135" i="104"/>
  <c r="N135" i="104"/>
  <c r="M135" i="104"/>
  <c r="L135" i="104"/>
  <c r="K135" i="104"/>
  <c r="J135" i="104"/>
  <c r="P134" i="104"/>
  <c r="O134" i="104"/>
  <c r="N134" i="104"/>
  <c r="M134" i="104"/>
  <c r="L134" i="104"/>
  <c r="K134" i="104"/>
  <c r="J134" i="104"/>
  <c r="P133" i="104"/>
  <c r="O133" i="104"/>
  <c r="N133" i="104"/>
  <c r="M133" i="104"/>
  <c r="L133" i="104"/>
  <c r="K133" i="104"/>
  <c r="J133" i="104"/>
  <c r="P132" i="104"/>
  <c r="O132" i="104"/>
  <c r="N132" i="104"/>
  <c r="M132" i="104"/>
  <c r="L132" i="104"/>
  <c r="K132" i="104"/>
  <c r="J132" i="104"/>
  <c r="P131" i="104"/>
  <c r="O131" i="104"/>
  <c r="N131" i="104"/>
  <c r="M131" i="104"/>
  <c r="L131" i="104"/>
  <c r="K131" i="104"/>
  <c r="J131" i="104"/>
  <c r="P130" i="104"/>
  <c r="O130" i="104"/>
  <c r="N130" i="104"/>
  <c r="M130" i="104"/>
  <c r="L130" i="104"/>
  <c r="K130" i="104"/>
  <c r="J130" i="104"/>
  <c r="P129" i="104"/>
  <c r="O129" i="104"/>
  <c r="N129" i="104"/>
  <c r="M129" i="104"/>
  <c r="L129" i="104"/>
  <c r="K129" i="104"/>
  <c r="J129" i="104"/>
  <c r="P128" i="104"/>
  <c r="O128" i="104"/>
  <c r="N128" i="104"/>
  <c r="M128" i="104"/>
  <c r="L128" i="104"/>
  <c r="K128" i="104"/>
  <c r="J128" i="104"/>
  <c r="P127" i="104"/>
  <c r="O127" i="104"/>
  <c r="N127" i="104"/>
  <c r="M127" i="104"/>
  <c r="L127" i="104"/>
  <c r="K127" i="104"/>
  <c r="J127" i="104"/>
  <c r="P126" i="104"/>
  <c r="O126" i="104"/>
  <c r="N126" i="104"/>
  <c r="M126" i="104"/>
  <c r="L126" i="104"/>
  <c r="K126" i="104"/>
  <c r="J126" i="104"/>
  <c r="P125" i="104"/>
  <c r="O125" i="104"/>
  <c r="N125" i="104"/>
  <c r="M125" i="104"/>
  <c r="L125" i="104"/>
  <c r="K125" i="104"/>
  <c r="J125" i="104"/>
  <c r="P124" i="104"/>
  <c r="O124" i="104"/>
  <c r="N124" i="104"/>
  <c r="M124" i="104"/>
  <c r="L124" i="104"/>
  <c r="K124" i="104"/>
  <c r="J124" i="104"/>
  <c r="P123" i="104"/>
  <c r="O123" i="104"/>
  <c r="N123" i="104"/>
  <c r="M123" i="104"/>
  <c r="L123" i="104"/>
  <c r="K123" i="104"/>
  <c r="J123" i="104"/>
  <c r="P122" i="104"/>
  <c r="O122" i="104"/>
  <c r="N122" i="104"/>
  <c r="M122" i="104"/>
  <c r="L122" i="104"/>
  <c r="K122" i="104"/>
  <c r="J122" i="104"/>
  <c r="P121" i="104"/>
  <c r="O121" i="104"/>
  <c r="N121" i="104"/>
  <c r="M121" i="104"/>
  <c r="L121" i="104"/>
  <c r="K121" i="104"/>
  <c r="J121" i="104"/>
  <c r="P120" i="104"/>
  <c r="O120" i="104"/>
  <c r="N120" i="104"/>
  <c r="M120" i="104"/>
  <c r="L120" i="104"/>
  <c r="K120" i="104"/>
  <c r="J120" i="104"/>
  <c r="P119" i="104"/>
  <c r="O119" i="104"/>
  <c r="N119" i="104"/>
  <c r="M119" i="104"/>
  <c r="L119" i="104"/>
  <c r="K119" i="104"/>
  <c r="J119" i="104"/>
  <c r="P118" i="104"/>
  <c r="O118" i="104"/>
  <c r="N118" i="104"/>
  <c r="M118" i="104"/>
  <c r="L118" i="104"/>
  <c r="K118" i="104"/>
  <c r="J118" i="104"/>
  <c r="P117" i="104"/>
  <c r="O117" i="104"/>
  <c r="N117" i="104"/>
  <c r="M117" i="104"/>
  <c r="L117" i="104"/>
  <c r="K117" i="104"/>
  <c r="J117" i="104"/>
  <c r="P116" i="104"/>
  <c r="O116" i="104"/>
  <c r="N116" i="104"/>
  <c r="M116" i="104"/>
  <c r="L116" i="104"/>
  <c r="K116" i="104"/>
  <c r="J116" i="104"/>
  <c r="P115" i="104"/>
  <c r="O115" i="104"/>
  <c r="N115" i="104"/>
  <c r="M115" i="104"/>
  <c r="L115" i="104"/>
  <c r="K115" i="104"/>
  <c r="J115" i="104"/>
  <c r="P114" i="104"/>
  <c r="O114" i="104"/>
  <c r="N114" i="104"/>
  <c r="M114" i="104"/>
  <c r="L114" i="104"/>
  <c r="K114" i="104"/>
  <c r="J114" i="104"/>
  <c r="P113" i="104"/>
  <c r="O113" i="104"/>
  <c r="N113" i="104"/>
  <c r="M113" i="104"/>
  <c r="L113" i="104"/>
  <c r="K113" i="104"/>
  <c r="J113" i="104"/>
  <c r="P112" i="104"/>
  <c r="O112" i="104"/>
  <c r="N112" i="104"/>
  <c r="M112" i="104"/>
  <c r="L112" i="104"/>
  <c r="K112" i="104"/>
  <c r="J112" i="104"/>
  <c r="P111" i="104"/>
  <c r="O111" i="104"/>
  <c r="N111" i="104"/>
  <c r="M111" i="104"/>
  <c r="L111" i="104"/>
  <c r="K111" i="104"/>
  <c r="J111" i="104"/>
  <c r="P110" i="104"/>
  <c r="O110" i="104"/>
  <c r="N110" i="104"/>
  <c r="M110" i="104"/>
  <c r="L110" i="104"/>
  <c r="K110" i="104"/>
  <c r="J110" i="104"/>
  <c r="P109" i="104"/>
  <c r="O109" i="104"/>
  <c r="N109" i="104"/>
  <c r="M109" i="104"/>
  <c r="L109" i="104"/>
  <c r="K109" i="104"/>
  <c r="J109" i="104"/>
  <c r="P108" i="104"/>
  <c r="O108" i="104"/>
  <c r="N108" i="104"/>
  <c r="M108" i="104"/>
  <c r="L108" i="104"/>
  <c r="K108" i="104"/>
  <c r="J108" i="104"/>
  <c r="P107" i="104"/>
  <c r="O107" i="104"/>
  <c r="N107" i="104"/>
  <c r="M107" i="104"/>
  <c r="L107" i="104"/>
  <c r="K107" i="104"/>
  <c r="J107" i="104"/>
  <c r="P106" i="104"/>
  <c r="O106" i="104"/>
  <c r="N106" i="104"/>
  <c r="M106" i="104"/>
  <c r="L106" i="104"/>
  <c r="K106" i="104"/>
  <c r="J106" i="104"/>
  <c r="P105" i="104"/>
  <c r="O105" i="104"/>
  <c r="N105" i="104"/>
  <c r="M105" i="104"/>
  <c r="L105" i="104"/>
  <c r="K105" i="104"/>
  <c r="J105" i="104"/>
  <c r="P104" i="104"/>
  <c r="O104" i="104"/>
  <c r="N104" i="104"/>
  <c r="M104" i="104"/>
  <c r="L104" i="104"/>
  <c r="K104" i="104"/>
  <c r="J104" i="104"/>
  <c r="P103" i="104"/>
  <c r="O103" i="104"/>
  <c r="N103" i="104"/>
  <c r="M103" i="104"/>
  <c r="L103" i="104"/>
  <c r="K103" i="104"/>
  <c r="J103" i="104"/>
  <c r="P102" i="104"/>
  <c r="O102" i="104"/>
  <c r="N102" i="104"/>
  <c r="M102" i="104"/>
  <c r="L102" i="104"/>
  <c r="K102" i="104"/>
  <c r="J102" i="104"/>
  <c r="P101" i="104"/>
  <c r="O101" i="104"/>
  <c r="N101" i="104"/>
  <c r="M101" i="104"/>
  <c r="L101" i="104"/>
  <c r="K101" i="104"/>
  <c r="J101" i="104"/>
  <c r="P100" i="104"/>
  <c r="O100" i="104"/>
  <c r="N100" i="104"/>
  <c r="M100" i="104"/>
  <c r="L100" i="104"/>
  <c r="K100" i="104"/>
  <c r="J100" i="104"/>
  <c r="P99" i="104"/>
  <c r="O99" i="104"/>
  <c r="N99" i="104"/>
  <c r="M99" i="104"/>
  <c r="L99" i="104"/>
  <c r="K99" i="104"/>
  <c r="J99" i="104"/>
  <c r="P98" i="104"/>
  <c r="O98" i="104"/>
  <c r="N98" i="104"/>
  <c r="M98" i="104"/>
  <c r="L98" i="104"/>
  <c r="K98" i="104"/>
  <c r="J98" i="104"/>
  <c r="P97" i="104"/>
  <c r="O97" i="104"/>
  <c r="N97" i="104"/>
  <c r="M97" i="104"/>
  <c r="L97" i="104"/>
  <c r="K97" i="104"/>
  <c r="J97" i="104"/>
  <c r="P96" i="104"/>
  <c r="O96" i="104"/>
  <c r="N96" i="104"/>
  <c r="M96" i="104"/>
  <c r="L96" i="104"/>
  <c r="K96" i="104"/>
  <c r="J96" i="104"/>
  <c r="P95" i="104"/>
  <c r="O95" i="104"/>
  <c r="N95" i="104"/>
  <c r="M95" i="104"/>
  <c r="L95" i="104"/>
  <c r="K95" i="104"/>
  <c r="J95" i="104"/>
  <c r="I150" i="104"/>
  <c r="H150" i="104"/>
  <c r="G150" i="104"/>
  <c r="F150" i="104"/>
  <c r="I149" i="104"/>
  <c r="H149" i="104"/>
  <c r="G149" i="104"/>
  <c r="F149" i="104"/>
  <c r="I148" i="104"/>
  <c r="H148" i="104"/>
  <c r="G148" i="104"/>
  <c r="F148" i="104"/>
  <c r="I147" i="104"/>
  <c r="H147" i="104"/>
  <c r="G147" i="104"/>
  <c r="F147" i="104"/>
  <c r="I146" i="104"/>
  <c r="H146" i="104"/>
  <c r="G146" i="104"/>
  <c r="F146" i="104"/>
  <c r="I145" i="104"/>
  <c r="H145" i="104"/>
  <c r="G145" i="104"/>
  <c r="F145" i="104"/>
  <c r="I144" i="104"/>
  <c r="H144" i="104"/>
  <c r="G144" i="104"/>
  <c r="F144" i="104"/>
  <c r="I143" i="104"/>
  <c r="H143" i="104"/>
  <c r="G143" i="104"/>
  <c r="F143" i="104"/>
  <c r="I142" i="104"/>
  <c r="H142" i="104"/>
  <c r="G142" i="104"/>
  <c r="F142" i="104"/>
  <c r="I141" i="104"/>
  <c r="H141" i="104"/>
  <c r="G141" i="104"/>
  <c r="F141" i="104"/>
  <c r="I140" i="104"/>
  <c r="H140" i="104"/>
  <c r="G140" i="104"/>
  <c r="F140" i="104"/>
  <c r="I139" i="104"/>
  <c r="H139" i="104"/>
  <c r="G139" i="104"/>
  <c r="F139" i="104"/>
  <c r="I138" i="104"/>
  <c r="H138" i="104"/>
  <c r="G138" i="104"/>
  <c r="F138" i="104"/>
  <c r="I137" i="104"/>
  <c r="H137" i="104"/>
  <c r="G137" i="104"/>
  <c r="F137" i="104"/>
  <c r="I136" i="104"/>
  <c r="H136" i="104"/>
  <c r="G136" i="104"/>
  <c r="F136" i="104"/>
  <c r="I135" i="104"/>
  <c r="H135" i="104"/>
  <c r="G135" i="104"/>
  <c r="F135" i="104"/>
  <c r="I134" i="104"/>
  <c r="H134" i="104"/>
  <c r="G134" i="104"/>
  <c r="F134" i="104"/>
  <c r="I133" i="104"/>
  <c r="H133" i="104"/>
  <c r="G133" i="104"/>
  <c r="F133" i="104"/>
  <c r="I132" i="104"/>
  <c r="H132" i="104"/>
  <c r="G132" i="104"/>
  <c r="F132" i="104"/>
  <c r="I131" i="104"/>
  <c r="H131" i="104"/>
  <c r="G131" i="104"/>
  <c r="F131" i="104"/>
  <c r="I130" i="104"/>
  <c r="H130" i="104"/>
  <c r="G130" i="104"/>
  <c r="F130" i="104"/>
  <c r="I129" i="104"/>
  <c r="H129" i="104"/>
  <c r="G129" i="104"/>
  <c r="F129" i="104"/>
  <c r="I128" i="104"/>
  <c r="H128" i="104"/>
  <c r="G128" i="104"/>
  <c r="F128" i="104"/>
  <c r="I127" i="104"/>
  <c r="H127" i="104"/>
  <c r="G127" i="104"/>
  <c r="F127" i="104"/>
  <c r="I126" i="104"/>
  <c r="H126" i="104"/>
  <c r="G126" i="104"/>
  <c r="F126" i="104"/>
  <c r="I125" i="104"/>
  <c r="H125" i="104"/>
  <c r="G125" i="104"/>
  <c r="F125" i="104"/>
  <c r="I124" i="104"/>
  <c r="H124" i="104"/>
  <c r="G124" i="104"/>
  <c r="F124" i="104"/>
  <c r="I123" i="104"/>
  <c r="H123" i="104"/>
  <c r="G123" i="104"/>
  <c r="F123" i="104"/>
  <c r="I122" i="104"/>
  <c r="H122" i="104"/>
  <c r="G122" i="104"/>
  <c r="F122" i="104"/>
  <c r="I121" i="104"/>
  <c r="H121" i="104"/>
  <c r="G121" i="104"/>
  <c r="F121" i="104"/>
  <c r="I120" i="104"/>
  <c r="H120" i="104"/>
  <c r="G120" i="104"/>
  <c r="F120" i="104"/>
  <c r="I119" i="104"/>
  <c r="H119" i="104"/>
  <c r="G119" i="104"/>
  <c r="F119" i="104"/>
  <c r="I118" i="104"/>
  <c r="H118" i="104"/>
  <c r="G118" i="104"/>
  <c r="F118" i="104"/>
  <c r="I117" i="104"/>
  <c r="H117" i="104"/>
  <c r="G117" i="104"/>
  <c r="F117" i="104"/>
  <c r="I116" i="104"/>
  <c r="H116" i="104"/>
  <c r="G116" i="104"/>
  <c r="F116" i="104"/>
  <c r="I115" i="104"/>
  <c r="H115" i="104"/>
  <c r="G115" i="104"/>
  <c r="F115" i="104"/>
  <c r="I114" i="104"/>
  <c r="H114" i="104"/>
  <c r="G114" i="104"/>
  <c r="F114" i="104"/>
  <c r="I113" i="104"/>
  <c r="H113" i="104"/>
  <c r="G113" i="104"/>
  <c r="F113" i="104"/>
  <c r="I112" i="104"/>
  <c r="H112" i="104"/>
  <c r="G112" i="104"/>
  <c r="F112" i="104"/>
  <c r="I111" i="104"/>
  <c r="H111" i="104"/>
  <c r="G111" i="104"/>
  <c r="F111" i="104"/>
  <c r="I110" i="104"/>
  <c r="H110" i="104"/>
  <c r="G110" i="104"/>
  <c r="F110" i="104"/>
  <c r="I109" i="104"/>
  <c r="H109" i="104"/>
  <c r="G109" i="104"/>
  <c r="F109" i="104"/>
  <c r="I108" i="104"/>
  <c r="H108" i="104"/>
  <c r="G108" i="104"/>
  <c r="F108" i="104"/>
  <c r="I107" i="104"/>
  <c r="H107" i="104"/>
  <c r="G107" i="104"/>
  <c r="F107" i="104"/>
  <c r="I106" i="104"/>
  <c r="H106" i="104"/>
  <c r="G106" i="104"/>
  <c r="F106" i="104"/>
  <c r="I105" i="104"/>
  <c r="H105" i="104"/>
  <c r="G105" i="104"/>
  <c r="F105" i="104"/>
  <c r="I104" i="104"/>
  <c r="H104" i="104"/>
  <c r="G104" i="104"/>
  <c r="F104" i="104"/>
  <c r="I103" i="104"/>
  <c r="H103" i="104"/>
  <c r="G103" i="104"/>
  <c r="F103" i="104"/>
  <c r="I102" i="104"/>
  <c r="H102" i="104"/>
  <c r="G102" i="104"/>
  <c r="F102" i="104"/>
  <c r="I101" i="104"/>
  <c r="H101" i="104"/>
  <c r="G101" i="104"/>
  <c r="F101" i="104"/>
  <c r="I100" i="104"/>
  <c r="H100" i="104"/>
  <c r="G100" i="104"/>
  <c r="F100" i="104"/>
  <c r="I99" i="104"/>
  <c r="H99" i="104"/>
  <c r="G99" i="104"/>
  <c r="F99" i="104"/>
  <c r="I98" i="104"/>
  <c r="H98" i="104"/>
  <c r="G98" i="104"/>
  <c r="F98" i="104"/>
  <c r="I97" i="104"/>
  <c r="H97" i="104"/>
  <c r="G97" i="104"/>
  <c r="F97" i="104"/>
  <c r="I96" i="104"/>
  <c r="H96" i="104"/>
  <c r="G96" i="104"/>
  <c r="F96" i="104"/>
  <c r="I95" i="104"/>
  <c r="H95" i="104"/>
  <c r="G95" i="104"/>
  <c r="F95" i="104"/>
  <c r="P16" i="104"/>
  <c r="O16" i="104"/>
  <c r="N16" i="104"/>
  <c r="M16" i="104"/>
  <c r="L16" i="104"/>
  <c r="K16" i="104"/>
  <c r="J16" i="104"/>
  <c r="P15" i="104"/>
  <c r="O15" i="104"/>
  <c r="N15" i="104"/>
  <c r="M15" i="104"/>
  <c r="L15" i="104"/>
  <c r="K15" i="104"/>
  <c r="J15" i="104"/>
  <c r="P14" i="104"/>
  <c r="O14" i="104"/>
  <c r="N14" i="104"/>
  <c r="M14" i="104"/>
  <c r="L14" i="104"/>
  <c r="K14" i="104"/>
  <c r="J14" i="104"/>
  <c r="P13" i="104"/>
  <c r="O13" i="104"/>
  <c r="N13" i="104"/>
  <c r="M13" i="104"/>
  <c r="L13" i="104"/>
  <c r="K13" i="104"/>
  <c r="J13" i="104"/>
  <c r="P12" i="104"/>
  <c r="O12" i="104"/>
  <c r="N12" i="104"/>
  <c r="M12" i="104"/>
  <c r="L12" i="104"/>
  <c r="K12" i="104"/>
  <c r="J12" i="104"/>
  <c r="P11" i="104"/>
  <c r="O11" i="104"/>
  <c r="N11" i="104"/>
  <c r="M11" i="104"/>
  <c r="L11" i="104"/>
  <c r="K11" i="104"/>
  <c r="J11" i="104"/>
  <c r="P10" i="104"/>
  <c r="O10" i="104"/>
  <c r="N10" i="104"/>
  <c r="M10" i="104"/>
  <c r="L10" i="104"/>
  <c r="K10" i="104"/>
  <c r="J10" i="104"/>
  <c r="P9" i="104"/>
  <c r="O9" i="104"/>
  <c r="N9" i="104"/>
  <c r="M9" i="104"/>
  <c r="L9" i="104"/>
  <c r="K9" i="104"/>
  <c r="J9" i="104"/>
  <c r="P8" i="104"/>
  <c r="O8" i="104"/>
  <c r="N8" i="104"/>
  <c r="M8" i="104"/>
  <c r="L8" i="104"/>
  <c r="K8" i="104"/>
  <c r="J8" i="104"/>
  <c r="P7" i="104"/>
  <c r="O7" i="104"/>
  <c r="N7" i="104"/>
  <c r="M7" i="104"/>
  <c r="L7" i="104"/>
  <c r="K7" i="104"/>
  <c r="J7" i="104"/>
  <c r="P6" i="104"/>
  <c r="O6" i="104"/>
  <c r="N6" i="104"/>
  <c r="M6" i="104"/>
  <c r="L6" i="104"/>
  <c r="K6" i="104"/>
  <c r="J6" i="104"/>
  <c r="P5" i="104"/>
  <c r="O5" i="104"/>
  <c r="N5" i="104"/>
  <c r="M5" i="104"/>
  <c r="L5" i="104"/>
  <c r="K5" i="104"/>
  <c r="J5" i="104"/>
  <c r="P4" i="104"/>
  <c r="O4" i="104"/>
  <c r="N4" i="104"/>
  <c r="M4" i="104"/>
  <c r="L4" i="104"/>
  <c r="K4" i="104"/>
  <c r="J4" i="104"/>
  <c r="P3" i="104"/>
  <c r="O3" i="104"/>
  <c r="N3" i="104"/>
  <c r="M3" i="104"/>
  <c r="L3" i="104"/>
  <c r="K3" i="104"/>
  <c r="J3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F4" i="104"/>
  <c r="F3" i="104"/>
  <c r="I70" i="103"/>
  <c r="H70" i="103"/>
  <c r="G70" i="103"/>
  <c r="F70" i="103"/>
  <c r="P68" i="103"/>
  <c r="O68" i="103"/>
  <c r="N68" i="103"/>
  <c r="M68" i="103"/>
  <c r="L68" i="103"/>
  <c r="K68" i="103"/>
  <c r="J68" i="103"/>
  <c r="I72" i="103"/>
  <c r="I69" i="103" s="1"/>
  <c r="H72" i="103"/>
  <c r="H69" i="103" s="1"/>
  <c r="G72" i="103"/>
  <c r="G69" i="103" s="1"/>
  <c r="F72" i="103"/>
  <c r="F69" i="103" s="1"/>
  <c r="I68" i="103"/>
  <c r="H68" i="103"/>
  <c r="G68" i="103"/>
  <c r="F68" i="103"/>
  <c r="I65" i="103"/>
  <c r="H65" i="103"/>
  <c r="G65" i="103"/>
  <c r="F65" i="103"/>
  <c r="I64" i="103"/>
  <c r="H64" i="103"/>
  <c r="G64" i="103"/>
  <c r="F64" i="103"/>
  <c r="I63" i="103"/>
  <c r="H63" i="103"/>
  <c r="G63" i="103"/>
  <c r="F63" i="103"/>
  <c r="I62" i="103"/>
  <c r="H62" i="103"/>
  <c r="G62" i="103"/>
  <c r="F62" i="103"/>
  <c r="I61" i="103"/>
  <c r="H61" i="103"/>
  <c r="G61" i="103"/>
  <c r="F61" i="103"/>
  <c r="I60" i="103"/>
  <c r="H60" i="103"/>
  <c r="G60" i="103"/>
  <c r="F60" i="103"/>
  <c r="I59" i="103"/>
  <c r="H59" i="103"/>
  <c r="G59" i="103"/>
  <c r="F59" i="103"/>
  <c r="I58" i="103"/>
  <c r="H58" i="103"/>
  <c r="G58" i="103"/>
  <c r="F58" i="103"/>
  <c r="I57" i="103"/>
  <c r="H57" i="103"/>
  <c r="G57" i="103"/>
  <c r="F57" i="103"/>
  <c r="I56" i="103"/>
  <c r="H56" i="103"/>
  <c r="G56" i="103"/>
  <c r="F56" i="103"/>
  <c r="I55" i="103"/>
  <c r="H55" i="103"/>
  <c r="G55" i="103"/>
  <c r="F55" i="103"/>
  <c r="I54" i="103"/>
  <c r="H54" i="103"/>
  <c r="G54" i="103"/>
  <c r="F54" i="103"/>
  <c r="I53" i="103"/>
  <c r="H53" i="103"/>
  <c r="G53" i="103"/>
  <c r="F53" i="103"/>
  <c r="I52" i="103"/>
  <c r="H52" i="103"/>
  <c r="G52" i="103"/>
  <c r="F52" i="103"/>
  <c r="H48" i="103"/>
  <c r="K47" i="103"/>
  <c r="J47" i="103"/>
  <c r="H46" i="103"/>
  <c r="H44" i="103"/>
  <c r="K43" i="103"/>
  <c r="L42" i="103"/>
  <c r="H42" i="103"/>
  <c r="H40" i="103"/>
  <c r="K39" i="103"/>
  <c r="H38" i="103"/>
  <c r="H36" i="103"/>
  <c r="M16" i="103"/>
  <c r="M48" i="103" s="1"/>
  <c r="K10" i="103"/>
  <c r="K42" i="103" s="1"/>
  <c r="M8" i="103"/>
  <c r="M40" i="103" s="1"/>
  <c r="P3" i="103"/>
  <c r="P35" i="103" s="1"/>
  <c r="L3" i="103"/>
  <c r="L35" i="103" s="1"/>
  <c r="N32" i="103"/>
  <c r="N16" i="103" s="1"/>
  <c r="N48" i="103" s="1"/>
  <c r="M32" i="103"/>
  <c r="L32" i="103"/>
  <c r="L16" i="103" s="1"/>
  <c r="K32" i="103"/>
  <c r="K16" i="103" s="1"/>
  <c r="J32" i="103"/>
  <c r="J16" i="103" s="1"/>
  <c r="J48" i="103" s="1"/>
  <c r="N31" i="103"/>
  <c r="M31" i="103"/>
  <c r="M15" i="103" s="1"/>
  <c r="M47" i="103" s="1"/>
  <c r="L31" i="103"/>
  <c r="L15" i="103" s="1"/>
  <c r="L47" i="103" s="1"/>
  <c r="K31" i="103"/>
  <c r="K15" i="103" s="1"/>
  <c r="J31" i="103"/>
  <c r="J15" i="103" s="1"/>
  <c r="N30" i="103"/>
  <c r="N14" i="103" s="1"/>
  <c r="N46" i="103" s="1"/>
  <c r="M30" i="103"/>
  <c r="M14" i="103" s="1"/>
  <c r="M46" i="103" s="1"/>
  <c r="L30" i="103"/>
  <c r="L14" i="103" s="1"/>
  <c r="K30" i="103"/>
  <c r="K14" i="103" s="1"/>
  <c r="J30" i="103"/>
  <c r="J14" i="103" s="1"/>
  <c r="J46" i="103" s="1"/>
  <c r="N29" i="103"/>
  <c r="M29" i="103"/>
  <c r="M13" i="103" s="1"/>
  <c r="M45" i="103" s="1"/>
  <c r="L29" i="103"/>
  <c r="L13" i="103" s="1"/>
  <c r="L45" i="103" s="1"/>
  <c r="K29" i="103"/>
  <c r="K13" i="103" s="1"/>
  <c r="K45" i="103" s="1"/>
  <c r="J29" i="103"/>
  <c r="J13" i="103" s="1"/>
  <c r="J45" i="103" s="1"/>
  <c r="N28" i="103"/>
  <c r="N12" i="103" s="1"/>
  <c r="M28" i="103"/>
  <c r="M12" i="103" s="1"/>
  <c r="L28" i="103"/>
  <c r="L12" i="103" s="1"/>
  <c r="K28" i="103"/>
  <c r="K12" i="103" s="1"/>
  <c r="J28" i="103"/>
  <c r="J12" i="103" s="1"/>
  <c r="J44" i="103" s="1"/>
  <c r="N27" i="103"/>
  <c r="M27" i="103"/>
  <c r="M11" i="103" s="1"/>
  <c r="M43" i="103" s="1"/>
  <c r="L27" i="103"/>
  <c r="L11" i="103" s="1"/>
  <c r="L43" i="103" s="1"/>
  <c r="K27" i="103"/>
  <c r="K11" i="103" s="1"/>
  <c r="J27" i="103"/>
  <c r="J11" i="103" s="1"/>
  <c r="N26" i="103"/>
  <c r="N10" i="103" s="1"/>
  <c r="N42" i="103" s="1"/>
  <c r="M26" i="103"/>
  <c r="M10" i="103" s="1"/>
  <c r="M42" i="103" s="1"/>
  <c r="L26" i="103"/>
  <c r="L10" i="103" s="1"/>
  <c r="K26" i="103"/>
  <c r="J26" i="103"/>
  <c r="J10" i="103" s="1"/>
  <c r="N25" i="103"/>
  <c r="M25" i="103"/>
  <c r="M9" i="103" s="1"/>
  <c r="M41" i="103" s="1"/>
  <c r="L25" i="103"/>
  <c r="L9" i="103" s="1"/>
  <c r="L41" i="103" s="1"/>
  <c r="K25" i="103"/>
  <c r="K9" i="103" s="1"/>
  <c r="K41" i="103" s="1"/>
  <c r="J25" i="103"/>
  <c r="J9" i="103" s="1"/>
  <c r="J41" i="103" s="1"/>
  <c r="N24" i="103"/>
  <c r="N8" i="103" s="1"/>
  <c r="M24" i="103"/>
  <c r="L24" i="103"/>
  <c r="L8" i="103" s="1"/>
  <c r="K24" i="103"/>
  <c r="K8" i="103" s="1"/>
  <c r="K40" i="103" s="1"/>
  <c r="J24" i="103"/>
  <c r="J8" i="103" s="1"/>
  <c r="N23" i="103"/>
  <c r="M23" i="103"/>
  <c r="M7" i="103" s="1"/>
  <c r="M39" i="103" s="1"/>
  <c r="L23" i="103"/>
  <c r="L7" i="103" s="1"/>
  <c r="L39" i="103" s="1"/>
  <c r="K23" i="103"/>
  <c r="K7" i="103" s="1"/>
  <c r="J23" i="103"/>
  <c r="J7" i="103" s="1"/>
  <c r="N22" i="103"/>
  <c r="N6" i="103" s="1"/>
  <c r="N38" i="103" s="1"/>
  <c r="M22" i="103"/>
  <c r="M6" i="103" s="1"/>
  <c r="M38" i="103" s="1"/>
  <c r="L22" i="103"/>
  <c r="L6" i="103" s="1"/>
  <c r="K22" i="103"/>
  <c r="K6" i="103" s="1"/>
  <c r="K38" i="103" s="1"/>
  <c r="J22" i="103"/>
  <c r="J6" i="103" s="1"/>
  <c r="N21" i="103"/>
  <c r="M21" i="103"/>
  <c r="M5" i="103" s="1"/>
  <c r="M37" i="103" s="1"/>
  <c r="L21" i="103"/>
  <c r="L5" i="103" s="1"/>
  <c r="L37" i="103" s="1"/>
  <c r="K21" i="103"/>
  <c r="K5" i="103" s="1"/>
  <c r="K37" i="103" s="1"/>
  <c r="J21" i="103"/>
  <c r="J5" i="103" s="1"/>
  <c r="J37" i="103" s="1"/>
  <c r="N20" i="103"/>
  <c r="N4" i="103" s="1"/>
  <c r="M20" i="103"/>
  <c r="M4" i="103" s="1"/>
  <c r="M36" i="103" s="1"/>
  <c r="L20" i="103"/>
  <c r="L4" i="103" s="1"/>
  <c r="K20" i="103"/>
  <c r="K4" i="103" s="1"/>
  <c r="K36" i="103" s="1"/>
  <c r="J20" i="103"/>
  <c r="J4" i="103" s="1"/>
  <c r="P19" i="103"/>
  <c r="O19" i="103"/>
  <c r="O3" i="103" s="1"/>
  <c r="N19" i="103"/>
  <c r="O32" i="103" s="1"/>
  <c r="O16" i="103" s="1"/>
  <c r="O48" i="103" s="1"/>
  <c r="M19" i="103"/>
  <c r="M3" i="103" s="1"/>
  <c r="M35" i="103" s="1"/>
  <c r="L19" i="103"/>
  <c r="K19" i="103"/>
  <c r="K3" i="103" s="1"/>
  <c r="J19" i="103"/>
  <c r="J3" i="103" s="1"/>
  <c r="J35" i="103" s="1"/>
  <c r="I16" i="103"/>
  <c r="I48" i="103" s="1"/>
  <c r="H16" i="103"/>
  <c r="G16" i="103"/>
  <c r="F16" i="103"/>
  <c r="I15" i="103"/>
  <c r="I47" i="103" s="1"/>
  <c r="H15" i="103"/>
  <c r="H47" i="103" s="1"/>
  <c r="G15" i="103"/>
  <c r="F15" i="103"/>
  <c r="I14" i="103"/>
  <c r="I46" i="103" s="1"/>
  <c r="H14" i="103"/>
  <c r="G14" i="103"/>
  <c r="F14" i="103"/>
  <c r="I13" i="103"/>
  <c r="I45" i="103" s="1"/>
  <c r="H13" i="103"/>
  <c r="H45" i="103" s="1"/>
  <c r="G13" i="103"/>
  <c r="F13" i="103"/>
  <c r="I12" i="103"/>
  <c r="I44" i="103" s="1"/>
  <c r="H12" i="103"/>
  <c r="G12" i="103"/>
  <c r="I11" i="103"/>
  <c r="I43" i="103" s="1"/>
  <c r="H11" i="103"/>
  <c r="H43" i="103" s="1"/>
  <c r="G11" i="103"/>
  <c r="F11" i="103"/>
  <c r="G43" i="103" s="1"/>
  <c r="I10" i="103"/>
  <c r="I42" i="103" s="1"/>
  <c r="H10" i="103"/>
  <c r="G10" i="103"/>
  <c r="G42" i="103" s="1"/>
  <c r="F10" i="103"/>
  <c r="I9" i="103"/>
  <c r="I41" i="103" s="1"/>
  <c r="H9" i="103"/>
  <c r="H41" i="103" s="1"/>
  <c r="G9" i="103"/>
  <c r="F9" i="103"/>
  <c r="G41" i="103" s="1"/>
  <c r="I8" i="103"/>
  <c r="I40" i="103" s="1"/>
  <c r="H8" i="103"/>
  <c r="G8" i="103"/>
  <c r="G40" i="103" s="1"/>
  <c r="F8" i="103"/>
  <c r="I7" i="103"/>
  <c r="I39" i="103" s="1"/>
  <c r="H7" i="103"/>
  <c r="H39" i="103" s="1"/>
  <c r="G7" i="103"/>
  <c r="F7" i="103"/>
  <c r="G39" i="103" s="1"/>
  <c r="I6" i="103"/>
  <c r="I38" i="103" s="1"/>
  <c r="H6" i="103"/>
  <c r="G6" i="103"/>
  <c r="G38" i="103" s="1"/>
  <c r="F6" i="103"/>
  <c r="I5" i="103"/>
  <c r="I37" i="103" s="1"/>
  <c r="H5" i="103"/>
  <c r="H37" i="103" s="1"/>
  <c r="G5" i="103"/>
  <c r="F5" i="103"/>
  <c r="G37" i="103" s="1"/>
  <c r="I4" i="103"/>
  <c r="I36" i="103" s="1"/>
  <c r="H4" i="103"/>
  <c r="G4" i="103"/>
  <c r="G36" i="103" s="1"/>
  <c r="F4" i="103"/>
  <c r="I3" i="103"/>
  <c r="I35" i="103" s="1"/>
  <c r="H3" i="103"/>
  <c r="H35" i="103" s="1"/>
  <c r="G3" i="103"/>
  <c r="F3" i="103"/>
  <c r="G35" i="103" s="1"/>
  <c r="F12" i="103"/>
  <c r="X3" i="102"/>
  <c r="H15" i="104"/>
  <c r="G10" i="104"/>
  <c r="G7" i="104"/>
  <c r="I10" i="104"/>
  <c r="G13" i="104"/>
  <c r="G11" i="104"/>
  <c r="I4" i="104"/>
  <c r="I14" i="104"/>
  <c r="I7" i="104"/>
  <c r="G15" i="104"/>
  <c r="G14" i="104"/>
  <c r="G6" i="104"/>
  <c r="H16" i="104"/>
  <c r="G5" i="104"/>
  <c r="H7" i="104"/>
  <c r="H8" i="104"/>
  <c r="G8" i="104"/>
  <c r="I5" i="104"/>
  <c r="I8" i="104"/>
  <c r="H12" i="104"/>
  <c r="G4" i="104"/>
  <c r="H6" i="104"/>
  <c r="G9" i="104"/>
  <c r="H3" i="104"/>
  <c r="I11" i="104"/>
  <c r="G12" i="104"/>
  <c r="H14" i="104"/>
  <c r="H10" i="104"/>
  <c r="I9" i="104"/>
  <c r="I15" i="104"/>
  <c r="H4" i="104"/>
  <c r="I12" i="104"/>
  <c r="I13" i="104"/>
  <c r="I6" i="104"/>
  <c r="G3" i="104"/>
  <c r="I3" i="104"/>
  <c r="H13" i="104"/>
  <c r="I16" i="104"/>
  <c r="G16" i="104"/>
  <c r="H9" i="104"/>
  <c r="H5" i="104"/>
  <c r="H11" i="104"/>
  <c r="E5" i="105" l="1"/>
  <c r="G5" i="105" s="1"/>
  <c r="I5" i="105" s="1"/>
  <c r="R103" i="105"/>
  <c r="R99" i="105"/>
  <c r="R91" i="105"/>
  <c r="R87" i="105"/>
  <c r="R83" i="105"/>
  <c r="R79" i="105"/>
  <c r="R71" i="105"/>
  <c r="R67" i="105"/>
  <c r="R63" i="105"/>
  <c r="R59" i="105"/>
  <c r="R51" i="105"/>
  <c r="R47" i="105"/>
  <c r="R43" i="105"/>
  <c r="R39" i="105"/>
  <c r="R31" i="105"/>
  <c r="R27" i="105"/>
  <c r="R23" i="105"/>
  <c r="R19" i="105"/>
  <c r="R11" i="105"/>
  <c r="R7" i="105"/>
  <c r="R102" i="105"/>
  <c r="R98" i="105"/>
  <c r="R94" i="105"/>
  <c r="R86" i="105"/>
  <c r="R82" i="105"/>
  <c r="R78" i="105"/>
  <c r="R74" i="105"/>
  <c r="R66" i="105"/>
  <c r="R62" i="105"/>
  <c r="R58" i="105"/>
  <c r="R101" i="105"/>
  <c r="R89" i="105"/>
  <c r="R81" i="105"/>
  <c r="R69" i="105"/>
  <c r="R61" i="105"/>
  <c r="R93" i="105"/>
  <c r="R88" i="105"/>
  <c r="R73" i="105"/>
  <c r="R68" i="105"/>
  <c r="R54" i="105"/>
  <c r="R49" i="105"/>
  <c r="R44" i="105"/>
  <c r="R38" i="105"/>
  <c r="R34" i="105"/>
  <c r="R29" i="105"/>
  <c r="R24" i="105"/>
  <c r="R18" i="105"/>
  <c r="R14" i="105"/>
  <c r="R9" i="105"/>
  <c r="R97" i="105"/>
  <c r="R72" i="105"/>
  <c r="R57" i="105"/>
  <c r="R48" i="105"/>
  <c r="R37" i="105"/>
  <c r="R28" i="105"/>
  <c r="R17" i="105"/>
  <c r="R8" i="105"/>
  <c r="R96" i="105"/>
  <c r="R84" i="105"/>
  <c r="R76" i="105"/>
  <c r="R64" i="105"/>
  <c r="R56" i="105"/>
  <c r="R52" i="105"/>
  <c r="R46" i="105"/>
  <c r="R41" i="105"/>
  <c r="R36" i="105"/>
  <c r="R32" i="105"/>
  <c r="R26" i="105"/>
  <c r="R21" i="105"/>
  <c r="R16" i="105"/>
  <c r="R12" i="105"/>
  <c r="R6" i="105"/>
  <c r="R92" i="105"/>
  <c r="R77" i="105"/>
  <c r="R53" i="105"/>
  <c r="R42" i="105"/>
  <c r="R33" i="105"/>
  <c r="R22" i="105"/>
  <c r="R13" i="105"/>
  <c r="R104" i="105"/>
  <c r="L6" i="105"/>
  <c r="N6" i="105" s="1"/>
  <c r="M6" i="108" s="1"/>
  <c r="L9" i="105"/>
  <c r="N9" i="105" s="1"/>
  <c r="M9" i="108" s="1"/>
  <c r="L16" i="105"/>
  <c r="N16" i="105" s="1"/>
  <c r="M16" i="108" s="1"/>
  <c r="L19" i="105"/>
  <c r="N19" i="105" s="1"/>
  <c r="M19" i="108" s="1"/>
  <c r="L26" i="105"/>
  <c r="N26" i="105" s="1"/>
  <c r="M26" i="108" s="1"/>
  <c r="L29" i="105"/>
  <c r="N29" i="105" s="1"/>
  <c r="M29" i="108" s="1"/>
  <c r="L56" i="105"/>
  <c r="N56" i="105" s="1"/>
  <c r="M56" i="108" s="1"/>
  <c r="L59" i="105"/>
  <c r="N59" i="105" s="1"/>
  <c r="M59" i="108" s="1"/>
  <c r="L66" i="105"/>
  <c r="N66" i="105" s="1"/>
  <c r="M66" i="108" s="1"/>
  <c r="L69" i="105"/>
  <c r="N69" i="105" s="1"/>
  <c r="M69" i="108" s="1"/>
  <c r="L76" i="105"/>
  <c r="N76" i="105" s="1"/>
  <c r="M76" i="108" s="1"/>
  <c r="L79" i="105"/>
  <c r="N79" i="105" s="1"/>
  <c r="M79" i="108" s="1"/>
  <c r="L86" i="105"/>
  <c r="N86" i="105" s="1"/>
  <c r="M86" i="108" s="1"/>
  <c r="L89" i="105"/>
  <c r="N89" i="105" s="1"/>
  <c r="M89" i="108" s="1"/>
  <c r="L96" i="105"/>
  <c r="N96" i="105" s="1"/>
  <c r="M96" i="108" s="1"/>
  <c r="L99" i="105"/>
  <c r="N99" i="105" s="1"/>
  <c r="M99" i="108" s="1"/>
  <c r="L7" i="105"/>
  <c r="N7" i="105" s="1"/>
  <c r="M7" i="108" s="1"/>
  <c r="L10" i="105"/>
  <c r="N10" i="105" s="1"/>
  <c r="M10" i="108" s="1"/>
  <c r="L13" i="105"/>
  <c r="N13" i="105" s="1"/>
  <c r="M13" i="108" s="1"/>
  <c r="L17" i="105"/>
  <c r="N17" i="105" s="1"/>
  <c r="M17" i="108" s="1"/>
  <c r="L20" i="105"/>
  <c r="N20" i="105" s="1"/>
  <c r="M20" i="108" s="1"/>
  <c r="L27" i="105"/>
  <c r="N27" i="105" s="1"/>
  <c r="M27" i="108" s="1"/>
  <c r="L57" i="105"/>
  <c r="N57" i="105" s="1"/>
  <c r="M57" i="108" s="1"/>
  <c r="L63" i="105"/>
  <c r="N63" i="105" s="1"/>
  <c r="M63" i="108" s="1"/>
  <c r="L70" i="105"/>
  <c r="N70" i="105" s="1"/>
  <c r="M70" i="108" s="1"/>
  <c r="L77" i="105"/>
  <c r="N77" i="105" s="1"/>
  <c r="M77" i="108" s="1"/>
  <c r="L83" i="105"/>
  <c r="N83" i="105" s="1"/>
  <c r="M83" i="108" s="1"/>
  <c r="L90" i="105"/>
  <c r="N90" i="105" s="1"/>
  <c r="M90" i="108" s="1"/>
  <c r="L97" i="105"/>
  <c r="N97" i="105" s="1"/>
  <c r="M97" i="108" s="1"/>
  <c r="L23" i="105"/>
  <c r="N23" i="105" s="1"/>
  <c r="M23" i="108" s="1"/>
  <c r="L60" i="105"/>
  <c r="N60" i="105" s="1"/>
  <c r="M60" i="108" s="1"/>
  <c r="L67" i="105"/>
  <c r="N67" i="105" s="1"/>
  <c r="M67" i="108" s="1"/>
  <c r="L73" i="105"/>
  <c r="N73" i="105" s="1"/>
  <c r="M73" i="108" s="1"/>
  <c r="L80" i="105"/>
  <c r="N80" i="105" s="1"/>
  <c r="M80" i="108" s="1"/>
  <c r="L87" i="105"/>
  <c r="N87" i="105" s="1"/>
  <c r="M87" i="108" s="1"/>
  <c r="L93" i="105"/>
  <c r="N93" i="105" s="1"/>
  <c r="M93" i="108" s="1"/>
  <c r="L100" i="105"/>
  <c r="N100" i="105" s="1"/>
  <c r="M100" i="108" s="1"/>
  <c r="L14" i="105"/>
  <c r="N14" i="105" s="1"/>
  <c r="M14" i="108" s="1"/>
  <c r="L21" i="105"/>
  <c r="N21" i="105" s="1"/>
  <c r="M21" i="108" s="1"/>
  <c r="L61" i="105"/>
  <c r="N61" i="105" s="1"/>
  <c r="M61" i="108" s="1"/>
  <c r="L74" i="105"/>
  <c r="N74" i="105" s="1"/>
  <c r="M74" i="108" s="1"/>
  <c r="L81" i="105"/>
  <c r="N81" i="105" s="1"/>
  <c r="M81" i="108" s="1"/>
  <c r="L94" i="105"/>
  <c r="N94" i="105" s="1"/>
  <c r="M94" i="108" s="1"/>
  <c r="L101" i="105"/>
  <c r="N101" i="105" s="1"/>
  <c r="M101" i="108" s="1"/>
  <c r="L5" i="105"/>
  <c r="N5" i="105" s="1"/>
  <c r="M5" i="108" s="1"/>
  <c r="L8" i="105"/>
  <c r="N8" i="105" s="1"/>
  <c r="M8" i="108" s="1"/>
  <c r="L15" i="105"/>
  <c r="N15" i="105" s="1"/>
  <c r="M15" i="108" s="1"/>
  <c r="L22" i="105"/>
  <c r="N22" i="105" s="1"/>
  <c r="M22" i="108" s="1"/>
  <c r="L28" i="105"/>
  <c r="N28" i="105" s="1"/>
  <c r="M28" i="108" s="1"/>
  <c r="L55" i="105"/>
  <c r="N55" i="105" s="1"/>
  <c r="M55" i="108" s="1"/>
  <c r="L62" i="105"/>
  <c r="N62" i="105" s="1"/>
  <c r="M62" i="108" s="1"/>
  <c r="L68" i="105"/>
  <c r="N68" i="105" s="1"/>
  <c r="M68" i="108" s="1"/>
  <c r="L75" i="105"/>
  <c r="N75" i="105" s="1"/>
  <c r="M75" i="108" s="1"/>
  <c r="L82" i="105"/>
  <c r="N82" i="105" s="1"/>
  <c r="M82" i="108" s="1"/>
  <c r="L88" i="105"/>
  <c r="N88" i="105" s="1"/>
  <c r="M88" i="108" s="1"/>
  <c r="L95" i="105"/>
  <c r="N95" i="105" s="1"/>
  <c r="M95" i="108" s="1"/>
  <c r="L102" i="105"/>
  <c r="N102" i="105" s="1"/>
  <c r="M102" i="108" s="1"/>
  <c r="L64" i="105"/>
  <c r="N64" i="105" s="1"/>
  <c r="M64" i="108" s="1"/>
  <c r="L91" i="105"/>
  <c r="N91" i="105" s="1"/>
  <c r="M91" i="108" s="1"/>
  <c r="L12" i="105"/>
  <c r="N12" i="105" s="1"/>
  <c r="M12" i="108" s="1"/>
  <c r="L18" i="105"/>
  <c r="N18" i="105" s="1"/>
  <c r="M18" i="108" s="1"/>
  <c r="L58" i="105"/>
  <c r="N58" i="105" s="1"/>
  <c r="M58" i="108" s="1"/>
  <c r="L72" i="105"/>
  <c r="N72" i="105" s="1"/>
  <c r="M72" i="108" s="1"/>
  <c r="L85" i="105"/>
  <c r="N85" i="105" s="1"/>
  <c r="M85" i="108" s="1"/>
  <c r="L98" i="105"/>
  <c r="N98" i="105" s="1"/>
  <c r="M98" i="108" s="1"/>
  <c r="L11" i="105"/>
  <c r="N11" i="105" s="1"/>
  <c r="M11" i="108" s="1"/>
  <c r="L24" i="105"/>
  <c r="N24" i="105" s="1"/>
  <c r="M24" i="108" s="1"/>
  <c r="L71" i="105"/>
  <c r="N71" i="105" s="1"/>
  <c r="M71" i="108" s="1"/>
  <c r="L84" i="105"/>
  <c r="N84" i="105" s="1"/>
  <c r="M84" i="108" s="1"/>
  <c r="L103" i="105"/>
  <c r="N103" i="105" s="1"/>
  <c r="M103" i="108" s="1"/>
  <c r="L25" i="105"/>
  <c r="N25" i="105" s="1"/>
  <c r="M25" i="108" s="1"/>
  <c r="L65" i="105"/>
  <c r="N65" i="105" s="1"/>
  <c r="M65" i="108" s="1"/>
  <c r="L78" i="105"/>
  <c r="N78" i="105" s="1"/>
  <c r="M78" i="108" s="1"/>
  <c r="L92" i="105"/>
  <c r="N92" i="105" s="1"/>
  <c r="M92" i="108" s="1"/>
  <c r="L104" i="105"/>
  <c r="N104" i="105" s="1"/>
  <c r="M104" i="108" s="1"/>
  <c r="G19" i="104"/>
  <c r="G21" i="104"/>
  <c r="I23" i="104"/>
  <c r="H26" i="104"/>
  <c r="I31" i="104"/>
  <c r="G20" i="104"/>
  <c r="H21" i="104"/>
  <c r="I22" i="104"/>
  <c r="G24" i="104"/>
  <c r="H25" i="104"/>
  <c r="I26" i="104"/>
  <c r="G28" i="104"/>
  <c r="AD17" i="102"/>
  <c r="H29" i="104"/>
  <c r="I30" i="104"/>
  <c r="G32" i="104"/>
  <c r="I19" i="104"/>
  <c r="G25" i="104"/>
  <c r="I27" i="104"/>
  <c r="H30" i="104"/>
  <c r="H20" i="104"/>
  <c r="I21" i="104"/>
  <c r="G23" i="104"/>
  <c r="H24" i="104"/>
  <c r="I25" i="104"/>
  <c r="G27" i="104"/>
  <c r="H28" i="104"/>
  <c r="AE17" i="102"/>
  <c r="I29" i="104"/>
  <c r="G31" i="104"/>
  <c r="H32" i="104"/>
  <c r="H22" i="104"/>
  <c r="G29" i="104"/>
  <c r="H19" i="104"/>
  <c r="I20" i="104"/>
  <c r="G22" i="104"/>
  <c r="H23" i="104"/>
  <c r="I24" i="104"/>
  <c r="G26" i="104"/>
  <c r="H27" i="104"/>
  <c r="AF17" i="102"/>
  <c r="I28" i="104"/>
  <c r="G30" i="104"/>
  <c r="H31" i="104"/>
  <c r="I32" i="104"/>
  <c r="J72" i="103"/>
  <c r="G44" i="103"/>
  <c r="G45" i="103"/>
  <c r="G47" i="103"/>
  <c r="J38" i="103"/>
  <c r="M44" i="103"/>
  <c r="K46" i="103"/>
  <c r="L46" i="103"/>
  <c r="J43" i="103"/>
  <c r="J36" i="103"/>
  <c r="N36" i="103"/>
  <c r="J40" i="103"/>
  <c r="N40" i="103"/>
  <c r="N44" i="103"/>
  <c r="J39" i="103"/>
  <c r="L40" i="103"/>
  <c r="P21" i="103"/>
  <c r="P5" i="103" s="1"/>
  <c r="P25" i="103"/>
  <c r="P9" i="103" s="1"/>
  <c r="K44" i="103"/>
  <c r="L44" i="103"/>
  <c r="P29" i="103"/>
  <c r="P13" i="103" s="1"/>
  <c r="K48" i="103"/>
  <c r="L48" i="103"/>
  <c r="L36" i="103"/>
  <c r="G46" i="103"/>
  <c r="G48" i="103"/>
  <c r="K35" i="103"/>
  <c r="J42" i="103"/>
  <c r="L38" i="103"/>
  <c r="P23" i="103"/>
  <c r="P7" i="103" s="1"/>
  <c r="P39" i="103" s="1"/>
  <c r="P27" i="103"/>
  <c r="P11" i="103" s="1"/>
  <c r="P31" i="103"/>
  <c r="P15" i="103" s="1"/>
  <c r="O20" i="103"/>
  <c r="O4" i="103" s="1"/>
  <c r="O36" i="103" s="1"/>
  <c r="O26" i="103"/>
  <c r="O10" i="103" s="1"/>
  <c r="O42" i="103" s="1"/>
  <c r="O30" i="103"/>
  <c r="O14" i="103" s="1"/>
  <c r="O46" i="103" s="1"/>
  <c r="P20" i="103"/>
  <c r="P4" i="103" s="1"/>
  <c r="P36" i="103" s="1"/>
  <c r="P22" i="103"/>
  <c r="P6" i="103" s="1"/>
  <c r="P24" i="103"/>
  <c r="P8" i="103" s="1"/>
  <c r="P26" i="103"/>
  <c r="P10" i="103" s="1"/>
  <c r="P42" i="103" s="1"/>
  <c r="P28" i="103"/>
  <c r="P12" i="103" s="1"/>
  <c r="P30" i="103"/>
  <c r="P14" i="103" s="1"/>
  <c r="P32" i="103"/>
  <c r="P16" i="103" s="1"/>
  <c r="P48" i="103" s="1"/>
  <c r="O22" i="103"/>
  <c r="O6" i="103" s="1"/>
  <c r="O38" i="103" s="1"/>
  <c r="O28" i="103"/>
  <c r="O12" i="103" s="1"/>
  <c r="O21" i="103"/>
  <c r="O5" i="103" s="1"/>
  <c r="O23" i="103"/>
  <c r="O7" i="103" s="1"/>
  <c r="O39" i="103" s="1"/>
  <c r="O25" i="103"/>
  <c r="O9" i="103" s="1"/>
  <c r="O41" i="103" s="1"/>
  <c r="O27" i="103"/>
  <c r="O11" i="103" s="1"/>
  <c r="O29" i="103"/>
  <c r="O13" i="103" s="1"/>
  <c r="O31" i="103"/>
  <c r="O15" i="103" s="1"/>
  <c r="O47" i="103" s="1"/>
  <c r="N3" i="103"/>
  <c r="N35" i="103" s="1"/>
  <c r="N7" i="103"/>
  <c r="N39" i="103" s="1"/>
  <c r="N11" i="103"/>
  <c r="N43" i="103" s="1"/>
  <c r="N15" i="103"/>
  <c r="N47" i="103" s="1"/>
  <c r="O24" i="103"/>
  <c r="O8" i="103" s="1"/>
  <c r="O40" i="103" s="1"/>
  <c r="N5" i="103"/>
  <c r="N37" i="103" s="1"/>
  <c r="N9" i="103"/>
  <c r="N41" i="103" s="1"/>
  <c r="N13" i="103"/>
  <c r="N45" i="103" s="1"/>
  <c r="X110" i="102"/>
  <c r="X114" i="102"/>
  <c r="X115" i="102"/>
  <c r="L103" i="108" l="1"/>
  <c r="L90" i="108"/>
  <c r="L92" i="108"/>
  <c r="L72" i="108"/>
  <c r="L88" i="108"/>
  <c r="L73" i="108"/>
  <c r="L91" i="108"/>
  <c r="L68" i="108"/>
  <c r="L56" i="108"/>
  <c r="L97" i="108"/>
  <c r="L22" i="108"/>
  <c r="L8" i="108"/>
  <c r="L58" i="108"/>
  <c r="L29" i="108"/>
  <c r="L13" i="108"/>
  <c r="L61" i="108"/>
  <c r="L15" i="108"/>
  <c r="L100" i="108"/>
  <c r="L86" i="108"/>
  <c r="L89" i="108"/>
  <c r="L69" i="108"/>
  <c r="L87" i="108"/>
  <c r="L65" i="108"/>
  <c r="L81" i="108"/>
  <c r="L64" i="108"/>
  <c r="L95" i="108"/>
  <c r="L21" i="108"/>
  <c r="L98" i="108"/>
  <c r="L85" i="108"/>
  <c r="L25" i="108"/>
  <c r="L70" i="108"/>
  <c r="L28" i="108"/>
  <c r="L24" i="108"/>
  <c r="L11" i="108"/>
  <c r="L12" i="108"/>
  <c r="L26" i="108"/>
  <c r="L96" i="108"/>
  <c r="L102" i="108"/>
  <c r="L82" i="108"/>
  <c r="L62" i="108"/>
  <c r="L78" i="108"/>
  <c r="L57" i="108"/>
  <c r="L77" i="108"/>
  <c r="L63" i="108"/>
  <c r="L67" i="108"/>
  <c r="L18" i="108"/>
  <c r="L94" i="108"/>
  <c r="L80" i="108"/>
  <c r="L17" i="108"/>
  <c r="L55" i="108"/>
  <c r="L27" i="108"/>
  <c r="L19" i="108"/>
  <c r="L7" i="108"/>
  <c r="L23" i="108"/>
  <c r="L71" i="108"/>
  <c r="L10" i="108"/>
  <c r="L93" i="108"/>
  <c r="L99" i="108"/>
  <c r="L79" i="108"/>
  <c r="L101" i="108"/>
  <c r="L74" i="108"/>
  <c r="L76" i="108"/>
  <c r="L60" i="108"/>
  <c r="L104" i="108"/>
  <c r="L66" i="108"/>
  <c r="L14" i="108"/>
  <c r="L59" i="108"/>
  <c r="L75" i="108"/>
  <c r="L16" i="108"/>
  <c r="L84" i="108"/>
  <c r="L5" i="108"/>
  <c r="L83" i="108"/>
  <c r="L6" i="108"/>
  <c r="L20" i="108"/>
  <c r="L9" i="108"/>
  <c r="Q104" i="105"/>
  <c r="S104" i="105" s="1"/>
  <c r="U104" i="108" s="1"/>
  <c r="Q25" i="105"/>
  <c r="S25" i="105" s="1"/>
  <c r="U25" i="108" s="1"/>
  <c r="Q24" i="105"/>
  <c r="S24" i="105" s="1"/>
  <c r="U24" i="108" s="1"/>
  <c r="Q72" i="105"/>
  <c r="S72" i="105" s="1"/>
  <c r="U72" i="108" s="1"/>
  <c r="Q91" i="105"/>
  <c r="S91" i="105" s="1"/>
  <c r="U91" i="108" s="1"/>
  <c r="Q88" i="105"/>
  <c r="S88" i="105" s="1"/>
  <c r="U88" i="108" s="1"/>
  <c r="Q62" i="105"/>
  <c r="S62" i="105" s="1"/>
  <c r="U62" i="108" s="1"/>
  <c r="Q15" i="105"/>
  <c r="S15" i="105" s="1"/>
  <c r="U15" i="108" s="1"/>
  <c r="Q94" i="105"/>
  <c r="S94" i="105" s="1"/>
  <c r="U94" i="108" s="1"/>
  <c r="Q21" i="105"/>
  <c r="S21" i="105" s="1"/>
  <c r="U21" i="108" s="1"/>
  <c r="Q87" i="105"/>
  <c r="S87" i="105" s="1"/>
  <c r="U87" i="108" s="1"/>
  <c r="Q60" i="105"/>
  <c r="S60" i="105" s="1"/>
  <c r="U60" i="108" s="1"/>
  <c r="Q83" i="105"/>
  <c r="S83" i="105" s="1"/>
  <c r="U83" i="108" s="1"/>
  <c r="Q57" i="105"/>
  <c r="S57" i="105" s="1"/>
  <c r="U57" i="108" s="1"/>
  <c r="Q13" i="105"/>
  <c r="S13" i="105" s="1"/>
  <c r="U13" i="108" s="1"/>
  <c r="Q96" i="105"/>
  <c r="S96" i="105" s="1"/>
  <c r="U96" i="108" s="1"/>
  <c r="Q76" i="105"/>
  <c r="S76" i="105" s="1"/>
  <c r="U76" i="108" s="1"/>
  <c r="Q56" i="105"/>
  <c r="S56" i="105" s="1"/>
  <c r="U56" i="108" s="1"/>
  <c r="Q16" i="105"/>
  <c r="S16" i="105" s="1"/>
  <c r="U16" i="108" s="1"/>
  <c r="Q92" i="105"/>
  <c r="S92" i="105" s="1"/>
  <c r="U92" i="108" s="1"/>
  <c r="Q103" i="105"/>
  <c r="S103" i="105" s="1"/>
  <c r="U103" i="108" s="1"/>
  <c r="Q11" i="105"/>
  <c r="S11" i="105" s="1"/>
  <c r="U11" i="108" s="1"/>
  <c r="Q58" i="105"/>
  <c r="S58" i="105" s="1"/>
  <c r="U58" i="108" s="1"/>
  <c r="Q64" i="105"/>
  <c r="S64" i="105" s="1"/>
  <c r="U64" i="108" s="1"/>
  <c r="Q82" i="105"/>
  <c r="S82" i="105" s="1"/>
  <c r="U82" i="108" s="1"/>
  <c r="Q55" i="105"/>
  <c r="S55" i="105" s="1"/>
  <c r="U55" i="108" s="1"/>
  <c r="Q8" i="105"/>
  <c r="S8" i="105" s="1"/>
  <c r="U8" i="108" s="1"/>
  <c r="Q81" i="105"/>
  <c r="S81" i="105" s="1"/>
  <c r="U81" i="108" s="1"/>
  <c r="Q14" i="105"/>
  <c r="S14" i="105" s="1"/>
  <c r="U14" i="108" s="1"/>
  <c r="Q80" i="105"/>
  <c r="S80" i="105" s="1"/>
  <c r="U80" i="108" s="1"/>
  <c r="Q23" i="105"/>
  <c r="S23" i="105" s="1"/>
  <c r="U23" i="108" s="1"/>
  <c r="Q77" i="105"/>
  <c r="S77" i="105" s="1"/>
  <c r="U77" i="108" s="1"/>
  <c r="Q27" i="105"/>
  <c r="S27" i="105" s="1"/>
  <c r="U27" i="108" s="1"/>
  <c r="Q10" i="105"/>
  <c r="S10" i="105" s="1"/>
  <c r="U10" i="108" s="1"/>
  <c r="Q89" i="105"/>
  <c r="S89" i="105" s="1"/>
  <c r="U89" i="108" s="1"/>
  <c r="Q69" i="105"/>
  <c r="S69" i="105" s="1"/>
  <c r="U69" i="108" s="1"/>
  <c r="Q29" i="105"/>
  <c r="S29" i="105" s="1"/>
  <c r="U29" i="108" s="1"/>
  <c r="Q9" i="105"/>
  <c r="S9" i="105" s="1"/>
  <c r="U9" i="108" s="1"/>
  <c r="Q78" i="105"/>
  <c r="S78" i="105" s="1"/>
  <c r="U78" i="108" s="1"/>
  <c r="Q84" i="105"/>
  <c r="S84" i="105" s="1"/>
  <c r="U84" i="108" s="1"/>
  <c r="Q98" i="105"/>
  <c r="S98" i="105" s="1"/>
  <c r="U98" i="108" s="1"/>
  <c r="Q18" i="105"/>
  <c r="S18" i="105" s="1"/>
  <c r="U18" i="108" s="1"/>
  <c r="Q102" i="105"/>
  <c r="S102" i="105" s="1"/>
  <c r="U102" i="108" s="1"/>
  <c r="Q75" i="105"/>
  <c r="S75" i="105" s="1"/>
  <c r="U75" i="108" s="1"/>
  <c r="Q28" i="105"/>
  <c r="S28" i="105" s="1"/>
  <c r="U28" i="108" s="1"/>
  <c r="Q5" i="105"/>
  <c r="S5" i="105" s="1"/>
  <c r="U5" i="108" s="1"/>
  <c r="Q74" i="105"/>
  <c r="S74" i="105" s="1"/>
  <c r="U74" i="108" s="1"/>
  <c r="Q100" i="105"/>
  <c r="S100" i="105" s="1"/>
  <c r="U100" i="108" s="1"/>
  <c r="Q73" i="105"/>
  <c r="S73" i="105" s="1"/>
  <c r="U73" i="108" s="1"/>
  <c r="Q97" i="105"/>
  <c r="S97" i="105" s="1"/>
  <c r="U97" i="108" s="1"/>
  <c r="Q70" i="105"/>
  <c r="S70" i="105" s="1"/>
  <c r="U70" i="108" s="1"/>
  <c r="Q20" i="105"/>
  <c r="S20" i="105" s="1"/>
  <c r="U20" i="108" s="1"/>
  <c r="Q7" i="105"/>
  <c r="S7" i="105" s="1"/>
  <c r="U7" i="108" s="1"/>
  <c r="Q86" i="105"/>
  <c r="S86" i="105" s="1"/>
  <c r="U86" i="108" s="1"/>
  <c r="Q66" i="105"/>
  <c r="S66" i="105" s="1"/>
  <c r="U66" i="108" s="1"/>
  <c r="Q26" i="105"/>
  <c r="S26" i="105" s="1"/>
  <c r="U26" i="108" s="1"/>
  <c r="Q6" i="105"/>
  <c r="S6" i="105" s="1"/>
  <c r="U6" i="108" s="1"/>
  <c r="Q65" i="105"/>
  <c r="S65" i="105" s="1"/>
  <c r="U65" i="108" s="1"/>
  <c r="Q71" i="105"/>
  <c r="S71" i="105" s="1"/>
  <c r="U71" i="108" s="1"/>
  <c r="Q85" i="105"/>
  <c r="S85" i="105" s="1"/>
  <c r="U85" i="108" s="1"/>
  <c r="Q12" i="105"/>
  <c r="S12" i="105" s="1"/>
  <c r="U12" i="108" s="1"/>
  <c r="Q95" i="105"/>
  <c r="S95" i="105" s="1"/>
  <c r="U95" i="108" s="1"/>
  <c r="Q68" i="105"/>
  <c r="S68" i="105" s="1"/>
  <c r="U68" i="108" s="1"/>
  <c r="Q22" i="105"/>
  <c r="S22" i="105" s="1"/>
  <c r="U22" i="108" s="1"/>
  <c r="Q101" i="105"/>
  <c r="S101" i="105" s="1"/>
  <c r="U101" i="108" s="1"/>
  <c r="Q61" i="105"/>
  <c r="S61" i="105" s="1"/>
  <c r="U61" i="108" s="1"/>
  <c r="Q93" i="105"/>
  <c r="S93" i="105" s="1"/>
  <c r="U93" i="108" s="1"/>
  <c r="Q67" i="105"/>
  <c r="S67" i="105" s="1"/>
  <c r="U67" i="108" s="1"/>
  <c r="Q90" i="105"/>
  <c r="S90" i="105" s="1"/>
  <c r="U90" i="108" s="1"/>
  <c r="Q63" i="105"/>
  <c r="S63" i="105" s="1"/>
  <c r="U63" i="108" s="1"/>
  <c r="Q17" i="105"/>
  <c r="S17" i="105" s="1"/>
  <c r="U17" i="108" s="1"/>
  <c r="Q99" i="105"/>
  <c r="S99" i="105" s="1"/>
  <c r="U99" i="108" s="1"/>
  <c r="Q79" i="105"/>
  <c r="S79" i="105" s="1"/>
  <c r="U79" i="108" s="1"/>
  <c r="Q59" i="105"/>
  <c r="S59" i="105" s="1"/>
  <c r="U59" i="108" s="1"/>
  <c r="Q19" i="105"/>
  <c r="S19" i="105" s="1"/>
  <c r="U19" i="108" s="1"/>
  <c r="J69" i="103"/>
  <c r="J52" i="103" s="1"/>
  <c r="K72" i="103"/>
  <c r="O45" i="103"/>
  <c r="O37" i="103"/>
  <c r="P46" i="103"/>
  <c r="P38" i="103"/>
  <c r="P47" i="103"/>
  <c r="P45" i="103"/>
  <c r="P41" i="103"/>
  <c r="P40" i="103"/>
  <c r="O43" i="103"/>
  <c r="O44" i="103"/>
  <c r="P44" i="103"/>
  <c r="P43" i="103"/>
  <c r="O35" i="103"/>
  <c r="P37" i="103"/>
  <c r="AC174" i="102"/>
  <c r="AX14" i="108" s="1"/>
  <c r="AC132" i="102"/>
  <c r="AX9" i="108" s="1"/>
  <c r="AQ9" i="108" l="1"/>
  <c r="AO9" i="105"/>
  <c r="AH9" i="105" s="1"/>
  <c r="AQ14" i="108"/>
  <c r="AO14" i="105"/>
  <c r="AH14" i="105" s="1"/>
  <c r="AC142" i="102"/>
  <c r="AQ10" i="108" s="1"/>
  <c r="L72" i="103"/>
  <c r="K69" i="103"/>
  <c r="K52" i="103" s="1"/>
  <c r="J63" i="103"/>
  <c r="J59" i="103"/>
  <c r="J55" i="103"/>
  <c r="J62" i="103"/>
  <c r="J64" i="103"/>
  <c r="J60" i="103"/>
  <c r="J56" i="103"/>
  <c r="J58" i="103"/>
  <c r="J65" i="103"/>
  <c r="J61" i="103"/>
  <c r="J57" i="103"/>
  <c r="J53" i="103"/>
  <c r="J54" i="103"/>
  <c r="X13" i="102"/>
  <c r="X207" i="102"/>
  <c r="X206" i="102"/>
  <c r="X205" i="102"/>
  <c r="X204" i="102"/>
  <c r="X203" i="102"/>
  <c r="X202" i="102"/>
  <c r="X201" i="102"/>
  <c r="X200" i="102"/>
  <c r="X199" i="102"/>
  <c r="X198" i="102"/>
  <c r="X197" i="102"/>
  <c r="X196" i="102"/>
  <c r="X195" i="102"/>
  <c r="X194" i="102"/>
  <c r="X193" i="102"/>
  <c r="X165" i="102"/>
  <c r="X164" i="102"/>
  <c r="X158" i="102"/>
  <c r="X157" i="102"/>
  <c r="X156" i="102"/>
  <c r="X155" i="102"/>
  <c r="X192" i="102"/>
  <c r="X191" i="102"/>
  <c r="X190" i="102"/>
  <c r="X189" i="102"/>
  <c r="X188" i="102"/>
  <c r="X187" i="102"/>
  <c r="X186" i="102"/>
  <c r="X185" i="102"/>
  <c r="X184" i="102"/>
  <c r="X183" i="102"/>
  <c r="X182" i="102"/>
  <c r="X181" i="102"/>
  <c r="X180" i="102"/>
  <c r="X179" i="102"/>
  <c r="X178" i="102"/>
  <c r="X177" i="102"/>
  <c r="X176" i="102"/>
  <c r="X174" i="102"/>
  <c r="X173" i="102"/>
  <c r="X172" i="102"/>
  <c r="X171" i="102"/>
  <c r="X170" i="102"/>
  <c r="X169" i="102"/>
  <c r="X168" i="102"/>
  <c r="X167" i="102"/>
  <c r="X166" i="102"/>
  <c r="X154" i="102"/>
  <c r="X153" i="102"/>
  <c r="X152" i="102"/>
  <c r="X151" i="102"/>
  <c r="X150" i="102"/>
  <c r="X149" i="102"/>
  <c r="X148" i="102"/>
  <c r="X147" i="102"/>
  <c r="X146" i="102"/>
  <c r="X145" i="102"/>
  <c r="X144" i="102"/>
  <c r="X143" i="102"/>
  <c r="X142" i="102"/>
  <c r="X139" i="102"/>
  <c r="X138" i="102"/>
  <c r="X137" i="102"/>
  <c r="X136" i="102"/>
  <c r="X135" i="102"/>
  <c r="X134" i="102"/>
  <c r="X133" i="102"/>
  <c r="X132" i="102"/>
  <c r="X131" i="102"/>
  <c r="X130" i="102"/>
  <c r="X129" i="102"/>
  <c r="X128" i="102"/>
  <c r="X127" i="102"/>
  <c r="X126" i="102"/>
  <c r="X125" i="102"/>
  <c r="X124" i="102"/>
  <c r="X123" i="102"/>
  <c r="X122" i="102"/>
  <c r="X121" i="102"/>
  <c r="X120" i="102"/>
  <c r="X119" i="102"/>
  <c r="X92" i="102"/>
  <c r="X91" i="102"/>
  <c r="X90" i="102"/>
  <c r="X89" i="102"/>
  <c r="X88" i="102"/>
  <c r="X87" i="102"/>
  <c r="X86" i="102"/>
  <c r="X85" i="102"/>
  <c r="X84" i="102"/>
  <c r="X83" i="102"/>
  <c r="X82" i="102"/>
  <c r="X81" i="102"/>
  <c r="X80" i="102"/>
  <c r="X105" i="102"/>
  <c r="X104" i="102"/>
  <c r="X103" i="102"/>
  <c r="X102" i="102"/>
  <c r="X101" i="102"/>
  <c r="X100" i="102"/>
  <c r="X99" i="102"/>
  <c r="X98" i="102"/>
  <c r="X97" i="102"/>
  <c r="X96" i="102"/>
  <c r="X95" i="102"/>
  <c r="X94" i="102"/>
  <c r="X93" i="102"/>
  <c r="X66" i="102"/>
  <c r="X65" i="102"/>
  <c r="X64" i="102"/>
  <c r="X57" i="102"/>
  <c r="X56" i="102"/>
  <c r="X55" i="102"/>
  <c r="X54" i="102"/>
  <c r="X79" i="102"/>
  <c r="X78" i="102"/>
  <c r="X77" i="102"/>
  <c r="X70" i="102"/>
  <c r="X69" i="102"/>
  <c r="X68" i="102"/>
  <c r="X67" i="102"/>
  <c r="X118" i="102"/>
  <c r="X117" i="102"/>
  <c r="X116" i="102"/>
  <c r="X113" i="102"/>
  <c r="X112" i="102"/>
  <c r="X111" i="102"/>
  <c r="X109" i="102"/>
  <c r="X108" i="102"/>
  <c r="X107" i="102"/>
  <c r="X106" i="102"/>
  <c r="X53" i="102"/>
  <c r="X52" i="102"/>
  <c r="X51" i="102"/>
  <c r="X50" i="102"/>
  <c r="X49" i="102"/>
  <c r="X36" i="102"/>
  <c r="X35" i="102"/>
  <c r="X34" i="102"/>
  <c r="X33" i="102"/>
  <c r="X32" i="102"/>
  <c r="X31" i="102"/>
  <c r="X30" i="102"/>
  <c r="X29" i="102"/>
  <c r="X27" i="102"/>
  <c r="X26" i="102"/>
  <c r="X25" i="102"/>
  <c r="X24" i="102"/>
  <c r="X23" i="102"/>
  <c r="X9" i="102"/>
  <c r="X22" i="102"/>
  <c r="X21" i="102"/>
  <c r="X28" i="102"/>
  <c r="X20" i="102"/>
  <c r="X19" i="102"/>
  <c r="X18" i="102"/>
  <c r="X17" i="102"/>
  <c r="X16" i="102"/>
  <c r="X15" i="102"/>
  <c r="X14" i="102"/>
  <c r="X12" i="102"/>
  <c r="X11" i="102"/>
  <c r="X10" i="102"/>
  <c r="X7" i="102"/>
  <c r="X6" i="102"/>
  <c r="X5" i="102"/>
  <c r="X4" i="102"/>
  <c r="AM36" i="102"/>
  <c r="AL36" i="102"/>
  <c r="AK36" i="102"/>
  <c r="AJ36" i="102"/>
  <c r="AI36" i="102"/>
  <c r="AH36" i="102"/>
  <c r="AG36" i="102"/>
  <c r="AF36" i="102"/>
  <c r="AE36" i="102"/>
  <c r="AD36" i="102"/>
  <c r="AC36" i="102"/>
  <c r="AF102" i="108" l="1"/>
  <c r="AF78" i="108"/>
  <c r="AF50" i="108"/>
  <c r="AF93" i="108"/>
  <c r="AF65" i="108"/>
  <c r="AF37" i="108"/>
  <c r="AF80" i="108"/>
  <c r="AF52" i="108"/>
  <c r="AF103" i="108"/>
  <c r="AF75" i="108"/>
  <c r="AF47" i="108"/>
  <c r="AF94" i="108"/>
  <c r="AF64" i="108"/>
  <c r="AF79" i="108"/>
  <c r="AF82" i="108"/>
  <c r="AF73" i="108"/>
  <c r="AF60" i="108"/>
  <c r="AF49" i="108"/>
  <c r="AF98" i="108"/>
  <c r="AF70" i="108"/>
  <c r="AF42" i="108"/>
  <c r="AF85" i="108"/>
  <c r="AF57" i="108"/>
  <c r="AF33" i="108"/>
  <c r="AF100" i="108"/>
  <c r="AF72" i="108"/>
  <c r="AF48" i="108"/>
  <c r="AF20" i="108"/>
  <c r="AF95" i="108"/>
  <c r="AF67" i="108"/>
  <c r="AF43" i="108"/>
  <c r="AF15" i="108"/>
  <c r="AF74" i="108"/>
  <c r="AF89" i="108"/>
  <c r="AF44" i="108"/>
  <c r="AF59" i="108"/>
  <c r="AF58" i="108"/>
  <c r="AF45" i="108"/>
  <c r="AF88" i="108"/>
  <c r="AF83" i="108"/>
  <c r="AF5" i="108"/>
  <c r="AF84" i="108"/>
  <c r="AF90" i="108"/>
  <c r="AF62" i="108"/>
  <c r="AF38" i="108"/>
  <c r="AF10" i="108"/>
  <c r="AF77" i="108"/>
  <c r="AF53" i="108"/>
  <c r="AF25" i="108"/>
  <c r="AF92" i="108"/>
  <c r="AF68" i="108"/>
  <c r="AF40" i="108"/>
  <c r="AF87" i="108"/>
  <c r="AF63" i="108"/>
  <c r="AF35" i="108"/>
  <c r="AF54" i="108"/>
  <c r="AF69" i="108"/>
  <c r="AF104" i="108"/>
  <c r="AF39" i="108"/>
  <c r="AF30" i="108"/>
  <c r="AF97" i="108"/>
  <c r="AF32" i="108"/>
  <c r="AF55" i="108"/>
  <c r="AF34" i="108"/>
  <c r="AF99" i="108"/>
  <c r="W101" i="108"/>
  <c r="W97" i="108"/>
  <c r="W93" i="108"/>
  <c r="W89" i="108"/>
  <c r="W81" i="108"/>
  <c r="W77" i="108"/>
  <c r="W73" i="108"/>
  <c r="W69" i="108"/>
  <c r="W61" i="108"/>
  <c r="W57" i="108"/>
  <c r="W53" i="108"/>
  <c r="W49" i="108"/>
  <c r="W41" i="108"/>
  <c r="W37" i="108"/>
  <c r="W33" i="108"/>
  <c r="W29" i="108"/>
  <c r="W21" i="108"/>
  <c r="W17" i="108"/>
  <c r="W13" i="108"/>
  <c r="W9" i="108"/>
  <c r="W104" i="108"/>
  <c r="W96" i="108"/>
  <c r="W92" i="108"/>
  <c r="W88" i="108"/>
  <c r="W84" i="108"/>
  <c r="W76" i="108"/>
  <c r="W72" i="108"/>
  <c r="W68" i="108"/>
  <c r="W64" i="108"/>
  <c r="W56" i="108"/>
  <c r="W52" i="108"/>
  <c r="W48" i="108"/>
  <c r="W44" i="108"/>
  <c r="W36" i="108"/>
  <c r="W32" i="108"/>
  <c r="W28" i="108"/>
  <c r="W24" i="108"/>
  <c r="W16" i="108"/>
  <c r="W12" i="108"/>
  <c r="W8" i="108"/>
  <c r="W103" i="108"/>
  <c r="W99" i="108"/>
  <c r="W91" i="108"/>
  <c r="W87" i="108"/>
  <c r="W83" i="108"/>
  <c r="W79" i="108"/>
  <c r="W71" i="108"/>
  <c r="W67" i="108"/>
  <c r="W63" i="108"/>
  <c r="W59" i="108"/>
  <c r="W51" i="108"/>
  <c r="W47" i="108"/>
  <c r="W43" i="108"/>
  <c r="W39" i="108"/>
  <c r="W31" i="108"/>
  <c r="W27" i="108"/>
  <c r="W23" i="108"/>
  <c r="W19" i="108"/>
  <c r="W11" i="108"/>
  <c r="W7" i="108"/>
  <c r="W102" i="108"/>
  <c r="W98" i="108"/>
  <c r="W94" i="108"/>
  <c r="W86" i="108"/>
  <c r="W82" i="108"/>
  <c r="W78" i="108"/>
  <c r="W74" i="108"/>
  <c r="W66" i="108"/>
  <c r="W62" i="108"/>
  <c r="W58" i="108"/>
  <c r="W54" i="108"/>
  <c r="W46" i="108"/>
  <c r="W42" i="108"/>
  <c r="W38" i="108"/>
  <c r="W34" i="108"/>
  <c r="W26" i="108"/>
  <c r="W22" i="108"/>
  <c r="W18" i="108"/>
  <c r="W14" i="108"/>
  <c r="W6" i="108"/>
  <c r="W85" i="108"/>
  <c r="W65" i="108"/>
  <c r="W45" i="108"/>
  <c r="W25" i="108"/>
  <c r="W5" i="108"/>
  <c r="W100" i="108"/>
  <c r="W80" i="108"/>
  <c r="W60" i="108"/>
  <c r="W40" i="108"/>
  <c r="W20" i="108"/>
  <c r="W95" i="108"/>
  <c r="W75" i="108"/>
  <c r="W55" i="108"/>
  <c r="W35" i="108"/>
  <c r="W15" i="108"/>
  <c r="W90" i="108"/>
  <c r="W70" i="108"/>
  <c r="W50" i="108"/>
  <c r="W30" i="108"/>
  <c r="W10" i="108"/>
  <c r="AF86" i="108"/>
  <c r="AF66" i="108"/>
  <c r="AF46" i="108"/>
  <c r="AF101" i="108"/>
  <c r="AF81" i="108"/>
  <c r="AF61" i="108"/>
  <c r="AF41" i="108"/>
  <c r="AF96" i="108"/>
  <c r="AF76" i="108"/>
  <c r="AF56" i="108"/>
  <c r="AF36" i="108"/>
  <c r="AF91" i="108"/>
  <c r="AF71" i="108"/>
  <c r="AF51" i="108"/>
  <c r="AF31" i="108"/>
  <c r="L52" i="108"/>
  <c r="L48" i="108"/>
  <c r="L44" i="108"/>
  <c r="L40" i="108"/>
  <c r="L36" i="108"/>
  <c r="L50" i="108"/>
  <c r="L45" i="108"/>
  <c r="L39" i="108"/>
  <c r="L34" i="108"/>
  <c r="L30" i="108"/>
  <c r="L54" i="108"/>
  <c r="L49" i="108"/>
  <c r="L43" i="108"/>
  <c r="L38" i="108"/>
  <c r="L33" i="108"/>
  <c r="L46" i="108"/>
  <c r="L35" i="108"/>
  <c r="L53" i="108"/>
  <c r="L42" i="108"/>
  <c r="L32" i="108"/>
  <c r="L51" i="108"/>
  <c r="L31" i="108"/>
  <c r="L47" i="108"/>
  <c r="L37" i="108"/>
  <c r="L41" i="108"/>
  <c r="AH10" i="105"/>
  <c r="L53" i="105"/>
  <c r="N53" i="105" s="1"/>
  <c r="M53" i="108" s="1"/>
  <c r="L49" i="105"/>
  <c r="N49" i="105" s="1"/>
  <c r="M49" i="108" s="1"/>
  <c r="L45" i="105"/>
  <c r="N45" i="105" s="1"/>
  <c r="M45" i="108" s="1"/>
  <c r="L41" i="105"/>
  <c r="N41" i="105" s="1"/>
  <c r="M41" i="108" s="1"/>
  <c r="L37" i="105"/>
  <c r="N37" i="105" s="1"/>
  <c r="M37" i="108" s="1"/>
  <c r="L33" i="105"/>
  <c r="N33" i="105" s="1"/>
  <c r="M33" i="108" s="1"/>
  <c r="L48" i="105"/>
  <c r="N48" i="105" s="1"/>
  <c r="M48" i="108" s="1"/>
  <c r="L40" i="105"/>
  <c r="N40" i="105" s="1"/>
  <c r="M40" i="108" s="1"/>
  <c r="L32" i="105"/>
  <c r="N32" i="105" s="1"/>
  <c r="M32" i="108" s="1"/>
  <c r="L51" i="105"/>
  <c r="N51" i="105" s="1"/>
  <c r="M51" i="108" s="1"/>
  <c r="L47" i="105"/>
  <c r="N47" i="105" s="1"/>
  <c r="M47" i="108" s="1"/>
  <c r="L43" i="105"/>
  <c r="N43" i="105" s="1"/>
  <c r="M43" i="108" s="1"/>
  <c r="L39" i="105"/>
  <c r="N39" i="105" s="1"/>
  <c r="M39" i="108" s="1"/>
  <c r="L35" i="105"/>
  <c r="N35" i="105" s="1"/>
  <c r="M35" i="108" s="1"/>
  <c r="L31" i="105"/>
  <c r="N31" i="105" s="1"/>
  <c r="M31" i="108" s="1"/>
  <c r="L54" i="105"/>
  <c r="N54" i="105" s="1"/>
  <c r="M54" i="108" s="1"/>
  <c r="L50" i="105"/>
  <c r="N50" i="105" s="1"/>
  <c r="M50" i="108" s="1"/>
  <c r="L46" i="105"/>
  <c r="N46" i="105" s="1"/>
  <c r="M46" i="108" s="1"/>
  <c r="L42" i="105"/>
  <c r="N42" i="105" s="1"/>
  <c r="M42" i="108" s="1"/>
  <c r="L38" i="105"/>
  <c r="N38" i="105" s="1"/>
  <c r="M38" i="108" s="1"/>
  <c r="L34" i="105"/>
  <c r="N34" i="105" s="1"/>
  <c r="M34" i="108" s="1"/>
  <c r="L30" i="105"/>
  <c r="N30" i="105" s="1"/>
  <c r="M30" i="108" s="1"/>
  <c r="L52" i="105"/>
  <c r="N52" i="105" s="1"/>
  <c r="M52" i="108" s="1"/>
  <c r="L44" i="105"/>
  <c r="N44" i="105" s="1"/>
  <c r="M44" i="108" s="1"/>
  <c r="L36" i="105"/>
  <c r="N36" i="105" s="1"/>
  <c r="M36" i="108" s="1"/>
  <c r="AC5" i="105"/>
  <c r="AC65" i="105"/>
  <c r="AC25" i="105"/>
  <c r="AC70" i="105"/>
  <c r="AC75" i="105"/>
  <c r="AC80" i="105"/>
  <c r="AC60" i="105"/>
  <c r="AC85" i="105"/>
  <c r="AC90" i="105"/>
  <c r="AC10" i="105"/>
  <c r="AC95" i="105"/>
  <c r="AC55" i="105"/>
  <c r="AC15" i="105"/>
  <c r="AC100" i="105"/>
  <c r="AC20" i="105"/>
  <c r="M72" i="103"/>
  <c r="L69" i="103"/>
  <c r="L52" i="103" s="1"/>
  <c r="K64" i="103"/>
  <c r="K60" i="103"/>
  <c r="K56" i="103"/>
  <c r="K63" i="103"/>
  <c r="K55" i="103"/>
  <c r="K65" i="103"/>
  <c r="K61" i="103"/>
  <c r="K57" i="103"/>
  <c r="K53" i="103"/>
  <c r="K62" i="103"/>
  <c r="K58" i="103"/>
  <c r="K54" i="103"/>
  <c r="K59" i="103"/>
  <c r="N37" i="108" l="1"/>
  <c r="P37" i="108" s="1"/>
  <c r="N49" i="108"/>
  <c r="P49" i="108" s="1"/>
  <c r="N47" i="108"/>
  <c r="P47" i="108" s="1"/>
  <c r="N42" i="108"/>
  <c r="P42" i="108" s="1"/>
  <c r="N33" i="108"/>
  <c r="P33" i="108" s="1"/>
  <c r="N54" i="108"/>
  <c r="P54" i="108" s="1"/>
  <c r="N45" i="108"/>
  <c r="P45" i="108" s="1"/>
  <c r="N44" i="108"/>
  <c r="P44" i="108" s="1"/>
  <c r="N104" i="108"/>
  <c r="P104" i="108" s="1"/>
  <c r="N61" i="108"/>
  <c r="P61" i="108" s="1"/>
  <c r="N59" i="108"/>
  <c r="P59" i="108" s="1"/>
  <c r="N27" i="108"/>
  <c r="P27" i="108" s="1"/>
  <c r="N12" i="108"/>
  <c r="P12" i="108" s="1"/>
  <c r="N86" i="108"/>
  <c r="P86" i="108" s="1"/>
  <c r="N92" i="108"/>
  <c r="P92" i="108" s="1"/>
  <c r="N28" i="108"/>
  <c r="P28" i="108" s="1"/>
  <c r="N84" i="108"/>
  <c r="P84" i="108" s="1"/>
  <c r="N23" i="108"/>
  <c r="P23" i="108" s="1"/>
  <c r="N102" i="108"/>
  <c r="P102" i="108" s="1"/>
  <c r="N87" i="108"/>
  <c r="P87" i="108" s="1"/>
  <c r="N73" i="108"/>
  <c r="P73" i="108" s="1"/>
  <c r="N80" i="108"/>
  <c r="P80" i="108" s="1"/>
  <c r="N6" i="108"/>
  <c r="P6" i="108" s="1"/>
  <c r="N93" i="108"/>
  <c r="P93" i="108" s="1"/>
  <c r="N78" i="108"/>
  <c r="P78" i="108" s="1"/>
  <c r="N64" i="108"/>
  <c r="P64" i="108" s="1"/>
  <c r="N56" i="108"/>
  <c r="P56" i="108" s="1"/>
  <c r="N71" i="108"/>
  <c r="P71" i="108" s="1"/>
  <c r="N65" i="108"/>
  <c r="P65" i="108" s="1"/>
  <c r="N20" i="108"/>
  <c r="P20" i="108" s="1"/>
  <c r="N57" i="108"/>
  <c r="P57" i="108" s="1"/>
  <c r="N101" i="108"/>
  <c r="P101" i="108" s="1"/>
  <c r="N67" i="108"/>
  <c r="P67" i="108" s="1"/>
  <c r="N19" i="108"/>
  <c r="P19" i="108" s="1"/>
  <c r="N72" i="108"/>
  <c r="P72" i="108" s="1"/>
  <c r="N60" i="108"/>
  <c r="P60" i="108" s="1"/>
  <c r="N94" i="108"/>
  <c r="P94" i="108" s="1"/>
  <c r="N70" i="108"/>
  <c r="P70" i="108" s="1"/>
  <c r="N13" i="108"/>
  <c r="P13" i="108" s="1"/>
  <c r="N75" i="108"/>
  <c r="P75" i="108" s="1"/>
  <c r="N89" i="108"/>
  <c r="P89" i="108" s="1"/>
  <c r="N14" i="108"/>
  <c r="P14" i="108" s="1"/>
  <c r="N55" i="108"/>
  <c r="P55" i="108" s="1"/>
  <c r="N11" i="108"/>
  <c r="P11" i="108" s="1"/>
  <c r="N100" i="108"/>
  <c r="P100" i="108" s="1"/>
  <c r="N90" i="108"/>
  <c r="P90" i="108" s="1"/>
  <c r="N26" i="108"/>
  <c r="P26" i="108" s="1"/>
  <c r="N16" i="108"/>
  <c r="P16" i="108" s="1"/>
  <c r="N7" i="108"/>
  <c r="P7" i="108" s="1"/>
  <c r="N96" i="108"/>
  <c r="P96" i="108" s="1"/>
  <c r="N69" i="108"/>
  <c r="P69" i="108" s="1"/>
  <c r="N88" i="108"/>
  <c r="P88" i="108" s="1"/>
  <c r="N5" i="108"/>
  <c r="P5" i="108" s="1"/>
  <c r="N91" i="108"/>
  <c r="P91" i="108" s="1"/>
  <c r="N63" i="108"/>
  <c r="P63" i="108" s="1"/>
  <c r="N95" i="108"/>
  <c r="P95" i="108" s="1"/>
  <c r="N74" i="108"/>
  <c r="P74" i="108" s="1"/>
  <c r="N58" i="108"/>
  <c r="P58" i="108" s="1"/>
  <c r="N62" i="108"/>
  <c r="P62" i="108" s="1"/>
  <c r="N9" i="108"/>
  <c r="P9" i="108" s="1"/>
  <c r="N79" i="108"/>
  <c r="P79" i="108" s="1"/>
  <c r="N77" i="108"/>
  <c r="P77" i="108" s="1"/>
  <c r="N21" i="108"/>
  <c r="P21" i="108" s="1"/>
  <c r="N22" i="108"/>
  <c r="P22" i="108" s="1"/>
  <c r="N10" i="108"/>
  <c r="P10" i="108" s="1"/>
  <c r="N68" i="108"/>
  <c r="P68" i="108" s="1"/>
  <c r="N76" i="108"/>
  <c r="P76" i="108" s="1"/>
  <c r="N18" i="108"/>
  <c r="P18" i="108" s="1"/>
  <c r="N25" i="108"/>
  <c r="P25" i="108" s="1"/>
  <c r="N29" i="108"/>
  <c r="P29" i="108" s="1"/>
  <c r="N83" i="108"/>
  <c r="P83" i="108" s="1"/>
  <c r="N81" i="108"/>
  <c r="P81" i="108" s="1"/>
  <c r="N66" i="108"/>
  <c r="P66" i="108" s="1"/>
  <c r="N17" i="108"/>
  <c r="P17" i="108" s="1"/>
  <c r="N24" i="108"/>
  <c r="P24" i="108" s="1"/>
  <c r="N15" i="108"/>
  <c r="P15" i="108" s="1"/>
  <c r="N103" i="108"/>
  <c r="P103" i="108" s="1"/>
  <c r="N98" i="108"/>
  <c r="P98" i="108" s="1"/>
  <c r="N82" i="108"/>
  <c r="P82" i="108" s="1"/>
  <c r="N99" i="108"/>
  <c r="P99" i="108" s="1"/>
  <c r="N97" i="108"/>
  <c r="P97" i="108" s="1"/>
  <c r="N8" i="108"/>
  <c r="P8" i="108" s="1"/>
  <c r="N85" i="108"/>
  <c r="P85" i="108" s="1"/>
  <c r="N46" i="108"/>
  <c r="P46" i="108" s="1"/>
  <c r="N40" i="108"/>
  <c r="P40" i="108" s="1"/>
  <c r="N31" i="108"/>
  <c r="P31" i="108" s="1"/>
  <c r="N53" i="108"/>
  <c r="P53" i="108" s="1"/>
  <c r="N38" i="108"/>
  <c r="P38" i="108" s="1"/>
  <c r="N30" i="108"/>
  <c r="P30" i="108" s="1"/>
  <c r="N50" i="108"/>
  <c r="P50" i="108" s="1"/>
  <c r="N48" i="108"/>
  <c r="P48" i="108" s="1"/>
  <c r="N32" i="108"/>
  <c r="P32" i="108" s="1"/>
  <c r="N39" i="108"/>
  <c r="P39" i="108" s="1"/>
  <c r="N41" i="108"/>
  <c r="P41" i="108" s="1"/>
  <c r="N51" i="108"/>
  <c r="P51" i="108" s="1"/>
  <c r="N35" i="108"/>
  <c r="P35" i="108" s="1"/>
  <c r="N43" i="108"/>
  <c r="P43" i="108" s="1"/>
  <c r="N34" i="108"/>
  <c r="P34" i="108" s="1"/>
  <c r="N36" i="108"/>
  <c r="P36" i="108" s="1"/>
  <c r="N52" i="108"/>
  <c r="P52" i="108" s="1"/>
  <c r="Q35" i="105"/>
  <c r="S35" i="105" s="1"/>
  <c r="U35" i="108" s="1"/>
  <c r="Q49" i="105"/>
  <c r="S49" i="105" s="1"/>
  <c r="U49" i="108" s="1"/>
  <c r="Q34" i="105"/>
  <c r="S34" i="105" s="1"/>
  <c r="U34" i="108" s="1"/>
  <c r="Q39" i="105"/>
  <c r="S39" i="105" s="1"/>
  <c r="U39" i="108" s="1"/>
  <c r="Q32" i="105"/>
  <c r="S32" i="105" s="1"/>
  <c r="U32" i="108" s="1"/>
  <c r="Q37" i="105"/>
  <c r="S37" i="105" s="1"/>
  <c r="U37" i="108" s="1"/>
  <c r="Q53" i="105"/>
  <c r="S53" i="105" s="1"/>
  <c r="U53" i="108" s="1"/>
  <c r="Q46" i="105"/>
  <c r="S46" i="105" s="1"/>
  <c r="U46" i="108" s="1"/>
  <c r="Q33" i="105"/>
  <c r="S33" i="105" s="1"/>
  <c r="U33" i="108" s="1"/>
  <c r="Q36" i="105"/>
  <c r="S36" i="105" s="1"/>
  <c r="U36" i="108" s="1"/>
  <c r="Q44" i="105"/>
  <c r="S44" i="105" s="1"/>
  <c r="U44" i="108" s="1"/>
  <c r="Q54" i="105"/>
  <c r="S54" i="105" s="1"/>
  <c r="U54" i="108" s="1"/>
  <c r="Q41" i="105"/>
  <c r="S41" i="105" s="1"/>
  <c r="U41" i="108" s="1"/>
  <c r="Q30" i="105"/>
  <c r="S30" i="105" s="1"/>
  <c r="U30" i="108" s="1"/>
  <c r="Q51" i="105"/>
  <c r="S51" i="105" s="1"/>
  <c r="U51" i="108" s="1"/>
  <c r="Q50" i="105"/>
  <c r="S50" i="105" s="1"/>
  <c r="U50" i="108" s="1"/>
  <c r="Q38" i="105"/>
  <c r="S38" i="105" s="1"/>
  <c r="U38" i="108" s="1"/>
  <c r="Q43" i="105"/>
  <c r="S43" i="105" s="1"/>
  <c r="U43" i="108" s="1"/>
  <c r="Q40" i="105"/>
  <c r="S40" i="105" s="1"/>
  <c r="U40" i="108" s="1"/>
  <c r="Q52" i="105"/>
  <c r="S52" i="105" s="1"/>
  <c r="U52" i="108" s="1"/>
  <c r="Q42" i="105"/>
  <c r="S42" i="105" s="1"/>
  <c r="U42" i="108" s="1"/>
  <c r="Q31" i="105"/>
  <c r="S31" i="105" s="1"/>
  <c r="U31" i="108" s="1"/>
  <c r="Q47" i="105"/>
  <c r="S47" i="105" s="1"/>
  <c r="U47" i="108" s="1"/>
  <c r="Q48" i="105"/>
  <c r="S48" i="105" s="1"/>
  <c r="U48" i="108" s="1"/>
  <c r="Q45" i="105"/>
  <c r="S45" i="105" s="1"/>
  <c r="U45" i="108" s="1"/>
  <c r="W66" i="105"/>
  <c r="W82" i="105"/>
  <c r="W93" i="105"/>
  <c r="W88" i="105"/>
  <c r="W29" i="105"/>
  <c r="W63" i="105"/>
  <c r="W24" i="105"/>
  <c r="W104" i="105"/>
  <c r="W58" i="105"/>
  <c r="W96" i="105"/>
  <c r="W91" i="105"/>
  <c r="W102" i="105"/>
  <c r="W28" i="105"/>
  <c r="W59" i="105"/>
  <c r="W83" i="105"/>
  <c r="W78" i="105"/>
  <c r="W9" i="105"/>
  <c r="W103" i="105"/>
  <c r="W98" i="105"/>
  <c r="W81" i="105"/>
  <c r="W12" i="105"/>
  <c r="W23" i="105"/>
  <c r="W77" i="105"/>
  <c r="W18" i="105"/>
  <c r="W72" i="105"/>
  <c r="W7" i="105"/>
  <c r="W101" i="105"/>
  <c r="W13" i="105"/>
  <c r="W67" i="105"/>
  <c r="W8" i="105"/>
  <c r="W62" i="105"/>
  <c r="W6" i="105"/>
  <c r="W73" i="105"/>
  <c r="W68" i="105"/>
  <c r="W79" i="105"/>
  <c r="W97" i="105"/>
  <c r="W74" i="105"/>
  <c r="W92" i="105"/>
  <c r="W61" i="105"/>
  <c r="W89" i="105"/>
  <c r="W84" i="105"/>
  <c r="W87" i="105"/>
  <c r="W76" i="105"/>
  <c r="W71" i="105"/>
  <c r="W86" i="105"/>
  <c r="W17" i="105"/>
  <c r="W69" i="105"/>
  <c r="W64" i="105"/>
  <c r="W56" i="105"/>
  <c r="W27" i="105"/>
  <c r="W22" i="105"/>
  <c r="W19" i="105"/>
  <c r="W99" i="105"/>
  <c r="W57" i="105"/>
  <c r="W14" i="105"/>
  <c r="W94" i="105"/>
  <c r="W26" i="105"/>
  <c r="W21" i="105"/>
  <c r="W16" i="105"/>
  <c r="W11" i="105"/>
  <c r="L65" i="103"/>
  <c r="L61" i="103"/>
  <c r="L57" i="103"/>
  <c r="L53" i="103"/>
  <c r="L64" i="103"/>
  <c r="L60" i="103"/>
  <c r="L62" i="103"/>
  <c r="L58" i="103"/>
  <c r="L54" i="103"/>
  <c r="L56" i="103"/>
  <c r="L63" i="103"/>
  <c r="L59" i="103"/>
  <c r="L55" i="103"/>
  <c r="N72" i="103"/>
  <c r="M69" i="103"/>
  <c r="M52" i="103" s="1"/>
  <c r="T48" i="108" l="1"/>
  <c r="T34" i="108"/>
  <c r="T79" i="108"/>
  <c r="T28" i="108"/>
  <c r="T57" i="108"/>
  <c r="T95" i="108"/>
  <c r="T6" i="108"/>
  <c r="T93" i="108"/>
  <c r="T78" i="108"/>
  <c r="T7" i="108"/>
  <c r="T69" i="108"/>
  <c r="T83" i="108"/>
  <c r="T76" i="108"/>
  <c r="T29" i="108"/>
  <c r="T89" i="108"/>
  <c r="T65" i="108"/>
  <c r="T81" i="108"/>
  <c r="T84" i="108"/>
  <c r="T23" i="108"/>
  <c r="T73" i="108"/>
  <c r="T16" i="108"/>
  <c r="T88" i="108"/>
  <c r="T70" i="108"/>
  <c r="T85" i="108"/>
  <c r="T80" i="108"/>
  <c r="T27" i="108"/>
  <c r="T12" i="108"/>
  <c r="T92" i="108"/>
  <c r="T63" i="108"/>
  <c r="T61" i="108"/>
  <c r="T11" i="108"/>
  <c r="T17" i="108"/>
  <c r="T24" i="108"/>
  <c r="T103" i="108"/>
  <c r="T62" i="108"/>
  <c r="T72" i="108"/>
  <c r="T68" i="108"/>
  <c r="T58" i="108"/>
  <c r="T39" i="108"/>
  <c r="T46" i="108"/>
  <c r="T53" i="108"/>
  <c r="T30" i="108"/>
  <c r="T45" i="108"/>
  <c r="T37" i="108"/>
  <c r="T42" i="108"/>
  <c r="T40" i="108"/>
  <c r="T32" i="108"/>
  <c r="T35" i="108"/>
  <c r="T31" i="108"/>
  <c r="T50" i="108"/>
  <c r="T41" i="108"/>
  <c r="T52" i="108"/>
  <c r="T36" i="108"/>
  <c r="T44" i="108"/>
  <c r="T51" i="108"/>
  <c r="T43" i="108"/>
  <c r="T33" i="108"/>
  <c r="T49" i="108"/>
  <c r="T10" i="108"/>
  <c r="T59" i="108"/>
  <c r="T86" i="108"/>
  <c r="T18" i="108"/>
  <c r="T25" i="108"/>
  <c r="T56" i="108"/>
  <c r="T26" i="108"/>
  <c r="T94" i="108"/>
  <c r="T99" i="108"/>
  <c r="T96" i="108"/>
  <c r="T9" i="108"/>
  <c r="T21" i="108"/>
  <c r="T87" i="108"/>
  <c r="T66" i="108"/>
  <c r="T75" i="108"/>
  <c r="T104" i="108"/>
  <c r="T101" i="108"/>
  <c r="T98" i="108"/>
  <c r="T8" i="108"/>
  <c r="T5" i="108"/>
  <c r="T71" i="108"/>
  <c r="T82" i="108"/>
  <c r="T91" i="108"/>
  <c r="T14" i="108"/>
  <c r="T55" i="108"/>
  <c r="T100" i="108"/>
  <c r="T90" i="108"/>
  <c r="T74" i="108"/>
  <c r="T67" i="108"/>
  <c r="T64" i="108"/>
  <c r="T19" i="108"/>
  <c r="T60" i="108"/>
  <c r="T13" i="108"/>
  <c r="T20" i="108"/>
  <c r="T97" i="108"/>
  <c r="T77" i="108"/>
  <c r="T22" i="108"/>
  <c r="T102" i="108"/>
  <c r="T15" i="108"/>
  <c r="T47" i="108"/>
  <c r="T54" i="108"/>
  <c r="T38" i="108"/>
  <c r="Y94" i="105"/>
  <c r="Y71" i="105"/>
  <c r="Y6" i="105"/>
  <c r="Y78" i="105"/>
  <c r="Y88" i="105"/>
  <c r="Y14" i="105"/>
  <c r="Y22" i="105"/>
  <c r="Y69" i="105"/>
  <c r="Y76" i="105"/>
  <c r="Y61" i="105"/>
  <c r="Y79" i="105"/>
  <c r="Y62" i="105"/>
  <c r="Y101" i="105"/>
  <c r="Y77" i="105"/>
  <c r="Y98" i="105"/>
  <c r="Y83" i="105"/>
  <c r="Y91" i="105"/>
  <c r="Y24" i="105"/>
  <c r="Y93" i="105"/>
  <c r="Y64" i="105"/>
  <c r="Y97" i="105"/>
  <c r="Y18" i="105"/>
  <c r="Y102" i="105"/>
  <c r="Y57" i="105"/>
  <c r="Y27" i="105"/>
  <c r="Y17" i="105"/>
  <c r="Y87" i="105"/>
  <c r="Y92" i="105"/>
  <c r="Y68" i="105"/>
  <c r="Y8" i="105"/>
  <c r="Y7" i="105"/>
  <c r="Y23" i="105"/>
  <c r="Y103" i="105"/>
  <c r="Y59" i="105"/>
  <c r="Y96" i="105"/>
  <c r="Y63" i="105"/>
  <c r="Y82" i="105"/>
  <c r="Y19" i="105"/>
  <c r="Y89" i="105"/>
  <c r="Y13" i="105"/>
  <c r="Y81" i="105"/>
  <c r="Y104" i="105"/>
  <c r="Y99" i="105"/>
  <c r="Y56" i="105"/>
  <c r="Y86" i="105"/>
  <c r="Y84" i="105"/>
  <c r="Y74" i="105"/>
  <c r="Y73" i="105"/>
  <c r="Y67" i="105"/>
  <c r="Y72" i="105"/>
  <c r="Y12" i="105"/>
  <c r="Y9" i="105"/>
  <c r="Y28" i="105"/>
  <c r="Y58" i="105"/>
  <c r="Y29" i="105"/>
  <c r="Y66" i="105"/>
  <c r="Y26" i="105"/>
  <c r="Y21" i="105"/>
  <c r="Y16" i="105"/>
  <c r="Y11" i="105"/>
  <c r="W52" i="105"/>
  <c r="W37" i="105"/>
  <c r="W34" i="105"/>
  <c r="AC45" i="105"/>
  <c r="W42" i="105"/>
  <c r="AC50" i="105"/>
  <c r="W53" i="105"/>
  <c r="W36" i="105"/>
  <c r="W54" i="105"/>
  <c r="W46" i="105"/>
  <c r="W43" i="105"/>
  <c r="AC40" i="105"/>
  <c r="W33" i="105"/>
  <c r="AC35" i="105"/>
  <c r="AC30" i="105"/>
  <c r="W31" i="105"/>
  <c r="W41" i="105"/>
  <c r="W38" i="105"/>
  <c r="AC27" i="105"/>
  <c r="AC24" i="105"/>
  <c r="M62" i="103"/>
  <c r="M58" i="103"/>
  <c r="M54" i="103"/>
  <c r="M53" i="103"/>
  <c r="M63" i="103"/>
  <c r="M59" i="103"/>
  <c r="M55" i="103"/>
  <c r="M61" i="103"/>
  <c r="M64" i="103"/>
  <c r="M60" i="103"/>
  <c r="M56" i="103"/>
  <c r="M65" i="103"/>
  <c r="M57" i="103"/>
  <c r="O72" i="103"/>
  <c r="N69" i="103"/>
  <c r="N52" i="103" s="1"/>
  <c r="AD66" i="105" l="1"/>
  <c r="AD66" i="108"/>
  <c r="AC56" i="105"/>
  <c r="AD56" i="108"/>
  <c r="AC23" i="105"/>
  <c r="AD23" i="108"/>
  <c r="AD83" i="105"/>
  <c r="AD83" i="108"/>
  <c r="AD78" i="105"/>
  <c r="AD78" i="108"/>
  <c r="AC16" i="105"/>
  <c r="AD16" i="108"/>
  <c r="AD29" i="105"/>
  <c r="AD29" i="108"/>
  <c r="AD12" i="105"/>
  <c r="AD12" i="108"/>
  <c r="AD74" i="105"/>
  <c r="AD74" i="108"/>
  <c r="AD99" i="105"/>
  <c r="AD99" i="108"/>
  <c r="AD89" i="105"/>
  <c r="AD89" i="108"/>
  <c r="AC96" i="105"/>
  <c r="AD96" i="108"/>
  <c r="AD7" i="105"/>
  <c r="AD7" i="108"/>
  <c r="AD87" i="105"/>
  <c r="AD87" i="108"/>
  <c r="AD102" i="105"/>
  <c r="AD102" i="108"/>
  <c r="AD93" i="105"/>
  <c r="AD93" i="108"/>
  <c r="AD98" i="105"/>
  <c r="AD98" i="108"/>
  <c r="AD79" i="105"/>
  <c r="AD79" i="108"/>
  <c r="AD22" i="105"/>
  <c r="AD22" i="108"/>
  <c r="AD6" i="105"/>
  <c r="AD6" i="108"/>
  <c r="AD9" i="105"/>
  <c r="AD9" i="108"/>
  <c r="AC13" i="105"/>
  <c r="AD13" i="108"/>
  <c r="AD92" i="105"/>
  <c r="AD92" i="108"/>
  <c r="AD64" i="105"/>
  <c r="AD64" i="108"/>
  <c r="AD62" i="105"/>
  <c r="AD62" i="108"/>
  <c r="AD21" i="105"/>
  <c r="AD21" i="108"/>
  <c r="AC58" i="105"/>
  <c r="AD58" i="108"/>
  <c r="AC72" i="105"/>
  <c r="AD72" i="108"/>
  <c r="AD84" i="105"/>
  <c r="AD84" i="108"/>
  <c r="AC104" i="105"/>
  <c r="AD104" i="108"/>
  <c r="AC19" i="105"/>
  <c r="AD19" i="108"/>
  <c r="AC59" i="105"/>
  <c r="AD59" i="108"/>
  <c r="AD8" i="105"/>
  <c r="AD8" i="108"/>
  <c r="AD17" i="105"/>
  <c r="AD17" i="108"/>
  <c r="AD18" i="105"/>
  <c r="AD18" i="108"/>
  <c r="AD24" i="105"/>
  <c r="AD24" i="108"/>
  <c r="AD77" i="105"/>
  <c r="AD77" i="108"/>
  <c r="AD61" i="105"/>
  <c r="AD61" i="108"/>
  <c r="AC14" i="105"/>
  <c r="AD14" i="108"/>
  <c r="AC71" i="105"/>
  <c r="AD71" i="108"/>
  <c r="AD11" i="105"/>
  <c r="AD11" i="108"/>
  <c r="AD73" i="105"/>
  <c r="AD73" i="108"/>
  <c r="AC63" i="105"/>
  <c r="AD63" i="108"/>
  <c r="AD57" i="105"/>
  <c r="AD57" i="108"/>
  <c r="AD69" i="105"/>
  <c r="AD69" i="108"/>
  <c r="AD26" i="105"/>
  <c r="AD26" i="108"/>
  <c r="AD28" i="105"/>
  <c r="AD28" i="108"/>
  <c r="AD67" i="105"/>
  <c r="AD67" i="108"/>
  <c r="AD86" i="105"/>
  <c r="AD86" i="108"/>
  <c r="AD81" i="105"/>
  <c r="AD81" i="108"/>
  <c r="AD82" i="105"/>
  <c r="AD82" i="108"/>
  <c r="AD103" i="105"/>
  <c r="AD103" i="108"/>
  <c r="AD68" i="105"/>
  <c r="AD68" i="108"/>
  <c r="AD27" i="105"/>
  <c r="AD27" i="108"/>
  <c r="AD97" i="105"/>
  <c r="AD97" i="108"/>
  <c r="AD91" i="105"/>
  <c r="AD91" i="108"/>
  <c r="AD101" i="105"/>
  <c r="AD101" i="108"/>
  <c r="AD76" i="105"/>
  <c r="AD76" i="108"/>
  <c r="AD88" i="105"/>
  <c r="AD88" i="108"/>
  <c r="AD94" i="105"/>
  <c r="AD94" i="108"/>
  <c r="V20" i="108"/>
  <c r="X20" i="108" s="1"/>
  <c r="V82" i="108"/>
  <c r="X82" i="108" s="1"/>
  <c r="AC82" i="108" s="1"/>
  <c r="V66" i="108"/>
  <c r="X66" i="108" s="1"/>
  <c r="AC66" i="108" s="1"/>
  <c r="V96" i="108"/>
  <c r="X96" i="108" s="1"/>
  <c r="AC96" i="108" s="1"/>
  <c r="V43" i="108"/>
  <c r="X43" i="108" s="1"/>
  <c r="V35" i="108"/>
  <c r="X35" i="108" s="1"/>
  <c r="V46" i="108"/>
  <c r="X46" i="108" s="1"/>
  <c r="AC46" i="108" s="1"/>
  <c r="V17" i="108"/>
  <c r="X17" i="108" s="1"/>
  <c r="AC17" i="108" s="1"/>
  <c r="V92" i="108"/>
  <c r="X92" i="108" s="1"/>
  <c r="V73" i="108"/>
  <c r="X73" i="108" s="1"/>
  <c r="V65" i="108"/>
  <c r="X65" i="108" s="1"/>
  <c r="V83" i="108"/>
  <c r="X83" i="108" s="1"/>
  <c r="AC83" i="108" s="1"/>
  <c r="V28" i="108"/>
  <c r="X28" i="108" s="1"/>
  <c r="AC28" i="108" s="1"/>
  <c r="V54" i="108"/>
  <c r="X54" i="108" s="1"/>
  <c r="V22" i="108"/>
  <c r="X22" i="108" s="1"/>
  <c r="AC22" i="108" s="1"/>
  <c r="V13" i="108"/>
  <c r="X13" i="108" s="1"/>
  <c r="AC13" i="108" s="1"/>
  <c r="V67" i="108"/>
  <c r="X67" i="108" s="1"/>
  <c r="AC67" i="108" s="1"/>
  <c r="V55" i="108"/>
  <c r="X55" i="108" s="1"/>
  <c r="V71" i="108"/>
  <c r="X71" i="108" s="1"/>
  <c r="AC71" i="108" s="1"/>
  <c r="V101" i="108"/>
  <c r="X101" i="108" s="1"/>
  <c r="AC101" i="108" s="1"/>
  <c r="V87" i="108"/>
  <c r="X87" i="108" s="1"/>
  <c r="V99" i="108"/>
  <c r="X99" i="108" s="1"/>
  <c r="AC99" i="108" s="1"/>
  <c r="V25" i="108"/>
  <c r="X25" i="108" s="1"/>
  <c r="V10" i="108"/>
  <c r="X10" i="108" s="1"/>
  <c r="V51" i="108"/>
  <c r="X51" i="108" s="1"/>
  <c r="AC51" i="108" s="1"/>
  <c r="V41" i="108"/>
  <c r="X41" i="108" s="1"/>
  <c r="AC41" i="108" s="1"/>
  <c r="V32" i="108"/>
  <c r="X32" i="108" s="1"/>
  <c r="AC32" i="108" s="1"/>
  <c r="V45" i="108"/>
  <c r="X45" i="108" s="1"/>
  <c r="V39" i="108"/>
  <c r="X39" i="108" s="1"/>
  <c r="AC39" i="108" s="1"/>
  <c r="V62" i="108"/>
  <c r="X62" i="108" s="1"/>
  <c r="AC62" i="108" s="1"/>
  <c r="V11" i="108"/>
  <c r="X11" i="108" s="1"/>
  <c r="AC11" i="108" s="1"/>
  <c r="V12" i="108"/>
  <c r="X12" i="108" s="1"/>
  <c r="AC12" i="108" s="1"/>
  <c r="V70" i="108"/>
  <c r="X70" i="108" s="1"/>
  <c r="V23" i="108"/>
  <c r="X23" i="108" s="1"/>
  <c r="V89" i="108"/>
  <c r="X89" i="108" s="1"/>
  <c r="AC89" i="108" s="1"/>
  <c r="V69" i="108"/>
  <c r="X69" i="108" s="1"/>
  <c r="AC69" i="108" s="1"/>
  <c r="V6" i="108"/>
  <c r="X6" i="108" s="1"/>
  <c r="AC6" i="108" s="1"/>
  <c r="V79" i="108"/>
  <c r="X79" i="108" s="1"/>
  <c r="AC79" i="108" s="1"/>
  <c r="V38" i="108"/>
  <c r="X38" i="108" s="1"/>
  <c r="V64" i="108"/>
  <c r="X64" i="108" s="1"/>
  <c r="AC64" i="108" s="1"/>
  <c r="V59" i="108"/>
  <c r="X59" i="108" s="1"/>
  <c r="AC59" i="108" s="1"/>
  <c r="V85" i="108"/>
  <c r="X85" i="108" s="1"/>
  <c r="V47" i="108"/>
  <c r="X47" i="108" s="1"/>
  <c r="AC47" i="108" s="1"/>
  <c r="V77" i="108"/>
  <c r="X77" i="108" s="1"/>
  <c r="AC77" i="108" s="1"/>
  <c r="V60" i="108"/>
  <c r="X60" i="108" s="1"/>
  <c r="V74" i="108"/>
  <c r="X74" i="108" s="1"/>
  <c r="V14" i="108"/>
  <c r="X14" i="108" s="1"/>
  <c r="AC14" i="108" s="1"/>
  <c r="V5" i="108"/>
  <c r="X5" i="108" s="1"/>
  <c r="V104" i="108"/>
  <c r="X104" i="108" s="1"/>
  <c r="AC104" i="108" s="1"/>
  <c r="V21" i="108"/>
  <c r="X21" i="108" s="1"/>
  <c r="AC21" i="108" s="1"/>
  <c r="V94" i="108"/>
  <c r="X94" i="108" s="1"/>
  <c r="AC94" i="108" s="1"/>
  <c r="V18" i="108"/>
  <c r="X18" i="108" s="1"/>
  <c r="AC18" i="108" s="1"/>
  <c r="V49" i="108"/>
  <c r="X49" i="108" s="1"/>
  <c r="AC49" i="108" s="1"/>
  <c r="V44" i="108"/>
  <c r="X44" i="108" s="1"/>
  <c r="AC44" i="108" s="1"/>
  <c r="V50" i="108"/>
  <c r="X50" i="108" s="1"/>
  <c r="V40" i="108"/>
  <c r="X40" i="108" s="1"/>
  <c r="V30" i="108"/>
  <c r="X30" i="108" s="1"/>
  <c r="V58" i="108"/>
  <c r="X58" i="108" s="1"/>
  <c r="AC58" i="108" s="1"/>
  <c r="V103" i="108"/>
  <c r="X103" i="108" s="1"/>
  <c r="AC103" i="108" s="1"/>
  <c r="V61" i="108"/>
  <c r="X61" i="108" s="1"/>
  <c r="AC61" i="108" s="1"/>
  <c r="V27" i="108"/>
  <c r="X27" i="108" s="1"/>
  <c r="AC27" i="108" s="1"/>
  <c r="V88" i="108"/>
  <c r="X88" i="108" s="1"/>
  <c r="AC88" i="108" s="1"/>
  <c r="V84" i="108"/>
  <c r="X84" i="108" s="1"/>
  <c r="AC84" i="108" s="1"/>
  <c r="V29" i="108"/>
  <c r="X29" i="108" s="1"/>
  <c r="AC29" i="108" s="1"/>
  <c r="V7" i="108"/>
  <c r="X7" i="108" s="1"/>
  <c r="AC7" i="108" s="1"/>
  <c r="V95" i="108"/>
  <c r="X95" i="108" s="1"/>
  <c r="V34" i="108"/>
  <c r="X34" i="108" s="1"/>
  <c r="AC34" i="108" s="1"/>
  <c r="V102" i="108"/>
  <c r="X102" i="108" s="1"/>
  <c r="AC102" i="108" s="1"/>
  <c r="V100" i="108"/>
  <c r="X100" i="108" s="1"/>
  <c r="V98" i="108"/>
  <c r="X98" i="108" s="1"/>
  <c r="AC98" i="108" s="1"/>
  <c r="V56" i="108"/>
  <c r="X56" i="108" s="1"/>
  <c r="AC56" i="108" s="1"/>
  <c r="V52" i="108"/>
  <c r="X52" i="108" s="1"/>
  <c r="AC52" i="108" s="1"/>
  <c r="V37" i="108"/>
  <c r="X37" i="108" s="1"/>
  <c r="AC37" i="108" s="1"/>
  <c r="V72" i="108"/>
  <c r="X72" i="108" s="1"/>
  <c r="AC72" i="108" s="1"/>
  <c r="V93" i="108"/>
  <c r="X93" i="108" s="1"/>
  <c r="AC93" i="108" s="1"/>
  <c r="V15" i="108"/>
  <c r="X15" i="108" s="1"/>
  <c r="V97" i="108"/>
  <c r="X97" i="108" s="1"/>
  <c r="AC97" i="108" s="1"/>
  <c r="V19" i="108"/>
  <c r="X19" i="108" s="1"/>
  <c r="AC19" i="108" s="1"/>
  <c r="V90" i="108"/>
  <c r="X90" i="108" s="1"/>
  <c r="V91" i="108"/>
  <c r="X91" i="108" s="1"/>
  <c r="AC91" i="108" s="1"/>
  <c r="V8" i="108"/>
  <c r="X8" i="108" s="1"/>
  <c r="AC8" i="108" s="1"/>
  <c r="V75" i="108"/>
  <c r="X75" i="108" s="1"/>
  <c r="V9" i="108"/>
  <c r="X9" i="108" s="1"/>
  <c r="AC9" i="108" s="1"/>
  <c r="V26" i="108"/>
  <c r="X26" i="108" s="1"/>
  <c r="AC26" i="108" s="1"/>
  <c r="V86" i="108"/>
  <c r="X86" i="108" s="1"/>
  <c r="AC86" i="108" s="1"/>
  <c r="V33" i="108"/>
  <c r="X33" i="108" s="1"/>
  <c r="AC33" i="108" s="1"/>
  <c r="V36" i="108"/>
  <c r="X36" i="108" s="1"/>
  <c r="AC36" i="108" s="1"/>
  <c r="V31" i="108"/>
  <c r="X31" i="108" s="1"/>
  <c r="AC31" i="108" s="1"/>
  <c r="V42" i="108"/>
  <c r="X42" i="108" s="1"/>
  <c r="AC42" i="108" s="1"/>
  <c r="V53" i="108"/>
  <c r="X53" i="108" s="1"/>
  <c r="AC53" i="108" s="1"/>
  <c r="V68" i="108"/>
  <c r="X68" i="108" s="1"/>
  <c r="AC68" i="108" s="1"/>
  <c r="V24" i="108"/>
  <c r="X24" i="108" s="1"/>
  <c r="AC24" i="108" s="1"/>
  <c r="V63" i="108"/>
  <c r="X63" i="108" s="1"/>
  <c r="AC63" i="108" s="1"/>
  <c r="V80" i="108"/>
  <c r="X80" i="108" s="1"/>
  <c r="V16" i="108"/>
  <c r="X16" i="108" s="1"/>
  <c r="AC16" i="108" s="1"/>
  <c r="V81" i="108"/>
  <c r="X81" i="108" s="1"/>
  <c r="AC81" i="108" s="1"/>
  <c r="V76" i="108"/>
  <c r="X76" i="108" s="1"/>
  <c r="AC76" i="108" s="1"/>
  <c r="V78" i="108"/>
  <c r="X78" i="108" s="1"/>
  <c r="AC78" i="108" s="1"/>
  <c r="V57" i="108"/>
  <c r="X57" i="108" s="1"/>
  <c r="AC57" i="108" s="1"/>
  <c r="V48" i="108"/>
  <c r="X48" i="108" s="1"/>
  <c r="AC48" i="108" s="1"/>
  <c r="AC23" i="108"/>
  <c r="AC74" i="108"/>
  <c r="AC87" i="108"/>
  <c r="AC73" i="108"/>
  <c r="AC92" i="108"/>
  <c r="AC26" i="105"/>
  <c r="AC94" i="105"/>
  <c r="AC77" i="105"/>
  <c r="AC8" i="105"/>
  <c r="AC17" i="105"/>
  <c r="AC91" i="105"/>
  <c r="AC67" i="105"/>
  <c r="AC88" i="105"/>
  <c r="AC97" i="105"/>
  <c r="AC28" i="105"/>
  <c r="AC82" i="105"/>
  <c r="AC103" i="105"/>
  <c r="AC76" i="105"/>
  <c r="AC101" i="105"/>
  <c r="AC6" i="105"/>
  <c r="AC79" i="105"/>
  <c r="AC89" i="105"/>
  <c r="AC12" i="105"/>
  <c r="AC22" i="105"/>
  <c r="AD96" i="105"/>
  <c r="AC83" i="105"/>
  <c r="AC54" i="108"/>
  <c r="AC87" i="105"/>
  <c r="AC11" i="105"/>
  <c r="AC102" i="105"/>
  <c r="AC93" i="105"/>
  <c r="AC7" i="105"/>
  <c r="AC68" i="105"/>
  <c r="AC57" i="105"/>
  <c r="AC29" i="105"/>
  <c r="AC86" i="105"/>
  <c r="AC99" i="105"/>
  <c r="AC74" i="105"/>
  <c r="AC98" i="105"/>
  <c r="AC81" i="105"/>
  <c r="AC92" i="105"/>
  <c r="AC64" i="105"/>
  <c r="AC21" i="105"/>
  <c r="AC62" i="105"/>
  <c r="Y41" i="105"/>
  <c r="Y42" i="105"/>
  <c r="AC66" i="105"/>
  <c r="AC78" i="105"/>
  <c r="AC18" i="105"/>
  <c r="AC69" i="105"/>
  <c r="AC9" i="105"/>
  <c r="AC84" i="105"/>
  <c r="AC73" i="105"/>
  <c r="AC61" i="105"/>
  <c r="Y31" i="105"/>
  <c r="AC31" i="105" s="1"/>
  <c r="Y36" i="105"/>
  <c r="AD16" i="105"/>
  <c r="AD58" i="105"/>
  <c r="AD72" i="105"/>
  <c r="AD56" i="105"/>
  <c r="AD104" i="105"/>
  <c r="AD13" i="105"/>
  <c r="AD19" i="105"/>
  <c r="AD63" i="105"/>
  <c r="AD59" i="105"/>
  <c r="AD23" i="105"/>
  <c r="AD14" i="105"/>
  <c r="AD71" i="105"/>
  <c r="Y33" i="105"/>
  <c r="Y52" i="105"/>
  <c r="Y43" i="105"/>
  <c r="Y53" i="105"/>
  <c r="Y34" i="105"/>
  <c r="Y54" i="105"/>
  <c r="Y38" i="105"/>
  <c r="Y46" i="105"/>
  <c r="Y37" i="105"/>
  <c r="W39" i="105"/>
  <c r="W44" i="105"/>
  <c r="W47" i="105"/>
  <c r="W32" i="105"/>
  <c r="W49" i="105"/>
  <c r="W48" i="105"/>
  <c r="W51" i="105"/>
  <c r="P72" i="103"/>
  <c r="P69" i="103" s="1"/>
  <c r="P52" i="103" s="1"/>
  <c r="O69" i="103"/>
  <c r="O52" i="103" s="1"/>
  <c r="N63" i="103"/>
  <c r="N59" i="103"/>
  <c r="N55" i="103"/>
  <c r="N58" i="103"/>
  <c r="N64" i="103"/>
  <c r="N60" i="103"/>
  <c r="N56" i="103"/>
  <c r="N54" i="103"/>
  <c r="N65" i="103"/>
  <c r="N61" i="103"/>
  <c r="N57" i="103"/>
  <c r="N53" i="103"/>
  <c r="N62" i="103"/>
  <c r="AD43" i="105" l="1"/>
  <c r="AD43" i="108"/>
  <c r="AD54" i="105"/>
  <c r="AD54" i="108"/>
  <c r="AD52" i="105"/>
  <c r="AD52" i="108"/>
  <c r="AC42" i="105"/>
  <c r="AD42" i="108"/>
  <c r="AC37" i="105"/>
  <c r="AD37" i="108"/>
  <c r="AD34" i="105"/>
  <c r="AD34" i="108"/>
  <c r="AD33" i="105"/>
  <c r="AD33" i="108"/>
  <c r="AD41" i="105"/>
  <c r="AD41" i="108"/>
  <c r="AC38" i="105"/>
  <c r="AD38" i="108"/>
  <c r="AD31" i="105"/>
  <c r="AD31" i="108"/>
  <c r="AD46" i="105"/>
  <c r="AD46" i="108"/>
  <c r="AD53" i="105"/>
  <c r="AD53" i="108"/>
  <c r="AD36" i="105"/>
  <c r="AD36" i="108"/>
  <c r="AC38" i="108"/>
  <c r="AC43" i="108"/>
  <c r="AC52" i="105"/>
  <c r="AC53" i="105"/>
  <c r="AC33" i="105"/>
  <c r="AC34" i="105"/>
  <c r="AC46" i="105"/>
  <c r="AC54" i="105"/>
  <c r="AC36" i="105"/>
  <c r="AC41" i="105"/>
  <c r="AC43" i="105"/>
  <c r="Y48" i="105"/>
  <c r="Y39" i="105"/>
  <c r="AD37" i="105"/>
  <c r="AD38" i="105"/>
  <c r="AD42" i="105"/>
  <c r="Y49" i="105"/>
  <c r="Y32" i="105"/>
  <c r="Y44" i="105"/>
  <c r="Y51" i="105"/>
  <c r="Y47" i="105"/>
  <c r="O64" i="103"/>
  <c r="O60" i="103"/>
  <c r="O56" i="103"/>
  <c r="O65" i="103"/>
  <c r="O61" i="103"/>
  <c r="O57" i="103"/>
  <c r="O53" i="103"/>
  <c r="O59" i="103"/>
  <c r="O62" i="103"/>
  <c r="O58" i="103"/>
  <c r="O54" i="103"/>
  <c r="O63" i="103"/>
  <c r="O55" i="103"/>
  <c r="P65" i="103"/>
  <c r="P61" i="103"/>
  <c r="P57" i="103"/>
  <c r="P53" i="103"/>
  <c r="P56" i="103"/>
  <c r="P62" i="103"/>
  <c r="P58" i="103"/>
  <c r="P54" i="103"/>
  <c r="P64" i="103"/>
  <c r="P63" i="103"/>
  <c r="P59" i="103"/>
  <c r="P55" i="103"/>
  <c r="P60" i="103"/>
  <c r="AD32" i="105" l="1"/>
  <c r="AD32" i="108"/>
  <c r="AD44" i="105"/>
  <c r="AD44" i="108"/>
  <c r="AE87" i="108" s="1"/>
  <c r="AG87" i="108" s="1"/>
  <c r="AM87" i="108" s="1"/>
  <c r="AD47" i="105"/>
  <c r="AD47" i="108"/>
  <c r="AD49" i="105"/>
  <c r="AD49" i="108"/>
  <c r="AD39" i="105"/>
  <c r="AD39" i="108"/>
  <c r="AC51" i="105"/>
  <c r="AD51" i="108"/>
  <c r="AD48" i="105"/>
  <c r="AD48" i="108"/>
  <c r="AC39" i="105"/>
  <c r="AC49" i="105"/>
  <c r="AC44" i="105"/>
  <c r="AC32" i="105"/>
  <c r="AC47" i="105"/>
  <c r="AC48" i="105"/>
  <c r="AD51" i="105"/>
  <c r="AE72" i="108" l="1"/>
  <c r="AG72" i="108" s="1"/>
  <c r="AM72" i="108" s="1"/>
  <c r="AE44" i="108"/>
  <c r="AG44" i="108" s="1"/>
  <c r="AM44" i="108" s="1"/>
  <c r="AE50" i="108"/>
  <c r="AG50" i="108" s="1"/>
  <c r="AM50" i="108" s="1"/>
  <c r="AE26" i="108"/>
  <c r="AG26" i="108" s="1"/>
  <c r="AL26" i="108" s="1"/>
  <c r="AE60" i="108"/>
  <c r="AG60" i="108" s="1"/>
  <c r="AM60" i="108" s="1"/>
  <c r="AE92" i="108"/>
  <c r="AG92" i="108" s="1"/>
  <c r="AM92" i="108" s="1"/>
  <c r="AE5" i="108"/>
  <c r="AG5" i="108" s="1"/>
  <c r="AM5" i="108" s="1"/>
  <c r="AE46" i="108"/>
  <c r="AG46" i="108" s="1"/>
  <c r="AL46" i="108" s="1"/>
  <c r="AE68" i="108"/>
  <c r="AG68" i="108" s="1"/>
  <c r="AL68" i="108" s="1"/>
  <c r="AE31" i="108"/>
  <c r="AG31" i="108" s="1"/>
  <c r="AM31" i="108" s="1"/>
  <c r="AE58" i="108"/>
  <c r="AG58" i="108" s="1"/>
  <c r="AE71" i="108"/>
  <c r="AG71" i="108" s="1"/>
  <c r="AM71" i="108" s="1"/>
  <c r="AE41" i="108"/>
  <c r="AG41" i="108" s="1"/>
  <c r="AM41" i="108" s="1"/>
  <c r="AE102" i="108"/>
  <c r="AG102" i="108" s="1"/>
  <c r="AL102" i="108" s="1"/>
  <c r="AE20" i="108"/>
  <c r="AG20" i="108" s="1"/>
  <c r="AM20" i="108" s="1"/>
  <c r="AE56" i="108"/>
  <c r="AG56" i="108" s="1"/>
  <c r="AM56" i="108" s="1"/>
  <c r="AE101" i="108"/>
  <c r="AG101" i="108" s="1"/>
  <c r="AL101" i="108" s="1"/>
  <c r="AE62" i="108"/>
  <c r="AG62" i="108" s="1"/>
  <c r="AL62" i="108" s="1"/>
  <c r="AE70" i="108"/>
  <c r="AG70" i="108" s="1"/>
  <c r="AL70" i="108" s="1"/>
  <c r="AE65" i="108"/>
  <c r="AG65" i="108" s="1"/>
  <c r="AM65" i="108" s="1"/>
  <c r="AE66" i="108"/>
  <c r="AG66" i="108" s="1"/>
  <c r="AL66" i="108" s="1"/>
  <c r="AE81" i="108"/>
  <c r="AG81" i="108" s="1"/>
  <c r="AL81" i="108" s="1"/>
  <c r="AE39" i="108"/>
  <c r="AG39" i="108" s="1"/>
  <c r="AL39" i="108" s="1"/>
  <c r="AE40" i="108"/>
  <c r="AG40" i="108" s="1"/>
  <c r="AM40" i="108" s="1"/>
  <c r="AE16" i="108"/>
  <c r="AG16" i="108" s="1"/>
  <c r="AM16" i="108" s="1"/>
  <c r="AE83" i="108"/>
  <c r="AG83" i="108" s="1"/>
  <c r="AM83" i="108" s="1"/>
  <c r="AE100" i="108"/>
  <c r="AG100" i="108" s="1"/>
  <c r="AL100" i="108" s="1"/>
  <c r="AE103" i="108"/>
  <c r="AG103" i="108" s="1"/>
  <c r="AM103" i="108" s="1"/>
  <c r="AE10" i="108"/>
  <c r="AG10" i="108" s="1"/>
  <c r="AM10" i="108" s="1"/>
  <c r="AE75" i="108"/>
  <c r="AG75" i="108" s="1"/>
  <c r="AL75" i="108" s="1"/>
  <c r="AE32" i="108"/>
  <c r="AG32" i="108" s="1"/>
  <c r="AM32" i="108" s="1"/>
  <c r="AE23" i="108"/>
  <c r="AG23" i="108" s="1"/>
  <c r="AL23" i="108" s="1"/>
  <c r="AE82" i="108"/>
  <c r="AG82" i="108" s="1"/>
  <c r="AL82" i="108" s="1"/>
  <c r="AE30" i="108"/>
  <c r="AG30" i="108" s="1"/>
  <c r="AM30" i="108" s="1"/>
  <c r="AE93" i="108"/>
  <c r="AG93" i="108" s="1"/>
  <c r="AL93" i="108" s="1"/>
  <c r="AE17" i="108"/>
  <c r="AG17" i="108" s="1"/>
  <c r="AL17" i="108" s="1"/>
  <c r="AE18" i="108"/>
  <c r="AG18" i="108" s="1"/>
  <c r="AL18" i="108" s="1"/>
  <c r="AL60" i="108"/>
  <c r="AE89" i="108"/>
  <c r="AG89" i="108" s="1"/>
  <c r="AL89" i="108" s="1"/>
  <c r="AE91" i="108"/>
  <c r="AG91" i="108" s="1"/>
  <c r="AM91" i="108" s="1"/>
  <c r="AE69" i="108"/>
  <c r="AG69" i="108" s="1"/>
  <c r="AM69" i="108" s="1"/>
  <c r="AE35" i="108"/>
  <c r="AG35" i="108" s="1"/>
  <c r="AE57" i="108"/>
  <c r="AG57" i="108" s="1"/>
  <c r="AM57" i="108" s="1"/>
  <c r="AE73" i="108"/>
  <c r="AG73" i="108" s="1"/>
  <c r="AL73" i="108" s="1"/>
  <c r="AE61" i="108"/>
  <c r="AG61" i="108" s="1"/>
  <c r="AL61" i="108" s="1"/>
  <c r="AE43" i="108"/>
  <c r="AG43" i="108" s="1"/>
  <c r="AM43" i="108" s="1"/>
  <c r="AM100" i="108"/>
  <c r="AE84" i="108"/>
  <c r="AG84" i="108" s="1"/>
  <c r="AM84" i="108" s="1"/>
  <c r="AE98" i="108"/>
  <c r="AG98" i="108" s="1"/>
  <c r="AM98" i="108" s="1"/>
  <c r="AE14" i="108"/>
  <c r="AG14" i="108" s="1"/>
  <c r="AL14" i="108" s="1"/>
  <c r="AE15" i="108"/>
  <c r="AG15" i="108" s="1"/>
  <c r="AE80" i="108"/>
  <c r="AG80" i="108" s="1"/>
  <c r="AE22" i="108"/>
  <c r="AG22" i="108" s="1"/>
  <c r="AL22" i="108" s="1"/>
  <c r="AE33" i="108"/>
  <c r="AG33" i="108" s="1"/>
  <c r="AL33" i="108" s="1"/>
  <c r="AE13" i="108"/>
  <c r="AG13" i="108" s="1"/>
  <c r="AL13" i="108" s="1"/>
  <c r="AE24" i="108"/>
  <c r="AG24" i="108" s="1"/>
  <c r="AM24" i="108" s="1"/>
  <c r="AE95" i="108"/>
  <c r="AG95" i="108" s="1"/>
  <c r="AE94" i="108"/>
  <c r="AG94" i="108" s="1"/>
  <c r="AM94" i="108" s="1"/>
  <c r="AE19" i="108"/>
  <c r="AG19" i="108" s="1"/>
  <c r="AL19" i="108" s="1"/>
  <c r="AE104" i="108"/>
  <c r="AG104" i="108" s="1"/>
  <c r="AL104" i="108" s="1"/>
  <c r="AE64" i="108"/>
  <c r="AG64" i="108" s="1"/>
  <c r="AL64" i="108" s="1"/>
  <c r="AE76" i="108"/>
  <c r="AG76" i="108" s="1"/>
  <c r="AM76" i="108" s="1"/>
  <c r="AE8" i="108"/>
  <c r="AG8" i="108" s="1"/>
  <c r="AM8" i="108" s="1"/>
  <c r="AE7" i="108"/>
  <c r="AG7" i="108" s="1"/>
  <c r="AM7" i="108" s="1"/>
  <c r="AE59" i="108"/>
  <c r="AG59" i="108" s="1"/>
  <c r="AM59" i="108" s="1"/>
  <c r="AE34" i="108"/>
  <c r="AG34" i="108" s="1"/>
  <c r="AE97" i="108"/>
  <c r="AG97" i="108" s="1"/>
  <c r="AM97" i="108" s="1"/>
  <c r="AE27" i="108"/>
  <c r="AG27" i="108" s="1"/>
  <c r="AM27" i="108" s="1"/>
  <c r="AE6" i="108"/>
  <c r="AG6" i="108" s="1"/>
  <c r="AM6" i="108" s="1"/>
  <c r="AE28" i="108"/>
  <c r="AG28" i="108" s="1"/>
  <c r="AL28" i="108" s="1"/>
  <c r="AE47" i="108"/>
  <c r="AG47" i="108" s="1"/>
  <c r="AE51" i="108"/>
  <c r="AG51" i="108" s="1"/>
  <c r="AE42" i="108"/>
  <c r="AG42" i="108" s="1"/>
  <c r="AM42" i="108" s="1"/>
  <c r="AE37" i="108"/>
  <c r="AG37" i="108" s="1"/>
  <c r="AL37" i="108" s="1"/>
  <c r="AE49" i="108"/>
  <c r="AG49" i="108" s="1"/>
  <c r="AE52" i="108"/>
  <c r="AG52" i="108" s="1"/>
  <c r="AE36" i="108"/>
  <c r="AG36" i="108" s="1"/>
  <c r="AE53" i="108"/>
  <c r="AG53" i="108" s="1"/>
  <c r="AE67" i="108"/>
  <c r="AG67" i="108" s="1"/>
  <c r="AM67" i="108" s="1"/>
  <c r="AE48" i="108"/>
  <c r="AG48" i="108" s="1"/>
  <c r="AL20" i="108"/>
  <c r="AM70" i="108"/>
  <c r="AE63" i="108"/>
  <c r="AG63" i="108" s="1"/>
  <c r="AM63" i="108" s="1"/>
  <c r="AE55" i="108"/>
  <c r="AG55" i="108" s="1"/>
  <c r="AE74" i="108"/>
  <c r="AG74" i="108" s="1"/>
  <c r="AM74" i="108" s="1"/>
  <c r="AE54" i="108"/>
  <c r="AG54" i="108" s="1"/>
  <c r="AM54" i="108" s="1"/>
  <c r="AE21" i="108"/>
  <c r="AG21" i="108" s="1"/>
  <c r="AL21" i="108" s="1"/>
  <c r="AE78" i="108"/>
  <c r="AG78" i="108" s="1"/>
  <c r="AL78" i="108" s="1"/>
  <c r="AE12" i="108"/>
  <c r="AG12" i="108" s="1"/>
  <c r="AM12" i="108" s="1"/>
  <c r="AE25" i="108"/>
  <c r="AG25" i="108" s="1"/>
  <c r="AE11" i="108"/>
  <c r="AG11" i="108" s="1"/>
  <c r="AM11" i="108" s="1"/>
  <c r="AE88" i="108"/>
  <c r="AG88" i="108" s="1"/>
  <c r="AL88" i="108" s="1"/>
  <c r="AE86" i="108"/>
  <c r="AG86" i="108" s="1"/>
  <c r="AM86" i="108" s="1"/>
  <c r="AM75" i="108"/>
  <c r="AE85" i="108"/>
  <c r="AG85" i="108" s="1"/>
  <c r="AE9" i="108"/>
  <c r="AG9" i="108" s="1"/>
  <c r="AL9" i="108" s="1"/>
  <c r="AE29" i="108"/>
  <c r="AG29" i="108" s="1"/>
  <c r="AL29" i="108" s="1"/>
  <c r="AE99" i="108"/>
  <c r="AG99" i="108" s="1"/>
  <c r="AM99" i="108" s="1"/>
  <c r="AE38" i="108"/>
  <c r="AG38" i="108" s="1"/>
  <c r="AL38" i="108" s="1"/>
  <c r="AE90" i="108"/>
  <c r="AG90" i="108" s="1"/>
  <c r="AE45" i="108"/>
  <c r="AG45" i="108" s="1"/>
  <c r="AE77" i="108"/>
  <c r="AG77" i="108" s="1"/>
  <c r="AM77" i="108" s="1"/>
  <c r="AE79" i="108"/>
  <c r="AG79" i="108" s="1"/>
  <c r="AL79" i="108" s="1"/>
  <c r="AE96" i="108"/>
  <c r="AG96" i="108" s="1"/>
  <c r="AM96" i="108" s="1"/>
  <c r="AL44" i="108"/>
  <c r="AL72" i="108"/>
  <c r="AL31" i="108"/>
  <c r="AM102" i="108"/>
  <c r="AL87" i="108"/>
  <c r="AM39" i="108"/>
  <c r="AL8" i="108" l="1"/>
  <c r="AM19" i="108"/>
  <c r="AM73" i="108"/>
  <c r="AL24" i="108"/>
  <c r="AL91" i="108"/>
  <c r="AL5" i="108"/>
  <c r="AM93" i="108"/>
  <c r="AL11" i="108"/>
  <c r="AL63" i="108"/>
  <c r="AM21" i="108"/>
  <c r="AM13" i="108"/>
  <c r="AM61" i="108"/>
  <c r="AL32" i="108"/>
  <c r="AL65" i="108"/>
  <c r="AL50" i="108"/>
  <c r="AL76" i="108"/>
  <c r="AL67" i="108"/>
  <c r="AL97" i="108"/>
  <c r="AL56" i="108"/>
  <c r="AL40" i="108"/>
  <c r="AL54" i="108"/>
  <c r="AM17" i="108"/>
  <c r="AL71" i="108"/>
  <c r="AL12" i="108"/>
  <c r="AM23" i="108"/>
  <c r="AM46" i="108"/>
  <c r="AL103" i="108"/>
  <c r="AL59" i="108"/>
  <c r="AM26" i="108"/>
  <c r="AM68" i="108"/>
  <c r="AL69" i="108"/>
  <c r="AM29" i="108"/>
  <c r="AL27" i="108"/>
  <c r="AL7" i="108"/>
  <c r="AM78" i="108"/>
  <c r="AL84" i="108"/>
  <c r="AM14" i="108"/>
  <c r="AM28" i="108"/>
  <c r="AM62" i="108"/>
  <c r="AL57" i="108"/>
  <c r="AM37" i="108"/>
  <c r="AL30" i="108"/>
  <c r="AM33" i="108"/>
  <c r="AM89" i="108"/>
  <c r="AL94" i="108"/>
  <c r="AM81" i="108"/>
  <c r="AL83" i="108"/>
  <c r="AL92" i="108"/>
  <c r="AL96" i="108"/>
  <c r="AL10" i="108"/>
  <c r="AM58" i="108"/>
  <c r="AL58" i="108"/>
  <c r="AL41" i="108"/>
  <c r="AM22" i="108"/>
  <c r="AM66" i="108"/>
  <c r="AL16" i="108"/>
  <c r="AM64" i="108"/>
  <c r="AL86" i="108"/>
  <c r="AM101" i="108"/>
  <c r="AL6" i="108"/>
  <c r="AL98" i="108"/>
  <c r="AM82" i="108"/>
  <c r="AM18" i="108"/>
  <c r="AL77" i="108"/>
  <c r="AL42" i="108"/>
  <c r="AL74" i="108"/>
  <c r="AL99" i="108"/>
  <c r="AM79" i="108"/>
  <c r="AM85" i="108"/>
  <c r="AL85" i="108"/>
  <c r="AM104" i="108"/>
  <c r="AM90" i="108"/>
  <c r="AL90" i="108"/>
  <c r="AM36" i="108"/>
  <c r="AL36" i="108"/>
  <c r="AM95" i="108"/>
  <c r="AL95" i="108"/>
  <c r="AM35" i="108"/>
  <c r="AL35" i="108"/>
  <c r="AM80" i="108"/>
  <c r="AL80" i="108"/>
  <c r="AM55" i="108"/>
  <c r="AL55" i="108"/>
  <c r="AM52" i="108"/>
  <c r="AL52" i="108"/>
  <c r="AM49" i="108"/>
  <c r="AL49" i="108"/>
  <c r="AM47" i="108"/>
  <c r="AL47" i="108"/>
  <c r="AM15" i="108"/>
  <c r="AL15" i="108"/>
  <c r="AM48" i="108"/>
  <c r="AL48" i="108"/>
  <c r="AM51" i="108"/>
  <c r="AL51" i="108"/>
  <c r="AM9" i="108"/>
  <c r="AM88" i="108"/>
  <c r="AM45" i="108"/>
  <c r="AL45" i="108"/>
  <c r="AM25" i="108"/>
  <c r="AL25" i="108"/>
  <c r="AM53" i="108"/>
  <c r="AL53" i="108"/>
  <c r="AM34" i="108"/>
  <c r="AL34" i="108"/>
  <c r="AM38" i="108"/>
  <c r="AL4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  <author>Griffin</author>
  </authors>
  <commentList>
    <comment ref="AC2" authorId="0" shapeId="0" xr:uid="{B1E76900-1E3B-4757-9138-EBA93A61E984}">
      <text>
        <r>
          <rPr>
            <sz val="9"/>
            <color indexed="81"/>
            <rFont val="Tahoma"/>
            <family val="2"/>
          </rPr>
          <t>We can provide activity amounts (e.g. population or number of houses per person) for all years and prices (for all fuels and services) in the first year of simulation.</t>
        </r>
      </text>
    </comment>
    <comment ref="Y9" authorId="1" shapeId="0" xr:uid="{FC3AEF96-72E1-42FB-9C44-9D449FC3016E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1" authorId="1" shapeId="0" xr:uid="{6BC6E59B-8E59-4345-B4AD-51539FDC3157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2" authorId="1" shapeId="0" xr:uid="{2181219F-CC40-4DA4-955E-9CD1FF9D0302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3" authorId="1" shapeId="0" xr:uid="{21FA5C0D-630A-4248-8CD3-4490F66C1285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24" authorId="1" shapeId="0" xr:uid="{EEAD2AFB-F241-465A-AAFE-CECE11F2ADF2}">
      <text>
        <r>
          <rPr>
            <sz val="9"/>
            <color indexed="81"/>
            <rFont val="Tahoma"/>
            <family val="2"/>
          </rPr>
          <t>If no price given, should calculate endogenously. If price given, should use that value instead of the price calc iteration.</t>
        </r>
      </text>
    </comment>
    <comment ref="Y62" authorId="0" shapeId="0" xr:uid="{B023EF81-19BC-49C7-A9A2-B8BE9ACE056F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63" authorId="0" shapeId="0" xr:uid="{62F89659-0AFE-463C-AF96-39A4BE8CFB88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64" authorId="0" shapeId="0" xr:uid="{B87C774E-1BCE-4724-A637-0E292A58064F}">
      <text>
        <r>
          <rPr>
            <sz val="9"/>
            <color indexed="81"/>
            <rFont val="Tahoma"/>
            <family val="2"/>
          </rPr>
          <t>End use demanded for each technology per unit of demand (in this case, GJ of heating per m2 of floorspace for each shell type (e.g. Pre-1960)</t>
        </r>
      </text>
    </comment>
    <comment ref="Y75" authorId="0" shapeId="0" xr:uid="{C3BD23C2-9D66-4B01-84C2-2B4BD0F11C93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76" authorId="0" shapeId="0" xr:uid="{FB3186F4-177C-4601-8169-4DC144FA38B9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88" authorId="0" shapeId="0" xr:uid="{CE200173-A7B8-450F-B12A-8B33738D058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89" authorId="0" shapeId="0" xr:uid="{75DD939B-38FB-42B6-B893-163805995F01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01" authorId="0" shapeId="0" xr:uid="{48DD24B6-A31B-469A-BBD2-7BB2A0EC1317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02" authorId="0" shapeId="0" xr:uid="{163EAFE3-D799-49B0-9948-2527CFD98A1B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14" authorId="0" shapeId="0" xr:uid="{99A66BA7-80C8-445A-9BE1-E3A1B10A1572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15" authorId="0" shapeId="0" xr:uid="{EA670CE7-D256-48CE-8241-3B1EEF7C620F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33" authorId="0" shapeId="0" xr:uid="{C8DE0438-BE72-4626-BC86-006F0DFF2B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34" authorId="0" shapeId="0" xr:uid="{6D3250B4-7D35-4B94-B87E-6870A73D5200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35" authorId="0" shapeId="0" xr:uid="{E0B3380B-813F-4D74-87FC-026DDCD7DDF7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36" authorId="0" shapeId="0" xr:uid="{215F38F0-FF59-4B38-A481-E643E4F7553C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37" authorId="0" shapeId="0" xr:uid="{2BE6BAE8-512B-4232-A46E-89CFD372A16C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142" authorId="1" shapeId="0" xr:uid="{D3E45037-5E46-4159-AD48-44BCF676478A}">
      <text>
        <r>
          <rPr>
            <sz val="9"/>
            <color indexed="81"/>
            <rFont val="Tahoma"/>
            <family val="2"/>
          </rPr>
          <t>Service cost =
Service demand * weighted average Life Cycle Cost of child technologies
Life Cycle Cost=
Capital cost +
Operating cost +
Intangible cost +
Service cost</t>
        </r>
      </text>
    </comment>
    <comment ref="AC142" authorId="1" shapeId="0" xr:uid="{5D36C35E-8936-4C5B-8286-6980AEEFB65E}">
      <text>
        <r>
          <rPr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Y143" authorId="0" shapeId="0" xr:uid="{A952F832-B8D6-4923-8F75-6D6D11C11D11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44" authorId="0" shapeId="0" xr:uid="{F40F47D0-D77F-4B57-8FE0-00E1F0427474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145" authorId="0" shapeId="0" xr:uid="{E613CB99-830E-40D8-850C-E013B3897154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46" authorId="0" shapeId="0" xr:uid="{6CFC2874-234D-4248-A5D4-22848551FA1A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47" authorId="0" shapeId="0" xr:uid="{FFCF7C71-4079-4C5B-BD7A-C4A0B2518245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Z163" authorId="0" shapeId="0" xr:uid="{5654881E-1B78-4A51-901E-AB3E3B5B2686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Z164" authorId="0" shapeId="0" xr:uid="{5B357023-16BD-4B30-B537-628E0447F6D1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AA164" authorId="0" shapeId="0" xr:uid="{8CAFC440-5F11-4A7A-8EFE-24145CCDCC3C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176" authorId="0" shapeId="0" xr:uid="{14986DB0-0B57-444D-857D-2159EB947BE2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77" authorId="0" shapeId="0" xr:uid="{013B5304-FBEE-467B-B8EF-23E85CC51E47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78" authorId="0" shapeId="0" xr:uid="{4DFB2519-B8E6-4EE2-8554-624BEC2C1257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189" authorId="0" shapeId="0" xr:uid="{7252C6F5-6F1F-4E06-AE70-45F619ACE0EC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190" authorId="0" shapeId="0" xr:uid="{51D19E81-5B75-4519-868A-6AC785A5B322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191" authorId="0" shapeId="0" xr:uid="{16BDDDD6-2F07-4761-9738-269C6B317472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Z201" authorId="0" shapeId="0" xr:uid="{A56A657D-829C-4D20-8A9B-B1E01F31BD2F}">
      <text>
        <r>
          <rPr>
            <sz val="9"/>
            <color indexed="81"/>
            <rFont val="Tahoma"/>
            <family val="2"/>
          </rPr>
          <t>Note this is Canada, not Alberta for this fuel/price.
Need some way to actually allocate fuel at this point so that we can calculate GHG emissions later.</t>
        </r>
      </text>
    </comment>
    <comment ref="Y202" authorId="0" shapeId="0" xr:uid="{701D3BEE-FEAC-4402-B79C-7A99BB4F3931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203" authorId="0" shapeId="0" xr:uid="{C6DAE44A-37A0-4466-AFE9-8B49E67DAE96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204" authorId="0" shapeId="0" xr:uid="{85338F20-266B-425E-84BC-DAA75618B946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X207" authorId="0" shapeId="0" xr:uid="{A3045F6F-54A4-4535-A525-59C2B730BD6B}">
      <text>
        <r>
          <rPr>
            <sz val="9"/>
            <color indexed="81"/>
            <rFont val="Tahoma"/>
            <family val="2"/>
          </rPr>
          <t>Note that water heating is not requested directly by the shell technologies.
It is requested by dishwashing techs and clothes washing techs.</t>
        </r>
      </text>
    </comment>
    <comment ref="AA223" authorId="0" shapeId="0" xr:uid="{9F9F18C4-E0AA-4275-BF68-6E844FB21589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37" authorId="0" shapeId="0" xr:uid="{5CCE41A6-4F96-4E06-85C6-75254409AE78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51" authorId="0" shapeId="0" xr:uid="{0D0772FA-51B1-4BD2-B245-3AF12428BB7D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65" authorId="0" shapeId="0" xr:uid="{74197EA9-9945-4D5E-805B-C6346AB4BABB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81" authorId="0" shapeId="0" xr:uid="{B5AD5BB9-5532-432F-BBDA-6359658D2AB5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297" authorId="0" shapeId="0" xr:uid="{57A50753-D0FC-4616-823C-9240FCB6F679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313" authorId="0" shapeId="0" xr:uid="{9EAA8B53-92DE-4A0A-9B54-4875215C186D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AA329" authorId="0" shapeId="0" xr:uid="{98238A0C-9D89-4282-9091-4037B93C1A20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346" authorId="0" shapeId="0" xr:uid="{FD7768D7-90EE-45AC-BDE0-8DCF7642B06E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347" authorId="0" shapeId="0" xr:uid="{F3D2892E-1A42-48BA-98F4-9872CB511E57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Y348" authorId="0" shapeId="0" xr:uid="{F5C1F4FF-C9C4-4067-81C9-F9B59F3B415A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Y349" authorId="0" shapeId="0" xr:uid="{52BD4E14-595F-43A1-9079-E7E96E4576D9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A350" authorId="0" shapeId="0" xr:uid="{F337CF79-4EA0-4254-BC68-14CC32DA1976}">
      <text>
        <r>
          <rPr>
            <sz val="9"/>
            <color indexed="81"/>
            <rFont val="Tahoma"/>
            <family val="2"/>
          </rPr>
          <t>This is the inverse of efficiency (GJ of energy provided per GJ of fuel used).</t>
        </r>
      </text>
    </comment>
    <comment ref="Y353" authorId="1" shapeId="0" xr:uid="{6A6F0B60-7401-4D08-AC52-A8167B061460}">
      <text>
        <r>
          <rPr>
            <sz val="9"/>
            <color indexed="81"/>
            <rFont val="Tahoma"/>
            <family val="2"/>
          </rPr>
          <t>Service cost =
Service demand * weighted average Life Cycle Cost of child technologies
Life Cycle Cost=
Capital cost +
Operating cost +
Intangible cost +
Service cost</t>
        </r>
      </text>
    </comment>
    <comment ref="AC353" authorId="1" shapeId="0" xr:uid="{3CCDB061-D815-406C-9A30-7E1173F6EBAD}">
      <text>
        <r>
          <rPr>
            <sz val="9"/>
            <color indexed="81"/>
            <rFont val="Tahoma"/>
            <family val="2"/>
          </rPr>
          <t>Weighted average of LCCs from child node.
Use previous year final value to start next year price iterations.
Use previous iteration supply prices to calculate weighted average for current iteration.</t>
        </r>
      </text>
    </comment>
    <comment ref="AA358" authorId="0" shapeId="0" xr:uid="{933D9D5D-D324-4BCE-BE23-3DAC7F6CFDE6}">
      <text>
        <r>
          <rPr>
            <sz val="9"/>
            <color indexed="81"/>
            <rFont val="Tahoma"/>
            <family val="2"/>
          </rPr>
          <t>This ratio is to pass along the GJ requirement (i.e. we want 1 GJ of heating, so require 1 GJ of furnace heating)</t>
        </r>
      </text>
    </comment>
    <comment ref="AB365" authorId="0" shapeId="0" xr:uid="{6A55E08C-2CBE-4153-A5B1-053FED3A32FB}">
      <text>
        <r>
          <rPr>
            <sz val="9"/>
            <color indexed="81"/>
            <rFont val="Tahoma"/>
            <family val="2"/>
          </rPr>
          <t>Equal to total demand for electricity from all demand nodes</t>
        </r>
      </text>
    </comment>
    <comment ref="AB378" authorId="0" shapeId="0" xr:uid="{3EDB6B67-F0FD-4AB8-9B93-A0498F1F32E6}">
      <text>
        <r>
          <rPr>
            <sz val="9"/>
            <color indexed="81"/>
            <rFont val="Tahoma"/>
            <family val="2"/>
          </rPr>
          <t>Multiplier for "End use supply" (i.e. demand how many units (of generation) per unit supplied (GJ electricity)</t>
        </r>
      </text>
    </comment>
    <comment ref="AA379" authorId="0" shapeId="0" xr:uid="{FD129D53-52CD-4F2D-98BB-5497DD160D3B}">
      <text>
        <r>
          <rPr>
            <sz val="9"/>
            <color indexed="81"/>
            <rFont val="Tahoma"/>
            <family val="2"/>
          </rPr>
          <t>This ratio is just to pass along the GJ requirement (i.e. we want 1 GJ of electricity, so require 1 GJ of furnace generation)</t>
        </r>
      </text>
    </comment>
  </commentList>
</comments>
</file>

<file path=xl/sharedStrings.xml><?xml version="1.0" encoding="utf-8"?>
<sst xmlns="http://schemas.openxmlformats.org/spreadsheetml/2006/main" count="2786" uniqueCount="221">
  <si>
    <t>Residential</t>
  </si>
  <si>
    <t>Shell</t>
  </si>
  <si>
    <t>Electricity</t>
  </si>
  <si>
    <t>Base load</t>
  </si>
  <si>
    <t>Generation</t>
  </si>
  <si>
    <t>Alberta</t>
  </si>
  <si>
    <t>Branch</t>
  </si>
  <si>
    <t>Retrofit Variance</t>
  </si>
  <si>
    <t>Value</t>
  </si>
  <si>
    <t>Parameter</t>
  </si>
  <si>
    <t>Years</t>
  </si>
  <si>
    <t>Price</t>
  </si>
  <si>
    <t>Diesel</t>
  </si>
  <si>
    <t>Light Fuel Oil</t>
  </si>
  <si>
    <t>Natural Gas</t>
  </si>
  <si>
    <t>Wood</t>
  </si>
  <si>
    <t>Unit</t>
  </si>
  <si>
    <t>2015$/GJ</t>
  </si>
  <si>
    <t>2015$/tCO2</t>
  </si>
  <si>
    <t>CO2</t>
  </si>
  <si>
    <t>CH4</t>
  </si>
  <si>
    <t>N2O</t>
  </si>
  <si>
    <t>Consumer Price Index</t>
  </si>
  <si>
    <t>Tech Compete</t>
  </si>
  <si>
    <t>Fixed Ratio</t>
  </si>
  <si>
    <t>Single Family Detached</t>
  </si>
  <si>
    <t>Single Family Attached</t>
  </si>
  <si>
    <t>Apartment</t>
  </si>
  <si>
    <t>Mobile</t>
  </si>
  <si>
    <t>Post-1960</t>
  </si>
  <si>
    <t>Pre-1960</t>
  </si>
  <si>
    <t>Standard</t>
  </si>
  <si>
    <t>R2000</t>
  </si>
  <si>
    <t>LEED</t>
  </si>
  <si>
    <t>Electric baseboard</t>
  </si>
  <si>
    <t>Furnace</t>
  </si>
  <si>
    <t>GJ</t>
  </si>
  <si>
    <t>v</t>
  </si>
  <si>
    <t>Capital Cost</t>
  </si>
  <si>
    <t>m2 floorspace</t>
  </si>
  <si>
    <t>Unavailable</t>
  </si>
  <si>
    <t>Available</t>
  </si>
  <si>
    <t>Lifetime</t>
  </si>
  <si>
    <t>Date</t>
  </si>
  <si>
    <t>Operating Cost</t>
  </si>
  <si>
    <t>r</t>
  </si>
  <si>
    <t>CPI</t>
  </si>
  <si>
    <t>Market share_Max</t>
  </si>
  <si>
    <t>Market share_Min</t>
  </si>
  <si>
    <t>Market penetration_Max</t>
  </si>
  <si>
    <t>Market penetration_Min</t>
  </si>
  <si>
    <t>Intangible Cost</t>
  </si>
  <si>
    <t>Population</t>
  </si>
  <si>
    <t>GDP</t>
  </si>
  <si>
    <t>GJ/m2 floorspace</t>
  </si>
  <si>
    <t>2015$ billion</t>
  </si>
  <si>
    <t>person</t>
  </si>
  <si>
    <t>Fixed Shares</t>
  </si>
  <si>
    <t>GJ used / GJ provided</t>
  </si>
  <si>
    <t>Competition type</t>
  </si>
  <si>
    <t>Canada</t>
  </si>
  <si>
    <t>Node</t>
  </si>
  <si>
    <t>Social discount rate</t>
  </si>
  <si>
    <t>Risk rate</t>
  </si>
  <si>
    <t>Technology</t>
  </si>
  <si>
    <t>Natural Gas_existing</t>
  </si>
  <si>
    <t>Natural Gas_high efficiency</t>
  </si>
  <si>
    <t>Heat pump_air source</t>
  </si>
  <si>
    <t>Financial discount rate</t>
  </si>
  <si>
    <t>2015$/m2 floorspace</t>
  </si>
  <si>
    <t>GHG</t>
  </si>
  <si>
    <t>Sector</t>
  </si>
  <si>
    <t>Fuel</t>
  </si>
  <si>
    <t>Commercial</t>
  </si>
  <si>
    <t>Region</t>
  </si>
  <si>
    <t>Region_code</t>
  </si>
  <si>
    <t>British Columbia</t>
  </si>
  <si>
    <t>CAN</t>
  </si>
  <si>
    <t>AB</t>
  </si>
  <si>
    <t>BC</t>
  </si>
  <si>
    <t>Winner Take All</t>
  </si>
  <si>
    <t>Heterogeneity</t>
  </si>
  <si>
    <t>Simulation</t>
  </si>
  <si>
    <t>Simulation Time</t>
  </si>
  <si>
    <t>Country</t>
  </si>
  <si>
    <t>Clothes washing</t>
  </si>
  <si>
    <t>Water heating</t>
  </si>
  <si>
    <t>Space heating</t>
  </si>
  <si>
    <t>Conventional</t>
  </si>
  <si>
    <t>Renewables</t>
  </si>
  <si>
    <t>Floorspace</t>
  </si>
  <si>
    <t>Service</t>
  </si>
  <si>
    <t>Market share</t>
  </si>
  <si>
    <t>Comments / Calcs</t>
  </si>
  <si>
    <t>Service supply</t>
  </si>
  <si>
    <t>Service demand</t>
  </si>
  <si>
    <t>Service Cost</t>
  </si>
  <si>
    <t>Data</t>
  </si>
  <si>
    <t>Source</t>
  </si>
  <si>
    <t>Reference</t>
  </si>
  <si>
    <t>million m2</t>
  </si>
  <si>
    <t>NRCan NEUD</t>
  </si>
  <si>
    <t>Households</t>
  </si>
  <si>
    <t>persons</t>
  </si>
  <si>
    <t>StatCan</t>
  </si>
  <si>
    <t>calc</t>
  </si>
  <si>
    <t>Close all nodes</t>
  </si>
  <si>
    <t>Newfoundland and Labrador</t>
  </si>
  <si>
    <t>Prince Edward Island</t>
  </si>
  <si>
    <t>Nova Scotia</t>
  </si>
  <si>
    <t>New Brunswick</t>
  </si>
  <si>
    <t>Quebec</t>
  </si>
  <si>
    <t>Ontario</t>
  </si>
  <si>
    <t>Manitoba</t>
  </si>
  <si>
    <t>Saskatchewan</t>
  </si>
  <si>
    <t>Yukon</t>
  </si>
  <si>
    <t>Nunavut</t>
  </si>
  <si>
    <t>Northwest Territories</t>
  </si>
  <si>
    <t>StatCan, Scenario M1</t>
  </si>
  <si>
    <t>%</t>
  </si>
  <si>
    <t>Population annual growth rate</t>
  </si>
  <si>
    <t>Population forecast</t>
  </si>
  <si>
    <t>2012 constant prices, M$</t>
  </si>
  <si>
    <t>OECD long-term forecast</t>
  </si>
  <si>
    <t>2010 ppp, real dollars, M$ USD</t>
  </si>
  <si>
    <t>2012 ppp, real dollars, M$ CAD</t>
  </si>
  <si>
    <t>Purchasing Power Parities for GDP</t>
  </si>
  <si>
    <t>CAD per USD</t>
  </si>
  <si>
    <t>OECD PPP rates</t>
  </si>
  <si>
    <t>Average household size in private dwellings</t>
  </si>
  <si>
    <t>Census</t>
  </si>
  <si>
    <t>Buildings</t>
  </si>
  <si>
    <t>Persons per household</t>
  </si>
  <si>
    <t>Type</t>
  </si>
  <si>
    <t>Demand</t>
  </si>
  <si>
    <t>Supply</t>
  </si>
  <si>
    <t>Dishwashing</t>
  </si>
  <si>
    <t>GDP deflator</t>
  </si>
  <si>
    <t>Description</t>
  </si>
  <si>
    <t>Shares applied to demand inherited from parent. Must add to 1.</t>
  </si>
  <si>
    <t>Multiplier for "End use supply" (i.e. demand how many units per unit supplied).</t>
  </si>
  <si>
    <t>Use market share equation to allocate shares to available technologies. Market share equation based on life cycle costs for each technology.</t>
  </si>
  <si>
    <t>Allocate all demand to the technology with the lowest life cycle cost.</t>
  </si>
  <si>
    <t>Competition type for child nodes</t>
  </si>
  <si>
    <t>Heat pump_ground source</t>
  </si>
  <si>
    <t>Red combinations not allowed</t>
  </si>
  <si>
    <t>Canada.Alberta</t>
  </si>
  <si>
    <t>Canada.Alberta.Residential</t>
  </si>
  <si>
    <t>Canada.Alberta.Electricity</t>
  </si>
  <si>
    <t>Canada.Alberta.Residential.Buildings</t>
  </si>
  <si>
    <t>Canada.Natural Gas</t>
  </si>
  <si>
    <t>Canada.Alberta.Electricity.Generation</t>
  </si>
  <si>
    <t>Competition exclude</t>
  </si>
  <si>
    <t>Canada.Alberta.Residential.Furnace</t>
  </si>
  <si>
    <t>Canada.Alberta.Residential.Buildings.Shell</t>
  </si>
  <si>
    <t>Canada.Alberta.Residential.Buildings.Shell.Space heating</t>
  </si>
  <si>
    <t>Canada.Alberta.Residential.Buildings.Shell.Air conditioning</t>
  </si>
  <si>
    <t>Canada.Alberta.Residential.Buildings.Shell.Space Heating</t>
  </si>
  <si>
    <t>Canada.Alberta.Residential.Buildings.Shell.Space heating.Furnace</t>
  </si>
  <si>
    <t>Canada.Alberta.Residential.Buildings.Shell.Water heating</t>
  </si>
  <si>
    <t>House_Natural Gas_existing stock</t>
  </si>
  <si>
    <t>House_Natural Gas_Standard</t>
  </si>
  <si>
    <t>House_Electric_existing stock</t>
  </si>
  <si>
    <t>House_Electric_Standard</t>
  </si>
  <si>
    <t>Canada.Alberta.Residential.Buildings.Shell.Dishwashing</t>
  </si>
  <si>
    <t>Canada.Alberta.Residential.Buildings.Clothes washing</t>
  </si>
  <si>
    <t>Canada.Alberta.Residential.Buildings.Dishwashing</t>
  </si>
  <si>
    <t>Competition allocation</t>
  </si>
  <si>
    <t>#/building</t>
  </si>
  <si>
    <t>Canada.Alberta.Residential.Buildingss(Apartment)</t>
  </si>
  <si>
    <t>Canada.Alberta.Residential.Buildingss(Mobile)</t>
  </si>
  <si>
    <t>Canada.Alberta.Residential.Buildingss(Single Family Detached)</t>
  </si>
  <si>
    <t>Canada.Alberta.Residential.Buildingss(Single Family Attached)</t>
  </si>
  <si>
    <t>household</t>
  </si>
  <si>
    <t>fixed shares</t>
  </si>
  <si>
    <t>tech compete</t>
  </si>
  <si>
    <t>Stock</t>
  </si>
  <si>
    <t>thousands</t>
  </si>
  <si>
    <t>Single family detached</t>
  </si>
  <si>
    <t>Single family attached</t>
  </si>
  <si>
    <t>building/household</t>
  </si>
  <si>
    <t>building</t>
  </si>
  <si>
    <t>m2 floorspace/building</t>
  </si>
  <si>
    <t>household/person</t>
  </si>
  <si>
    <t>households/person</t>
  </si>
  <si>
    <t>buildings/household</t>
  </si>
  <si>
    <t>buildings</t>
  </si>
  <si>
    <t>supply</t>
  </si>
  <si>
    <t>demand</t>
  </si>
  <si>
    <t>competition</t>
  </si>
  <si>
    <t>LCC</t>
  </si>
  <si>
    <t>GJ elec</t>
  </si>
  <si>
    <t>GJ natural gas</t>
  </si>
  <si>
    <t>GJ furnace/GJ heat</t>
  </si>
  <si>
    <t>GJ elec / GJ heat</t>
  </si>
  <si>
    <t>Apartment &gt; … &gt; Heat pump_air source</t>
  </si>
  <si>
    <t>existing stock</t>
  </si>
  <si>
    <t>split of existing options</t>
  </si>
  <si>
    <t>For simple example, assume all space heating needs to be replaced</t>
  </si>
  <si>
    <t>For simple example, assume all furnace needs to be replaced</t>
  </si>
  <si>
    <t>Market share total_Max</t>
  </si>
  <si>
    <t>Market share total_Min</t>
  </si>
  <si>
    <t>Market share new_Max</t>
  </si>
  <si>
    <t>Market share new_Min</t>
  </si>
  <si>
    <t>Calculated by python code</t>
  </si>
  <si>
    <t>Adjusted due to disallowed combination</t>
  </si>
  <si>
    <t>Capital cost</t>
  </si>
  <si>
    <t>lifetime</t>
  </si>
  <si>
    <t>operating cost</t>
  </si>
  <si>
    <t>intangible cost</t>
  </si>
  <si>
    <t>service cost</t>
  </si>
  <si>
    <t>m2 floorspade/building</t>
  </si>
  <si>
    <t>GJ/m2 floorspade</t>
  </si>
  <si>
    <t>calc: for this example, assume 80% existing stock remains from last time step</t>
  </si>
  <si>
    <t>stock remaining</t>
  </si>
  <si>
    <t>Each row is a tree branch</t>
  </si>
  <si>
    <t>calc: remove remaining stock and then use tech compete shares on gap</t>
  </si>
  <si>
    <t>remaining demand</t>
  </si>
  <si>
    <t>Only include techs with available year &lt; current year AND unavailable year &gt; current year</t>
  </si>
  <si>
    <t>calc: for this example, assume 95% existing stock remains from last time step</t>
  </si>
  <si>
    <t>&lt;- these should actually be calculated by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</si>
</sst>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#,##0_ ;\-#,##0\ "/>
    <numFmt numFmtId="167" formatCode="#,##0.0"/>
    <numFmt numFmtId="168" formatCode="#,##0.0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166" fontId="3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0" applyFont="1"/>
    <xf numFmtId="164" fontId="0" fillId="0" borderId="0" xfId="0" applyNumberFormat="1"/>
    <xf numFmtId="0" fontId="0" fillId="0" borderId="0" xfId="0" applyFont="1"/>
    <xf numFmtId="0" fontId="0" fillId="5" borderId="0" xfId="0" applyFill="1"/>
    <xf numFmtId="0" fontId="0" fillId="0" borderId="0" xfId="0" applyFont="1" applyFill="1"/>
    <xf numFmtId="0" fontId="0" fillId="0" borderId="0" xfId="0" applyFont="1" applyFill="1" applyBorder="1"/>
    <xf numFmtId="0" fontId="0" fillId="6" borderId="0" xfId="0" applyFont="1" applyFill="1"/>
    <xf numFmtId="0" fontId="1" fillId="3" borderId="0" xfId="0" applyFont="1" applyFill="1" applyBorder="1"/>
    <xf numFmtId="0" fontId="1" fillId="2" borderId="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left"/>
    </xf>
    <xf numFmtId="0" fontId="0" fillId="0" borderId="9" xfId="0" applyFont="1" applyFill="1" applyBorder="1" applyAlignment="1">
      <alignment horizontal="left"/>
    </xf>
    <xf numFmtId="0" fontId="0" fillId="0" borderId="0" xfId="0" applyFont="1" applyFill="1" applyAlignment="1">
      <alignment horizontal="center"/>
    </xf>
    <xf numFmtId="0" fontId="0" fillId="6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0" fontId="0" fillId="0" borderId="9" xfId="0" applyFont="1" applyFill="1" applyBorder="1"/>
    <xf numFmtId="0" fontId="0" fillId="0" borderId="0" xfId="0" applyFont="1" applyBorder="1"/>
    <xf numFmtId="0" fontId="0" fillId="0" borderId="9" xfId="0" applyFont="1" applyBorder="1" applyAlignment="1">
      <alignment horizontal="left"/>
    </xf>
    <xf numFmtId="3" fontId="0" fillId="0" borderId="0" xfId="0" applyNumberFormat="1" applyFont="1" applyBorder="1"/>
    <xf numFmtId="165" fontId="0" fillId="0" borderId="0" xfId="0" applyNumberFormat="1" applyFont="1" applyBorder="1"/>
    <xf numFmtId="164" fontId="0" fillId="0" borderId="0" xfId="0" applyNumberFormat="1" applyFont="1" applyBorder="1"/>
    <xf numFmtId="165" fontId="0" fillId="0" borderId="0" xfId="0" applyNumberFormat="1" applyFont="1"/>
    <xf numFmtId="2" fontId="0" fillId="0" borderId="0" xfId="0" applyNumberFormat="1" applyFont="1"/>
    <xf numFmtId="0" fontId="1" fillId="0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5" borderId="0" xfId="0" applyFont="1" applyFill="1" applyBorder="1"/>
    <xf numFmtId="0" fontId="1" fillId="5" borderId="0" xfId="2" applyFont="1" applyFill="1" applyBorder="1"/>
    <xf numFmtId="0" fontId="1" fillId="5" borderId="0" xfId="0" applyFont="1" applyFill="1"/>
    <xf numFmtId="0" fontId="0" fillId="0" borderId="9" xfId="0" applyBorder="1"/>
    <xf numFmtId="0" fontId="0" fillId="4" borderId="9" xfId="0" applyFill="1" applyBorder="1"/>
    <xf numFmtId="0" fontId="1" fillId="0" borderId="2" xfId="2" applyFont="1" applyFill="1" applyBorder="1"/>
    <xf numFmtId="0" fontId="1" fillId="0" borderId="8" xfId="2" applyFont="1" applyFill="1" applyBorder="1"/>
    <xf numFmtId="0" fontId="1" fillId="5" borderId="0" xfId="2" applyFont="1" applyFill="1"/>
    <xf numFmtId="2" fontId="0" fillId="0" borderId="0" xfId="0" applyNumberFormat="1" applyFont="1" applyBorder="1"/>
    <xf numFmtId="0" fontId="1" fillId="3" borderId="0" xfId="0" applyFont="1" applyFill="1" applyAlignment="1">
      <alignment horizontal="left"/>
    </xf>
    <xf numFmtId="0" fontId="1" fillId="3" borderId="0" xfId="0" applyFont="1" applyFill="1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9" xfId="0" applyFont="1" applyBorder="1"/>
    <xf numFmtId="0" fontId="4" fillId="0" borderId="9" xfId="2" applyBorder="1" applyAlignment="1">
      <alignment horizontal="left"/>
    </xf>
    <xf numFmtId="167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/>
    <xf numFmtId="167" fontId="0" fillId="0" borderId="0" xfId="0" applyNumberFormat="1" applyFont="1" applyBorder="1"/>
    <xf numFmtId="167" fontId="0" fillId="0" borderId="0" xfId="0" applyNumberFormat="1" applyFont="1"/>
    <xf numFmtId="167" fontId="0" fillId="0" borderId="0" xfId="0" applyNumberFormat="1" applyFont="1" applyFill="1"/>
    <xf numFmtId="0" fontId="1" fillId="2" borderId="0" xfId="0" applyNumberFormat="1" applyFont="1" applyFill="1" applyBorder="1" applyAlignment="1">
      <alignment horizontal="center"/>
    </xf>
    <xf numFmtId="4" fontId="0" fillId="0" borderId="0" xfId="0" applyNumberFormat="1" applyFont="1" applyBorder="1"/>
    <xf numFmtId="167" fontId="0" fillId="4" borderId="0" xfId="0" applyNumberFormat="1" applyFont="1" applyFill="1" applyBorder="1"/>
    <xf numFmtId="167" fontId="1" fillId="0" borderId="0" xfId="0" applyNumberFormat="1" applyFont="1" applyFill="1" applyBorder="1" applyAlignment="1">
      <alignment horizontal="center"/>
    </xf>
    <xf numFmtId="0" fontId="1" fillId="6" borderId="0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0" xfId="0" applyFont="1" applyFill="1" applyBorder="1"/>
    <xf numFmtId="3" fontId="0" fillId="0" borderId="0" xfId="0" applyNumberFormat="1"/>
    <xf numFmtId="167" fontId="0" fillId="0" borderId="0" xfId="0" applyNumberFormat="1"/>
    <xf numFmtId="4" fontId="0" fillId="0" borderId="0" xfId="0" applyNumberFormat="1"/>
    <xf numFmtId="0" fontId="4" fillId="0" borderId="0" xfId="2"/>
    <xf numFmtId="3" fontId="5" fillId="0" borderId="0" xfId="0" applyNumberFormat="1" applyFont="1" applyBorder="1"/>
    <xf numFmtId="167" fontId="5" fillId="0" borderId="0" xfId="0" applyNumberFormat="1" applyFont="1" applyBorder="1"/>
    <xf numFmtId="167" fontId="6" fillId="0" borderId="0" xfId="0" applyNumberFormat="1" applyFont="1" applyBorder="1"/>
    <xf numFmtId="168" fontId="0" fillId="0" borderId="0" xfId="0" applyNumberFormat="1" applyFont="1" applyBorder="1"/>
    <xf numFmtId="0" fontId="0" fillId="6" borderId="11" xfId="0" applyFont="1" applyFill="1" applyBorder="1"/>
    <xf numFmtId="0" fontId="0" fillId="0" borderId="11" xfId="0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167" fontId="0" fillId="0" borderId="11" xfId="0" applyNumberFormat="1" applyFont="1" applyBorder="1"/>
    <xf numFmtId="3" fontId="0" fillId="0" borderId="11" xfId="0" applyNumberFormat="1" applyFont="1" applyBorder="1"/>
    <xf numFmtId="3" fontId="0" fillId="0" borderId="11" xfId="0" applyNumberFormat="1" applyBorder="1"/>
    <xf numFmtId="0" fontId="0" fillId="0" borderId="11" xfId="0" applyBorder="1"/>
    <xf numFmtId="4" fontId="5" fillId="0" borderId="0" xfId="0" applyNumberFormat="1" applyFont="1" applyBorder="1"/>
    <xf numFmtId="4" fontId="0" fillId="0" borderId="0" xfId="0" applyNumberFormat="1" applyFont="1" applyFill="1" applyBorder="1"/>
    <xf numFmtId="3" fontId="0" fillId="0" borderId="0" xfId="0" applyNumberFormat="1" applyFont="1" applyFill="1" applyBorder="1"/>
    <xf numFmtId="3" fontId="5" fillId="0" borderId="0" xfId="0" applyNumberFormat="1" applyFont="1" applyFill="1" applyBorder="1"/>
    <xf numFmtId="0" fontId="1" fillId="0" borderId="0" xfId="0" applyFont="1" applyBorder="1" applyAlignment="1">
      <alignment horizontal="left"/>
    </xf>
    <xf numFmtId="0" fontId="8" fillId="0" borderId="0" xfId="0" applyFont="1" applyFill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Fill="1"/>
    <xf numFmtId="0" fontId="7" fillId="0" borderId="0" xfId="0" applyFont="1" applyFill="1" applyBorder="1"/>
    <xf numFmtId="0" fontId="7" fillId="0" borderId="1" xfId="2" applyFont="1" applyFill="1" applyBorder="1"/>
    <xf numFmtId="0" fontId="7" fillId="0" borderId="0" xfId="2" applyFont="1" applyFill="1" applyBorder="1"/>
    <xf numFmtId="0" fontId="7" fillId="0" borderId="6" xfId="0" applyFont="1" applyFill="1" applyBorder="1"/>
    <xf numFmtId="0" fontId="7" fillId="0" borderId="7" xfId="0" applyFont="1" applyFill="1" applyBorder="1"/>
    <xf numFmtId="0" fontId="7" fillId="0" borderId="1" xfId="0" applyFont="1" applyFill="1" applyBorder="1"/>
    <xf numFmtId="0" fontId="7" fillId="0" borderId="5" xfId="0" applyFont="1" applyFill="1" applyBorder="1"/>
    <xf numFmtId="0" fontId="7" fillId="0" borderId="3" xfId="0" applyFont="1" applyFill="1" applyBorder="1"/>
    <xf numFmtId="0" fontId="7" fillId="0" borderId="5" xfId="2" applyFont="1" applyFill="1" applyBorder="1"/>
    <xf numFmtId="0" fontId="7" fillId="0" borderId="4" xfId="0" applyFont="1" applyFill="1" applyBorder="1"/>
    <xf numFmtId="0" fontId="7" fillId="0" borderId="6" xfId="2" applyFont="1" applyFill="1" applyBorder="1"/>
    <xf numFmtId="0" fontId="7" fillId="4" borderId="10" xfId="2" applyFont="1" applyFill="1" applyBorder="1" applyAlignment="1">
      <alignment horizontal="center"/>
    </xf>
    <xf numFmtId="0" fontId="1" fillId="0" borderId="9" xfId="2" applyFont="1" applyBorder="1" applyAlignment="1">
      <alignment horizontal="left"/>
    </xf>
    <xf numFmtId="0" fontId="0" fillId="4" borderId="9" xfId="0" applyFont="1" applyFill="1" applyBorder="1" applyAlignment="1">
      <alignment horizontal="left"/>
    </xf>
    <xf numFmtId="0" fontId="0" fillId="4" borderId="0" xfId="0" applyFont="1" applyFill="1"/>
    <xf numFmtId="2" fontId="0" fillId="4" borderId="0" xfId="0" applyNumberFormat="1" applyFont="1" applyFill="1"/>
    <xf numFmtId="165" fontId="0" fillId="4" borderId="0" xfId="0" applyNumberFormat="1" applyFont="1" applyFill="1"/>
    <xf numFmtId="0" fontId="0" fillId="4" borderId="0" xfId="0" applyFont="1" applyFill="1" applyBorder="1" applyAlignment="1">
      <alignment horizontal="left"/>
    </xf>
    <xf numFmtId="167" fontId="0" fillId="4" borderId="0" xfId="0" applyNumberFormat="1" applyFont="1" applyFill="1"/>
    <xf numFmtId="0" fontId="0" fillId="0" borderId="0" xfId="0" applyFill="1"/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" fillId="4" borderId="0" xfId="0" applyFont="1" applyFill="1"/>
    <xf numFmtId="0" fontId="9" fillId="0" borderId="0" xfId="0" applyFont="1"/>
    <xf numFmtId="0" fontId="10" fillId="4" borderId="0" xfId="0" applyFont="1" applyFill="1"/>
    <xf numFmtId="0" fontId="11" fillId="0" borderId="0" xfId="0" applyFont="1"/>
    <xf numFmtId="0" fontId="1" fillId="0" borderId="0" xfId="2" applyFont="1" applyFill="1" applyBorder="1"/>
    <xf numFmtId="0" fontId="1" fillId="4" borderId="0" xfId="0" applyFont="1" applyFill="1" applyBorder="1"/>
    <xf numFmtId="0" fontId="0" fillId="0" borderId="0" xfId="0" applyBorder="1"/>
    <xf numFmtId="0" fontId="1" fillId="0" borderId="0" xfId="0" applyFont="1" applyBorder="1"/>
    <xf numFmtId="0" fontId="7" fillId="4" borderId="0" xfId="0" applyFont="1" applyFill="1"/>
    <xf numFmtId="0" fontId="7" fillId="0" borderId="0" xfId="0" applyFont="1"/>
    <xf numFmtId="4" fontId="0" fillId="0" borderId="0" xfId="0" applyNumberFormat="1" applyBorder="1"/>
    <xf numFmtId="4" fontId="11" fillId="0" borderId="0" xfId="0" applyNumberFormat="1" applyFont="1"/>
    <xf numFmtId="4" fontId="9" fillId="0" borderId="0" xfId="0" applyNumberFormat="1" applyFont="1"/>
    <xf numFmtId="4" fontId="9" fillId="0" borderId="0" xfId="0" applyNumberFormat="1" applyFont="1" applyBorder="1"/>
    <xf numFmtId="0" fontId="1" fillId="4" borderId="13" xfId="0" applyFont="1" applyFill="1" applyBorder="1"/>
    <xf numFmtId="0" fontId="1" fillId="0" borderId="13" xfId="0" applyFont="1" applyBorder="1"/>
    <xf numFmtId="0" fontId="0" fillId="0" borderId="13" xfId="0" applyBorder="1"/>
    <xf numFmtId="4" fontId="0" fillId="0" borderId="13" xfId="0" applyNumberFormat="1" applyBorder="1"/>
    <xf numFmtId="4" fontId="9" fillId="0" borderId="13" xfId="0" applyNumberFormat="1" applyFont="1" applyBorder="1"/>
    <xf numFmtId="0" fontId="1" fillId="0" borderId="0" xfId="0" applyFont="1" applyFill="1" applyBorder="1"/>
    <xf numFmtId="0" fontId="1" fillId="0" borderId="13" xfId="0" applyFont="1" applyFill="1" applyBorder="1"/>
    <xf numFmtId="4" fontId="11" fillId="0" borderId="0" xfId="0" applyNumberFormat="1" applyFont="1" applyBorder="1"/>
    <xf numFmtId="4" fontId="11" fillId="0" borderId="13" xfId="0" applyNumberFormat="1" applyFont="1" applyBorder="1"/>
    <xf numFmtId="0" fontId="1" fillId="0" borderId="13" xfId="0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0" xfId="0" applyFont="1" applyFill="1" applyBorder="1" applyAlignment="1">
      <alignment vertical="top" wrapText="1"/>
    </xf>
    <xf numFmtId="0" fontId="1" fillId="0" borderId="13" xfId="0" applyFont="1" applyFill="1" applyBorder="1" applyAlignment="1">
      <alignment vertical="top" wrapText="1"/>
    </xf>
    <xf numFmtId="0" fontId="7" fillId="0" borderId="0" xfId="0" applyFont="1" applyAlignment="1">
      <alignment vertical="top" wrapText="1"/>
    </xf>
    <xf numFmtId="0" fontId="0" fillId="7" borderId="0" xfId="0" applyFill="1"/>
    <xf numFmtId="4" fontId="0" fillId="7" borderId="13" xfId="0" applyNumberFormat="1" applyFill="1" applyBorder="1"/>
    <xf numFmtId="4" fontId="0" fillId="7" borderId="0" xfId="0" applyNumberFormat="1" applyFill="1" applyBorder="1"/>
    <xf numFmtId="4" fontId="9" fillId="7" borderId="0" xfId="0" applyNumberFormat="1" applyFont="1" applyFill="1" applyBorder="1"/>
    <xf numFmtId="4" fontId="11" fillId="7" borderId="0" xfId="0" applyNumberFormat="1" applyFont="1" applyFill="1" applyBorder="1"/>
    <xf numFmtId="4" fontId="9" fillId="7" borderId="13" xfId="0" applyNumberFormat="1" applyFont="1" applyFill="1" applyBorder="1"/>
    <xf numFmtId="4" fontId="11" fillId="7" borderId="13" xfId="0" applyNumberFormat="1" applyFont="1" applyFill="1" applyBorder="1"/>
    <xf numFmtId="4" fontId="0" fillId="8" borderId="0" xfId="0" applyNumberFormat="1" applyFill="1" applyBorder="1"/>
    <xf numFmtId="0" fontId="10" fillId="0" borderId="0" xfId="0" applyFont="1" applyFill="1"/>
    <xf numFmtId="0" fontId="0" fillId="8" borderId="0" xfId="0" applyFill="1"/>
    <xf numFmtId="11" fontId="0" fillId="0" borderId="0" xfId="0" applyNumberFormat="1"/>
    <xf numFmtId="0" fontId="1" fillId="0" borderId="13" xfId="0" applyFont="1" applyBorder="1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Border="1" applyAlignment="1">
      <alignment vertical="top"/>
    </xf>
    <xf numFmtId="0" fontId="1" fillId="0" borderId="0" xfId="0" applyFont="1" applyFill="1" applyBorder="1" applyAlignment="1">
      <alignment vertical="top"/>
    </xf>
    <xf numFmtId="0" fontId="1" fillId="0" borderId="13" xfId="0" applyFont="1" applyFill="1" applyBorder="1" applyAlignment="1">
      <alignment vertical="top"/>
    </xf>
    <xf numFmtId="0" fontId="7" fillId="0" borderId="0" xfId="0" applyFont="1" applyAlignment="1">
      <alignment vertical="top"/>
    </xf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2" fontId="0" fillId="0" borderId="0" xfId="0" applyNumberFormat="1"/>
    <xf numFmtId="4" fontId="0" fillId="0" borderId="0" xfId="0" applyNumberFormat="1" applyFill="1" applyBorder="1"/>
    <xf numFmtId="4" fontId="9" fillId="0" borderId="0" xfId="0" applyNumberFormat="1" applyFont="1" applyFill="1" applyBorder="1"/>
    <xf numFmtId="4" fontId="11" fillId="0" borderId="0" xfId="0" applyNumberFormat="1" applyFont="1" applyFill="1" applyBorder="1"/>
    <xf numFmtId="4" fontId="9" fillId="8" borderId="0" xfId="0" applyNumberFormat="1" applyFont="1" applyFill="1" applyBorder="1"/>
    <xf numFmtId="3" fontId="0" fillId="0" borderId="13" xfId="0" applyNumberFormat="1" applyBorder="1"/>
    <xf numFmtId="3" fontId="0" fillId="7" borderId="13" xfId="0" applyNumberFormat="1" applyFill="1" applyBorder="1"/>
    <xf numFmtId="0" fontId="1" fillId="9" borderId="0" xfId="0" applyFont="1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1" fillId="4" borderId="0" xfId="0" applyFont="1" applyFill="1" applyAlignment="1">
      <alignment vertical="top" wrapText="1"/>
    </xf>
    <xf numFmtId="2" fontId="11" fillId="0" borderId="0" xfId="0" applyNumberFormat="1" applyFont="1"/>
    <xf numFmtId="0" fontId="1" fillId="4" borderId="0" xfId="0" applyFont="1" applyFill="1" applyAlignment="1">
      <alignment vertical="top"/>
    </xf>
    <xf numFmtId="0" fontId="1" fillId="4" borderId="13" xfId="0" applyFont="1" applyFill="1" applyBorder="1" applyAlignment="1">
      <alignment vertical="top"/>
    </xf>
    <xf numFmtId="0" fontId="1" fillId="4" borderId="0" xfId="0" applyFont="1" applyFill="1" applyBorder="1" applyAlignment="1">
      <alignment vertical="top"/>
    </xf>
    <xf numFmtId="0" fontId="7" fillId="4" borderId="0" xfId="0" applyFont="1" applyFill="1" applyAlignment="1">
      <alignment vertical="top"/>
    </xf>
    <xf numFmtId="0" fontId="10" fillId="4" borderId="0" xfId="0" applyFont="1" applyFill="1" applyAlignment="1">
      <alignment vertical="top"/>
    </xf>
    <xf numFmtId="0" fontId="0" fillId="0" borderId="0" xfId="0" applyAlignment="1">
      <alignment vertical="top"/>
    </xf>
    <xf numFmtId="165" fontId="0" fillId="0" borderId="0" xfId="0" applyNumberFormat="1" applyFont="1" applyFill="1" applyBorder="1"/>
    <xf numFmtId="2" fontId="0" fillId="0" borderId="0" xfId="0" applyNumberFormat="1" applyFont="1" applyFill="1" applyBorder="1"/>
    <xf numFmtId="0" fontId="0" fillId="4" borderId="0" xfId="0" applyFill="1" applyAlignment="1">
      <alignment vertical="top" wrapText="1"/>
    </xf>
    <xf numFmtId="2" fontId="0" fillId="7" borderId="0" xfId="0" applyNumberFormat="1" applyFill="1"/>
    <xf numFmtId="3" fontId="9" fillId="0" borderId="13" xfId="0" applyNumberFormat="1" applyFont="1" applyBorder="1"/>
    <xf numFmtId="3" fontId="9" fillId="7" borderId="13" xfId="0" applyNumberFormat="1" applyFont="1" applyFill="1" applyBorder="1"/>
    <xf numFmtId="3" fontId="9" fillId="0" borderId="0" xfId="0" applyNumberFormat="1" applyFont="1"/>
  </cellXfs>
  <cellStyles count="3">
    <cellStyle name="Comma" xfId="1" builtinId="3" customBuiltin="1"/>
    <cellStyle name="Hyperlink" xfId="2" builtinId="8"/>
    <cellStyle name="Normal" xfId="0" builtinId="0"/>
  </cellStyles>
  <dxfs count="19">
    <dxf>
      <border>
        <bottom style="thin">
          <color auto="1"/>
        </bottom>
      </border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  <dxf>
      <font>
        <b/>
        <i val="0"/>
      </font>
    </dxf>
    <dxf>
      <border>
        <bottom style="thin">
          <color auto="1"/>
        </bottom>
      </border>
    </dxf>
    <dxf>
      <font>
        <color theme="0"/>
      </font>
      <fill>
        <patternFill>
          <fgColor indexed="64"/>
          <bgColor rgb="FF0070C0"/>
        </patternFill>
      </fill>
    </dxf>
    <dxf>
      <font>
        <color theme="0"/>
      </font>
      <fill>
        <patternFill>
          <fgColor indexed="64"/>
          <bgColor rgb="FF00B050"/>
        </patternFill>
      </fill>
    </dxf>
    <dxf>
      <fill>
        <patternFill>
          <fgColor indexed="64"/>
          <bgColor theme="7" tint="0.39991454817346722"/>
        </patternFill>
      </fill>
    </dxf>
    <dxf>
      <font>
        <color theme="0"/>
      </font>
      <fill>
        <patternFill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data.oecd.org/gdp/gdp-long-term-forecast.htm" TargetMode="External"/><Relationship Id="rId7" Type="http://schemas.openxmlformats.org/officeDocument/2006/relationships/hyperlink" Target="https://www150.statcan.gc.ca/t1/tbl1/en/cv.action?pid=1710000501" TargetMode="External"/><Relationship Id="rId2" Type="http://schemas.openxmlformats.org/officeDocument/2006/relationships/hyperlink" Target="https://data.oecd.org/conversion/purchasing-power-parities-ppp.htm" TargetMode="External"/><Relationship Id="rId1" Type="http://schemas.openxmlformats.org/officeDocument/2006/relationships/hyperlink" Target="https://data.oecd.org/gdp/gdp-long-term-forecast.htm" TargetMode="External"/><Relationship Id="rId6" Type="http://schemas.openxmlformats.org/officeDocument/2006/relationships/hyperlink" Target="https://www150.statcan.gc.ca/t1/tbl1/en/cv.action?pid=1710000501" TargetMode="External"/><Relationship Id="rId5" Type="http://schemas.openxmlformats.org/officeDocument/2006/relationships/hyperlink" Target="https://www150.statcan.gc.ca/t1/tbl1/en/tv.action?pid=1710005801" TargetMode="External"/><Relationship Id="rId4" Type="http://schemas.openxmlformats.org/officeDocument/2006/relationships/hyperlink" Target="https://www150.statcan.gc.ca/t1/tbl1/en/tv.action?pid=1710005801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oee.nrcan.gc.ca/corporate/statistics/neud/dpa/showTable.cfm?type=CP&amp;sector=res&amp;juris=ab&amp;rn=18&amp;page=2" TargetMode="External"/><Relationship Id="rId13" Type="http://schemas.openxmlformats.org/officeDocument/2006/relationships/hyperlink" Target="http://oee.nrcan.gc.ca/corporate/statistics/neud/dpa/showTable.cfm?type=CP&amp;sector=res&amp;juris=ab&amp;rn=18&amp;page=2" TargetMode="External"/><Relationship Id="rId18" Type="http://schemas.openxmlformats.org/officeDocument/2006/relationships/hyperlink" Target="http://oee.nrcan.gc.ca/corporate/statistics/neud/dpa/showTable.cfm?type=CP&amp;sector=res&amp;juris=ab&amp;rn=18&amp;page=2" TargetMode="External"/><Relationship Id="rId3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7" Type="http://schemas.openxmlformats.org/officeDocument/2006/relationships/hyperlink" Target="http://oee.nrcan.gc.ca/corporate/statistics/neud/dpa/showTable.cfm?type=CP&amp;sector=res&amp;juris=ab&amp;rn=18&amp;page=2" TargetMode="External"/><Relationship Id="rId12" Type="http://schemas.openxmlformats.org/officeDocument/2006/relationships/hyperlink" Target="http://oee.nrcan.gc.ca/corporate/statistics/neud/dpa/showTable.cfm?type=CP&amp;sector=res&amp;juris=ab&amp;rn=18&amp;page=2" TargetMode="External"/><Relationship Id="rId17" Type="http://schemas.openxmlformats.org/officeDocument/2006/relationships/hyperlink" Target="http://oee.nrcan.gc.ca/corporate/statistics/neud/dpa/showTable.cfm?type=CP&amp;sector=res&amp;juris=ab&amp;rn=18&amp;page=2" TargetMode="External"/><Relationship Id="rId2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16" Type="http://schemas.openxmlformats.org/officeDocument/2006/relationships/hyperlink" Target="http://oee.nrcan.gc.ca/corporate/statistics/neud/dpa/showTable.cfm?type=CP&amp;sector=res&amp;juris=ab&amp;rn=18&amp;page=2" TargetMode="External"/><Relationship Id="rId20" Type="http://schemas.openxmlformats.org/officeDocument/2006/relationships/printerSettings" Target="../printerSettings/printerSettings2.bin"/><Relationship Id="rId1" Type="http://schemas.openxmlformats.org/officeDocument/2006/relationships/hyperlink" Target="http://oee.nrcan.gc.ca/corporate/statistics/neud/dpa/showTable.cfm?type=CP&amp;sector=res&amp;juris=ab&amp;rn=18&amp;page=2" TargetMode="External"/><Relationship Id="rId6" Type="http://schemas.openxmlformats.org/officeDocument/2006/relationships/hyperlink" Target="http://oee.nrcan.gc.ca/corporate/statistics/neud/dpa/showTable.cfm?type=CP&amp;sector=res&amp;juris=ab&amp;rn=18&amp;page=2" TargetMode="External"/><Relationship Id="rId11" Type="http://schemas.openxmlformats.org/officeDocument/2006/relationships/hyperlink" Target="https://www12.statcan.gc.ca/census-recensement/2016/dp-pd/dt-td/Rp-eng.cfm?TABID=4&amp;LANG=E&amp;A=R&amp;APATH=3&amp;DETAIL=0&amp;DIM=0&amp;FL=A&amp;FREE=0&amp;GC=01&amp;GL=-1&amp;GID=1234492&amp;GK=1&amp;GRP=1&amp;O=D&amp;PID=109532&amp;PRID=10&amp;PTYPE=109445&amp;S=0&amp;SHOWALL=0&amp;SUB=0&amp;Temporal=2016&amp;THEME=116&amp;VID=0&amp;VNAMEE=&amp;VNAMEF=&amp;D1=0&amp;D2=0&amp;D3=0&amp;D4=0&amp;D5=0&amp;D6=0" TargetMode="External"/><Relationship Id="rId5" Type="http://schemas.openxmlformats.org/officeDocument/2006/relationships/hyperlink" Target="http://oee.nrcan.gc.ca/corporate/statistics/neud/dpa/showTable.cfm?type=CP&amp;sector=res&amp;juris=ab&amp;rn=18&amp;page=2" TargetMode="External"/><Relationship Id="rId15" Type="http://schemas.openxmlformats.org/officeDocument/2006/relationships/hyperlink" Target="http://oee.nrcan.gc.ca/corporate/statistics/neud/dpa/showTable.cfm?type=CP&amp;sector=res&amp;juris=ab&amp;rn=18&amp;page=2" TargetMode="External"/><Relationship Id="rId10" Type="http://schemas.openxmlformats.org/officeDocument/2006/relationships/hyperlink" Target="http://oee.nrcan.gc.ca/corporate/statistics/neud/dpa/showTable.cfm?type=CP&amp;sector=res&amp;juris=ab&amp;rn=18&amp;page=2" TargetMode="External"/><Relationship Id="rId19" Type="http://schemas.openxmlformats.org/officeDocument/2006/relationships/hyperlink" Target="http://oee.nrcan.gc.ca/corporate/statistics/neud/dpa/showTable.cfm?type=CP&amp;sector=res&amp;juris=ab&amp;rn=18&amp;page=2" TargetMode="External"/><Relationship Id="rId4" Type="http://schemas.openxmlformats.org/officeDocument/2006/relationships/hyperlink" Target="http://oee.nrcan.gc.ca/corporate/statistics/neud/dpa/showTable.cfm?type=CP&amp;sector=res&amp;juris=ab&amp;rn=18&amp;page=2" TargetMode="External"/><Relationship Id="rId9" Type="http://schemas.openxmlformats.org/officeDocument/2006/relationships/hyperlink" Target="http://oee.nrcan.gc.ca/corporate/statistics/neud/dpa/showTable.cfm?type=CP&amp;sector=res&amp;juris=ab&amp;rn=18&amp;page=2" TargetMode="External"/><Relationship Id="rId14" Type="http://schemas.openxmlformats.org/officeDocument/2006/relationships/hyperlink" Target="http://oee.nrcan.gc.ca/corporate/statistics/neud/dpa/showTable.cfm?type=CP&amp;sector=res&amp;juris=ab&amp;rn=18&amp;page=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49E9-551D-4918-9891-B804DE91249B}">
  <sheetPr codeName="Sheet7">
    <tabColor theme="1" tint="0.499984740745262"/>
    <outlinePr summaryBelow="0" summaryRight="0"/>
  </sheetPr>
  <dimension ref="A1:L6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6" style="99" bestFit="1" customWidth="1"/>
    <col min="2" max="2" width="46.42578125" style="100" customWidth="1"/>
    <col min="3" max="3" width="3.140625" style="99" customWidth="1"/>
    <col min="4" max="4" width="16.5703125" style="99" bestFit="1" customWidth="1"/>
    <col min="5" max="5" width="11.85546875" style="99" customWidth="1"/>
    <col min="6" max="6" width="3.140625" style="99" customWidth="1"/>
    <col min="7" max="7" width="22" style="99" bestFit="1" customWidth="1"/>
    <col min="8" max="8" width="11.85546875" style="99" customWidth="1"/>
    <col min="9" max="9" width="3.140625" style="99" customWidth="1"/>
    <col min="10" max="10" width="12.140625" style="99" bestFit="1" customWidth="1"/>
    <col min="11" max="11" width="3.140625" style="99" customWidth="1"/>
    <col min="12" max="12" width="9.140625" style="99"/>
    <col min="13" max="13" width="3.140625" style="99" customWidth="1"/>
    <col min="14" max="16384" width="9.140625" style="99"/>
  </cols>
  <sheetData>
    <row r="1" spans="1:12" s="98" customFormat="1" ht="45" x14ac:dyDescent="0.25">
      <c r="A1" s="98" t="s">
        <v>143</v>
      </c>
      <c r="B1" s="98" t="s">
        <v>138</v>
      </c>
      <c r="D1" s="98" t="s">
        <v>74</v>
      </c>
      <c r="E1" s="98" t="s">
        <v>75</v>
      </c>
      <c r="G1" s="98" t="s">
        <v>71</v>
      </c>
      <c r="H1" s="98" t="s">
        <v>133</v>
      </c>
      <c r="J1" s="98" t="s">
        <v>72</v>
      </c>
      <c r="L1" s="98" t="s">
        <v>70</v>
      </c>
    </row>
    <row r="2" spans="1:12" ht="30" x14ac:dyDescent="0.25">
      <c r="A2" s="99" t="s">
        <v>24</v>
      </c>
      <c r="B2" s="100" t="s">
        <v>140</v>
      </c>
      <c r="D2" s="99" t="s">
        <v>60</v>
      </c>
      <c r="E2" s="99" t="s">
        <v>77</v>
      </c>
      <c r="G2" s="99" t="s">
        <v>0</v>
      </c>
      <c r="H2" s="99" t="s">
        <v>134</v>
      </c>
      <c r="J2" s="99" t="s">
        <v>2</v>
      </c>
      <c r="L2" s="99" t="s">
        <v>19</v>
      </c>
    </row>
    <row r="3" spans="1:12" ht="30" x14ac:dyDescent="0.25">
      <c r="A3" s="99" t="s">
        <v>57</v>
      </c>
      <c r="B3" s="100" t="s">
        <v>139</v>
      </c>
      <c r="D3" s="99" t="s">
        <v>5</v>
      </c>
      <c r="E3" s="99" t="s">
        <v>78</v>
      </c>
      <c r="G3" s="99" t="s">
        <v>73</v>
      </c>
      <c r="H3" s="99" t="s">
        <v>134</v>
      </c>
      <c r="J3" s="99" t="s">
        <v>14</v>
      </c>
      <c r="L3" s="99" t="s">
        <v>20</v>
      </c>
    </row>
    <row r="4" spans="1:12" ht="45" x14ac:dyDescent="0.25">
      <c r="A4" s="99" t="s">
        <v>23</v>
      </c>
      <c r="B4" s="100" t="s">
        <v>141</v>
      </c>
      <c r="D4" s="99" t="s">
        <v>76</v>
      </c>
      <c r="E4" s="99" t="s">
        <v>79</v>
      </c>
      <c r="G4" s="99" t="s">
        <v>2</v>
      </c>
      <c r="H4" s="99" t="s">
        <v>135</v>
      </c>
      <c r="L4" s="99" t="s">
        <v>21</v>
      </c>
    </row>
    <row r="5" spans="1:12" ht="30" x14ac:dyDescent="0.25">
      <c r="A5" s="99" t="s">
        <v>80</v>
      </c>
      <c r="B5" s="100" t="s">
        <v>142</v>
      </c>
      <c r="G5" s="99" t="s">
        <v>14</v>
      </c>
      <c r="H5" s="99" t="s">
        <v>135</v>
      </c>
    </row>
    <row r="6" spans="1:12" x14ac:dyDescent="0.25">
      <c r="B6" s="9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4ED32-E5FE-4314-9DA0-B00575F8E235}">
  <sheetPr codeName="Map">
    <tabColor theme="1"/>
    <outlinePr summaryBelow="0" summaryRight="0"/>
  </sheetPr>
  <dimension ref="A1:BB389"/>
  <sheetViews>
    <sheetView showGridLines="0" zoomScale="85" zoomScaleNormal="85" workbookViewId="0">
      <pane ySplit="2" topLeftCell="A192" activePane="bottomLeft" state="frozen"/>
      <selection pane="bottomLeft" activeCell="X365" sqref="X365"/>
    </sheetView>
  </sheetViews>
  <sheetFormatPr defaultRowHeight="15" outlineLevelCol="1" x14ac:dyDescent="0.25"/>
  <cols>
    <col min="1" max="1" width="2.7109375" style="3" customWidth="1"/>
    <col min="2" max="2" width="11.140625" style="77" customWidth="1"/>
    <col min="3" max="3" width="2.5703125" style="77" customWidth="1" outlineLevel="1"/>
    <col min="4" max="4" width="10" style="77" customWidth="1" outlineLevel="1"/>
    <col min="5" max="5" width="2.7109375" style="77" customWidth="1" outlineLevel="1"/>
    <col min="6" max="6" width="12.42578125" style="77" customWidth="1" outlineLevel="1"/>
    <col min="7" max="7" width="2.7109375" style="77" customWidth="1" outlineLevel="1"/>
    <col min="8" max="8" width="35.7109375" style="77" customWidth="1" outlineLevel="1"/>
    <col min="9" max="9" width="2.7109375" style="77" customWidth="1" outlineLevel="1"/>
    <col min="10" max="10" width="35.42578125" style="77" customWidth="1" outlineLevel="1"/>
    <col min="11" max="11" width="2.7109375" style="77" customWidth="1" outlineLevel="1"/>
    <col min="12" max="12" width="42.85546875" style="77" customWidth="1" outlineLevel="1"/>
    <col min="13" max="13" width="2.7109375" style="77" customWidth="1" outlineLevel="1"/>
    <col min="14" max="14" width="19.140625" style="77" customWidth="1" outlineLevel="1"/>
    <col min="15" max="15" width="2.7109375" style="77" customWidth="1" outlineLevel="1"/>
    <col min="16" max="16" width="10.7109375" style="77" customWidth="1" outlineLevel="1"/>
    <col min="17" max="17" width="2.7109375" style="77" customWidth="1" outlineLevel="1"/>
    <col min="18" max="18" width="10.7109375" style="77" customWidth="1" outlineLevel="1"/>
    <col min="19" max="19" width="2.7109375" style="77" customWidth="1" outlineLevel="1"/>
    <col min="20" max="20" width="10.7109375" style="77" customWidth="1" outlineLevel="1"/>
    <col min="21" max="21" width="2.7109375" style="77" customWidth="1" outlineLevel="1"/>
    <col min="22" max="22" width="10.7109375" style="77" customWidth="1" outlineLevel="1"/>
    <col min="23" max="23" width="2.7109375" style="3" customWidth="1"/>
    <col min="24" max="24" width="21.28515625" style="29" customWidth="1"/>
    <col min="25" max="25" width="24.42578125" style="3" customWidth="1" outlineLevel="1"/>
    <col min="26" max="26" width="66.42578125" style="3" bestFit="1" customWidth="1" outlineLevel="1"/>
    <col min="27" max="27" width="25.7109375" style="3" customWidth="1" outlineLevel="1"/>
    <col min="28" max="28" width="34" style="3" customWidth="1" outlineLevel="1"/>
    <col min="29" max="39" width="15.7109375" style="3" customWidth="1" outlineLevel="1"/>
    <col min="40" max="40" width="2.7109375" style="3" customWidth="1"/>
    <col min="41" max="41" width="27.5703125" style="17" bestFit="1" customWidth="1"/>
    <col min="42" max="43" width="22.140625" style="17" customWidth="1"/>
    <col min="44" max="54" width="15.7109375" style="43" customWidth="1" outlineLevel="1"/>
    <col min="55" max="16384" width="9.140625" style="3"/>
  </cols>
  <sheetData>
    <row r="1" spans="1:54" s="24" customFormat="1" ht="15.75" thickBot="1" x14ac:dyDescent="0.3">
      <c r="A1" s="25"/>
      <c r="B1" s="73">
        <v>0</v>
      </c>
      <c r="C1" s="73"/>
      <c r="D1" s="73">
        <v>1</v>
      </c>
      <c r="E1" s="73"/>
      <c r="F1" s="73">
        <v>2</v>
      </c>
      <c r="G1" s="73"/>
      <c r="H1" s="73">
        <v>3</v>
      </c>
      <c r="I1" s="74"/>
      <c r="J1" s="73">
        <v>4</v>
      </c>
      <c r="K1" s="74"/>
      <c r="L1" s="73">
        <v>5</v>
      </c>
      <c r="M1" s="74"/>
      <c r="N1" s="73">
        <v>6</v>
      </c>
      <c r="O1" s="74"/>
      <c r="P1" s="73">
        <v>7</v>
      </c>
      <c r="Q1" s="74"/>
      <c r="R1" s="73">
        <v>8</v>
      </c>
      <c r="S1" s="74"/>
      <c r="T1" s="73">
        <v>9</v>
      </c>
      <c r="U1" s="74"/>
      <c r="V1" s="73">
        <v>10</v>
      </c>
      <c r="W1" s="25"/>
      <c r="X1" s="36" t="s">
        <v>97</v>
      </c>
      <c r="Y1" s="89" t="s">
        <v>106</v>
      </c>
      <c r="AN1" s="25"/>
      <c r="AO1" s="37" t="s">
        <v>99</v>
      </c>
      <c r="AP1" s="37"/>
      <c r="AQ1" s="26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</row>
    <row r="2" spans="1:54" s="24" customFormat="1" x14ac:dyDescent="0.25">
      <c r="A2" s="25"/>
      <c r="B2" s="75" t="s">
        <v>84</v>
      </c>
      <c r="C2" s="75"/>
      <c r="D2" s="75" t="s">
        <v>74</v>
      </c>
      <c r="E2" s="75"/>
      <c r="F2" s="75" t="s">
        <v>71</v>
      </c>
      <c r="G2" s="75"/>
      <c r="H2" s="75" t="s">
        <v>91</v>
      </c>
      <c r="I2" s="76"/>
      <c r="J2" s="75" t="s">
        <v>91</v>
      </c>
      <c r="K2" s="76"/>
      <c r="L2" s="75" t="s">
        <v>91</v>
      </c>
      <c r="M2" s="76"/>
      <c r="N2" s="75" t="s">
        <v>91</v>
      </c>
      <c r="O2" s="76"/>
      <c r="P2" s="75" t="s">
        <v>91</v>
      </c>
      <c r="Q2" s="76"/>
      <c r="R2" s="75" t="s">
        <v>91</v>
      </c>
      <c r="S2" s="76"/>
      <c r="T2" s="75" t="s">
        <v>91</v>
      </c>
      <c r="U2" s="76"/>
      <c r="V2" s="75" t="s">
        <v>91</v>
      </c>
      <c r="W2" s="25"/>
      <c r="X2" s="8" t="s">
        <v>61</v>
      </c>
      <c r="Y2" s="8" t="s">
        <v>9</v>
      </c>
      <c r="Z2" s="8" t="s">
        <v>6</v>
      </c>
      <c r="AA2" s="8" t="s">
        <v>16</v>
      </c>
      <c r="AB2" s="10" t="s">
        <v>8</v>
      </c>
      <c r="AC2" s="9">
        <v>2000</v>
      </c>
      <c r="AD2" s="9">
        <v>2005</v>
      </c>
      <c r="AE2" s="9">
        <v>2010</v>
      </c>
      <c r="AF2" s="9">
        <v>2015</v>
      </c>
      <c r="AG2" s="9">
        <v>2020</v>
      </c>
      <c r="AH2" s="9">
        <v>2025</v>
      </c>
      <c r="AI2" s="9">
        <v>2030</v>
      </c>
      <c r="AJ2" s="9">
        <v>2035</v>
      </c>
      <c r="AK2" s="9">
        <v>2040</v>
      </c>
      <c r="AL2" s="9">
        <v>2045</v>
      </c>
      <c r="AM2" s="9">
        <v>2050</v>
      </c>
      <c r="AN2" s="25"/>
      <c r="AO2" s="37" t="s">
        <v>93</v>
      </c>
      <c r="AP2" s="37" t="s">
        <v>16</v>
      </c>
      <c r="AQ2" s="37" t="s">
        <v>98</v>
      </c>
      <c r="AR2" s="46">
        <v>2000</v>
      </c>
      <c r="AS2" s="46">
        <v>2005</v>
      </c>
      <c r="AT2" s="46">
        <v>2010</v>
      </c>
      <c r="AU2" s="46">
        <v>2015</v>
      </c>
      <c r="AV2" s="46">
        <v>2020</v>
      </c>
      <c r="AW2" s="46">
        <v>2025</v>
      </c>
      <c r="AX2" s="46">
        <v>2030</v>
      </c>
      <c r="AY2" s="46">
        <v>2035</v>
      </c>
      <c r="AZ2" s="46">
        <v>2040</v>
      </c>
      <c r="BA2" s="46">
        <v>2045</v>
      </c>
      <c r="BB2" s="46">
        <v>2050</v>
      </c>
    </row>
    <row r="3" spans="1:54" s="12" customFormat="1" x14ac:dyDescent="0.25">
      <c r="A3" s="13"/>
      <c r="B3" s="75"/>
      <c r="C3" s="75"/>
      <c r="D3" s="75"/>
      <c r="E3" s="75"/>
      <c r="F3" s="75"/>
      <c r="G3" s="75"/>
      <c r="H3" s="75"/>
      <c r="I3" s="76"/>
      <c r="J3" s="75"/>
      <c r="K3" s="76"/>
      <c r="L3" s="75"/>
      <c r="M3" s="76"/>
      <c r="N3" s="75"/>
      <c r="O3" s="76"/>
      <c r="P3" s="75"/>
      <c r="Q3" s="76"/>
      <c r="R3" s="75"/>
      <c r="S3" s="76"/>
      <c r="T3" s="75"/>
      <c r="U3" s="76"/>
      <c r="V3" s="75"/>
      <c r="W3" s="13"/>
      <c r="X3" s="27" t="str">
        <f t="shared" ref="X3:X53" si="0">IFERROR(INDEX($B3:$V3,MATCH(TRUE,INDEX(($B3:$V3&lt;&gt;0),0),0)),"")</f>
        <v/>
      </c>
      <c r="Y3" s="14"/>
      <c r="Z3" s="14"/>
      <c r="AA3" s="14"/>
      <c r="AB3" s="11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3"/>
      <c r="AO3" s="15"/>
      <c r="AP3" s="15"/>
      <c r="AQ3" s="15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</row>
    <row r="4" spans="1:54" s="5" customFormat="1" x14ac:dyDescent="0.25">
      <c r="A4" s="7"/>
      <c r="B4" s="32" t="s">
        <v>82</v>
      </c>
      <c r="C4" s="77"/>
      <c r="D4" s="77"/>
      <c r="E4" s="77"/>
      <c r="F4" s="77"/>
      <c r="G4" s="77"/>
      <c r="H4" s="77"/>
      <c r="I4" s="78"/>
      <c r="J4" s="77"/>
      <c r="K4" s="78"/>
      <c r="L4" s="77"/>
      <c r="M4" s="78"/>
      <c r="N4" s="77"/>
      <c r="O4" s="78"/>
      <c r="P4" s="77"/>
      <c r="Q4" s="78"/>
      <c r="R4" s="77"/>
      <c r="S4" s="78"/>
      <c r="T4" s="77"/>
      <c r="U4" s="78"/>
      <c r="V4" s="77"/>
      <c r="W4" s="7"/>
      <c r="X4" s="28" t="str">
        <f t="shared" si="0"/>
        <v>Simulation</v>
      </c>
      <c r="Y4" s="6"/>
      <c r="Z4" s="6"/>
      <c r="AA4" s="6"/>
      <c r="AB4" s="11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7"/>
      <c r="AO4" s="15"/>
      <c r="AP4" s="15"/>
      <c r="AQ4" s="15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</row>
    <row r="5" spans="1:54" s="5" customFormat="1" x14ac:dyDescent="0.25">
      <c r="A5" s="7"/>
      <c r="B5" s="77"/>
      <c r="C5" s="77"/>
      <c r="D5" s="77"/>
      <c r="E5" s="77"/>
      <c r="F5" s="77"/>
      <c r="G5" s="77"/>
      <c r="H5" s="77"/>
      <c r="I5" s="78"/>
      <c r="J5" s="77"/>
      <c r="K5" s="78"/>
      <c r="L5" s="77"/>
      <c r="M5" s="78"/>
      <c r="N5" s="77"/>
      <c r="O5" s="78"/>
      <c r="P5" s="77"/>
      <c r="Q5" s="78"/>
      <c r="R5" s="77"/>
      <c r="S5" s="78"/>
      <c r="T5" s="77"/>
      <c r="U5" s="78"/>
      <c r="V5" s="77"/>
      <c r="W5" s="7"/>
      <c r="X5" s="27" t="str">
        <f t="shared" si="0"/>
        <v/>
      </c>
      <c r="Y5" s="6" t="s">
        <v>83</v>
      </c>
      <c r="Z5" s="6"/>
      <c r="AA5" s="6" t="s">
        <v>10</v>
      </c>
      <c r="AB5" s="11"/>
      <c r="AC5" s="6">
        <v>2000</v>
      </c>
      <c r="AD5" s="6">
        <v>2005</v>
      </c>
      <c r="AE5" s="6">
        <v>2010</v>
      </c>
      <c r="AF5" s="6">
        <v>2015</v>
      </c>
      <c r="AG5" s="6">
        <v>2020</v>
      </c>
      <c r="AH5" s="6">
        <v>2025</v>
      </c>
      <c r="AI5" s="6">
        <v>2030</v>
      </c>
      <c r="AJ5" s="6"/>
      <c r="AK5" s="6"/>
      <c r="AL5" s="6"/>
      <c r="AM5" s="6"/>
      <c r="AN5" s="7"/>
      <c r="AO5" s="15"/>
      <c r="AP5" s="15"/>
      <c r="AQ5" s="15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</row>
    <row r="6" spans="1:54" s="5" customFormat="1" x14ac:dyDescent="0.25">
      <c r="A6" s="7"/>
      <c r="B6" s="77"/>
      <c r="C6" s="77"/>
      <c r="D6" s="77"/>
      <c r="E6" s="77"/>
      <c r="F6" s="77"/>
      <c r="G6" s="77"/>
      <c r="H6" s="77"/>
      <c r="I6" s="78"/>
      <c r="J6" s="77"/>
      <c r="K6" s="78"/>
      <c r="L6" s="77"/>
      <c r="M6" s="78"/>
      <c r="N6" s="77"/>
      <c r="O6" s="78"/>
      <c r="P6" s="77"/>
      <c r="Q6" s="78"/>
      <c r="R6" s="77"/>
      <c r="S6" s="78"/>
      <c r="T6" s="77"/>
      <c r="U6" s="78"/>
      <c r="V6" s="77"/>
      <c r="W6" s="7"/>
      <c r="X6" s="27" t="str">
        <f t="shared" si="0"/>
        <v/>
      </c>
      <c r="Y6" s="6"/>
      <c r="Z6" s="6"/>
      <c r="AA6" s="6"/>
      <c r="AB6" s="11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7"/>
      <c r="AO6" s="15"/>
      <c r="AP6" s="15"/>
      <c r="AQ6" s="15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</row>
    <row r="7" spans="1:54" s="5" customFormat="1" x14ac:dyDescent="0.25">
      <c r="A7" s="7"/>
      <c r="B7" s="32" t="s">
        <v>60</v>
      </c>
      <c r="C7" s="79"/>
      <c r="D7" s="77"/>
      <c r="E7" s="77"/>
      <c r="F7" s="77"/>
      <c r="G7" s="77"/>
      <c r="H7" s="77"/>
      <c r="I7" s="78"/>
      <c r="J7" s="77"/>
      <c r="K7" s="78"/>
      <c r="L7" s="77"/>
      <c r="M7" s="78"/>
      <c r="N7" s="77"/>
      <c r="O7" s="78"/>
      <c r="P7" s="77"/>
      <c r="Q7" s="78"/>
      <c r="R7" s="77"/>
      <c r="S7" s="78"/>
      <c r="T7" s="77"/>
      <c r="U7" s="78"/>
      <c r="V7" s="77"/>
      <c r="W7" s="7"/>
      <c r="X7" s="28" t="str">
        <f t="shared" si="0"/>
        <v>Canada</v>
      </c>
      <c r="Y7" s="6"/>
      <c r="Z7" s="6"/>
      <c r="AA7" s="6"/>
      <c r="AB7" s="11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7"/>
      <c r="AO7" s="15"/>
      <c r="AP7" s="15"/>
      <c r="AQ7" s="15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</row>
    <row r="8" spans="1:54" s="5" customFormat="1" x14ac:dyDescent="0.25">
      <c r="A8" s="7"/>
      <c r="B8" s="80"/>
      <c r="C8" s="79"/>
      <c r="D8" s="77"/>
      <c r="E8" s="77"/>
      <c r="F8" s="77"/>
      <c r="G8" s="77"/>
      <c r="H8" s="77"/>
      <c r="I8" s="78"/>
      <c r="J8" s="77"/>
      <c r="K8" s="78"/>
      <c r="L8" s="77"/>
      <c r="M8" s="78"/>
      <c r="N8" s="77"/>
      <c r="O8" s="78"/>
      <c r="P8" s="77"/>
      <c r="Q8" s="78"/>
      <c r="R8" s="77"/>
      <c r="S8" s="78"/>
      <c r="T8" s="77"/>
      <c r="U8" s="78"/>
      <c r="V8" s="77"/>
      <c r="W8" s="7"/>
      <c r="X8" s="27" t="str">
        <f>IFERROR(INDEX($B8:$V8,MATCH(TRUE,INDEX(($B8:$V8&lt;&gt;0),0),0)),"")</f>
        <v/>
      </c>
      <c r="Y8" s="6" t="s">
        <v>94</v>
      </c>
      <c r="Z8" s="6" t="s">
        <v>60</v>
      </c>
      <c r="AA8" s="6"/>
      <c r="AB8" s="11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7"/>
      <c r="AO8" s="15"/>
      <c r="AP8" s="15"/>
      <c r="AQ8" s="15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</row>
    <row r="9" spans="1:54" s="5" customFormat="1" x14ac:dyDescent="0.25">
      <c r="A9" s="7"/>
      <c r="B9" s="77"/>
      <c r="C9" s="79"/>
      <c r="D9" s="78"/>
      <c r="E9" s="77"/>
      <c r="F9" s="77"/>
      <c r="G9" s="77"/>
      <c r="H9" s="77"/>
      <c r="I9" s="80"/>
      <c r="J9" s="77"/>
      <c r="K9" s="80"/>
      <c r="L9" s="77"/>
      <c r="M9" s="80"/>
      <c r="N9" s="77"/>
      <c r="O9" s="80"/>
      <c r="P9" s="77"/>
      <c r="Q9" s="80"/>
      <c r="R9" s="77"/>
      <c r="S9" s="80"/>
      <c r="T9" s="77"/>
      <c r="U9" s="80"/>
      <c r="V9" s="77"/>
      <c r="W9" s="7"/>
      <c r="X9" s="27" t="str">
        <f>IFERROR(INDEX($B9:$V9,MATCH(TRUE,INDEX(($B9:$V9&lt;&gt;0),0),0)),"")</f>
        <v/>
      </c>
      <c r="Y9" s="17" t="s">
        <v>11</v>
      </c>
      <c r="Z9" s="17"/>
      <c r="AA9" s="17" t="s">
        <v>17</v>
      </c>
      <c r="AB9" s="18" t="s">
        <v>14</v>
      </c>
      <c r="AC9" s="35">
        <v>11.52</v>
      </c>
      <c r="AD9" s="35">
        <v>11.52</v>
      </c>
      <c r="AE9" s="35">
        <v>11.52</v>
      </c>
      <c r="AF9" s="35">
        <v>11.52</v>
      </c>
      <c r="AG9" s="35">
        <v>11.52</v>
      </c>
      <c r="AH9" s="35">
        <v>11.52</v>
      </c>
      <c r="AI9" s="35">
        <v>11.52</v>
      </c>
      <c r="AJ9" s="35">
        <v>11.52</v>
      </c>
      <c r="AK9" s="35">
        <v>11.52</v>
      </c>
      <c r="AL9" s="35">
        <v>11.52</v>
      </c>
      <c r="AM9" s="35">
        <v>11.52</v>
      </c>
      <c r="AN9" s="7"/>
      <c r="AO9" s="38"/>
      <c r="AP9" s="38"/>
      <c r="AQ9" s="38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</row>
    <row r="10" spans="1:54" s="5" customFormat="1" x14ac:dyDescent="0.25">
      <c r="A10" s="7"/>
      <c r="B10" s="78"/>
      <c r="C10" s="79"/>
      <c r="D10" s="78"/>
      <c r="E10" s="77"/>
      <c r="F10" s="77"/>
      <c r="G10" s="77"/>
      <c r="H10" s="77"/>
      <c r="I10" s="78"/>
      <c r="J10" s="77"/>
      <c r="K10" s="78"/>
      <c r="L10" s="77"/>
      <c r="M10" s="78"/>
      <c r="N10" s="77"/>
      <c r="O10" s="78"/>
      <c r="P10" s="77"/>
      <c r="Q10" s="78"/>
      <c r="R10" s="77"/>
      <c r="S10" s="78"/>
      <c r="T10" s="77"/>
      <c r="U10" s="78"/>
      <c r="V10" s="77"/>
      <c r="W10" s="7"/>
      <c r="X10" s="27" t="str">
        <f t="shared" si="0"/>
        <v/>
      </c>
      <c r="Y10" s="6" t="s">
        <v>59</v>
      </c>
      <c r="Z10" s="6"/>
      <c r="AA10" s="15"/>
      <c r="AB10" s="16" t="s">
        <v>24</v>
      </c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7"/>
      <c r="AO10" s="6"/>
      <c r="AP10" s="6"/>
      <c r="AQ10" s="6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</row>
    <row r="11" spans="1:54" s="5" customFormat="1" x14ac:dyDescent="0.25">
      <c r="A11" s="7"/>
      <c r="B11" s="78"/>
      <c r="C11" s="79"/>
      <c r="D11" s="78"/>
      <c r="E11" s="77"/>
      <c r="F11" s="77"/>
      <c r="G11" s="77"/>
      <c r="H11" s="77"/>
      <c r="I11" s="78"/>
      <c r="J11" s="77"/>
      <c r="K11" s="78"/>
      <c r="L11" s="77"/>
      <c r="M11" s="78"/>
      <c r="N11" s="77"/>
      <c r="O11" s="78"/>
      <c r="P11" s="77"/>
      <c r="Q11" s="78"/>
      <c r="R11" s="77"/>
      <c r="S11" s="78"/>
      <c r="T11" s="77"/>
      <c r="U11" s="78"/>
      <c r="V11" s="77"/>
      <c r="W11" s="7"/>
      <c r="X11" s="27" t="str">
        <f t="shared" si="0"/>
        <v/>
      </c>
      <c r="Y11" s="6" t="s">
        <v>95</v>
      </c>
      <c r="Z11" s="6" t="s">
        <v>146</v>
      </c>
      <c r="AA11" s="15"/>
      <c r="AB11" s="16"/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6">
        <v>1</v>
      </c>
      <c r="AJ11" s="6">
        <v>1</v>
      </c>
      <c r="AK11" s="6">
        <v>1</v>
      </c>
      <c r="AL11" s="6">
        <v>1</v>
      </c>
      <c r="AM11" s="6">
        <v>1</v>
      </c>
      <c r="AN11" s="7"/>
      <c r="AO11" s="6"/>
      <c r="AP11" s="6"/>
      <c r="AQ11" s="6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</row>
    <row r="12" spans="1:54" s="5" customFormat="1" x14ac:dyDescent="0.25">
      <c r="A12" s="7"/>
      <c r="B12" s="80"/>
      <c r="C12" s="79"/>
      <c r="D12" s="78"/>
      <c r="E12" s="77"/>
      <c r="F12" s="77"/>
      <c r="G12" s="77"/>
      <c r="H12" s="77"/>
      <c r="I12" s="78"/>
      <c r="J12" s="77"/>
      <c r="K12" s="78"/>
      <c r="L12" s="77"/>
      <c r="M12" s="78"/>
      <c r="N12" s="77"/>
      <c r="O12" s="78"/>
      <c r="P12" s="77"/>
      <c r="Q12" s="78"/>
      <c r="R12" s="77"/>
      <c r="S12" s="78"/>
      <c r="T12" s="77"/>
      <c r="U12" s="78"/>
      <c r="V12" s="77"/>
      <c r="W12" s="7"/>
      <c r="X12" s="27" t="str">
        <f t="shared" si="0"/>
        <v/>
      </c>
      <c r="Y12" s="6"/>
      <c r="Z12" s="6"/>
      <c r="AA12" s="6"/>
      <c r="AB12" s="11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7"/>
      <c r="AO12" s="15"/>
      <c r="AP12" s="15"/>
      <c r="AQ12" s="15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</row>
    <row r="13" spans="1:54" s="5" customFormat="1" x14ac:dyDescent="0.25">
      <c r="A13" s="7"/>
      <c r="B13" s="77"/>
      <c r="C13" s="81"/>
      <c r="D13" s="32" t="s">
        <v>5</v>
      </c>
      <c r="E13" s="79"/>
      <c r="F13" s="78"/>
      <c r="G13" s="78"/>
      <c r="H13" s="77"/>
      <c r="I13" s="78"/>
      <c r="J13" s="77"/>
      <c r="K13" s="78"/>
      <c r="L13" s="77"/>
      <c r="M13" s="78"/>
      <c r="N13" s="77"/>
      <c r="O13" s="78"/>
      <c r="P13" s="77"/>
      <c r="Q13" s="78"/>
      <c r="R13" s="77"/>
      <c r="S13" s="78"/>
      <c r="T13" s="77"/>
      <c r="U13" s="78"/>
      <c r="V13" s="77"/>
      <c r="W13" s="7"/>
      <c r="X13" s="28" t="str">
        <f t="shared" si="0"/>
        <v>Alberta</v>
      </c>
      <c r="Y13" s="6"/>
      <c r="Z13" s="6"/>
      <c r="AA13" s="6"/>
      <c r="AB13" s="11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7"/>
      <c r="AO13" s="15"/>
      <c r="AP13" s="15"/>
      <c r="AQ13" s="15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</row>
    <row r="14" spans="1:54" s="5" customFormat="1" x14ac:dyDescent="0.25">
      <c r="A14" s="7"/>
      <c r="B14" s="77"/>
      <c r="C14" s="78"/>
      <c r="D14" s="78"/>
      <c r="E14" s="79"/>
      <c r="F14" s="78"/>
      <c r="G14" s="78"/>
      <c r="H14" s="77"/>
      <c r="I14" s="78"/>
      <c r="J14" s="77"/>
      <c r="K14" s="78"/>
      <c r="L14" s="77"/>
      <c r="M14" s="78"/>
      <c r="N14" s="77"/>
      <c r="O14" s="78"/>
      <c r="P14" s="77"/>
      <c r="Q14" s="78"/>
      <c r="R14" s="77"/>
      <c r="S14" s="78"/>
      <c r="T14" s="77"/>
      <c r="U14" s="78"/>
      <c r="V14" s="77"/>
      <c r="W14" s="7"/>
      <c r="X14" s="27" t="str">
        <f t="shared" si="0"/>
        <v/>
      </c>
      <c r="Y14" s="17" t="s">
        <v>94</v>
      </c>
      <c r="Z14" s="17" t="s">
        <v>146</v>
      </c>
      <c r="AA14" s="17" t="s">
        <v>56</v>
      </c>
      <c r="AB14" s="18" t="s">
        <v>52</v>
      </c>
      <c r="AC14" s="19">
        <f>INDEX(Macro!F$3:F$16,MATCH("Alberta",Macro!$C$3:$C$16,0))</f>
        <v>3004198</v>
      </c>
      <c r="AD14" s="19">
        <f>INDEX(Macro!G$3:G$16,MATCH("Alberta",Macro!$C$3:$C$16,0))</f>
        <v>3321768</v>
      </c>
      <c r="AE14" s="19">
        <f>INDEX(Macro!H$3:H$16,MATCH("Alberta",Macro!$C$3:$C$16,0))</f>
        <v>3732082</v>
      </c>
      <c r="AF14" s="19">
        <f>INDEX(Macro!I$3:I$16,MATCH("Alberta",Macro!$C$3:$C$16,0))</f>
        <v>4144491</v>
      </c>
      <c r="AG14" s="19">
        <f>INDEX(Macro!J$3:J$16,MATCH("Alberta",Macro!$C$3:$C$16,0))</f>
        <v>4472800</v>
      </c>
      <c r="AH14" s="19">
        <f>INDEX(Macro!K$3:K$16,MATCH("Alberta",Macro!$C$3:$C$16,0))</f>
        <v>4908500</v>
      </c>
      <c r="AI14" s="19">
        <f>INDEX(Macro!L$3:L$16,MATCH("Alberta",Macro!$C$3:$C$16,0))</f>
        <v>5360500</v>
      </c>
      <c r="AJ14" s="19">
        <f>INDEX(Macro!M$3:M$16,MATCH("Alberta",Macro!$C$3:$C$16,0))</f>
        <v>5830000</v>
      </c>
      <c r="AK14" s="19">
        <f>INDEX(Macro!N$3:N$16,MATCH("Alberta",Macro!$C$3:$C$16,0))</f>
        <v>6317800</v>
      </c>
      <c r="AL14" s="19">
        <f>INDEX(Macro!O$3:O$16,MATCH("Alberta",Macro!$C$3:$C$16,0))</f>
        <v>6546789.4987122808</v>
      </c>
      <c r="AM14" s="19">
        <f>INDEX(Macro!P$3:P$16,MATCH("Alberta",Macro!$C$3:$C$16,0))</f>
        <v>6769878.6374783553</v>
      </c>
      <c r="AN14" s="7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5" customFormat="1" x14ac:dyDescent="0.25">
      <c r="A15" s="7"/>
      <c r="B15" s="77"/>
      <c r="C15" s="78"/>
      <c r="D15" s="78"/>
      <c r="E15" s="79"/>
      <c r="F15" s="78"/>
      <c r="G15" s="78"/>
      <c r="H15" s="77"/>
      <c r="I15" s="78"/>
      <c r="J15" s="77"/>
      <c r="K15" s="78"/>
      <c r="L15" s="77"/>
      <c r="M15" s="78"/>
      <c r="N15" s="77"/>
      <c r="O15" s="78"/>
      <c r="P15" s="77"/>
      <c r="Q15" s="78"/>
      <c r="R15" s="77"/>
      <c r="S15" s="78"/>
      <c r="T15" s="77"/>
      <c r="U15" s="78"/>
      <c r="V15" s="77"/>
      <c r="W15" s="7"/>
      <c r="X15" s="27" t="str">
        <f t="shared" si="0"/>
        <v/>
      </c>
      <c r="Y15" s="17" t="s">
        <v>94</v>
      </c>
      <c r="Z15" s="17" t="s">
        <v>146</v>
      </c>
      <c r="AA15" s="17" t="s">
        <v>55</v>
      </c>
      <c r="AB15" s="18" t="s">
        <v>53</v>
      </c>
      <c r="AC15" s="43">
        <f>INDEX(Macro!F$52:F$65,MATCH("Alberta",Macro!$C$52:$C$65,0))/1000</f>
        <v>217.72399999999999</v>
      </c>
      <c r="AD15" s="43">
        <f>INDEX(Macro!G$52:G$65,MATCH("Alberta",Macro!$C$52:$C$65,0))/1000</f>
        <v>263.911</v>
      </c>
      <c r="AE15" s="43">
        <f>INDEX(Macro!H$52:H$65,MATCH("Alberta",Macro!$C$52:$C$65,0))/1000</f>
        <v>283.54399999999998</v>
      </c>
      <c r="AF15" s="43">
        <f>INDEX(Macro!I$52:I$65,MATCH("Alberta",Macro!$C$52:$C$65,0))/1000</f>
        <v>337.59</v>
      </c>
      <c r="AG15" s="43">
        <f>INDEX(Macro!J$52:J$65,MATCH("Alberta",Macro!$C$52:$C$65,0))/1000</f>
        <v>374.17926303346775</v>
      </c>
      <c r="AH15" s="43">
        <f>INDEX(Macro!K$52:K$65,MATCH("Alberta",Macro!$C$52:$C$65,0))/1000</f>
        <v>404.74213151416194</v>
      </c>
      <c r="AI15" s="43">
        <f>INDEX(Macro!L$52:L$65,MATCH("Alberta",Macro!$C$52:$C$65,0))/1000</f>
        <v>441.25580005641859</v>
      </c>
      <c r="AJ15" s="43">
        <f>INDEX(Macro!M$52:M$65,MATCH("Alberta",Macro!$C$52:$C$65,0))/1000</f>
        <v>484.09671883954439</v>
      </c>
      <c r="AK15" s="43">
        <f>INDEX(Macro!N$52:N$65,MATCH("Alberta",Macro!$C$52:$C$65,0))/1000</f>
        <v>532.61614982592562</v>
      </c>
      <c r="AL15" s="43">
        <f>INDEX(Macro!O$52:O$65,MATCH("Alberta",Macro!$C$52:$C$65,0))/1000</f>
        <v>586.75057398825743</v>
      </c>
      <c r="AM15" s="43">
        <f>INDEX(Macro!P$52:P$65,MATCH("Alberta",Macro!$C$52:$C$65,0))/1000</f>
        <v>646.12087601322003</v>
      </c>
      <c r="AN15" s="7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5" customFormat="1" x14ac:dyDescent="0.25">
      <c r="A16" s="7"/>
      <c r="B16" s="77"/>
      <c r="C16" s="78"/>
      <c r="D16" s="78"/>
      <c r="E16" s="79"/>
      <c r="F16" s="78"/>
      <c r="G16" s="78"/>
      <c r="H16" s="77"/>
      <c r="I16" s="78"/>
      <c r="J16" s="77"/>
      <c r="K16" s="78"/>
      <c r="L16" s="77"/>
      <c r="M16" s="78"/>
      <c r="N16" s="77"/>
      <c r="O16" s="78"/>
      <c r="P16" s="77"/>
      <c r="Q16" s="78"/>
      <c r="R16" s="77"/>
      <c r="S16" s="78"/>
      <c r="T16" s="77"/>
      <c r="U16" s="78"/>
      <c r="V16" s="77"/>
      <c r="W16" s="7"/>
      <c r="X16" s="27" t="str">
        <f t="shared" si="0"/>
        <v/>
      </c>
      <c r="Y16" s="17" t="s">
        <v>59</v>
      </c>
      <c r="Z16" s="17"/>
      <c r="AA16" s="17"/>
      <c r="AB16" s="18" t="s">
        <v>24</v>
      </c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7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x14ac:dyDescent="0.25">
      <c r="A17" s="7"/>
      <c r="B17" s="77"/>
      <c r="C17" s="78"/>
      <c r="D17" s="78"/>
      <c r="E17" s="79"/>
      <c r="F17" s="78"/>
      <c r="G17" s="78"/>
      <c r="H17" s="77"/>
      <c r="I17" s="78"/>
      <c r="J17" s="77"/>
      <c r="K17" s="78"/>
      <c r="L17" s="77"/>
      <c r="M17" s="78"/>
      <c r="N17" s="77"/>
      <c r="O17" s="78"/>
      <c r="P17" s="77"/>
      <c r="Q17" s="78"/>
      <c r="R17" s="77"/>
      <c r="S17" s="78"/>
      <c r="T17" s="77"/>
      <c r="U17" s="78"/>
      <c r="V17" s="77"/>
      <c r="W17" s="7"/>
      <c r="X17" s="27" t="str">
        <f t="shared" si="0"/>
        <v/>
      </c>
      <c r="Y17" s="17" t="s">
        <v>95</v>
      </c>
      <c r="Z17" s="17" t="s">
        <v>147</v>
      </c>
      <c r="AA17" s="17" t="s">
        <v>183</v>
      </c>
      <c r="AB17" s="18" t="s">
        <v>0</v>
      </c>
      <c r="AC17" s="60">
        <f>1/INDEX(Residential!F$3:F$16,MATCH("Alberta",Residential!$C$3:$C$16,0))</f>
        <v>0.38461538461538458</v>
      </c>
      <c r="AD17" s="60">
        <f>1/INDEX(Residential!G$3:G$16,MATCH("Alberta",Residential!$C$3:$C$16,0))</f>
        <v>0.38461538461538458</v>
      </c>
      <c r="AE17" s="60">
        <f>1/INDEX(Residential!H$3:H$16,MATCH("Alberta",Residential!$C$3:$C$16,0))</f>
        <v>0.38461538461538458</v>
      </c>
      <c r="AF17" s="60">
        <f>1/INDEX(Residential!I$3:I$16,MATCH("Alberta",Residential!$C$3:$C$16,0))</f>
        <v>0.38461538461538458</v>
      </c>
      <c r="AG17" s="60">
        <f>1/INDEX(Residential!J$3:J$16,MATCH("Alberta",Residential!$C$3:$C$16,0))</f>
        <v>0.38461538461538458</v>
      </c>
      <c r="AH17" s="60">
        <f>1/INDEX(Residential!K$3:K$16,MATCH("Alberta",Residential!$C$3:$C$16,0))</f>
        <v>0.38461538461538458</v>
      </c>
      <c r="AI17" s="60">
        <f>1/INDEX(Residential!L$3:L$16,MATCH("Alberta",Residential!$C$3:$C$16,0))</f>
        <v>0.38461538461538458</v>
      </c>
      <c r="AJ17" s="60">
        <f>1/INDEX(Residential!M$3:M$16,MATCH("Alberta",Residential!$C$3:$C$16,0))</f>
        <v>0.38461538461538458</v>
      </c>
      <c r="AK17" s="60">
        <f>1/INDEX(Residential!N$3:N$16,MATCH("Alberta",Residential!$C$3:$C$16,0))</f>
        <v>0.38461538461538458</v>
      </c>
      <c r="AL17" s="60">
        <f>1/INDEX(Residential!O$3:O$16,MATCH("Alberta",Residential!$C$3:$C$16,0))</f>
        <v>0.38461538461538458</v>
      </c>
      <c r="AM17" s="60">
        <f>1/INDEX(Residential!P$3:P$16,MATCH("Alberta",Residential!$C$3:$C$16,0))</f>
        <v>0.38461538461538458</v>
      </c>
      <c r="AN17" s="7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5" customFormat="1" x14ac:dyDescent="0.25">
      <c r="A18" s="7"/>
      <c r="B18" s="77"/>
      <c r="C18" s="78"/>
      <c r="D18" s="80"/>
      <c r="E18" s="79"/>
      <c r="F18" s="78"/>
      <c r="G18" s="78"/>
      <c r="H18" s="77"/>
      <c r="I18" s="78"/>
      <c r="J18" s="77"/>
      <c r="K18" s="78"/>
      <c r="L18" s="77"/>
      <c r="M18" s="78"/>
      <c r="N18" s="77"/>
      <c r="O18" s="78"/>
      <c r="P18" s="77"/>
      <c r="Q18" s="78"/>
      <c r="R18" s="77"/>
      <c r="S18" s="78"/>
      <c r="T18" s="77"/>
      <c r="U18" s="78"/>
      <c r="V18" s="77"/>
      <c r="W18" s="7"/>
      <c r="X18" s="4" t="str">
        <f t="shared" si="0"/>
        <v/>
      </c>
      <c r="Y18" s="17"/>
      <c r="Z18" s="17"/>
      <c r="AA18" s="17"/>
      <c r="AB18" s="18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7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5" customFormat="1" x14ac:dyDescent="0.25">
      <c r="A19" s="7"/>
      <c r="B19" s="77"/>
      <c r="C19" s="78"/>
      <c r="D19" s="78"/>
      <c r="E19" s="82"/>
      <c r="F19" s="32" t="s">
        <v>0</v>
      </c>
      <c r="G19" s="79"/>
      <c r="H19" s="78"/>
      <c r="I19" s="80"/>
      <c r="J19" s="77"/>
      <c r="K19" s="80"/>
      <c r="L19" s="77"/>
      <c r="M19" s="80"/>
      <c r="N19" s="77"/>
      <c r="O19" s="80"/>
      <c r="P19" s="77"/>
      <c r="Q19" s="80"/>
      <c r="R19" s="77"/>
      <c r="S19" s="80"/>
      <c r="T19" s="77"/>
      <c r="U19" s="80"/>
      <c r="V19" s="77"/>
      <c r="W19" s="7"/>
      <c r="X19" s="34" t="str">
        <f t="shared" si="0"/>
        <v>Residential</v>
      </c>
      <c r="Y19" s="6"/>
      <c r="Z19" s="6"/>
      <c r="AA19" s="6"/>
      <c r="AB19" s="11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7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x14ac:dyDescent="0.25">
      <c r="A20" s="7"/>
      <c r="B20" s="77"/>
      <c r="C20" s="78"/>
      <c r="D20" s="78"/>
      <c r="E20" s="83"/>
      <c r="F20" s="78"/>
      <c r="G20" s="79"/>
      <c r="H20" s="78"/>
      <c r="I20" s="80"/>
      <c r="J20" s="77"/>
      <c r="K20" s="80"/>
      <c r="L20" s="77"/>
      <c r="M20" s="80"/>
      <c r="N20" s="77"/>
      <c r="O20" s="80"/>
      <c r="P20" s="77"/>
      <c r="Q20" s="80"/>
      <c r="R20" s="77"/>
      <c r="S20" s="80"/>
      <c r="T20" s="77"/>
      <c r="U20" s="80"/>
      <c r="V20" s="77"/>
      <c r="W20" s="7"/>
      <c r="X20" s="27" t="str">
        <f t="shared" si="0"/>
        <v/>
      </c>
      <c r="Y20" s="17" t="s">
        <v>94</v>
      </c>
      <c r="Z20" s="17" t="s">
        <v>147</v>
      </c>
      <c r="AA20" s="17" t="s">
        <v>173</v>
      </c>
      <c r="AB20" s="18" t="s">
        <v>0</v>
      </c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7"/>
      <c r="AO20" s="38"/>
      <c r="AP20" s="38"/>
      <c r="AQ20" s="38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</row>
    <row r="21" spans="1:54" s="5" customFormat="1" x14ac:dyDescent="0.25">
      <c r="A21" s="7"/>
      <c r="B21" s="77"/>
      <c r="C21" s="78"/>
      <c r="D21" s="78"/>
      <c r="E21" s="83"/>
      <c r="F21" s="78"/>
      <c r="G21" s="79"/>
      <c r="H21" s="78"/>
      <c r="I21" s="80"/>
      <c r="J21" s="77"/>
      <c r="K21" s="80"/>
      <c r="L21" s="77"/>
      <c r="M21" s="80"/>
      <c r="N21" s="77"/>
      <c r="O21" s="80"/>
      <c r="P21" s="77"/>
      <c r="Q21" s="80"/>
      <c r="R21" s="77"/>
      <c r="S21" s="80"/>
      <c r="T21" s="77"/>
      <c r="U21" s="80"/>
      <c r="V21" s="77"/>
      <c r="W21" s="7"/>
      <c r="X21" s="27" t="str">
        <f t="shared" si="0"/>
        <v/>
      </c>
      <c r="Y21" s="17" t="s">
        <v>11</v>
      </c>
      <c r="Z21" s="17"/>
      <c r="AA21" s="17" t="s">
        <v>17</v>
      </c>
      <c r="AB21" s="18" t="s">
        <v>12</v>
      </c>
      <c r="AC21" s="21">
        <v>19</v>
      </c>
      <c r="AD21" s="21">
        <v>25</v>
      </c>
      <c r="AE21" s="21">
        <v>29</v>
      </c>
      <c r="AF21" s="21">
        <v>32</v>
      </c>
      <c r="AG21" s="21">
        <v>32.64</v>
      </c>
      <c r="AH21" s="21">
        <v>33.2928</v>
      </c>
      <c r="AI21" s="21">
        <v>33.958655999999998</v>
      </c>
      <c r="AJ21" s="21">
        <v>34.637829119999999</v>
      </c>
      <c r="AK21" s="21">
        <v>35.330585702400001</v>
      </c>
      <c r="AL21" s="21">
        <v>36.037197416448002</v>
      </c>
      <c r="AM21" s="21">
        <v>36.757941364776961</v>
      </c>
      <c r="AN21" s="7"/>
      <c r="AO21" s="38"/>
      <c r="AP21" s="38"/>
      <c r="AQ21" s="38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</row>
    <row r="22" spans="1:54" s="5" customFormat="1" x14ac:dyDescent="0.25">
      <c r="A22" s="7"/>
      <c r="B22" s="77"/>
      <c r="C22" s="78"/>
      <c r="D22" s="78"/>
      <c r="E22" s="83"/>
      <c r="F22" s="78"/>
      <c r="G22" s="79"/>
      <c r="H22" s="78"/>
      <c r="I22" s="80"/>
      <c r="J22" s="77"/>
      <c r="K22" s="80"/>
      <c r="L22" s="77"/>
      <c r="M22" s="80"/>
      <c r="N22" s="77"/>
      <c r="O22" s="80"/>
      <c r="P22" s="77"/>
      <c r="Q22" s="80"/>
      <c r="R22" s="77"/>
      <c r="S22" s="80"/>
      <c r="T22" s="77"/>
      <c r="U22" s="80"/>
      <c r="V22" s="77"/>
      <c r="W22" s="7"/>
      <c r="X22" s="27" t="str">
        <f t="shared" si="0"/>
        <v/>
      </c>
      <c r="Y22" s="17" t="s">
        <v>11</v>
      </c>
      <c r="Z22" s="17"/>
      <c r="AA22" s="17" t="s">
        <v>17</v>
      </c>
      <c r="AB22" s="18" t="s">
        <v>13</v>
      </c>
      <c r="AC22" s="21">
        <v>20</v>
      </c>
      <c r="AD22" s="21">
        <v>26</v>
      </c>
      <c r="AE22" s="21">
        <v>30</v>
      </c>
      <c r="AF22" s="21">
        <v>33</v>
      </c>
      <c r="AG22" s="21">
        <v>33.660000000000004</v>
      </c>
      <c r="AH22" s="21">
        <v>34.333200000000005</v>
      </c>
      <c r="AI22" s="21">
        <v>35.019864000000005</v>
      </c>
      <c r="AJ22" s="21">
        <v>35.72026128000001</v>
      </c>
      <c r="AK22" s="21">
        <v>36.434666505600013</v>
      </c>
      <c r="AL22" s="21">
        <v>37.163359835712015</v>
      </c>
      <c r="AM22" s="21">
        <v>37.906627032426258</v>
      </c>
      <c r="AN22" s="7"/>
      <c r="AO22" s="38"/>
      <c r="AP22" s="38"/>
      <c r="AQ22" s="38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</row>
    <row r="23" spans="1:54" s="5" customFormat="1" x14ac:dyDescent="0.25">
      <c r="A23" s="7"/>
      <c r="B23" s="77"/>
      <c r="C23" s="78"/>
      <c r="D23" s="78"/>
      <c r="E23" s="83"/>
      <c r="F23" s="78"/>
      <c r="G23" s="79"/>
      <c r="H23" s="78"/>
      <c r="I23" s="80"/>
      <c r="J23" s="77"/>
      <c r="K23" s="80"/>
      <c r="L23" s="77"/>
      <c r="M23" s="80"/>
      <c r="N23" s="77"/>
      <c r="O23" s="80"/>
      <c r="P23" s="77"/>
      <c r="Q23" s="80"/>
      <c r="R23" s="77"/>
      <c r="S23" s="80"/>
      <c r="T23" s="77"/>
      <c r="U23" s="80"/>
      <c r="V23" s="77"/>
      <c r="W23" s="7"/>
      <c r="X23" s="27" t="str">
        <f t="shared" si="0"/>
        <v/>
      </c>
      <c r="Y23" s="17" t="s">
        <v>11</v>
      </c>
      <c r="Z23" s="17"/>
      <c r="AA23" s="17" t="s">
        <v>17</v>
      </c>
      <c r="AB23" s="18" t="s">
        <v>2</v>
      </c>
      <c r="AC23" s="21">
        <v>22</v>
      </c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7"/>
      <c r="AO23" s="38"/>
      <c r="AP23" s="38"/>
      <c r="AQ23" s="38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</row>
    <row r="24" spans="1:54" s="5" customFormat="1" x14ac:dyDescent="0.25">
      <c r="A24" s="7"/>
      <c r="B24" s="77"/>
      <c r="C24" s="78"/>
      <c r="D24" s="78"/>
      <c r="E24" s="83"/>
      <c r="F24" s="78"/>
      <c r="G24" s="79"/>
      <c r="H24" s="78"/>
      <c r="I24" s="80"/>
      <c r="J24" s="77"/>
      <c r="K24" s="80"/>
      <c r="L24" s="77"/>
      <c r="M24" s="80"/>
      <c r="N24" s="77"/>
      <c r="O24" s="80"/>
      <c r="P24" s="77"/>
      <c r="Q24" s="80"/>
      <c r="R24" s="77"/>
      <c r="S24" s="80"/>
      <c r="T24" s="77"/>
      <c r="U24" s="80"/>
      <c r="V24" s="77"/>
      <c r="W24" s="7"/>
      <c r="X24" s="27" t="str">
        <f t="shared" si="0"/>
        <v/>
      </c>
      <c r="Y24" s="17" t="s">
        <v>11</v>
      </c>
      <c r="Z24" s="17"/>
      <c r="AA24" s="17" t="s">
        <v>17</v>
      </c>
      <c r="AB24" s="18" t="s">
        <v>15</v>
      </c>
      <c r="AC24" s="21">
        <v>12</v>
      </c>
      <c r="AD24" s="21">
        <v>12</v>
      </c>
      <c r="AE24" s="21">
        <v>12</v>
      </c>
      <c r="AF24" s="21">
        <v>12</v>
      </c>
      <c r="AG24" s="21">
        <v>12.24</v>
      </c>
      <c r="AH24" s="21">
        <v>12.4848</v>
      </c>
      <c r="AI24" s="21">
        <v>12.734496</v>
      </c>
      <c r="AJ24" s="21">
        <v>12.989185920000001</v>
      </c>
      <c r="AK24" s="21">
        <v>13.2489696384</v>
      </c>
      <c r="AL24" s="21">
        <v>13.513949031168</v>
      </c>
      <c r="AM24" s="21">
        <v>13.78422801179136</v>
      </c>
      <c r="AN24" s="7"/>
      <c r="AO24" s="38"/>
      <c r="AP24" s="38"/>
      <c r="AQ24" s="38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</row>
    <row r="25" spans="1:54" s="5" customFormat="1" x14ac:dyDescent="0.25">
      <c r="A25" s="7"/>
      <c r="B25" s="77"/>
      <c r="C25" s="78"/>
      <c r="D25" s="78"/>
      <c r="E25" s="83"/>
      <c r="F25" s="78"/>
      <c r="G25" s="79"/>
      <c r="H25" s="78"/>
      <c r="I25" s="80"/>
      <c r="J25" s="77"/>
      <c r="K25" s="80"/>
      <c r="L25" s="77"/>
      <c r="M25" s="80"/>
      <c r="N25" s="77"/>
      <c r="O25" s="80"/>
      <c r="P25" s="77"/>
      <c r="Q25" s="80"/>
      <c r="R25" s="77"/>
      <c r="S25" s="80"/>
      <c r="T25" s="77"/>
      <c r="U25" s="80"/>
      <c r="V25" s="77"/>
      <c r="W25" s="7"/>
      <c r="X25" s="27" t="str">
        <f t="shared" si="0"/>
        <v/>
      </c>
      <c r="Y25" s="17" t="s">
        <v>11</v>
      </c>
      <c r="Z25" s="17"/>
      <c r="AA25" s="17" t="s">
        <v>18</v>
      </c>
      <c r="AB25" s="18" t="s">
        <v>19</v>
      </c>
      <c r="AC25" s="21">
        <v>0</v>
      </c>
      <c r="AD25" s="21">
        <v>0</v>
      </c>
      <c r="AE25" s="21">
        <v>0</v>
      </c>
      <c r="AF25" s="21">
        <v>0</v>
      </c>
      <c r="AG25" s="21">
        <v>20</v>
      </c>
      <c r="AH25" s="21">
        <v>50</v>
      </c>
      <c r="AI25" s="21">
        <v>70</v>
      </c>
      <c r="AJ25" s="21">
        <v>70</v>
      </c>
      <c r="AK25" s="21">
        <v>70</v>
      </c>
      <c r="AL25" s="21">
        <v>70</v>
      </c>
      <c r="AM25" s="21">
        <v>70</v>
      </c>
      <c r="AN25" s="7"/>
      <c r="AO25" s="38"/>
      <c r="AP25" s="38"/>
      <c r="AQ25" s="38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</row>
    <row r="26" spans="1:54" s="5" customFormat="1" x14ac:dyDescent="0.25">
      <c r="A26" s="7"/>
      <c r="B26" s="77"/>
      <c r="C26" s="78"/>
      <c r="D26" s="78"/>
      <c r="E26" s="83"/>
      <c r="F26" s="78"/>
      <c r="G26" s="79"/>
      <c r="H26" s="78"/>
      <c r="I26" s="80"/>
      <c r="J26" s="77"/>
      <c r="K26" s="80"/>
      <c r="L26" s="77"/>
      <c r="M26" s="80"/>
      <c r="N26" s="77"/>
      <c r="O26" s="80"/>
      <c r="P26" s="77"/>
      <c r="Q26" s="80"/>
      <c r="R26" s="77"/>
      <c r="S26" s="80"/>
      <c r="T26" s="77"/>
      <c r="U26" s="80"/>
      <c r="V26" s="77"/>
      <c r="W26" s="7"/>
      <c r="X26" s="27" t="str">
        <f t="shared" si="0"/>
        <v/>
      </c>
      <c r="Y26" s="17" t="s">
        <v>11</v>
      </c>
      <c r="Z26" s="17"/>
      <c r="AA26" s="17" t="s">
        <v>18</v>
      </c>
      <c r="AB26" s="18" t="s">
        <v>20</v>
      </c>
      <c r="AC26" s="21">
        <v>0</v>
      </c>
      <c r="AD26" s="21">
        <v>0</v>
      </c>
      <c r="AE26" s="21">
        <v>0</v>
      </c>
      <c r="AF26" s="21">
        <v>0</v>
      </c>
      <c r="AG26" s="21">
        <v>0</v>
      </c>
      <c r="AH26" s="21">
        <v>0</v>
      </c>
      <c r="AI26" s="21">
        <v>0</v>
      </c>
      <c r="AJ26" s="21">
        <v>0</v>
      </c>
      <c r="AK26" s="21">
        <v>0</v>
      </c>
      <c r="AL26" s="21">
        <v>0</v>
      </c>
      <c r="AM26" s="21">
        <v>0</v>
      </c>
      <c r="AN26" s="7"/>
      <c r="AO26" s="38"/>
      <c r="AP26" s="38"/>
      <c r="AQ26" s="38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</row>
    <row r="27" spans="1:54" s="5" customFormat="1" x14ac:dyDescent="0.25">
      <c r="A27" s="7"/>
      <c r="B27" s="77"/>
      <c r="C27" s="78"/>
      <c r="D27" s="78"/>
      <c r="E27" s="83"/>
      <c r="F27" s="78"/>
      <c r="G27" s="79"/>
      <c r="H27" s="78"/>
      <c r="I27" s="80"/>
      <c r="J27" s="77"/>
      <c r="K27" s="80"/>
      <c r="L27" s="77"/>
      <c r="M27" s="80"/>
      <c r="N27" s="77"/>
      <c r="O27" s="80"/>
      <c r="P27" s="77"/>
      <c r="Q27" s="80"/>
      <c r="R27" s="77"/>
      <c r="S27" s="80"/>
      <c r="T27" s="77"/>
      <c r="U27" s="80"/>
      <c r="V27" s="77"/>
      <c r="W27" s="7"/>
      <c r="X27" s="27" t="str">
        <f t="shared" si="0"/>
        <v/>
      </c>
      <c r="Y27" s="17" t="s">
        <v>11</v>
      </c>
      <c r="Z27" s="17"/>
      <c r="AA27" s="17" t="s">
        <v>18</v>
      </c>
      <c r="AB27" s="18" t="s">
        <v>21</v>
      </c>
      <c r="AC27" s="21">
        <v>0</v>
      </c>
      <c r="AD27" s="21">
        <v>0</v>
      </c>
      <c r="AE27" s="21">
        <v>0</v>
      </c>
      <c r="AF27" s="21">
        <v>0</v>
      </c>
      <c r="AG27" s="21">
        <v>0</v>
      </c>
      <c r="AH27" s="21">
        <v>0</v>
      </c>
      <c r="AI27" s="21">
        <v>0</v>
      </c>
      <c r="AJ27" s="21">
        <v>0</v>
      </c>
      <c r="AK27" s="21">
        <v>0</v>
      </c>
      <c r="AL27" s="21">
        <v>0</v>
      </c>
      <c r="AM27" s="21">
        <v>0</v>
      </c>
      <c r="AN27" s="7"/>
      <c r="AO27" s="38"/>
      <c r="AP27" s="38"/>
      <c r="AQ27" s="38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</row>
    <row r="28" spans="1:54" s="5" customFormat="1" x14ac:dyDescent="0.25">
      <c r="A28" s="7"/>
      <c r="B28" s="77"/>
      <c r="C28" s="78"/>
      <c r="D28" s="78"/>
      <c r="E28" s="83"/>
      <c r="F28" s="78"/>
      <c r="G28" s="79"/>
      <c r="H28" s="78"/>
      <c r="I28" s="80"/>
      <c r="J28" s="77"/>
      <c r="K28" s="80"/>
      <c r="L28" s="77"/>
      <c r="M28" s="80"/>
      <c r="N28" s="77"/>
      <c r="O28" s="80"/>
      <c r="P28" s="77"/>
      <c r="Q28" s="80"/>
      <c r="R28" s="77"/>
      <c r="S28" s="80"/>
      <c r="T28" s="77"/>
      <c r="U28" s="80"/>
      <c r="V28" s="77"/>
      <c r="W28" s="7"/>
      <c r="X28" s="27" t="str">
        <f>IFERROR(INDEX($B28:$V28,MATCH(TRUE,INDEX(($B28:$V28&lt;&gt;0),0),0)),"")</f>
        <v/>
      </c>
      <c r="Y28" s="17" t="s">
        <v>95</v>
      </c>
      <c r="Z28" s="17" t="s">
        <v>149</v>
      </c>
      <c r="AA28" s="17" t="s">
        <v>180</v>
      </c>
      <c r="AB28" s="18" t="s">
        <v>131</v>
      </c>
      <c r="AC28" s="21">
        <v>1</v>
      </c>
      <c r="AD28" s="21">
        <v>1</v>
      </c>
      <c r="AE28" s="21">
        <v>1</v>
      </c>
      <c r="AF28" s="21">
        <v>1</v>
      </c>
      <c r="AG28" s="21">
        <v>1</v>
      </c>
      <c r="AH28" s="21">
        <v>1</v>
      </c>
      <c r="AI28" s="21">
        <v>1</v>
      </c>
      <c r="AJ28" s="21">
        <v>1</v>
      </c>
      <c r="AK28" s="21">
        <v>1</v>
      </c>
      <c r="AL28" s="21">
        <v>1</v>
      </c>
      <c r="AM28" s="21">
        <v>1</v>
      </c>
      <c r="AN28" s="7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8"/>
      <c r="AZ28" s="38"/>
      <c r="BA28" s="38"/>
      <c r="BB28" s="38"/>
    </row>
    <row r="29" spans="1:54" s="5" customFormat="1" x14ac:dyDescent="0.25">
      <c r="A29" s="7"/>
      <c r="B29" s="77"/>
      <c r="C29" s="78"/>
      <c r="D29" s="78"/>
      <c r="E29" s="83"/>
      <c r="F29" s="80"/>
      <c r="G29" s="79"/>
      <c r="H29" s="78"/>
      <c r="I29" s="80"/>
      <c r="J29" s="77"/>
      <c r="K29" s="80"/>
      <c r="L29" s="77"/>
      <c r="M29" s="80"/>
      <c r="N29" s="77"/>
      <c r="O29" s="80"/>
      <c r="P29" s="77"/>
      <c r="Q29" s="80"/>
      <c r="R29" s="77"/>
      <c r="S29" s="80"/>
      <c r="T29" s="77"/>
      <c r="U29" s="80"/>
      <c r="V29" s="77"/>
      <c r="W29" s="7"/>
      <c r="X29" s="27" t="str">
        <f t="shared" si="0"/>
        <v/>
      </c>
      <c r="Y29" s="6"/>
      <c r="Z29" s="6"/>
      <c r="AA29" s="6"/>
      <c r="AB29" s="11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7"/>
      <c r="AO29" s="15"/>
      <c r="AP29" s="15"/>
      <c r="AQ29" s="15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</row>
    <row r="30" spans="1:54" s="5" customFormat="1" x14ac:dyDescent="0.25">
      <c r="A30" s="7"/>
      <c r="B30" s="77"/>
      <c r="C30" s="78"/>
      <c r="D30" s="78"/>
      <c r="E30" s="83"/>
      <c r="F30" s="78"/>
      <c r="G30" s="81"/>
      <c r="H30" s="33" t="s">
        <v>131</v>
      </c>
      <c r="I30" s="83"/>
      <c r="J30" s="78"/>
      <c r="K30" s="78"/>
      <c r="L30" s="77"/>
      <c r="M30" s="78"/>
      <c r="N30" s="77"/>
      <c r="O30" s="78"/>
      <c r="P30" s="77"/>
      <c r="Q30" s="78"/>
      <c r="R30" s="77"/>
      <c r="S30" s="78"/>
      <c r="T30" s="77"/>
      <c r="U30" s="78"/>
      <c r="V30" s="77"/>
      <c r="W30" s="7"/>
      <c r="X30" s="28" t="str">
        <f t="shared" si="0"/>
        <v>Buildings</v>
      </c>
      <c r="Y30" s="6"/>
      <c r="Z30" s="6"/>
      <c r="AA30" s="6"/>
      <c r="AB30" s="11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7"/>
      <c r="AO30" s="15"/>
      <c r="AP30" s="15"/>
      <c r="AQ30" s="15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</row>
    <row r="31" spans="1:54" s="5" customFormat="1" x14ac:dyDescent="0.25">
      <c r="A31" s="7"/>
      <c r="B31" s="77"/>
      <c r="C31" s="78"/>
      <c r="D31" s="78"/>
      <c r="E31" s="83"/>
      <c r="F31" s="78"/>
      <c r="G31" s="78"/>
      <c r="H31" s="78"/>
      <c r="I31" s="83"/>
      <c r="J31" s="78"/>
      <c r="K31" s="78"/>
      <c r="L31" s="77"/>
      <c r="M31" s="78"/>
      <c r="N31" s="77"/>
      <c r="O31" s="78"/>
      <c r="P31" s="77"/>
      <c r="Q31" s="78"/>
      <c r="R31" s="77"/>
      <c r="S31" s="78"/>
      <c r="T31" s="77"/>
      <c r="U31" s="78"/>
      <c r="V31" s="77"/>
      <c r="W31" s="7"/>
      <c r="X31" s="27" t="str">
        <f t="shared" si="0"/>
        <v/>
      </c>
      <c r="Y31" s="17" t="s">
        <v>94</v>
      </c>
      <c r="Z31" s="17" t="s">
        <v>149</v>
      </c>
      <c r="AA31" s="17" t="s">
        <v>181</v>
      </c>
      <c r="AB31" s="18" t="s">
        <v>131</v>
      </c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7"/>
      <c r="AO31" s="38"/>
      <c r="AP31" s="38"/>
      <c r="AQ31" s="38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</row>
    <row r="32" spans="1:54" s="5" customFormat="1" x14ac:dyDescent="0.25">
      <c r="A32" s="7"/>
      <c r="B32" s="77"/>
      <c r="C32" s="78"/>
      <c r="D32" s="78"/>
      <c r="E32" s="83"/>
      <c r="F32" s="78"/>
      <c r="G32" s="78"/>
      <c r="H32" s="78"/>
      <c r="I32" s="83"/>
      <c r="J32" s="78"/>
      <c r="K32" s="78"/>
      <c r="L32" s="77"/>
      <c r="M32" s="78"/>
      <c r="N32" s="77"/>
      <c r="O32" s="78"/>
      <c r="P32" s="77"/>
      <c r="Q32" s="78"/>
      <c r="R32" s="77"/>
      <c r="S32" s="78"/>
      <c r="T32" s="77"/>
      <c r="U32" s="78"/>
      <c r="V32" s="77"/>
      <c r="W32" s="7"/>
      <c r="X32" s="27" t="str">
        <f t="shared" si="0"/>
        <v/>
      </c>
      <c r="Y32" s="17" t="s">
        <v>59</v>
      </c>
      <c r="Z32" s="17"/>
      <c r="AA32" s="17"/>
      <c r="AB32" s="18" t="s">
        <v>57</v>
      </c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7"/>
      <c r="AO32" s="38"/>
      <c r="AP32" s="38"/>
      <c r="AQ32" s="38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</row>
    <row r="33" spans="1:54" s="5" customFormat="1" x14ac:dyDescent="0.25">
      <c r="A33" s="7"/>
      <c r="B33" s="77"/>
      <c r="C33" s="78"/>
      <c r="D33" s="78"/>
      <c r="E33" s="83"/>
      <c r="F33" s="78"/>
      <c r="G33" s="78"/>
      <c r="H33" s="78"/>
      <c r="I33" s="83"/>
      <c r="J33" s="78"/>
      <c r="K33" s="78"/>
      <c r="L33" s="77"/>
      <c r="M33" s="78"/>
      <c r="N33" s="77"/>
      <c r="O33" s="78"/>
      <c r="P33" s="77"/>
      <c r="Q33" s="78"/>
      <c r="R33" s="77"/>
      <c r="S33" s="78"/>
      <c r="T33" s="77"/>
      <c r="U33" s="78"/>
      <c r="V33" s="77"/>
      <c r="W33" s="7"/>
      <c r="X33" s="27" t="str">
        <f t="shared" si="0"/>
        <v/>
      </c>
      <c r="Y33" s="17" t="s">
        <v>167</v>
      </c>
      <c r="Z33" s="17"/>
      <c r="AA33" s="3" t="s">
        <v>119</v>
      </c>
      <c r="AB33" s="18" t="s">
        <v>25</v>
      </c>
      <c r="AC33" s="20">
        <v>0.719409242</v>
      </c>
      <c r="AD33" s="20">
        <v>0.71950000000000003</v>
      </c>
      <c r="AE33" s="20">
        <v>0.71899999999999997</v>
      </c>
      <c r="AF33" s="20">
        <v>0.71850000000000003</v>
      </c>
      <c r="AG33" s="20">
        <v>0.71799999999999997</v>
      </c>
      <c r="AH33" s="20">
        <v>0.71750000000000003</v>
      </c>
      <c r="AI33" s="20">
        <v>0.71699999999999997</v>
      </c>
      <c r="AJ33" s="20">
        <v>0.71650000000000003</v>
      </c>
      <c r="AK33" s="20">
        <v>0.71599999999999997</v>
      </c>
      <c r="AL33" s="20">
        <v>0.71550000000000002</v>
      </c>
      <c r="AM33" s="20">
        <v>0.71500000000000097</v>
      </c>
      <c r="AN33" s="7"/>
      <c r="AO33" s="38"/>
      <c r="AP33" s="38"/>
      <c r="AQ33" s="38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</row>
    <row r="34" spans="1:54" s="5" customFormat="1" x14ac:dyDescent="0.25">
      <c r="A34" s="7"/>
      <c r="B34" s="77"/>
      <c r="C34" s="78"/>
      <c r="D34" s="78"/>
      <c r="E34" s="83"/>
      <c r="F34" s="78"/>
      <c r="G34" s="78"/>
      <c r="H34" s="78"/>
      <c r="I34" s="83"/>
      <c r="J34" s="78"/>
      <c r="K34" s="78"/>
      <c r="L34" s="77"/>
      <c r="M34" s="78"/>
      <c r="N34" s="77"/>
      <c r="O34" s="78"/>
      <c r="P34" s="77"/>
      <c r="Q34" s="78"/>
      <c r="R34" s="77"/>
      <c r="S34" s="78"/>
      <c r="T34" s="77"/>
      <c r="U34" s="78"/>
      <c r="V34" s="77"/>
      <c r="W34" s="7"/>
      <c r="X34" s="27" t="str">
        <f t="shared" si="0"/>
        <v/>
      </c>
      <c r="Y34" s="17" t="s">
        <v>167</v>
      </c>
      <c r="Z34" s="17"/>
      <c r="AA34" s="3" t="s">
        <v>119</v>
      </c>
      <c r="AB34" s="18" t="s">
        <v>26</v>
      </c>
      <c r="AC34" s="20">
        <v>0.1</v>
      </c>
      <c r="AD34" s="20">
        <v>0.10100000000000001</v>
      </c>
      <c r="AE34" s="20">
        <v>0.10199999999999999</v>
      </c>
      <c r="AF34" s="20">
        <v>0.10299999999999999</v>
      </c>
      <c r="AG34" s="20">
        <v>0.104</v>
      </c>
      <c r="AH34" s="20">
        <v>0.105</v>
      </c>
      <c r="AI34" s="20">
        <v>0.106</v>
      </c>
      <c r="AJ34" s="20">
        <v>0.107</v>
      </c>
      <c r="AK34" s="20">
        <v>0.108</v>
      </c>
      <c r="AL34" s="20">
        <v>0.109</v>
      </c>
      <c r="AM34" s="20">
        <v>0.11</v>
      </c>
      <c r="AN34" s="7"/>
      <c r="AO34" s="38"/>
      <c r="AP34" s="38"/>
      <c r="AQ34" s="38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</row>
    <row r="35" spans="1:54" s="5" customFormat="1" x14ac:dyDescent="0.25">
      <c r="A35" s="7"/>
      <c r="B35" s="77"/>
      <c r="C35" s="78"/>
      <c r="D35" s="78"/>
      <c r="E35" s="83"/>
      <c r="F35" s="78"/>
      <c r="G35" s="78"/>
      <c r="H35" s="78"/>
      <c r="I35" s="83"/>
      <c r="J35" s="78"/>
      <c r="K35" s="78"/>
      <c r="L35" s="77"/>
      <c r="M35" s="78"/>
      <c r="N35" s="77"/>
      <c r="O35" s="78"/>
      <c r="P35" s="77"/>
      <c r="Q35" s="78"/>
      <c r="R35" s="77"/>
      <c r="S35" s="78"/>
      <c r="T35" s="77"/>
      <c r="U35" s="78"/>
      <c r="V35" s="77"/>
      <c r="W35" s="7"/>
      <c r="X35" s="27" t="str">
        <f t="shared" si="0"/>
        <v/>
      </c>
      <c r="Y35" s="17" t="s">
        <v>167</v>
      </c>
      <c r="Z35" s="17"/>
      <c r="AA35" s="3" t="s">
        <v>119</v>
      </c>
      <c r="AB35" s="18" t="s">
        <v>27</v>
      </c>
      <c r="AC35" s="20">
        <v>0.14000000000000001</v>
      </c>
      <c r="AD35" s="20">
        <v>0.13950000000000001</v>
      </c>
      <c r="AE35" s="20">
        <v>0.13900000000000001</v>
      </c>
      <c r="AF35" s="20">
        <v>0.13850000000000001</v>
      </c>
      <c r="AG35" s="20">
        <v>0.13800000000000001</v>
      </c>
      <c r="AH35" s="20">
        <v>0.13750000000000001</v>
      </c>
      <c r="AI35" s="20">
        <v>0.13700000000000001</v>
      </c>
      <c r="AJ35" s="20">
        <v>0.13650000000000001</v>
      </c>
      <c r="AK35" s="20">
        <v>0.13600000000000001</v>
      </c>
      <c r="AL35" s="20">
        <v>0.13550000000000001</v>
      </c>
      <c r="AM35" s="20">
        <v>0.13500000000000001</v>
      </c>
      <c r="AN35" s="7"/>
      <c r="AO35" s="38"/>
      <c r="AP35" s="38"/>
      <c r="AQ35" s="38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</row>
    <row r="36" spans="1:54" s="5" customFormat="1" x14ac:dyDescent="0.25">
      <c r="A36" s="7"/>
      <c r="B36" s="77"/>
      <c r="C36" s="78"/>
      <c r="D36" s="78"/>
      <c r="E36" s="83"/>
      <c r="F36" s="78"/>
      <c r="G36" s="78"/>
      <c r="H36" s="78"/>
      <c r="I36" s="83"/>
      <c r="J36" s="78"/>
      <c r="K36" s="78"/>
      <c r="L36" s="77"/>
      <c r="M36" s="78"/>
      <c r="N36" s="77"/>
      <c r="O36" s="78"/>
      <c r="P36" s="77"/>
      <c r="Q36" s="78"/>
      <c r="R36" s="77"/>
      <c r="S36" s="78"/>
      <c r="T36" s="77"/>
      <c r="U36" s="78"/>
      <c r="V36" s="77"/>
      <c r="W36" s="7"/>
      <c r="X36" s="27" t="str">
        <f t="shared" si="0"/>
        <v/>
      </c>
      <c r="Y36" s="17" t="s">
        <v>167</v>
      </c>
      <c r="Z36" s="17"/>
      <c r="AA36" s="3" t="s">
        <v>119</v>
      </c>
      <c r="AB36" s="18" t="s">
        <v>28</v>
      </c>
      <c r="AC36" s="20">
        <f>1-SUM(AC33:AC35)</f>
        <v>4.0590758000000005E-2</v>
      </c>
      <c r="AD36" s="20">
        <f t="shared" ref="AD36:AM36" si="1">1-SUM(AD33:AD35)</f>
        <v>4.0000000000000036E-2</v>
      </c>
      <c r="AE36" s="20">
        <f t="shared" si="1"/>
        <v>4.0000000000000036E-2</v>
      </c>
      <c r="AF36" s="20">
        <f t="shared" si="1"/>
        <v>4.0000000000000036E-2</v>
      </c>
      <c r="AG36" s="20">
        <f t="shared" si="1"/>
        <v>4.0000000000000036E-2</v>
      </c>
      <c r="AH36" s="20">
        <f t="shared" si="1"/>
        <v>4.0000000000000036E-2</v>
      </c>
      <c r="AI36" s="20">
        <f t="shared" si="1"/>
        <v>4.0000000000000036E-2</v>
      </c>
      <c r="AJ36" s="20">
        <f t="shared" si="1"/>
        <v>4.0000000000000036E-2</v>
      </c>
      <c r="AK36" s="20">
        <f t="shared" si="1"/>
        <v>4.0000000000000036E-2</v>
      </c>
      <c r="AL36" s="20">
        <f t="shared" si="1"/>
        <v>4.0000000000000036E-2</v>
      </c>
      <c r="AM36" s="20">
        <f t="shared" si="1"/>
        <v>3.9999999999999036E-2</v>
      </c>
      <c r="AN36" s="7"/>
      <c r="AO36" s="38"/>
      <c r="AP36" s="38"/>
      <c r="AQ36" s="38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</row>
    <row r="37" spans="1:54" s="5" customFormat="1" x14ac:dyDescent="0.25">
      <c r="A37" s="7"/>
      <c r="B37" s="77"/>
      <c r="C37" s="78"/>
      <c r="D37" s="78"/>
      <c r="E37" s="83"/>
      <c r="F37" s="78"/>
      <c r="G37" s="78"/>
      <c r="H37" s="78"/>
      <c r="I37" s="83"/>
      <c r="J37" s="78"/>
      <c r="K37" s="78"/>
      <c r="L37" s="77"/>
      <c r="M37" s="78"/>
      <c r="N37" s="77"/>
      <c r="O37" s="78"/>
      <c r="P37" s="77"/>
      <c r="Q37" s="78"/>
      <c r="R37" s="77"/>
      <c r="S37" s="78"/>
      <c r="T37" s="77"/>
      <c r="U37" s="78"/>
      <c r="V37" s="77"/>
      <c r="W37" s="7"/>
      <c r="X37" s="27" t="str">
        <f t="shared" si="0"/>
        <v/>
      </c>
      <c r="Y37" s="17" t="s">
        <v>95</v>
      </c>
      <c r="Z37" s="17" t="s">
        <v>154</v>
      </c>
      <c r="AA37" s="3" t="s">
        <v>182</v>
      </c>
      <c r="AB37" s="18" t="s">
        <v>25</v>
      </c>
      <c r="AC37" s="35">
        <f>SUMIFS(Residential!F$95:F$150,Residential!$C$95:$C$150,"Alberta",Residential!$B$95:$B$150,$AB37)/SUMIFS(Residential!F$36:F$91,Residential!$C$36:$C$91,"Alberta",Residential!$B$36:$B$91,$AB37)*1000</f>
        <v>138.51662237471803</v>
      </c>
      <c r="AD37" s="35">
        <f>SUMIFS(Residential!G$95:G$150,Residential!$C$95:$C$150,"Alberta",Residential!$B$95:$B$150,$AB37)/SUMIFS(Residential!G$36:G$91,Residential!$C$36:$C$91,"Alberta",Residential!$B$36:$B$91,$AB37)*1000</f>
        <v>141.02045602481141</v>
      </c>
      <c r="AE37" s="35">
        <f>SUMIFS(Residential!H$95:H$150,Residential!$C$95:$C$150,"Alberta",Residential!$B$95:$B$150,$AB37)/SUMIFS(Residential!H$36:H$91,Residential!$C$36:$C$91,"Alberta",Residential!$B$36:$B$91,$AB37)*1000</f>
        <v>143.95470394476007</v>
      </c>
      <c r="AF37" s="35">
        <f>SUMIFS(Residential!I$95:I$150,Residential!$C$95:$C$150,"Alberta",Residential!$B$95:$B$150,$AB37)/SUMIFS(Residential!I$36:I$91,Residential!$C$36:$C$91,"Alberta",Residential!$B$36:$B$91,$AB37)*1000</f>
        <v>146.24475252411179</v>
      </c>
      <c r="AG37" s="35">
        <f>SUMIFS(Residential!J$95:J$150,Residential!$C$95:$C$150,"Alberta",Residential!$B$95:$B$150,$AB37)/SUMIFS(Residential!J$36:J$91,Residential!$C$36:$C$91,"Alberta",Residential!$B$36:$B$91,$AB37)*1000</f>
        <v>146.68297090560455</v>
      </c>
      <c r="AH37" s="35">
        <f>SUMIFS(Residential!K$95:K$150,Residential!$C$95:$C$150,"Alberta",Residential!$B$95:$B$150,$AB37)/SUMIFS(Residential!K$36:K$91,Residential!$C$36:$C$91,"Alberta",Residential!$B$36:$B$91,$AB37)*1000</f>
        <v>146.68297090560455</v>
      </c>
      <c r="AI37" s="35">
        <f>SUMIFS(Residential!L$95:L$150,Residential!$C$95:$C$150,"Alberta",Residential!$B$95:$B$150,$AB37)/SUMIFS(Residential!L$36:L$91,Residential!$C$36:$C$91,"Alberta",Residential!$B$36:$B$91,$AB37)*1000</f>
        <v>146.68297090560455</v>
      </c>
      <c r="AJ37" s="35">
        <f>SUMIFS(Residential!M$95:M$150,Residential!$C$95:$C$150,"Alberta",Residential!$B$95:$B$150,$AB37)/SUMIFS(Residential!M$36:M$91,Residential!$C$36:$C$91,"Alberta",Residential!$B$36:$B$91,$AB37)*1000</f>
        <v>146.68297090560455</v>
      </c>
      <c r="AK37" s="35">
        <f>SUMIFS(Residential!N$95:N$150,Residential!$C$95:$C$150,"Alberta",Residential!$B$95:$B$150,$AB37)/SUMIFS(Residential!N$36:N$91,Residential!$C$36:$C$91,"Alberta",Residential!$B$36:$B$91,$AB37)*1000</f>
        <v>146.68297090560455</v>
      </c>
      <c r="AL37" s="35">
        <f>SUMIFS(Residential!O$95:O$150,Residential!$C$95:$C$150,"Alberta",Residential!$B$95:$B$150,$AB37)/SUMIFS(Residential!O$36:O$91,Residential!$C$36:$C$91,"Alberta",Residential!$B$36:$B$91,$AB37)*1000</f>
        <v>146.68297090560455</v>
      </c>
      <c r="AM37" s="35">
        <f>SUMIFS(Residential!P$95:P$150,Residential!$C$95:$C$150,"Alberta",Residential!$B$95:$B$150,$AB37)/SUMIFS(Residential!P$36:P$91,Residential!$C$36:$C$91,"Alberta",Residential!$B$36:$B$91,$AB37)*1000</f>
        <v>146.68297090560455</v>
      </c>
      <c r="AN37" s="7"/>
      <c r="AO37" s="38"/>
      <c r="AP37" s="38"/>
      <c r="AQ37" s="38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</row>
    <row r="38" spans="1:54" s="5" customFormat="1" x14ac:dyDescent="0.25">
      <c r="A38" s="7"/>
      <c r="B38" s="77"/>
      <c r="C38" s="78"/>
      <c r="D38" s="78"/>
      <c r="E38" s="83"/>
      <c r="F38" s="78"/>
      <c r="G38" s="78"/>
      <c r="H38" s="78"/>
      <c r="I38" s="83"/>
      <c r="J38" s="78"/>
      <c r="K38" s="78"/>
      <c r="L38" s="77"/>
      <c r="M38" s="78"/>
      <c r="N38" s="77"/>
      <c r="O38" s="78"/>
      <c r="P38" s="77"/>
      <c r="Q38" s="78"/>
      <c r="R38" s="77"/>
      <c r="S38" s="78"/>
      <c r="T38" s="77"/>
      <c r="U38" s="78"/>
      <c r="V38" s="77"/>
      <c r="W38" s="7"/>
      <c r="X38" s="27" t="str">
        <f t="shared" si="0"/>
        <v/>
      </c>
      <c r="Y38" s="17" t="s">
        <v>95</v>
      </c>
      <c r="Z38" s="17" t="s">
        <v>154</v>
      </c>
      <c r="AA38" s="3" t="s">
        <v>182</v>
      </c>
      <c r="AB38" s="18" t="s">
        <v>26</v>
      </c>
      <c r="AC38" s="35">
        <f>SUMIFS(Residential!F$95:F$150,Residential!$C$95:$C$150,"Alberta",Residential!$B$95:$B$150,$AB38)/SUMIFS(Residential!F$36:F$91,Residential!$C$36:$C$91,"Alberta",Residential!$B$36:$B$91,$AB38)*1000</f>
        <v>107.36595424145357</v>
      </c>
      <c r="AD38" s="35">
        <f>SUMIFS(Residential!G$95:G$150,Residential!$C$95:$C$150,"Alberta",Residential!$B$95:$B$150,$AB38)/SUMIFS(Residential!G$36:G$91,Residential!$C$36:$C$91,"Alberta",Residential!$B$36:$B$91,$AB38)*1000</f>
        <v>111.23110151187905</v>
      </c>
      <c r="AE38" s="35">
        <f>SUMIFS(Residential!H$95:H$150,Residential!$C$95:$C$150,"Alberta",Residential!$B$95:$B$150,$AB38)/SUMIFS(Residential!H$36:H$91,Residential!$C$36:$C$91,"Alberta",Residential!$B$36:$B$91,$AB38)*1000</f>
        <v>115.91380319599979</v>
      </c>
      <c r="AF38" s="35">
        <f>SUMIFS(Residential!I$95:I$150,Residential!$C$95:$C$150,"Alberta",Residential!$B$95:$B$150,$AB38)/SUMIFS(Residential!I$36:I$91,Residential!$C$36:$C$91,"Alberta",Residential!$B$36:$B$91,$AB38)*1000</f>
        <v>121.53331571320508</v>
      </c>
      <c r="AG38" s="35">
        <f>SUMIFS(Residential!J$95:J$150,Residential!$C$95:$C$150,"Alberta",Residential!$B$95:$B$150,$AB38)/SUMIFS(Residential!J$36:J$91,Residential!$C$36:$C$91,"Alberta",Residential!$B$36:$B$91,$AB38)*1000</f>
        <v>122.60881127559612</v>
      </c>
      <c r="AH38" s="35">
        <f>SUMIFS(Residential!K$95:K$150,Residential!$C$95:$C$150,"Alberta",Residential!$B$95:$B$150,$AB38)/SUMIFS(Residential!K$36:K$91,Residential!$C$36:$C$91,"Alberta",Residential!$B$36:$B$91,$AB38)*1000</f>
        <v>122.60881127559612</v>
      </c>
      <c r="AI38" s="35">
        <f>SUMIFS(Residential!L$95:L$150,Residential!$C$95:$C$150,"Alberta",Residential!$B$95:$B$150,$AB38)/SUMIFS(Residential!L$36:L$91,Residential!$C$36:$C$91,"Alberta",Residential!$B$36:$B$91,$AB38)*1000</f>
        <v>122.60881127559612</v>
      </c>
      <c r="AJ38" s="35">
        <f>SUMIFS(Residential!M$95:M$150,Residential!$C$95:$C$150,"Alberta",Residential!$B$95:$B$150,$AB38)/SUMIFS(Residential!M$36:M$91,Residential!$C$36:$C$91,"Alberta",Residential!$B$36:$B$91,$AB38)*1000</f>
        <v>122.60881127559612</v>
      </c>
      <c r="AK38" s="35">
        <f>SUMIFS(Residential!N$95:N$150,Residential!$C$95:$C$150,"Alberta",Residential!$B$95:$B$150,$AB38)/SUMIFS(Residential!N$36:N$91,Residential!$C$36:$C$91,"Alberta",Residential!$B$36:$B$91,$AB38)*1000</f>
        <v>122.60881127559612</v>
      </c>
      <c r="AL38" s="35">
        <f>SUMIFS(Residential!O$95:O$150,Residential!$C$95:$C$150,"Alberta",Residential!$B$95:$B$150,$AB38)/SUMIFS(Residential!O$36:O$91,Residential!$C$36:$C$91,"Alberta",Residential!$B$36:$B$91,$AB38)*1000</f>
        <v>122.60881127559612</v>
      </c>
      <c r="AM38" s="35">
        <f>SUMIFS(Residential!P$95:P$150,Residential!$C$95:$C$150,"Alberta",Residential!$B$95:$B$150,$AB38)/SUMIFS(Residential!P$36:P$91,Residential!$C$36:$C$91,"Alberta",Residential!$B$36:$B$91,$AB38)*1000</f>
        <v>122.60881127559612</v>
      </c>
      <c r="AN38" s="7"/>
      <c r="AO38" s="38"/>
      <c r="AP38" s="38"/>
      <c r="AQ38" s="38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</row>
    <row r="39" spans="1:54" s="5" customFormat="1" x14ac:dyDescent="0.25">
      <c r="A39" s="7"/>
      <c r="B39" s="77"/>
      <c r="C39" s="78"/>
      <c r="D39" s="78"/>
      <c r="E39" s="83"/>
      <c r="F39" s="78"/>
      <c r="G39" s="78"/>
      <c r="H39" s="78"/>
      <c r="I39" s="83"/>
      <c r="J39" s="78"/>
      <c r="K39" s="78"/>
      <c r="L39" s="77"/>
      <c r="M39" s="78"/>
      <c r="N39" s="77"/>
      <c r="O39" s="78"/>
      <c r="P39" s="77"/>
      <c r="Q39" s="78"/>
      <c r="R39" s="77"/>
      <c r="S39" s="78"/>
      <c r="T39" s="77"/>
      <c r="U39" s="78"/>
      <c r="V39" s="77"/>
      <c r="W39" s="7"/>
      <c r="X39" s="27" t="str">
        <f t="shared" si="0"/>
        <v/>
      </c>
      <c r="Y39" s="17" t="s">
        <v>95</v>
      </c>
      <c r="Z39" s="17" t="s">
        <v>154</v>
      </c>
      <c r="AA39" s="3" t="s">
        <v>182</v>
      </c>
      <c r="AB39" s="18" t="s">
        <v>27</v>
      </c>
      <c r="AC39" s="35">
        <f>SUMIFS(Residential!F$95:F$150,Residential!$C$95:$C$150,"Alberta",Residential!$B$95:$B$150,$AB39)/SUMIFS(Residential!F$36:F$91,Residential!$C$36:$C$91,"Alberta",Residential!$B$36:$B$91,$AB39)*1000</f>
        <v>84.759907824534466</v>
      </c>
      <c r="AD39" s="35">
        <f>SUMIFS(Residential!G$95:G$150,Residential!$C$95:$C$150,"Alberta",Residential!$B$95:$B$150,$AB39)/SUMIFS(Residential!G$36:G$91,Residential!$C$36:$C$91,"Alberta",Residential!$B$36:$B$91,$AB39)*1000</f>
        <v>88.687168672720716</v>
      </c>
      <c r="AE39" s="35">
        <f>SUMIFS(Residential!H$95:H$150,Residential!$C$95:$C$150,"Alberta",Residential!$B$95:$B$150,$AB39)/SUMIFS(Residential!H$36:H$91,Residential!$C$36:$C$91,"Alberta",Residential!$B$36:$B$91,$AB39)*1000</f>
        <v>92.967997978887055</v>
      </c>
      <c r="AF39" s="35">
        <f>SUMIFS(Residential!I$95:I$150,Residential!$C$95:$C$150,"Alberta",Residential!$B$95:$B$150,$AB39)/SUMIFS(Residential!I$36:I$91,Residential!$C$36:$C$91,"Alberta",Residential!$B$36:$B$91,$AB39)*1000</f>
        <v>97.18309068663217</v>
      </c>
      <c r="AG39" s="35">
        <f>SUMIFS(Residential!J$95:J$150,Residential!$C$95:$C$150,"Alberta",Residential!$B$95:$B$150,$AB39)/SUMIFS(Residential!J$36:J$91,Residential!$C$36:$C$91,"Alberta",Residential!$B$36:$B$91,$AB39)*1000</f>
        <v>97.931118044406773</v>
      </c>
      <c r="AH39" s="35">
        <f>SUMIFS(Residential!K$95:K$150,Residential!$C$95:$C$150,"Alberta",Residential!$B$95:$B$150,$AB39)/SUMIFS(Residential!K$36:K$91,Residential!$C$36:$C$91,"Alberta",Residential!$B$36:$B$91,$AB39)*1000</f>
        <v>97.931118044406773</v>
      </c>
      <c r="AI39" s="35">
        <f>SUMIFS(Residential!L$95:L$150,Residential!$C$95:$C$150,"Alberta",Residential!$B$95:$B$150,$AB39)/SUMIFS(Residential!L$36:L$91,Residential!$C$36:$C$91,"Alberta",Residential!$B$36:$B$91,$AB39)*1000</f>
        <v>97.931118044406773</v>
      </c>
      <c r="AJ39" s="35">
        <f>SUMIFS(Residential!M$95:M$150,Residential!$C$95:$C$150,"Alberta",Residential!$B$95:$B$150,$AB39)/SUMIFS(Residential!M$36:M$91,Residential!$C$36:$C$91,"Alberta",Residential!$B$36:$B$91,$AB39)*1000</f>
        <v>97.931118044406773</v>
      </c>
      <c r="AK39" s="35">
        <f>SUMIFS(Residential!N$95:N$150,Residential!$C$95:$C$150,"Alberta",Residential!$B$95:$B$150,$AB39)/SUMIFS(Residential!N$36:N$91,Residential!$C$36:$C$91,"Alberta",Residential!$B$36:$B$91,$AB39)*1000</f>
        <v>97.931118044406773</v>
      </c>
      <c r="AL39" s="35">
        <f>SUMIFS(Residential!O$95:O$150,Residential!$C$95:$C$150,"Alberta",Residential!$B$95:$B$150,$AB39)/SUMIFS(Residential!O$36:O$91,Residential!$C$36:$C$91,"Alberta",Residential!$B$36:$B$91,$AB39)*1000</f>
        <v>97.931118044406773</v>
      </c>
      <c r="AM39" s="35">
        <f>SUMIFS(Residential!P$95:P$150,Residential!$C$95:$C$150,"Alberta",Residential!$B$95:$B$150,$AB39)/SUMIFS(Residential!P$36:P$91,Residential!$C$36:$C$91,"Alberta",Residential!$B$36:$B$91,$AB39)*1000</f>
        <v>97.931118044406773</v>
      </c>
      <c r="AN39" s="7"/>
      <c r="AO39" s="38"/>
      <c r="AP39" s="38"/>
      <c r="AQ39" s="38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</row>
    <row r="40" spans="1:54" s="5" customFormat="1" x14ac:dyDescent="0.25">
      <c r="A40" s="7"/>
      <c r="B40" s="77"/>
      <c r="C40" s="78"/>
      <c r="D40" s="78"/>
      <c r="E40" s="83"/>
      <c r="F40" s="78"/>
      <c r="G40" s="78"/>
      <c r="H40" s="78"/>
      <c r="I40" s="83"/>
      <c r="J40" s="78"/>
      <c r="K40" s="78"/>
      <c r="L40" s="77"/>
      <c r="M40" s="78"/>
      <c r="N40" s="77"/>
      <c r="O40" s="78"/>
      <c r="P40" s="77"/>
      <c r="Q40" s="78"/>
      <c r="R40" s="77"/>
      <c r="S40" s="78"/>
      <c r="T40" s="77"/>
      <c r="U40" s="78"/>
      <c r="V40" s="77"/>
      <c r="W40" s="7"/>
      <c r="X40" s="27" t="str">
        <f t="shared" si="0"/>
        <v/>
      </c>
      <c r="Y40" s="17" t="s">
        <v>95</v>
      </c>
      <c r="Z40" s="17" t="s">
        <v>154</v>
      </c>
      <c r="AA40" s="3" t="s">
        <v>182</v>
      </c>
      <c r="AB40" s="18" t="s">
        <v>28</v>
      </c>
      <c r="AC40" s="35">
        <f>SUMIFS(Residential!F$95:F$150,Residential!$C$95:$C$150,"Alberta",Residential!$B$95:$B$150,$AB40)/SUMIFS(Residential!F$36:F$91,Residential!$C$36:$C$91,"Alberta",Residential!$B$36:$B$91,$AB40)*1000</f>
        <v>91.721414046613475</v>
      </c>
      <c r="AD40" s="35">
        <f>SUMIFS(Residential!G$95:G$150,Residential!$C$95:$C$150,"Alberta",Residential!$B$95:$B$150,$AB40)/SUMIFS(Residential!G$36:G$91,Residential!$C$36:$C$91,"Alberta",Residential!$B$36:$B$91,$AB40)*1000</f>
        <v>92.262366258334637</v>
      </c>
      <c r="AE40" s="35">
        <f>SUMIFS(Residential!H$95:H$150,Residential!$C$95:$C$150,"Alberta",Residential!$B$95:$B$150,$AB40)/SUMIFS(Residential!H$36:H$91,Residential!$C$36:$C$91,"Alberta",Residential!$B$36:$B$91,$AB40)*1000</f>
        <v>93.402188993371354</v>
      </c>
      <c r="AF40" s="35">
        <f>SUMIFS(Residential!I$95:I$150,Residential!$C$95:$C$150,"Alberta",Residential!$B$95:$B$150,$AB40)/SUMIFS(Residential!I$36:I$91,Residential!$C$36:$C$91,"Alberta",Residential!$B$36:$B$91,$AB40)*1000</f>
        <v>94.688909694442074</v>
      </c>
      <c r="AG40" s="35">
        <f>SUMIFS(Residential!J$95:J$150,Residential!$C$95:$C$150,"Alberta",Residential!$B$95:$B$150,$AB40)/SUMIFS(Residential!J$36:J$91,Residential!$C$36:$C$91,"Alberta",Residential!$B$36:$B$91,$AB40)*1000</f>
        <v>95.037976097397532</v>
      </c>
      <c r="AH40" s="35">
        <f>SUMIFS(Residential!K$95:K$150,Residential!$C$95:$C$150,"Alberta",Residential!$B$95:$B$150,$AB40)/SUMIFS(Residential!K$36:K$91,Residential!$C$36:$C$91,"Alberta",Residential!$B$36:$B$91,$AB40)*1000</f>
        <v>95.037976097397532</v>
      </c>
      <c r="AI40" s="35">
        <f>SUMIFS(Residential!L$95:L$150,Residential!$C$95:$C$150,"Alberta",Residential!$B$95:$B$150,$AB40)/SUMIFS(Residential!L$36:L$91,Residential!$C$36:$C$91,"Alberta",Residential!$B$36:$B$91,$AB40)*1000</f>
        <v>95.037976097397532</v>
      </c>
      <c r="AJ40" s="35">
        <f>SUMIFS(Residential!M$95:M$150,Residential!$C$95:$C$150,"Alberta",Residential!$B$95:$B$150,$AB40)/SUMIFS(Residential!M$36:M$91,Residential!$C$36:$C$91,"Alberta",Residential!$B$36:$B$91,$AB40)*1000</f>
        <v>95.037976097397532</v>
      </c>
      <c r="AK40" s="35">
        <f>SUMIFS(Residential!N$95:N$150,Residential!$C$95:$C$150,"Alberta",Residential!$B$95:$B$150,$AB40)/SUMIFS(Residential!N$36:N$91,Residential!$C$36:$C$91,"Alberta",Residential!$B$36:$B$91,$AB40)*1000</f>
        <v>95.037976097397532</v>
      </c>
      <c r="AL40" s="35">
        <f>SUMIFS(Residential!O$95:O$150,Residential!$C$95:$C$150,"Alberta",Residential!$B$95:$B$150,$AB40)/SUMIFS(Residential!O$36:O$91,Residential!$C$36:$C$91,"Alberta",Residential!$B$36:$B$91,$AB40)*1000</f>
        <v>95.037976097397532</v>
      </c>
      <c r="AM40" s="35">
        <f>SUMIFS(Residential!P$95:P$150,Residential!$C$95:$C$150,"Alberta",Residential!$B$95:$B$150,$AB40)/SUMIFS(Residential!P$36:P$91,Residential!$C$36:$C$91,"Alberta",Residential!$B$36:$B$91,$AB40)*1000</f>
        <v>95.037976097397532</v>
      </c>
      <c r="AN40" s="7"/>
      <c r="AO40" s="38"/>
      <c r="AP40" s="38"/>
      <c r="AQ40" s="38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</row>
    <row r="41" spans="1:54" s="5" customFormat="1" x14ac:dyDescent="0.25">
      <c r="A41" s="7"/>
      <c r="B41" s="77"/>
      <c r="C41" s="78"/>
      <c r="D41" s="78"/>
      <c r="E41" s="83"/>
      <c r="F41" s="78"/>
      <c r="G41" s="78"/>
      <c r="H41" s="78"/>
      <c r="I41" s="83"/>
      <c r="J41" s="78"/>
      <c r="K41" s="78"/>
      <c r="L41" s="77"/>
      <c r="M41" s="78"/>
      <c r="N41" s="77"/>
      <c r="O41" s="78"/>
      <c r="P41" s="77"/>
      <c r="Q41" s="78"/>
      <c r="R41" s="77"/>
      <c r="S41" s="78"/>
      <c r="T41" s="77"/>
      <c r="U41" s="78"/>
      <c r="V41" s="77"/>
      <c r="W41" s="7"/>
      <c r="X41" s="27" t="str">
        <f t="shared" si="0"/>
        <v/>
      </c>
      <c r="Y41" s="17" t="s">
        <v>95</v>
      </c>
      <c r="Z41" s="17" t="s">
        <v>166</v>
      </c>
      <c r="AA41" s="3" t="s">
        <v>168</v>
      </c>
      <c r="AB41" s="18" t="s">
        <v>25</v>
      </c>
      <c r="AC41" s="21">
        <v>1</v>
      </c>
      <c r="AD41" s="21">
        <v>1</v>
      </c>
      <c r="AE41" s="21">
        <v>1</v>
      </c>
      <c r="AF41" s="21">
        <v>1</v>
      </c>
      <c r="AG41" s="21">
        <v>1</v>
      </c>
      <c r="AH41" s="21">
        <v>1</v>
      </c>
      <c r="AI41" s="21">
        <v>1</v>
      </c>
      <c r="AJ41" s="21">
        <v>1</v>
      </c>
      <c r="AK41" s="21">
        <v>1</v>
      </c>
      <c r="AL41" s="21">
        <v>1</v>
      </c>
      <c r="AM41" s="21">
        <v>1</v>
      </c>
      <c r="AN41" s="7"/>
      <c r="AO41" s="38"/>
      <c r="AP41" s="38"/>
      <c r="AQ41" s="38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</row>
    <row r="42" spans="1:54" s="5" customFormat="1" x14ac:dyDescent="0.25">
      <c r="A42" s="7"/>
      <c r="B42" s="77"/>
      <c r="C42" s="78"/>
      <c r="D42" s="78"/>
      <c r="E42" s="83"/>
      <c r="F42" s="78"/>
      <c r="G42" s="78"/>
      <c r="H42" s="78"/>
      <c r="I42" s="83"/>
      <c r="J42" s="78"/>
      <c r="K42" s="78"/>
      <c r="L42" s="77"/>
      <c r="M42" s="78"/>
      <c r="N42" s="77"/>
      <c r="O42" s="78"/>
      <c r="P42" s="77"/>
      <c r="Q42" s="78"/>
      <c r="R42" s="77"/>
      <c r="S42" s="78"/>
      <c r="T42" s="77"/>
      <c r="U42" s="78"/>
      <c r="V42" s="77"/>
      <c r="W42" s="7"/>
      <c r="X42" s="27" t="str">
        <f t="shared" si="0"/>
        <v/>
      </c>
      <c r="Y42" s="17" t="s">
        <v>95</v>
      </c>
      <c r="Z42" s="17" t="s">
        <v>166</v>
      </c>
      <c r="AA42" s="3" t="s">
        <v>168</v>
      </c>
      <c r="AB42" s="18" t="s">
        <v>26</v>
      </c>
      <c r="AC42" s="21">
        <v>1</v>
      </c>
      <c r="AD42" s="21">
        <v>1</v>
      </c>
      <c r="AE42" s="21">
        <v>1</v>
      </c>
      <c r="AF42" s="21">
        <v>1</v>
      </c>
      <c r="AG42" s="21">
        <v>1</v>
      </c>
      <c r="AH42" s="21">
        <v>1</v>
      </c>
      <c r="AI42" s="21">
        <v>1</v>
      </c>
      <c r="AJ42" s="21">
        <v>1</v>
      </c>
      <c r="AK42" s="21">
        <v>1</v>
      </c>
      <c r="AL42" s="21">
        <v>1</v>
      </c>
      <c r="AM42" s="21">
        <v>1</v>
      </c>
      <c r="AN42" s="7"/>
      <c r="AO42" s="38"/>
      <c r="AP42" s="38"/>
      <c r="AQ42" s="38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</row>
    <row r="43" spans="1:54" s="5" customFormat="1" x14ac:dyDescent="0.25">
      <c r="A43" s="7"/>
      <c r="B43" s="77"/>
      <c r="C43" s="78"/>
      <c r="D43" s="78"/>
      <c r="E43" s="83"/>
      <c r="F43" s="78"/>
      <c r="G43" s="78"/>
      <c r="H43" s="78"/>
      <c r="I43" s="83"/>
      <c r="J43" s="78"/>
      <c r="K43" s="78"/>
      <c r="L43" s="77"/>
      <c r="M43" s="78"/>
      <c r="N43" s="77"/>
      <c r="O43" s="78"/>
      <c r="P43" s="77"/>
      <c r="Q43" s="78"/>
      <c r="R43" s="77"/>
      <c r="S43" s="78"/>
      <c r="T43" s="77"/>
      <c r="U43" s="78"/>
      <c r="V43" s="77"/>
      <c r="W43" s="7"/>
      <c r="X43" s="27" t="str">
        <f t="shared" si="0"/>
        <v/>
      </c>
      <c r="Y43" s="17" t="s">
        <v>95</v>
      </c>
      <c r="Z43" s="17" t="s">
        <v>166</v>
      </c>
      <c r="AA43" s="3" t="s">
        <v>168</v>
      </c>
      <c r="AB43" s="18" t="s">
        <v>27</v>
      </c>
      <c r="AC43" s="21">
        <v>1</v>
      </c>
      <c r="AD43" s="21">
        <v>1</v>
      </c>
      <c r="AE43" s="21">
        <v>1</v>
      </c>
      <c r="AF43" s="21">
        <v>1</v>
      </c>
      <c r="AG43" s="21">
        <v>1</v>
      </c>
      <c r="AH43" s="21">
        <v>1</v>
      </c>
      <c r="AI43" s="21">
        <v>1</v>
      </c>
      <c r="AJ43" s="21">
        <v>1</v>
      </c>
      <c r="AK43" s="21">
        <v>1</v>
      </c>
      <c r="AL43" s="21">
        <v>1</v>
      </c>
      <c r="AM43" s="21">
        <v>1</v>
      </c>
      <c r="AN43" s="7"/>
      <c r="AO43" s="38"/>
      <c r="AP43" s="38"/>
      <c r="AQ43" s="38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</row>
    <row r="44" spans="1:54" s="5" customFormat="1" x14ac:dyDescent="0.25">
      <c r="A44" s="7"/>
      <c r="B44" s="77"/>
      <c r="C44" s="78"/>
      <c r="D44" s="78"/>
      <c r="E44" s="83"/>
      <c r="F44" s="78"/>
      <c r="G44" s="78"/>
      <c r="H44" s="78"/>
      <c r="I44" s="83"/>
      <c r="J44" s="78"/>
      <c r="K44" s="78"/>
      <c r="L44" s="77"/>
      <c r="M44" s="78"/>
      <c r="N44" s="77"/>
      <c r="O44" s="78"/>
      <c r="P44" s="77"/>
      <c r="Q44" s="78"/>
      <c r="R44" s="77"/>
      <c r="S44" s="78"/>
      <c r="T44" s="77"/>
      <c r="U44" s="78"/>
      <c r="V44" s="77"/>
      <c r="W44" s="7"/>
      <c r="X44" s="27" t="str">
        <f t="shared" si="0"/>
        <v/>
      </c>
      <c r="Y44" s="17" t="s">
        <v>95</v>
      </c>
      <c r="Z44" s="17" t="s">
        <v>166</v>
      </c>
      <c r="AA44" s="3" t="s">
        <v>168</v>
      </c>
      <c r="AB44" s="18" t="s">
        <v>28</v>
      </c>
      <c r="AC44" s="21">
        <v>1</v>
      </c>
      <c r="AD44" s="21">
        <v>1</v>
      </c>
      <c r="AE44" s="21">
        <v>1</v>
      </c>
      <c r="AF44" s="21">
        <v>1</v>
      </c>
      <c r="AG44" s="21">
        <v>1</v>
      </c>
      <c r="AH44" s="21">
        <v>1</v>
      </c>
      <c r="AI44" s="21">
        <v>1</v>
      </c>
      <c r="AJ44" s="21">
        <v>1</v>
      </c>
      <c r="AK44" s="21">
        <v>1</v>
      </c>
      <c r="AL44" s="21">
        <v>1</v>
      </c>
      <c r="AM44" s="21">
        <v>1</v>
      </c>
      <c r="AN44" s="7"/>
      <c r="AO44" s="38"/>
      <c r="AP44" s="38"/>
      <c r="AQ44" s="38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</row>
    <row r="45" spans="1:54" s="5" customFormat="1" x14ac:dyDescent="0.25">
      <c r="A45" s="7"/>
      <c r="B45" s="77"/>
      <c r="C45" s="78"/>
      <c r="D45" s="78"/>
      <c r="E45" s="83"/>
      <c r="F45" s="78"/>
      <c r="G45" s="78"/>
      <c r="H45" s="78"/>
      <c r="I45" s="83"/>
      <c r="J45" s="78"/>
      <c r="K45" s="78"/>
      <c r="L45" s="77"/>
      <c r="M45" s="78"/>
      <c r="N45" s="77"/>
      <c r="O45" s="78"/>
      <c r="P45" s="77"/>
      <c r="Q45" s="78"/>
      <c r="R45" s="77"/>
      <c r="S45" s="78"/>
      <c r="T45" s="77"/>
      <c r="U45" s="78"/>
      <c r="V45" s="77"/>
      <c r="W45" s="7"/>
      <c r="X45" s="27" t="str">
        <f t="shared" si="0"/>
        <v/>
      </c>
      <c r="Y45" s="17" t="s">
        <v>95</v>
      </c>
      <c r="Z45" s="17" t="s">
        <v>165</v>
      </c>
      <c r="AA45" s="3" t="s">
        <v>168</v>
      </c>
      <c r="AB45" s="18" t="s">
        <v>25</v>
      </c>
      <c r="AC45" s="21">
        <v>1</v>
      </c>
      <c r="AD45" s="21">
        <v>1</v>
      </c>
      <c r="AE45" s="21">
        <v>1</v>
      </c>
      <c r="AF45" s="21">
        <v>1</v>
      </c>
      <c r="AG45" s="21">
        <v>1</v>
      </c>
      <c r="AH45" s="21">
        <v>1</v>
      </c>
      <c r="AI45" s="21">
        <v>1</v>
      </c>
      <c r="AJ45" s="21">
        <v>1</v>
      </c>
      <c r="AK45" s="21">
        <v>1</v>
      </c>
      <c r="AL45" s="21">
        <v>1</v>
      </c>
      <c r="AM45" s="21">
        <v>1</v>
      </c>
      <c r="AN45" s="7"/>
      <c r="AO45" s="38"/>
      <c r="AP45" s="38"/>
      <c r="AQ45" s="38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</row>
    <row r="46" spans="1:54" s="5" customFormat="1" x14ac:dyDescent="0.25">
      <c r="A46" s="7"/>
      <c r="B46" s="77"/>
      <c r="C46" s="78"/>
      <c r="D46" s="78"/>
      <c r="E46" s="83"/>
      <c r="F46" s="78"/>
      <c r="G46" s="78"/>
      <c r="H46" s="78"/>
      <c r="I46" s="83"/>
      <c r="J46" s="78"/>
      <c r="K46" s="78"/>
      <c r="L46" s="77"/>
      <c r="M46" s="78"/>
      <c r="N46" s="77"/>
      <c r="O46" s="78"/>
      <c r="P46" s="77"/>
      <c r="Q46" s="78"/>
      <c r="R46" s="77"/>
      <c r="S46" s="78"/>
      <c r="T46" s="77"/>
      <c r="U46" s="78"/>
      <c r="V46" s="77"/>
      <c r="W46" s="7"/>
      <c r="X46" s="27" t="str">
        <f t="shared" si="0"/>
        <v/>
      </c>
      <c r="Y46" s="17" t="s">
        <v>95</v>
      </c>
      <c r="Z46" s="17" t="s">
        <v>165</v>
      </c>
      <c r="AA46" s="3" t="s">
        <v>168</v>
      </c>
      <c r="AB46" s="18" t="s">
        <v>26</v>
      </c>
      <c r="AC46" s="21">
        <v>1</v>
      </c>
      <c r="AD46" s="21">
        <v>1</v>
      </c>
      <c r="AE46" s="21">
        <v>1</v>
      </c>
      <c r="AF46" s="21">
        <v>1</v>
      </c>
      <c r="AG46" s="21">
        <v>1</v>
      </c>
      <c r="AH46" s="21">
        <v>1</v>
      </c>
      <c r="AI46" s="21">
        <v>1</v>
      </c>
      <c r="AJ46" s="21">
        <v>1</v>
      </c>
      <c r="AK46" s="21">
        <v>1</v>
      </c>
      <c r="AL46" s="21">
        <v>1</v>
      </c>
      <c r="AM46" s="21">
        <v>1</v>
      </c>
      <c r="AN46" s="7"/>
      <c r="AO46" s="38"/>
      <c r="AP46" s="38"/>
      <c r="AQ46" s="38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</row>
    <row r="47" spans="1:54" s="5" customFormat="1" x14ac:dyDescent="0.25">
      <c r="A47" s="7"/>
      <c r="B47" s="77"/>
      <c r="C47" s="78"/>
      <c r="D47" s="78"/>
      <c r="E47" s="83"/>
      <c r="F47" s="78"/>
      <c r="G47" s="78"/>
      <c r="H47" s="78"/>
      <c r="I47" s="83"/>
      <c r="J47" s="78"/>
      <c r="K47" s="78"/>
      <c r="L47" s="77"/>
      <c r="M47" s="78"/>
      <c r="N47" s="77"/>
      <c r="O47" s="78"/>
      <c r="P47" s="77"/>
      <c r="Q47" s="78"/>
      <c r="R47" s="77"/>
      <c r="S47" s="78"/>
      <c r="T47" s="77"/>
      <c r="U47" s="78"/>
      <c r="V47" s="77"/>
      <c r="W47" s="7"/>
      <c r="X47" s="27" t="str">
        <f t="shared" si="0"/>
        <v/>
      </c>
      <c r="Y47" s="17" t="s">
        <v>95</v>
      </c>
      <c r="Z47" s="17" t="s">
        <v>165</v>
      </c>
      <c r="AA47" s="3" t="s">
        <v>168</v>
      </c>
      <c r="AB47" s="18" t="s">
        <v>27</v>
      </c>
      <c r="AC47" s="21">
        <v>1</v>
      </c>
      <c r="AD47" s="21">
        <v>1</v>
      </c>
      <c r="AE47" s="21">
        <v>1</v>
      </c>
      <c r="AF47" s="21">
        <v>1</v>
      </c>
      <c r="AG47" s="21">
        <v>1</v>
      </c>
      <c r="AH47" s="21">
        <v>1</v>
      </c>
      <c r="AI47" s="21">
        <v>1</v>
      </c>
      <c r="AJ47" s="21">
        <v>1</v>
      </c>
      <c r="AK47" s="21">
        <v>1</v>
      </c>
      <c r="AL47" s="21">
        <v>1</v>
      </c>
      <c r="AM47" s="21">
        <v>1</v>
      </c>
      <c r="AN47" s="7"/>
      <c r="AO47" s="38"/>
      <c r="AP47" s="38"/>
      <c r="AQ47" s="38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</row>
    <row r="48" spans="1:54" s="5" customFormat="1" x14ac:dyDescent="0.25">
      <c r="A48" s="7"/>
      <c r="B48" s="77"/>
      <c r="C48" s="78"/>
      <c r="D48" s="78"/>
      <c r="E48" s="83"/>
      <c r="F48" s="78"/>
      <c r="G48" s="78"/>
      <c r="H48" s="78"/>
      <c r="I48" s="83"/>
      <c r="J48" s="78"/>
      <c r="K48" s="78"/>
      <c r="L48" s="77"/>
      <c r="M48" s="78"/>
      <c r="N48" s="77"/>
      <c r="O48" s="78"/>
      <c r="P48" s="77"/>
      <c r="Q48" s="78"/>
      <c r="R48" s="77"/>
      <c r="S48" s="78"/>
      <c r="T48" s="77"/>
      <c r="U48" s="78"/>
      <c r="V48" s="77"/>
      <c r="W48" s="7"/>
      <c r="X48" s="27" t="str">
        <f t="shared" si="0"/>
        <v/>
      </c>
      <c r="Y48" s="17" t="s">
        <v>95</v>
      </c>
      <c r="Z48" s="17" t="s">
        <v>165</v>
      </c>
      <c r="AA48" s="3" t="s">
        <v>168</v>
      </c>
      <c r="AB48" s="18" t="s">
        <v>28</v>
      </c>
      <c r="AC48" s="21">
        <v>1</v>
      </c>
      <c r="AD48" s="21">
        <v>1</v>
      </c>
      <c r="AE48" s="21">
        <v>1</v>
      </c>
      <c r="AF48" s="21">
        <v>1</v>
      </c>
      <c r="AG48" s="21">
        <v>1</v>
      </c>
      <c r="AH48" s="21">
        <v>1</v>
      </c>
      <c r="AI48" s="21">
        <v>1</v>
      </c>
      <c r="AJ48" s="21">
        <v>1</v>
      </c>
      <c r="AK48" s="21">
        <v>1</v>
      </c>
      <c r="AL48" s="21">
        <v>1</v>
      </c>
      <c r="AM48" s="21">
        <v>1</v>
      </c>
      <c r="AN48" s="7"/>
      <c r="AO48" s="38"/>
      <c r="AP48" s="38"/>
      <c r="AQ48" s="38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</row>
    <row r="49" spans="1:54" s="5" customFormat="1" x14ac:dyDescent="0.25">
      <c r="A49" s="7"/>
      <c r="B49" s="77"/>
      <c r="C49" s="78"/>
      <c r="D49" s="78"/>
      <c r="E49" s="83"/>
      <c r="F49" s="78"/>
      <c r="G49" s="77"/>
      <c r="H49" s="80"/>
      <c r="I49" s="84"/>
      <c r="J49" s="78"/>
      <c r="K49" s="78"/>
      <c r="L49" s="77"/>
      <c r="M49" s="78"/>
      <c r="N49" s="77"/>
      <c r="O49" s="78"/>
      <c r="P49" s="77"/>
      <c r="Q49" s="78"/>
      <c r="R49" s="77"/>
      <c r="S49" s="78"/>
      <c r="T49" s="77"/>
      <c r="U49" s="78"/>
      <c r="V49" s="77"/>
      <c r="W49" s="7"/>
      <c r="X49" s="27" t="str">
        <f t="shared" si="0"/>
        <v/>
      </c>
      <c r="Y49" s="6"/>
      <c r="Z49" s="6"/>
      <c r="AA49" s="6"/>
      <c r="AB49" s="11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7"/>
      <c r="AO49" s="15"/>
      <c r="AP49" s="15"/>
      <c r="AQ49" s="15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</row>
    <row r="50" spans="1:54" s="5" customFormat="1" x14ac:dyDescent="0.25">
      <c r="A50" s="7"/>
      <c r="B50" s="77"/>
      <c r="C50" s="78"/>
      <c r="D50" s="78"/>
      <c r="E50" s="83"/>
      <c r="F50" s="78"/>
      <c r="G50" s="77"/>
      <c r="H50" s="78"/>
      <c r="I50" s="82"/>
      <c r="J50" s="33" t="s">
        <v>1</v>
      </c>
      <c r="K50" s="83"/>
      <c r="L50" s="78"/>
      <c r="M50" s="78"/>
      <c r="N50" s="77"/>
      <c r="O50" s="78"/>
      <c r="P50" s="77"/>
      <c r="Q50" s="78"/>
      <c r="R50" s="77"/>
      <c r="S50" s="78"/>
      <c r="T50" s="77"/>
      <c r="U50" s="78"/>
      <c r="V50" s="77"/>
      <c r="W50" s="7"/>
      <c r="X50" s="28" t="str">
        <f t="shared" si="0"/>
        <v>Shell</v>
      </c>
      <c r="Y50" s="6"/>
      <c r="Z50" s="6"/>
      <c r="AA50" s="6"/>
      <c r="AB50" s="11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7"/>
      <c r="AO50" s="15"/>
      <c r="AP50" s="15"/>
      <c r="AQ50" s="15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</row>
    <row r="51" spans="1:54" s="5" customFormat="1" x14ac:dyDescent="0.25">
      <c r="A51" s="7"/>
      <c r="B51" s="77"/>
      <c r="C51" s="78"/>
      <c r="D51" s="78"/>
      <c r="E51" s="83"/>
      <c r="F51" s="78"/>
      <c r="G51" s="77"/>
      <c r="H51" s="78"/>
      <c r="I51" s="83"/>
      <c r="J51" s="78"/>
      <c r="K51" s="83"/>
      <c r="L51" s="78"/>
      <c r="M51" s="78"/>
      <c r="N51" s="77"/>
      <c r="O51" s="78"/>
      <c r="P51" s="77"/>
      <c r="Q51" s="78"/>
      <c r="R51" s="77"/>
      <c r="S51" s="78"/>
      <c r="T51" s="77"/>
      <c r="U51" s="78"/>
      <c r="V51" s="77"/>
      <c r="W51" s="7"/>
      <c r="X51" s="27" t="str">
        <f t="shared" si="0"/>
        <v/>
      </c>
      <c r="Y51" s="3" t="s">
        <v>94</v>
      </c>
      <c r="Z51" s="3" t="s">
        <v>154</v>
      </c>
      <c r="AA51" s="3" t="s">
        <v>39</v>
      </c>
      <c r="AB51" s="18" t="s">
        <v>1</v>
      </c>
      <c r="AC51" s="3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7"/>
      <c r="AO51" s="38"/>
      <c r="AP51" s="38"/>
      <c r="AQ51" s="38"/>
      <c r="AR51" s="43"/>
      <c r="AS51" s="42"/>
      <c r="AT51" s="42"/>
      <c r="AU51" s="42"/>
      <c r="AV51" s="42"/>
      <c r="AW51" s="42"/>
      <c r="AX51" s="42"/>
      <c r="AY51" s="42"/>
      <c r="AZ51" s="42"/>
      <c r="BA51" s="42"/>
      <c r="BB51" s="42"/>
    </row>
    <row r="52" spans="1:54" s="5" customFormat="1" x14ac:dyDescent="0.25">
      <c r="A52" s="7"/>
      <c r="B52" s="77"/>
      <c r="C52" s="78"/>
      <c r="D52" s="78"/>
      <c r="E52" s="83"/>
      <c r="F52" s="78"/>
      <c r="G52" s="77"/>
      <c r="H52" s="78"/>
      <c r="I52" s="83"/>
      <c r="J52" s="78"/>
      <c r="K52" s="83"/>
      <c r="L52" s="78"/>
      <c r="M52" s="78"/>
      <c r="N52" s="77"/>
      <c r="O52" s="78"/>
      <c r="P52" s="77"/>
      <c r="Q52" s="78"/>
      <c r="R52" s="77"/>
      <c r="S52" s="78"/>
      <c r="T52" s="77"/>
      <c r="U52" s="78"/>
      <c r="V52" s="77"/>
      <c r="W52" s="7"/>
      <c r="X52" s="27" t="str">
        <f t="shared" si="0"/>
        <v/>
      </c>
      <c r="Y52" s="3" t="s">
        <v>59</v>
      </c>
      <c r="Z52" s="3"/>
      <c r="AA52" s="3"/>
      <c r="AB52" s="18" t="s">
        <v>23</v>
      </c>
      <c r="AC52" s="3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7"/>
      <c r="AO52" s="38"/>
      <c r="AP52" s="38"/>
      <c r="AQ52" s="38"/>
      <c r="AR52" s="43"/>
      <c r="AS52" s="42"/>
      <c r="AT52" s="42"/>
      <c r="AU52" s="42"/>
      <c r="AV52" s="42"/>
      <c r="AW52" s="42"/>
      <c r="AX52" s="42"/>
      <c r="AY52" s="42"/>
      <c r="AZ52" s="42"/>
      <c r="BA52" s="42"/>
      <c r="BB52" s="42"/>
    </row>
    <row r="53" spans="1:54" s="5" customFormat="1" x14ac:dyDescent="0.25">
      <c r="A53" s="7"/>
      <c r="B53" s="77"/>
      <c r="C53" s="78"/>
      <c r="D53" s="78"/>
      <c r="E53" s="83"/>
      <c r="F53" s="78"/>
      <c r="G53" s="77"/>
      <c r="H53" s="78"/>
      <c r="I53" s="83"/>
      <c r="J53" s="78"/>
      <c r="K53" s="83"/>
      <c r="L53" s="78"/>
      <c r="M53" s="78"/>
      <c r="N53" s="77"/>
      <c r="O53" s="78"/>
      <c r="P53" s="77"/>
      <c r="Q53" s="78"/>
      <c r="R53" s="77"/>
      <c r="S53" s="78"/>
      <c r="T53" s="77"/>
      <c r="U53" s="78"/>
      <c r="V53" s="77"/>
      <c r="W53" s="7"/>
      <c r="X53" s="27" t="str">
        <f t="shared" si="0"/>
        <v/>
      </c>
      <c r="Y53" s="3" t="s">
        <v>81</v>
      </c>
      <c r="Z53" s="3"/>
      <c r="AA53" s="3"/>
      <c r="AB53" s="18" t="s">
        <v>37</v>
      </c>
      <c r="AC53" s="3">
        <v>10</v>
      </c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7"/>
      <c r="AO53" s="38"/>
      <c r="AP53" s="38"/>
      <c r="AQ53" s="38"/>
      <c r="AR53" s="43"/>
      <c r="AS53" s="42"/>
      <c r="AT53" s="42"/>
      <c r="AU53" s="42"/>
      <c r="AV53" s="42"/>
      <c r="AW53" s="42"/>
      <c r="AX53" s="42"/>
      <c r="AY53" s="42"/>
      <c r="AZ53" s="42"/>
      <c r="BA53" s="42"/>
      <c r="BB53" s="42"/>
    </row>
    <row r="54" spans="1:54" s="5" customFormat="1" x14ac:dyDescent="0.25">
      <c r="A54" s="7"/>
      <c r="B54" s="77"/>
      <c r="C54" s="78"/>
      <c r="D54" s="78"/>
      <c r="E54" s="83"/>
      <c r="F54" s="78"/>
      <c r="G54" s="77"/>
      <c r="H54" s="78"/>
      <c r="I54" s="83"/>
      <c r="J54" s="78"/>
      <c r="K54" s="83"/>
      <c r="L54" s="78"/>
      <c r="M54" s="78"/>
      <c r="N54" s="77"/>
      <c r="O54" s="78"/>
      <c r="P54" s="77"/>
      <c r="Q54" s="78"/>
      <c r="R54" s="77"/>
      <c r="S54" s="78"/>
      <c r="T54" s="77"/>
      <c r="U54" s="78"/>
      <c r="V54" s="77"/>
      <c r="W54" s="7"/>
      <c r="X54" s="27" t="str">
        <f>IFERROR(INDEX($B54:$V54,MATCH(TRUE,INDEX(($B54:$V54&lt;&gt;0),0),0)),"")</f>
        <v/>
      </c>
      <c r="Y54" s="3" t="s">
        <v>64</v>
      </c>
      <c r="Z54" s="3"/>
      <c r="AA54" s="3"/>
      <c r="AB54" s="18" t="s">
        <v>30</v>
      </c>
      <c r="AC54" s="3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7"/>
      <c r="AO54" s="38"/>
      <c r="AP54" s="38"/>
      <c r="AQ54" s="38"/>
      <c r="AR54" s="43"/>
      <c r="AS54" s="42"/>
      <c r="AT54" s="42"/>
      <c r="AU54" s="42"/>
      <c r="AV54" s="42"/>
      <c r="AW54" s="42"/>
      <c r="AX54" s="42"/>
      <c r="AY54" s="42"/>
      <c r="AZ54" s="42"/>
      <c r="BA54" s="42"/>
      <c r="BB54" s="42"/>
    </row>
    <row r="55" spans="1:54" s="5" customFormat="1" x14ac:dyDescent="0.25">
      <c r="A55" s="7"/>
      <c r="B55" s="77"/>
      <c r="C55" s="78"/>
      <c r="D55" s="78"/>
      <c r="E55" s="83"/>
      <c r="F55" s="78"/>
      <c r="G55" s="77"/>
      <c r="H55" s="78"/>
      <c r="I55" s="83"/>
      <c r="J55" s="78"/>
      <c r="K55" s="83"/>
      <c r="L55" s="78"/>
      <c r="M55" s="78"/>
      <c r="N55" s="77"/>
      <c r="O55" s="78"/>
      <c r="P55" s="77"/>
      <c r="Q55" s="78"/>
      <c r="R55" s="77"/>
      <c r="S55" s="78"/>
      <c r="T55" s="77"/>
      <c r="U55" s="78"/>
      <c r="V55" s="77"/>
      <c r="W55" s="7"/>
      <c r="X55" s="27" t="str">
        <f>IFERROR(INDEX($B55:$V55,MATCH(TRUE,INDEX(($B55:$V55&lt;&gt;0),0),0)),"")</f>
        <v/>
      </c>
      <c r="Y55" s="3" t="s">
        <v>41</v>
      </c>
      <c r="Z55" s="3"/>
      <c r="AA55" s="3" t="s">
        <v>43</v>
      </c>
      <c r="AB55" s="18" t="s">
        <v>30</v>
      </c>
      <c r="AC55" s="3">
        <v>1990</v>
      </c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7"/>
      <c r="AO55" s="38"/>
      <c r="AP55" s="38"/>
      <c r="AQ55" s="38"/>
      <c r="AR55" s="43"/>
      <c r="AS55" s="42"/>
      <c r="AT55" s="42"/>
      <c r="AU55" s="42"/>
      <c r="AV55" s="42"/>
      <c r="AW55" s="42"/>
      <c r="AX55" s="42"/>
      <c r="AY55" s="42"/>
      <c r="AZ55" s="42"/>
      <c r="BA55" s="42"/>
      <c r="BB55" s="42"/>
    </row>
    <row r="56" spans="1:54" s="5" customFormat="1" x14ac:dyDescent="0.25">
      <c r="A56" s="7"/>
      <c r="B56" s="77"/>
      <c r="C56" s="78"/>
      <c r="D56" s="78"/>
      <c r="E56" s="83"/>
      <c r="F56" s="78"/>
      <c r="G56" s="77"/>
      <c r="H56" s="78"/>
      <c r="I56" s="83"/>
      <c r="J56" s="78"/>
      <c r="K56" s="83"/>
      <c r="L56" s="78"/>
      <c r="M56" s="78"/>
      <c r="N56" s="77"/>
      <c r="O56" s="78"/>
      <c r="P56" s="77"/>
      <c r="Q56" s="78"/>
      <c r="R56" s="77"/>
      <c r="S56" s="78"/>
      <c r="T56" s="77"/>
      <c r="U56" s="78"/>
      <c r="V56" s="77"/>
      <c r="W56" s="7"/>
      <c r="X56" s="27" t="str">
        <f>IFERROR(INDEX($B56:$V56,MATCH(TRUE,INDEX(($B56:$V56&lt;&gt;0),0),0)),"")</f>
        <v/>
      </c>
      <c r="Y56" s="3" t="s">
        <v>40</v>
      </c>
      <c r="Z56" s="3"/>
      <c r="AA56" s="3" t="s">
        <v>43</v>
      </c>
      <c r="AB56" s="18" t="s">
        <v>30</v>
      </c>
      <c r="AC56" s="3">
        <v>2000</v>
      </c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7"/>
      <c r="AO56" s="38"/>
      <c r="AP56" s="38"/>
      <c r="AQ56" s="38"/>
      <c r="AR56" s="43"/>
      <c r="AS56" s="42"/>
      <c r="AT56" s="42"/>
      <c r="AU56" s="42"/>
      <c r="AV56" s="42"/>
      <c r="AW56" s="42"/>
      <c r="AX56" s="42"/>
      <c r="AY56" s="42"/>
      <c r="AZ56" s="42"/>
      <c r="BA56" s="42"/>
      <c r="BB56" s="42"/>
    </row>
    <row r="57" spans="1:54" s="5" customFormat="1" x14ac:dyDescent="0.25">
      <c r="A57" s="7"/>
      <c r="B57" s="77"/>
      <c r="C57" s="78"/>
      <c r="D57" s="78"/>
      <c r="E57" s="83"/>
      <c r="F57" s="78"/>
      <c r="G57" s="77"/>
      <c r="H57" s="78"/>
      <c r="I57" s="83"/>
      <c r="J57" s="78"/>
      <c r="K57" s="83"/>
      <c r="L57" s="78"/>
      <c r="M57" s="78"/>
      <c r="N57" s="77"/>
      <c r="O57" s="78"/>
      <c r="P57" s="77"/>
      <c r="Q57" s="78"/>
      <c r="R57" s="77"/>
      <c r="S57" s="78"/>
      <c r="T57" s="77"/>
      <c r="U57" s="78"/>
      <c r="V57" s="77"/>
      <c r="W57" s="7"/>
      <c r="X57" s="27" t="str">
        <f>IFERROR(INDEX($B57:$V57,MATCH(TRUE,INDEX(($B57:$V57&lt;&gt;0),0),0)),"")</f>
        <v/>
      </c>
      <c r="Y57" s="3" t="s">
        <v>42</v>
      </c>
      <c r="Z57" s="3"/>
      <c r="AA57" s="3" t="s">
        <v>10</v>
      </c>
      <c r="AB57" s="18" t="s">
        <v>30</v>
      </c>
      <c r="AC57" s="3">
        <v>25</v>
      </c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7"/>
      <c r="AO57" s="38"/>
      <c r="AP57" s="38"/>
      <c r="AQ57" s="38"/>
      <c r="AR57" s="43"/>
      <c r="AS57" s="42"/>
      <c r="AT57" s="42"/>
      <c r="AU57" s="42"/>
      <c r="AV57" s="42"/>
      <c r="AW57" s="42"/>
      <c r="AX57" s="42"/>
      <c r="AY57" s="42"/>
      <c r="AZ57" s="42"/>
      <c r="BA57" s="42"/>
      <c r="BB57" s="42"/>
    </row>
    <row r="58" spans="1:54" s="5" customFormat="1" x14ac:dyDescent="0.25">
      <c r="A58" s="7"/>
      <c r="B58" s="77"/>
      <c r="C58" s="78"/>
      <c r="D58" s="78"/>
      <c r="E58" s="83"/>
      <c r="F58" s="78"/>
      <c r="G58" s="77"/>
      <c r="H58" s="78"/>
      <c r="I58" s="83"/>
      <c r="J58" s="78"/>
      <c r="K58" s="83"/>
      <c r="L58" s="78"/>
      <c r="M58" s="78"/>
      <c r="N58" s="77"/>
      <c r="O58" s="78"/>
      <c r="P58" s="77"/>
      <c r="Q58" s="78"/>
      <c r="R58" s="77"/>
      <c r="S58" s="78"/>
      <c r="T58" s="77"/>
      <c r="U58" s="78"/>
      <c r="V58" s="77"/>
      <c r="W58" s="7"/>
      <c r="X58" s="27" t="str">
        <f t="shared" ref="X58:X63" si="2">IFERROR(INDEX($B58:$V58,MATCH(TRUE,INDEX(($B58:$V58&lt;&gt;0),0),0)),"")</f>
        <v/>
      </c>
      <c r="Y58" s="3" t="s">
        <v>68</v>
      </c>
      <c r="Z58" s="3"/>
      <c r="AA58" s="3" t="s">
        <v>119</v>
      </c>
      <c r="AB58" s="18" t="s">
        <v>30</v>
      </c>
      <c r="AC58" s="3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7"/>
      <c r="AO58" s="38"/>
      <c r="AP58" s="38"/>
      <c r="AQ58" s="38"/>
      <c r="AR58" s="43"/>
      <c r="AS58" s="42"/>
      <c r="AT58" s="42"/>
      <c r="AU58" s="42"/>
      <c r="AV58" s="42"/>
      <c r="AW58" s="42"/>
      <c r="AX58" s="42"/>
      <c r="AY58" s="42"/>
      <c r="AZ58" s="42"/>
      <c r="BA58" s="42"/>
      <c r="BB58" s="42"/>
    </row>
    <row r="59" spans="1:54" s="5" customFormat="1" x14ac:dyDescent="0.25">
      <c r="A59" s="7"/>
      <c r="B59" s="77"/>
      <c r="C59" s="78"/>
      <c r="D59" s="78"/>
      <c r="E59" s="83"/>
      <c r="F59" s="78"/>
      <c r="G59" s="77"/>
      <c r="H59" s="78"/>
      <c r="I59" s="83"/>
      <c r="J59" s="78"/>
      <c r="K59" s="83"/>
      <c r="L59" s="78"/>
      <c r="M59" s="78"/>
      <c r="N59" s="77"/>
      <c r="O59" s="78"/>
      <c r="P59" s="77"/>
      <c r="Q59" s="78"/>
      <c r="R59" s="77"/>
      <c r="S59" s="78"/>
      <c r="T59" s="77"/>
      <c r="U59" s="78"/>
      <c r="V59" s="77"/>
      <c r="W59" s="7"/>
      <c r="X59" s="27" t="str">
        <f t="shared" si="2"/>
        <v/>
      </c>
      <c r="Y59" s="3" t="s">
        <v>38</v>
      </c>
      <c r="Z59" s="3"/>
      <c r="AA59" s="3" t="s">
        <v>69</v>
      </c>
      <c r="AB59" s="18" t="s">
        <v>30</v>
      </c>
      <c r="AC59" s="23"/>
      <c r="AD59" s="167"/>
      <c r="AE59" s="167"/>
      <c r="AF59" s="167"/>
      <c r="AG59" s="167"/>
      <c r="AH59" s="167"/>
      <c r="AI59" s="167"/>
      <c r="AJ59" s="167"/>
      <c r="AK59" s="167"/>
      <c r="AL59" s="167"/>
      <c r="AM59" s="167"/>
      <c r="AN59" s="7"/>
      <c r="AO59" s="38"/>
      <c r="AP59" s="38"/>
      <c r="AQ59" s="38"/>
      <c r="AR59" s="43"/>
      <c r="AS59" s="42"/>
      <c r="AT59" s="42"/>
      <c r="AU59" s="42"/>
      <c r="AV59" s="42"/>
      <c r="AW59" s="42"/>
      <c r="AX59" s="42"/>
      <c r="AY59" s="42"/>
      <c r="AZ59" s="42"/>
      <c r="BA59" s="42"/>
      <c r="BB59" s="42"/>
    </row>
    <row r="60" spans="1:54" s="5" customFormat="1" x14ac:dyDescent="0.25">
      <c r="A60" s="7"/>
      <c r="B60" s="77"/>
      <c r="C60" s="78"/>
      <c r="D60" s="78"/>
      <c r="E60" s="83"/>
      <c r="F60" s="78"/>
      <c r="G60" s="77"/>
      <c r="H60" s="78"/>
      <c r="I60" s="83"/>
      <c r="J60" s="78"/>
      <c r="K60" s="83"/>
      <c r="L60" s="78"/>
      <c r="M60" s="78"/>
      <c r="N60" s="77"/>
      <c r="O60" s="78"/>
      <c r="P60" s="77"/>
      <c r="Q60" s="78"/>
      <c r="R60" s="77"/>
      <c r="S60" s="78"/>
      <c r="T60" s="77"/>
      <c r="U60" s="78"/>
      <c r="V60" s="77"/>
      <c r="W60" s="7"/>
      <c r="X60" s="27" t="str">
        <f t="shared" si="2"/>
        <v/>
      </c>
      <c r="Y60" s="3" t="s">
        <v>44</v>
      </c>
      <c r="Z60" s="3"/>
      <c r="AA60" s="3" t="s">
        <v>69</v>
      </c>
      <c r="AB60" s="18" t="s">
        <v>30</v>
      </c>
      <c r="AC60" s="23"/>
      <c r="AD60" s="167"/>
      <c r="AE60" s="167"/>
      <c r="AF60" s="167"/>
      <c r="AG60" s="167"/>
      <c r="AH60" s="167"/>
      <c r="AI60" s="167"/>
      <c r="AJ60" s="167"/>
      <c r="AK60" s="167"/>
      <c r="AL60" s="167"/>
      <c r="AM60" s="167"/>
      <c r="AN60" s="7"/>
      <c r="AO60" s="38"/>
      <c r="AP60" s="38"/>
      <c r="AQ60" s="38"/>
      <c r="AR60" s="43"/>
      <c r="AS60" s="42"/>
      <c r="AT60" s="42"/>
      <c r="AU60" s="42"/>
      <c r="AV60" s="42"/>
      <c r="AW60" s="42"/>
      <c r="AX60" s="42"/>
      <c r="AY60" s="42"/>
      <c r="AZ60" s="42"/>
      <c r="BA60" s="42"/>
      <c r="BB60" s="42"/>
    </row>
    <row r="61" spans="1:54" s="5" customFormat="1" x14ac:dyDescent="0.25">
      <c r="A61" s="7"/>
      <c r="B61" s="77"/>
      <c r="C61" s="78"/>
      <c r="D61" s="78"/>
      <c r="E61" s="83"/>
      <c r="F61" s="78"/>
      <c r="G61" s="77"/>
      <c r="H61" s="78"/>
      <c r="I61" s="83"/>
      <c r="J61" s="78"/>
      <c r="K61" s="83"/>
      <c r="L61" s="78"/>
      <c r="M61" s="78"/>
      <c r="N61" s="77"/>
      <c r="O61" s="78"/>
      <c r="P61" s="77"/>
      <c r="Q61" s="78"/>
      <c r="R61" s="77"/>
      <c r="S61" s="78"/>
      <c r="T61" s="77"/>
      <c r="U61" s="78"/>
      <c r="V61" s="77"/>
      <c r="W61" s="7"/>
      <c r="X61" s="27" t="str">
        <f t="shared" si="2"/>
        <v/>
      </c>
      <c r="Y61" s="3" t="s">
        <v>51</v>
      </c>
      <c r="Z61" s="3"/>
      <c r="AA61" s="3" t="s">
        <v>69</v>
      </c>
      <c r="AB61" s="18" t="s">
        <v>30</v>
      </c>
      <c r="AC61" s="23"/>
      <c r="AD61" s="167"/>
      <c r="AE61" s="167"/>
      <c r="AF61" s="167"/>
      <c r="AG61" s="167"/>
      <c r="AH61" s="167"/>
      <c r="AI61" s="167"/>
      <c r="AJ61" s="167"/>
      <c r="AK61" s="167"/>
      <c r="AL61" s="167"/>
      <c r="AM61" s="167"/>
      <c r="AN61" s="7"/>
      <c r="AO61" s="38"/>
      <c r="AP61" s="38"/>
      <c r="AQ61" s="38"/>
      <c r="AR61" s="43"/>
      <c r="AS61" s="42"/>
      <c r="AT61" s="42"/>
      <c r="AU61" s="42"/>
      <c r="AV61" s="42"/>
      <c r="AW61" s="42"/>
      <c r="AX61" s="42"/>
      <c r="AY61" s="42"/>
      <c r="AZ61" s="42"/>
      <c r="BA61" s="42"/>
      <c r="BB61" s="42"/>
    </row>
    <row r="62" spans="1:54" s="5" customFormat="1" x14ac:dyDescent="0.25">
      <c r="A62" s="7"/>
      <c r="B62" s="77"/>
      <c r="C62" s="78"/>
      <c r="D62" s="78"/>
      <c r="E62" s="83"/>
      <c r="F62" s="78"/>
      <c r="G62" s="77"/>
      <c r="H62" s="78"/>
      <c r="I62" s="83"/>
      <c r="J62" s="78"/>
      <c r="K62" s="83"/>
      <c r="L62" s="78"/>
      <c r="M62" s="78"/>
      <c r="N62" s="77"/>
      <c r="O62" s="78"/>
      <c r="P62" s="77"/>
      <c r="Q62" s="78"/>
      <c r="R62" s="77"/>
      <c r="S62" s="78"/>
      <c r="T62" s="77"/>
      <c r="U62" s="78"/>
      <c r="V62" s="77"/>
      <c r="W62" s="7"/>
      <c r="X62" s="27" t="str">
        <f t="shared" si="2"/>
        <v/>
      </c>
      <c r="Y62" s="3" t="s">
        <v>200</v>
      </c>
      <c r="Z62" s="3"/>
      <c r="AA62" s="3" t="s">
        <v>119</v>
      </c>
      <c r="AB62" s="18" t="s">
        <v>30</v>
      </c>
      <c r="AC62" s="3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7"/>
      <c r="AO62" s="38"/>
      <c r="AP62" s="38"/>
      <c r="AQ62" s="38"/>
      <c r="AR62" s="43"/>
      <c r="AS62" s="42"/>
      <c r="AT62" s="42"/>
      <c r="AU62" s="42"/>
      <c r="AV62" s="42"/>
      <c r="AW62" s="42"/>
      <c r="AX62" s="42"/>
      <c r="AY62" s="42"/>
      <c r="AZ62" s="42"/>
      <c r="BA62" s="42"/>
      <c r="BB62" s="42"/>
    </row>
    <row r="63" spans="1:54" s="5" customFormat="1" x14ac:dyDescent="0.25">
      <c r="A63" s="7"/>
      <c r="B63" s="77"/>
      <c r="C63" s="78"/>
      <c r="D63" s="78"/>
      <c r="E63" s="83"/>
      <c r="F63" s="78"/>
      <c r="G63" s="77"/>
      <c r="H63" s="78"/>
      <c r="I63" s="83"/>
      <c r="J63" s="78"/>
      <c r="K63" s="83"/>
      <c r="L63" s="78"/>
      <c r="M63" s="78"/>
      <c r="N63" s="77"/>
      <c r="O63" s="78"/>
      <c r="P63" s="77"/>
      <c r="Q63" s="78"/>
      <c r="R63" s="77"/>
      <c r="S63" s="78"/>
      <c r="T63" s="77"/>
      <c r="U63" s="78"/>
      <c r="V63" s="77"/>
      <c r="W63" s="7"/>
      <c r="X63" s="27" t="str">
        <f t="shared" si="2"/>
        <v/>
      </c>
      <c r="Y63" s="3" t="s">
        <v>201</v>
      </c>
      <c r="Z63" s="3"/>
      <c r="AA63" s="3" t="s">
        <v>119</v>
      </c>
      <c r="AB63" s="18" t="s">
        <v>30</v>
      </c>
      <c r="AC63" s="3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7"/>
      <c r="AO63" s="38"/>
      <c r="AP63" s="38"/>
      <c r="AQ63" s="38"/>
      <c r="AR63" s="43"/>
      <c r="AS63" s="42"/>
      <c r="AT63" s="42"/>
      <c r="AU63" s="42"/>
      <c r="AV63" s="42"/>
      <c r="AW63" s="42"/>
      <c r="AX63" s="42"/>
      <c r="AY63" s="42"/>
      <c r="AZ63" s="42"/>
      <c r="BA63" s="42"/>
      <c r="BB63" s="42"/>
    </row>
    <row r="64" spans="1:54" s="5" customFormat="1" x14ac:dyDescent="0.25">
      <c r="A64" s="7"/>
      <c r="B64" s="77"/>
      <c r="C64" s="78"/>
      <c r="D64" s="78"/>
      <c r="E64" s="83"/>
      <c r="F64" s="78"/>
      <c r="G64" s="77"/>
      <c r="H64" s="78"/>
      <c r="I64" s="83"/>
      <c r="J64" s="78"/>
      <c r="K64" s="83"/>
      <c r="L64" s="78"/>
      <c r="M64" s="78"/>
      <c r="N64" s="77"/>
      <c r="O64" s="78"/>
      <c r="P64" s="77"/>
      <c r="Q64" s="78"/>
      <c r="R64" s="77"/>
      <c r="S64" s="78"/>
      <c r="T64" s="77"/>
      <c r="U64" s="78"/>
      <c r="V64" s="77"/>
      <c r="W64" s="7"/>
      <c r="X64" s="27" t="str">
        <f t="shared" ref="X64:X66" si="3">IFERROR(INDEX($B64:$V64,MATCH(TRUE,INDEX(($B64:$V64&lt;&gt;0),0),0)),"")</f>
        <v/>
      </c>
      <c r="Y64" s="3" t="s">
        <v>95</v>
      </c>
      <c r="Z64" s="3" t="s">
        <v>155</v>
      </c>
      <c r="AA64" s="3" t="s">
        <v>54</v>
      </c>
      <c r="AB64" s="18" t="s">
        <v>30</v>
      </c>
      <c r="AC64" s="22">
        <v>0.997</v>
      </c>
      <c r="AD64" s="166">
        <f>AC64</f>
        <v>0.997</v>
      </c>
      <c r="AE64" s="166">
        <f t="shared" ref="AE64:AM65" si="4">AD64</f>
        <v>0.997</v>
      </c>
      <c r="AF64" s="166">
        <f t="shared" si="4"/>
        <v>0.997</v>
      </c>
      <c r="AG64" s="166">
        <f t="shared" si="4"/>
        <v>0.997</v>
      </c>
      <c r="AH64" s="166">
        <f t="shared" si="4"/>
        <v>0.997</v>
      </c>
      <c r="AI64" s="166">
        <f t="shared" si="4"/>
        <v>0.997</v>
      </c>
      <c r="AJ64" s="166">
        <f t="shared" si="4"/>
        <v>0.997</v>
      </c>
      <c r="AK64" s="166">
        <f t="shared" si="4"/>
        <v>0.997</v>
      </c>
      <c r="AL64" s="166">
        <f t="shared" si="4"/>
        <v>0.997</v>
      </c>
      <c r="AM64" s="166">
        <f t="shared" si="4"/>
        <v>0.997</v>
      </c>
      <c r="AN64" s="7"/>
      <c r="AO64" s="38"/>
      <c r="AP64" s="38"/>
      <c r="AQ64" s="38"/>
      <c r="AR64" s="43"/>
      <c r="AS64" s="42"/>
      <c r="AT64" s="42"/>
      <c r="AU64" s="42"/>
      <c r="AV64" s="42"/>
      <c r="AW64" s="42"/>
      <c r="AX64" s="42"/>
      <c r="AY64" s="42"/>
      <c r="AZ64" s="42"/>
      <c r="BA64" s="42"/>
      <c r="BB64" s="42"/>
    </row>
    <row r="65" spans="1:54" s="5" customFormat="1" x14ac:dyDescent="0.25">
      <c r="A65" s="7"/>
      <c r="B65" s="77"/>
      <c r="C65" s="78"/>
      <c r="D65" s="78"/>
      <c r="E65" s="83"/>
      <c r="F65" s="78"/>
      <c r="G65" s="77"/>
      <c r="H65" s="78"/>
      <c r="I65" s="83"/>
      <c r="J65" s="78"/>
      <c r="K65" s="83"/>
      <c r="L65" s="78"/>
      <c r="M65" s="78"/>
      <c r="N65" s="77"/>
      <c r="O65" s="78"/>
      <c r="P65" s="77"/>
      <c r="Q65" s="78"/>
      <c r="R65" s="77"/>
      <c r="S65" s="78"/>
      <c r="T65" s="77"/>
      <c r="U65" s="78"/>
      <c r="V65" s="77"/>
      <c r="W65" s="7"/>
      <c r="X65" s="27" t="str">
        <f t="shared" si="3"/>
        <v/>
      </c>
      <c r="Y65" s="3" t="s">
        <v>95</v>
      </c>
      <c r="Z65" s="3" t="s">
        <v>156</v>
      </c>
      <c r="AA65" s="3" t="s">
        <v>54</v>
      </c>
      <c r="AB65" s="18" t="s">
        <v>30</v>
      </c>
      <c r="AC65" s="22">
        <v>0.109</v>
      </c>
      <c r="AD65" s="166">
        <f>AC65</f>
        <v>0.109</v>
      </c>
      <c r="AE65" s="166">
        <f t="shared" si="4"/>
        <v>0.109</v>
      </c>
      <c r="AF65" s="166">
        <f t="shared" si="4"/>
        <v>0.109</v>
      </c>
      <c r="AG65" s="166">
        <f t="shared" si="4"/>
        <v>0.109</v>
      </c>
      <c r="AH65" s="166">
        <f t="shared" si="4"/>
        <v>0.109</v>
      </c>
      <c r="AI65" s="166">
        <f t="shared" si="4"/>
        <v>0.109</v>
      </c>
      <c r="AJ65" s="166">
        <f t="shared" si="4"/>
        <v>0.109</v>
      </c>
      <c r="AK65" s="166">
        <f t="shared" si="4"/>
        <v>0.109</v>
      </c>
      <c r="AL65" s="166">
        <f t="shared" si="4"/>
        <v>0.109</v>
      </c>
      <c r="AM65" s="166">
        <f t="shared" si="4"/>
        <v>0.109</v>
      </c>
      <c r="AN65" s="7"/>
      <c r="AO65" s="38"/>
      <c r="AP65" s="38"/>
      <c r="AQ65" s="38"/>
      <c r="AR65" s="43"/>
      <c r="AS65" s="42"/>
      <c r="AT65" s="42"/>
      <c r="AU65" s="42"/>
      <c r="AV65" s="42"/>
      <c r="AW65" s="42"/>
      <c r="AX65" s="42"/>
      <c r="AY65" s="42"/>
      <c r="AZ65" s="42"/>
      <c r="BA65" s="42"/>
      <c r="BB65" s="42"/>
    </row>
    <row r="66" spans="1:54" s="5" customFormat="1" x14ac:dyDescent="0.25">
      <c r="A66" s="7"/>
      <c r="B66" s="77"/>
      <c r="C66" s="78"/>
      <c r="D66" s="78"/>
      <c r="E66" s="83"/>
      <c r="F66" s="78"/>
      <c r="G66" s="77"/>
      <c r="H66" s="78"/>
      <c r="I66" s="83"/>
      <c r="J66" s="78"/>
      <c r="K66" s="83"/>
      <c r="L66" s="78"/>
      <c r="M66" s="78"/>
      <c r="N66" s="77"/>
      <c r="O66" s="78"/>
      <c r="P66" s="77"/>
      <c r="Q66" s="78"/>
      <c r="R66" s="77"/>
      <c r="S66" s="78"/>
      <c r="T66" s="77"/>
      <c r="U66" s="78"/>
      <c r="V66" s="77"/>
      <c r="W66" s="7"/>
      <c r="X66" s="27" t="str">
        <f t="shared" si="3"/>
        <v/>
      </c>
      <c r="Y66" s="3" t="s">
        <v>92</v>
      </c>
      <c r="Z66" s="3"/>
      <c r="AA66" s="3" t="s">
        <v>119</v>
      </c>
      <c r="AB66" s="18" t="s">
        <v>30</v>
      </c>
      <c r="AC66" s="22">
        <v>0.16700000000000001</v>
      </c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7"/>
      <c r="AO66" s="38"/>
      <c r="AP66" s="38"/>
      <c r="AQ66" s="38"/>
      <c r="AR66" s="43"/>
      <c r="AS66" s="42"/>
      <c r="AT66" s="42"/>
      <c r="AU66" s="42"/>
      <c r="AV66" s="42"/>
      <c r="AW66" s="42"/>
      <c r="AX66" s="42"/>
      <c r="AY66" s="42"/>
      <c r="AZ66" s="42"/>
      <c r="BA66" s="42"/>
      <c r="BB66" s="42"/>
    </row>
    <row r="67" spans="1:54" s="5" customFormat="1" x14ac:dyDescent="0.25">
      <c r="A67" s="7"/>
      <c r="B67" s="77"/>
      <c r="C67" s="78"/>
      <c r="D67" s="78"/>
      <c r="E67" s="83"/>
      <c r="F67" s="78"/>
      <c r="G67" s="77"/>
      <c r="H67" s="78"/>
      <c r="I67" s="83"/>
      <c r="J67" s="78"/>
      <c r="K67" s="83"/>
      <c r="L67" s="78"/>
      <c r="M67" s="78"/>
      <c r="N67" s="77"/>
      <c r="O67" s="78"/>
      <c r="P67" s="77"/>
      <c r="Q67" s="78"/>
      <c r="R67" s="77"/>
      <c r="S67" s="78"/>
      <c r="T67" s="77"/>
      <c r="U67" s="78"/>
      <c r="V67" s="77"/>
      <c r="W67" s="7"/>
      <c r="X67" s="27" t="str">
        <f t="shared" ref="X67:X132" si="5">IFERROR(INDEX($B67:$V67,MATCH(TRUE,INDEX(($B67:$V67&lt;&gt;0),0),0)),"")</f>
        <v/>
      </c>
      <c r="Y67" s="3" t="s">
        <v>64</v>
      </c>
      <c r="Z67" s="3"/>
      <c r="AA67" s="3"/>
      <c r="AB67" s="18" t="s">
        <v>29</v>
      </c>
      <c r="AC67" s="3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7"/>
      <c r="AO67" s="38"/>
      <c r="AP67" s="38"/>
      <c r="AQ67" s="38"/>
      <c r="AR67" s="43"/>
      <c r="AS67" s="42"/>
      <c r="AT67" s="42"/>
      <c r="AU67" s="42"/>
      <c r="AV67" s="42"/>
      <c r="AW67" s="42"/>
      <c r="AX67" s="42"/>
      <c r="AY67" s="42"/>
      <c r="AZ67" s="42"/>
      <c r="BA67" s="42"/>
      <c r="BB67" s="42"/>
    </row>
    <row r="68" spans="1:54" s="5" customFormat="1" x14ac:dyDescent="0.25">
      <c r="A68" s="7"/>
      <c r="B68" s="77"/>
      <c r="C68" s="78"/>
      <c r="D68" s="78"/>
      <c r="E68" s="83"/>
      <c r="F68" s="78"/>
      <c r="G68" s="77"/>
      <c r="H68" s="78"/>
      <c r="I68" s="83"/>
      <c r="J68" s="78"/>
      <c r="K68" s="83"/>
      <c r="L68" s="78"/>
      <c r="M68" s="78"/>
      <c r="N68" s="77"/>
      <c r="O68" s="78"/>
      <c r="P68" s="77"/>
      <c r="Q68" s="78"/>
      <c r="R68" s="77"/>
      <c r="S68" s="78"/>
      <c r="T68" s="77"/>
      <c r="U68" s="78"/>
      <c r="V68" s="77"/>
      <c r="W68" s="7"/>
      <c r="X68" s="27" t="str">
        <f t="shared" si="5"/>
        <v/>
      </c>
      <c r="Y68" s="3" t="s">
        <v>41</v>
      </c>
      <c r="Z68" s="3"/>
      <c r="AA68" s="3" t="s">
        <v>43</v>
      </c>
      <c r="AB68" s="18" t="s">
        <v>29</v>
      </c>
      <c r="AC68" s="3">
        <v>1990</v>
      </c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7"/>
      <c r="AO68" s="38"/>
      <c r="AP68" s="38"/>
      <c r="AQ68" s="38"/>
      <c r="AR68" s="43"/>
      <c r="AS68" s="42"/>
      <c r="AT68" s="42"/>
      <c r="AU68" s="42"/>
      <c r="AV68" s="42"/>
      <c r="AW68" s="42"/>
      <c r="AX68" s="42"/>
      <c r="AY68" s="42"/>
      <c r="AZ68" s="42"/>
      <c r="BA68" s="42"/>
      <c r="BB68" s="42"/>
    </row>
    <row r="69" spans="1:54" s="5" customFormat="1" x14ac:dyDescent="0.25">
      <c r="A69" s="7"/>
      <c r="B69" s="77"/>
      <c r="C69" s="78"/>
      <c r="D69" s="78"/>
      <c r="E69" s="83"/>
      <c r="F69" s="78"/>
      <c r="G69" s="77"/>
      <c r="H69" s="78"/>
      <c r="I69" s="83"/>
      <c r="J69" s="78"/>
      <c r="K69" s="83"/>
      <c r="L69" s="78"/>
      <c r="M69" s="78"/>
      <c r="N69" s="77"/>
      <c r="O69" s="78"/>
      <c r="P69" s="77"/>
      <c r="Q69" s="78"/>
      <c r="R69" s="77"/>
      <c r="S69" s="78"/>
      <c r="T69" s="77"/>
      <c r="U69" s="78"/>
      <c r="V69" s="77"/>
      <c r="W69" s="7"/>
      <c r="X69" s="27" t="str">
        <f t="shared" si="5"/>
        <v/>
      </c>
      <c r="Y69" s="3" t="s">
        <v>40</v>
      </c>
      <c r="Z69" s="3"/>
      <c r="AA69" s="3" t="s">
        <v>43</v>
      </c>
      <c r="AB69" s="18" t="s">
        <v>29</v>
      </c>
      <c r="AC69" s="3">
        <v>2000</v>
      </c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7"/>
      <c r="AO69" s="38"/>
      <c r="AP69" s="38"/>
      <c r="AQ69" s="38"/>
      <c r="AR69" s="43"/>
      <c r="AS69" s="42"/>
      <c r="AT69" s="42"/>
      <c r="AU69" s="42"/>
      <c r="AV69" s="42"/>
      <c r="AW69" s="42"/>
      <c r="AX69" s="42"/>
      <c r="AY69" s="42"/>
      <c r="AZ69" s="42"/>
      <c r="BA69" s="42"/>
      <c r="BB69" s="42"/>
    </row>
    <row r="70" spans="1:54" s="5" customFormat="1" x14ac:dyDescent="0.25">
      <c r="A70" s="7"/>
      <c r="B70" s="77"/>
      <c r="C70" s="78"/>
      <c r="D70" s="78"/>
      <c r="E70" s="83"/>
      <c r="F70" s="78"/>
      <c r="G70" s="77"/>
      <c r="H70" s="78"/>
      <c r="I70" s="83"/>
      <c r="J70" s="78"/>
      <c r="K70" s="83"/>
      <c r="L70" s="78"/>
      <c r="M70" s="78"/>
      <c r="N70" s="77"/>
      <c r="O70" s="78"/>
      <c r="P70" s="77"/>
      <c r="Q70" s="78"/>
      <c r="R70" s="77"/>
      <c r="S70" s="78"/>
      <c r="T70" s="77"/>
      <c r="U70" s="78"/>
      <c r="V70" s="77"/>
      <c r="W70" s="7"/>
      <c r="X70" s="27" t="str">
        <f t="shared" si="5"/>
        <v/>
      </c>
      <c r="Y70" s="3" t="s">
        <v>42</v>
      </c>
      <c r="Z70" s="3"/>
      <c r="AA70" s="3" t="s">
        <v>10</v>
      </c>
      <c r="AB70" s="18" t="s">
        <v>29</v>
      </c>
      <c r="AC70" s="3">
        <v>25</v>
      </c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7"/>
      <c r="AO70" s="38"/>
      <c r="AP70" s="38"/>
      <c r="AQ70" s="38"/>
      <c r="AR70" s="43"/>
      <c r="AS70" s="42"/>
      <c r="AT70" s="42"/>
      <c r="AU70" s="42"/>
      <c r="AV70" s="42"/>
      <c r="AW70" s="42"/>
      <c r="AX70" s="42"/>
      <c r="AY70" s="42"/>
      <c r="AZ70" s="42"/>
      <c r="BA70" s="42"/>
      <c r="BB70" s="42"/>
    </row>
    <row r="71" spans="1:54" s="5" customFormat="1" x14ac:dyDescent="0.25">
      <c r="A71" s="7"/>
      <c r="B71" s="77"/>
      <c r="C71" s="78"/>
      <c r="D71" s="78"/>
      <c r="E71" s="83"/>
      <c r="F71" s="78"/>
      <c r="G71" s="77"/>
      <c r="H71" s="78"/>
      <c r="I71" s="83"/>
      <c r="J71" s="78"/>
      <c r="K71" s="83"/>
      <c r="L71" s="78"/>
      <c r="M71" s="78"/>
      <c r="N71" s="77"/>
      <c r="O71" s="78"/>
      <c r="P71" s="77"/>
      <c r="Q71" s="78"/>
      <c r="R71" s="77"/>
      <c r="S71" s="78"/>
      <c r="T71" s="77"/>
      <c r="U71" s="78"/>
      <c r="V71" s="77"/>
      <c r="W71" s="7"/>
      <c r="X71" s="27" t="str">
        <f t="shared" si="5"/>
        <v/>
      </c>
      <c r="Y71" s="3" t="s">
        <v>68</v>
      </c>
      <c r="Z71" s="3"/>
      <c r="AA71" s="3" t="s">
        <v>119</v>
      </c>
      <c r="AB71" s="18" t="s">
        <v>29</v>
      </c>
      <c r="AC71" s="3">
        <v>0.25</v>
      </c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7"/>
      <c r="AO71" s="38"/>
      <c r="AP71" s="38"/>
      <c r="AQ71" s="38"/>
      <c r="AR71" s="43"/>
      <c r="AS71" s="42"/>
      <c r="AT71" s="42"/>
      <c r="AU71" s="42"/>
      <c r="AV71" s="42"/>
      <c r="AW71" s="42"/>
      <c r="AX71" s="42"/>
      <c r="AY71" s="42"/>
      <c r="AZ71" s="42"/>
      <c r="BA71" s="42"/>
      <c r="BB71" s="42"/>
    </row>
    <row r="72" spans="1:54" s="5" customFormat="1" x14ac:dyDescent="0.25">
      <c r="A72" s="7"/>
      <c r="B72" s="77"/>
      <c r="C72" s="78"/>
      <c r="D72" s="78"/>
      <c r="E72" s="83"/>
      <c r="F72" s="78"/>
      <c r="G72" s="77"/>
      <c r="H72" s="78"/>
      <c r="I72" s="83"/>
      <c r="J72" s="78"/>
      <c r="K72" s="83"/>
      <c r="L72" s="78"/>
      <c r="M72" s="78"/>
      <c r="N72" s="77"/>
      <c r="O72" s="78"/>
      <c r="P72" s="77"/>
      <c r="Q72" s="78"/>
      <c r="R72" s="77"/>
      <c r="S72" s="78"/>
      <c r="T72" s="77"/>
      <c r="U72" s="78"/>
      <c r="V72" s="77"/>
      <c r="W72" s="7"/>
      <c r="X72" s="27" t="str">
        <f t="shared" si="5"/>
        <v/>
      </c>
      <c r="Y72" s="3" t="s">
        <v>38</v>
      </c>
      <c r="Z72" s="3"/>
      <c r="AA72" s="3" t="s">
        <v>69</v>
      </c>
      <c r="AB72" s="18" t="s">
        <v>29</v>
      </c>
      <c r="AC72" s="23"/>
      <c r="AD72" s="167"/>
      <c r="AE72" s="167"/>
      <c r="AF72" s="167"/>
      <c r="AG72" s="167"/>
      <c r="AH72" s="167"/>
      <c r="AI72" s="167"/>
      <c r="AJ72" s="167"/>
      <c r="AK72" s="167"/>
      <c r="AL72" s="167"/>
      <c r="AM72" s="167"/>
      <c r="AN72" s="7"/>
      <c r="AO72" s="38"/>
      <c r="AP72" s="38"/>
      <c r="AQ72" s="38"/>
      <c r="AR72" s="43"/>
      <c r="AS72" s="42"/>
      <c r="AT72" s="42"/>
      <c r="AU72" s="42"/>
      <c r="AV72" s="42"/>
      <c r="AW72" s="42"/>
      <c r="AX72" s="42"/>
      <c r="AY72" s="42"/>
      <c r="AZ72" s="42"/>
      <c r="BA72" s="42"/>
      <c r="BB72" s="42"/>
    </row>
    <row r="73" spans="1:54" s="5" customFormat="1" x14ac:dyDescent="0.25">
      <c r="A73" s="7"/>
      <c r="B73" s="77"/>
      <c r="C73" s="78"/>
      <c r="D73" s="78"/>
      <c r="E73" s="83"/>
      <c r="F73" s="78"/>
      <c r="G73" s="77"/>
      <c r="H73" s="78"/>
      <c r="I73" s="83"/>
      <c r="J73" s="78"/>
      <c r="K73" s="83"/>
      <c r="L73" s="78"/>
      <c r="M73" s="78"/>
      <c r="N73" s="77"/>
      <c r="O73" s="78"/>
      <c r="P73" s="77"/>
      <c r="Q73" s="78"/>
      <c r="R73" s="77"/>
      <c r="S73" s="78"/>
      <c r="T73" s="77"/>
      <c r="U73" s="78"/>
      <c r="V73" s="77"/>
      <c r="W73" s="7"/>
      <c r="X73" s="27" t="str">
        <f t="shared" si="5"/>
        <v/>
      </c>
      <c r="Y73" s="3" t="s">
        <v>44</v>
      </c>
      <c r="Z73" s="3"/>
      <c r="AA73" s="3" t="s">
        <v>69</v>
      </c>
      <c r="AB73" s="18" t="s">
        <v>29</v>
      </c>
      <c r="AC73" s="23"/>
      <c r="AD73" s="167"/>
      <c r="AE73" s="167"/>
      <c r="AF73" s="167"/>
      <c r="AG73" s="167"/>
      <c r="AH73" s="167"/>
      <c r="AI73" s="167"/>
      <c r="AJ73" s="167"/>
      <c r="AK73" s="167"/>
      <c r="AL73" s="167"/>
      <c r="AM73" s="167"/>
      <c r="AN73" s="7"/>
      <c r="AO73" s="38"/>
      <c r="AP73" s="38"/>
      <c r="AQ73" s="38"/>
      <c r="AR73" s="43"/>
      <c r="AS73" s="42"/>
      <c r="AT73" s="42"/>
      <c r="AU73" s="42"/>
      <c r="AV73" s="42"/>
      <c r="AW73" s="42"/>
      <c r="AX73" s="42"/>
      <c r="AY73" s="42"/>
      <c r="AZ73" s="42"/>
      <c r="BA73" s="42"/>
      <c r="BB73" s="42"/>
    </row>
    <row r="74" spans="1:54" s="5" customFormat="1" x14ac:dyDescent="0.25">
      <c r="A74" s="7"/>
      <c r="B74" s="77"/>
      <c r="C74" s="78"/>
      <c r="D74" s="78"/>
      <c r="E74" s="83"/>
      <c r="F74" s="78"/>
      <c r="G74" s="77"/>
      <c r="H74" s="78"/>
      <c r="I74" s="83"/>
      <c r="J74" s="78"/>
      <c r="K74" s="83"/>
      <c r="L74" s="78"/>
      <c r="M74" s="78"/>
      <c r="N74" s="77"/>
      <c r="O74" s="78"/>
      <c r="P74" s="77"/>
      <c r="Q74" s="78"/>
      <c r="R74" s="77"/>
      <c r="S74" s="78"/>
      <c r="T74" s="77"/>
      <c r="U74" s="78"/>
      <c r="V74" s="77"/>
      <c r="W74" s="7"/>
      <c r="X74" s="27" t="str">
        <f t="shared" si="5"/>
        <v/>
      </c>
      <c r="Y74" s="3" t="s">
        <v>51</v>
      </c>
      <c r="Z74" s="3"/>
      <c r="AA74" s="3" t="s">
        <v>69</v>
      </c>
      <c r="AB74" s="18" t="s">
        <v>29</v>
      </c>
      <c r="AC74" s="23"/>
      <c r="AD74" s="167"/>
      <c r="AE74" s="167"/>
      <c r="AF74" s="167"/>
      <c r="AG74" s="167"/>
      <c r="AH74" s="167"/>
      <c r="AI74" s="167"/>
      <c r="AJ74" s="167"/>
      <c r="AK74" s="167"/>
      <c r="AL74" s="167"/>
      <c r="AM74" s="167"/>
      <c r="AN74" s="7"/>
      <c r="AO74" s="38"/>
      <c r="AP74" s="38"/>
      <c r="AQ74" s="38"/>
      <c r="AR74" s="43"/>
      <c r="AS74" s="42"/>
      <c r="AT74" s="42"/>
      <c r="AU74" s="42"/>
      <c r="AV74" s="42"/>
      <c r="AW74" s="42"/>
      <c r="AX74" s="42"/>
      <c r="AY74" s="42"/>
      <c r="AZ74" s="42"/>
      <c r="BA74" s="42"/>
      <c r="BB74" s="42"/>
    </row>
    <row r="75" spans="1:54" s="5" customFormat="1" x14ac:dyDescent="0.25">
      <c r="A75" s="7"/>
      <c r="B75" s="77"/>
      <c r="C75" s="78"/>
      <c r="D75" s="78"/>
      <c r="E75" s="83"/>
      <c r="F75" s="78"/>
      <c r="G75" s="77"/>
      <c r="H75" s="78"/>
      <c r="I75" s="83"/>
      <c r="J75" s="78"/>
      <c r="K75" s="83"/>
      <c r="L75" s="78"/>
      <c r="M75" s="78"/>
      <c r="N75" s="77"/>
      <c r="O75" s="78"/>
      <c r="P75" s="77"/>
      <c r="Q75" s="78"/>
      <c r="R75" s="77"/>
      <c r="S75" s="78"/>
      <c r="T75" s="77"/>
      <c r="U75" s="78"/>
      <c r="V75" s="77"/>
      <c r="W75" s="7"/>
      <c r="X75" s="27" t="str">
        <f t="shared" si="5"/>
        <v/>
      </c>
      <c r="Y75" s="3" t="s">
        <v>200</v>
      </c>
      <c r="Z75" s="3"/>
      <c r="AA75" s="3" t="s">
        <v>119</v>
      </c>
      <c r="AB75" s="18" t="s">
        <v>29</v>
      </c>
      <c r="AC75" s="3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7"/>
      <c r="AO75" s="38"/>
      <c r="AP75" s="38"/>
      <c r="AQ75" s="38"/>
      <c r="AR75" s="43"/>
      <c r="AS75" s="42"/>
      <c r="AT75" s="42"/>
      <c r="AU75" s="42"/>
      <c r="AV75" s="42"/>
      <c r="AW75" s="42"/>
      <c r="AX75" s="42"/>
      <c r="AY75" s="42"/>
      <c r="AZ75" s="42"/>
      <c r="BA75" s="42"/>
      <c r="BB75" s="42"/>
    </row>
    <row r="76" spans="1:54" s="5" customFormat="1" x14ac:dyDescent="0.25">
      <c r="A76" s="7"/>
      <c r="B76" s="77"/>
      <c r="C76" s="78"/>
      <c r="D76" s="78"/>
      <c r="E76" s="83"/>
      <c r="F76" s="78"/>
      <c r="G76" s="77"/>
      <c r="H76" s="78"/>
      <c r="I76" s="83"/>
      <c r="J76" s="78"/>
      <c r="K76" s="83"/>
      <c r="L76" s="78"/>
      <c r="M76" s="78"/>
      <c r="N76" s="77"/>
      <c r="O76" s="78"/>
      <c r="P76" s="77"/>
      <c r="Q76" s="78"/>
      <c r="R76" s="77"/>
      <c r="S76" s="78"/>
      <c r="T76" s="77"/>
      <c r="U76" s="78"/>
      <c r="V76" s="77"/>
      <c r="W76" s="7"/>
      <c r="X76" s="27" t="str">
        <f t="shared" si="5"/>
        <v/>
      </c>
      <c r="Y76" s="3" t="s">
        <v>201</v>
      </c>
      <c r="Z76" s="3"/>
      <c r="AA76" s="3" t="s">
        <v>119</v>
      </c>
      <c r="AB76" s="18" t="s">
        <v>29</v>
      </c>
      <c r="AC76" s="3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7"/>
      <c r="AO76" s="38"/>
      <c r="AP76" s="38"/>
      <c r="AQ76" s="38"/>
      <c r="AR76" s="43"/>
      <c r="AS76" s="42"/>
      <c r="AT76" s="42"/>
      <c r="AU76" s="42"/>
      <c r="AV76" s="42"/>
      <c r="AW76" s="42"/>
      <c r="AX76" s="42"/>
      <c r="AY76" s="42"/>
      <c r="AZ76" s="42"/>
      <c r="BA76" s="42"/>
      <c r="BB76" s="42"/>
    </row>
    <row r="77" spans="1:54" s="5" customFormat="1" x14ac:dyDescent="0.25">
      <c r="A77" s="7"/>
      <c r="B77" s="77"/>
      <c r="C77" s="78"/>
      <c r="D77" s="78"/>
      <c r="E77" s="83"/>
      <c r="F77" s="78"/>
      <c r="G77" s="77"/>
      <c r="H77" s="78"/>
      <c r="I77" s="83"/>
      <c r="J77" s="78"/>
      <c r="K77" s="83"/>
      <c r="L77" s="78"/>
      <c r="M77" s="78"/>
      <c r="N77" s="77"/>
      <c r="O77" s="78"/>
      <c r="P77" s="77"/>
      <c r="Q77" s="78"/>
      <c r="R77" s="77"/>
      <c r="S77" s="78"/>
      <c r="T77" s="77"/>
      <c r="U77" s="78"/>
      <c r="V77" s="77"/>
      <c r="W77" s="7"/>
      <c r="X77" s="27" t="str">
        <f t="shared" si="5"/>
        <v/>
      </c>
      <c r="Y77" s="3" t="s">
        <v>95</v>
      </c>
      <c r="Z77" s="3" t="s">
        <v>155</v>
      </c>
      <c r="AA77" s="3" t="s">
        <v>54</v>
      </c>
      <c r="AB77" s="18" t="s">
        <v>29</v>
      </c>
      <c r="AC77" s="22">
        <v>0.63300000000000001</v>
      </c>
      <c r="AD77" s="166">
        <f t="shared" ref="AD77:AM77" si="6">AC77</f>
        <v>0.63300000000000001</v>
      </c>
      <c r="AE77" s="166">
        <f t="shared" si="6"/>
        <v>0.63300000000000001</v>
      </c>
      <c r="AF77" s="166">
        <f t="shared" si="6"/>
        <v>0.63300000000000001</v>
      </c>
      <c r="AG77" s="166">
        <f t="shared" si="6"/>
        <v>0.63300000000000001</v>
      </c>
      <c r="AH77" s="166">
        <f t="shared" si="6"/>
        <v>0.63300000000000001</v>
      </c>
      <c r="AI77" s="166">
        <f t="shared" si="6"/>
        <v>0.63300000000000001</v>
      </c>
      <c r="AJ77" s="166">
        <f t="shared" si="6"/>
        <v>0.63300000000000001</v>
      </c>
      <c r="AK77" s="166">
        <f t="shared" si="6"/>
        <v>0.63300000000000001</v>
      </c>
      <c r="AL77" s="166">
        <f t="shared" si="6"/>
        <v>0.63300000000000001</v>
      </c>
      <c r="AM77" s="166">
        <f t="shared" si="6"/>
        <v>0.63300000000000001</v>
      </c>
      <c r="AN77" s="7"/>
      <c r="AO77" s="38"/>
      <c r="AP77" s="38"/>
      <c r="AQ77" s="38"/>
      <c r="AR77" s="43"/>
      <c r="AS77" s="42"/>
      <c r="AT77" s="42"/>
      <c r="AU77" s="42"/>
      <c r="AV77" s="42"/>
      <c r="AW77" s="42"/>
      <c r="AX77" s="42"/>
      <c r="AY77" s="42"/>
      <c r="AZ77" s="42"/>
      <c r="BA77" s="42"/>
      <c r="BB77" s="42"/>
    </row>
    <row r="78" spans="1:54" s="5" customFormat="1" x14ac:dyDescent="0.25">
      <c r="A78" s="7"/>
      <c r="B78" s="77"/>
      <c r="C78" s="78"/>
      <c r="D78" s="78"/>
      <c r="E78" s="83"/>
      <c r="F78" s="78"/>
      <c r="G78" s="77"/>
      <c r="H78" s="78"/>
      <c r="I78" s="83"/>
      <c r="J78" s="78"/>
      <c r="K78" s="83"/>
      <c r="L78" s="78"/>
      <c r="M78" s="78"/>
      <c r="N78" s="77"/>
      <c r="O78" s="78"/>
      <c r="P78" s="77"/>
      <c r="Q78" s="78"/>
      <c r="R78" s="77"/>
      <c r="S78" s="78"/>
      <c r="T78" s="77"/>
      <c r="U78" s="78"/>
      <c r="V78" s="77"/>
      <c r="W78" s="7"/>
      <c r="X78" s="27" t="str">
        <f t="shared" si="5"/>
        <v/>
      </c>
      <c r="Y78" s="3" t="s">
        <v>95</v>
      </c>
      <c r="Z78" s="3" t="s">
        <v>156</v>
      </c>
      <c r="AA78" s="3" t="s">
        <v>54</v>
      </c>
      <c r="AB78" s="18" t="s">
        <v>29</v>
      </c>
      <c r="AC78" s="22">
        <v>6.9000000000000006E-2</v>
      </c>
      <c r="AD78" s="166">
        <f t="shared" ref="AD78:AM78" si="7">AC78</f>
        <v>6.9000000000000006E-2</v>
      </c>
      <c r="AE78" s="166">
        <f t="shared" si="7"/>
        <v>6.9000000000000006E-2</v>
      </c>
      <c r="AF78" s="166">
        <f t="shared" si="7"/>
        <v>6.9000000000000006E-2</v>
      </c>
      <c r="AG78" s="166">
        <f t="shared" si="7"/>
        <v>6.9000000000000006E-2</v>
      </c>
      <c r="AH78" s="166">
        <f t="shared" si="7"/>
        <v>6.9000000000000006E-2</v>
      </c>
      <c r="AI78" s="166">
        <f t="shared" si="7"/>
        <v>6.9000000000000006E-2</v>
      </c>
      <c r="AJ78" s="166">
        <f t="shared" si="7"/>
        <v>6.9000000000000006E-2</v>
      </c>
      <c r="AK78" s="166">
        <f t="shared" si="7"/>
        <v>6.9000000000000006E-2</v>
      </c>
      <c r="AL78" s="166">
        <f t="shared" si="7"/>
        <v>6.9000000000000006E-2</v>
      </c>
      <c r="AM78" s="166">
        <f t="shared" si="7"/>
        <v>6.9000000000000006E-2</v>
      </c>
      <c r="AN78" s="7"/>
      <c r="AO78" s="38"/>
      <c r="AP78" s="38"/>
      <c r="AQ78" s="38"/>
      <c r="AR78" s="43"/>
      <c r="AS78" s="42"/>
      <c r="AT78" s="42"/>
      <c r="AU78" s="42"/>
      <c r="AV78" s="42"/>
      <c r="AW78" s="42"/>
      <c r="AX78" s="42"/>
      <c r="AY78" s="42"/>
      <c r="AZ78" s="42"/>
      <c r="BA78" s="42"/>
      <c r="BB78" s="42"/>
    </row>
    <row r="79" spans="1:54" s="5" customFormat="1" x14ac:dyDescent="0.25">
      <c r="A79" s="7"/>
      <c r="B79" s="77"/>
      <c r="C79" s="78"/>
      <c r="D79" s="78"/>
      <c r="E79" s="83"/>
      <c r="F79" s="78"/>
      <c r="G79" s="77"/>
      <c r="H79" s="78"/>
      <c r="I79" s="83"/>
      <c r="J79" s="78"/>
      <c r="K79" s="83"/>
      <c r="L79" s="78"/>
      <c r="M79" s="78"/>
      <c r="N79" s="77"/>
      <c r="O79" s="78"/>
      <c r="P79" s="77"/>
      <c r="Q79" s="78"/>
      <c r="R79" s="77"/>
      <c r="S79" s="78"/>
      <c r="T79" s="77"/>
      <c r="U79" s="78"/>
      <c r="V79" s="77"/>
      <c r="W79" s="7"/>
      <c r="X79" s="27" t="str">
        <f t="shared" si="5"/>
        <v/>
      </c>
      <c r="Y79" s="3" t="s">
        <v>92</v>
      </c>
      <c r="Z79" s="3"/>
      <c r="AA79" s="3" t="s">
        <v>119</v>
      </c>
      <c r="AB79" s="18" t="s">
        <v>29</v>
      </c>
      <c r="AC79" s="22">
        <v>0.83299999999999996</v>
      </c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7"/>
      <c r="AO79" s="38"/>
      <c r="AP79" s="38"/>
      <c r="AQ79" s="38"/>
      <c r="AR79" s="43"/>
      <c r="AS79" s="42"/>
      <c r="AT79" s="42"/>
      <c r="AU79" s="42"/>
      <c r="AV79" s="42"/>
      <c r="AW79" s="42"/>
      <c r="AX79" s="42"/>
      <c r="AY79" s="42"/>
      <c r="AZ79" s="42"/>
      <c r="BA79" s="42"/>
      <c r="BB79" s="42"/>
    </row>
    <row r="80" spans="1:54" s="5" customFormat="1" x14ac:dyDescent="0.25">
      <c r="A80" s="7"/>
      <c r="B80" s="77"/>
      <c r="C80" s="78"/>
      <c r="D80" s="78"/>
      <c r="E80" s="83"/>
      <c r="F80" s="78"/>
      <c r="G80" s="77"/>
      <c r="H80" s="78"/>
      <c r="I80" s="83"/>
      <c r="J80" s="78"/>
      <c r="K80" s="83"/>
      <c r="L80" s="78"/>
      <c r="M80" s="78"/>
      <c r="N80" s="77"/>
      <c r="O80" s="78"/>
      <c r="P80" s="77"/>
      <c r="Q80" s="78"/>
      <c r="R80" s="77"/>
      <c r="S80" s="78"/>
      <c r="T80" s="77"/>
      <c r="U80" s="78"/>
      <c r="V80" s="77"/>
      <c r="W80" s="7"/>
      <c r="X80" s="27" t="str">
        <f t="shared" ref="X80:X92" si="8">IFERROR(INDEX($B80:$V80,MATCH(TRUE,INDEX(($B80:$V80&lt;&gt;0),0),0)),"")</f>
        <v/>
      </c>
      <c r="Y80" s="3" t="s">
        <v>64</v>
      </c>
      <c r="Z80" s="3"/>
      <c r="AA80" s="3"/>
      <c r="AB80" s="18" t="s">
        <v>31</v>
      </c>
      <c r="AC80" s="3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7"/>
      <c r="AO80" s="38"/>
      <c r="AP80" s="38"/>
      <c r="AQ80" s="38"/>
      <c r="AR80" s="43"/>
      <c r="AS80" s="42"/>
      <c r="AT80" s="42"/>
      <c r="AU80" s="42"/>
      <c r="AV80" s="42"/>
      <c r="AW80" s="42"/>
      <c r="AX80" s="42"/>
      <c r="AY80" s="42"/>
      <c r="AZ80" s="42"/>
      <c r="BA80" s="42"/>
      <c r="BB80" s="42"/>
    </row>
    <row r="81" spans="1:54" s="5" customFormat="1" x14ac:dyDescent="0.25">
      <c r="A81" s="7"/>
      <c r="B81" s="77"/>
      <c r="C81" s="78"/>
      <c r="D81" s="78"/>
      <c r="E81" s="83"/>
      <c r="F81" s="78"/>
      <c r="G81" s="77"/>
      <c r="H81" s="78"/>
      <c r="I81" s="83"/>
      <c r="J81" s="78"/>
      <c r="K81" s="83"/>
      <c r="L81" s="78"/>
      <c r="M81" s="78"/>
      <c r="N81" s="77"/>
      <c r="O81" s="78"/>
      <c r="P81" s="77"/>
      <c r="Q81" s="78"/>
      <c r="R81" s="77"/>
      <c r="S81" s="78"/>
      <c r="T81" s="77"/>
      <c r="U81" s="78"/>
      <c r="V81" s="77"/>
      <c r="W81" s="7"/>
      <c r="X81" s="27" t="str">
        <f t="shared" si="8"/>
        <v/>
      </c>
      <c r="Y81" s="3" t="s">
        <v>41</v>
      </c>
      <c r="Z81" s="3"/>
      <c r="AA81" s="3" t="s">
        <v>43</v>
      </c>
      <c r="AB81" s="18" t="s">
        <v>31</v>
      </c>
      <c r="AC81" s="3">
        <v>2000</v>
      </c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7"/>
      <c r="AO81" s="38"/>
      <c r="AP81" s="38"/>
      <c r="AQ81" s="38"/>
      <c r="AR81" s="43"/>
      <c r="AS81" s="42"/>
      <c r="AT81" s="42"/>
      <c r="AU81" s="42"/>
      <c r="AV81" s="42"/>
      <c r="AW81" s="42"/>
      <c r="AX81" s="42"/>
      <c r="AY81" s="42"/>
      <c r="AZ81" s="42"/>
      <c r="BA81" s="42"/>
      <c r="BB81" s="42"/>
    </row>
    <row r="82" spans="1:54" s="5" customFormat="1" x14ac:dyDescent="0.25">
      <c r="A82" s="7"/>
      <c r="B82" s="77"/>
      <c r="C82" s="78"/>
      <c r="D82" s="78"/>
      <c r="E82" s="83"/>
      <c r="F82" s="78"/>
      <c r="G82" s="77"/>
      <c r="H82" s="78"/>
      <c r="I82" s="83"/>
      <c r="J82" s="78"/>
      <c r="K82" s="83"/>
      <c r="L82" s="78"/>
      <c r="M82" s="78"/>
      <c r="N82" s="77"/>
      <c r="O82" s="78"/>
      <c r="P82" s="77"/>
      <c r="Q82" s="78"/>
      <c r="R82" s="77"/>
      <c r="S82" s="78"/>
      <c r="T82" s="77"/>
      <c r="U82" s="78"/>
      <c r="V82" s="77"/>
      <c r="W82" s="7"/>
      <c r="X82" s="27" t="str">
        <f t="shared" si="8"/>
        <v/>
      </c>
      <c r="Y82" s="3" t="s">
        <v>40</v>
      </c>
      <c r="Z82" s="3"/>
      <c r="AA82" s="3" t="s">
        <v>43</v>
      </c>
      <c r="AB82" s="18" t="s">
        <v>31</v>
      </c>
      <c r="AC82" s="3">
        <v>2100</v>
      </c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7"/>
      <c r="AO82" s="38"/>
      <c r="AP82" s="38"/>
      <c r="AQ82" s="38"/>
      <c r="AR82" s="43"/>
      <c r="AS82" s="42"/>
      <c r="AT82" s="42"/>
      <c r="AU82" s="42"/>
      <c r="AV82" s="42"/>
      <c r="AW82" s="42"/>
      <c r="AX82" s="42"/>
      <c r="AY82" s="42"/>
      <c r="AZ82" s="42"/>
      <c r="BA82" s="42"/>
      <c r="BB82" s="42"/>
    </row>
    <row r="83" spans="1:54" s="5" customFormat="1" x14ac:dyDescent="0.25">
      <c r="A83" s="7"/>
      <c r="B83" s="77"/>
      <c r="C83" s="78"/>
      <c r="D83" s="78"/>
      <c r="E83" s="83"/>
      <c r="F83" s="78"/>
      <c r="G83" s="77"/>
      <c r="H83" s="78"/>
      <c r="I83" s="83"/>
      <c r="J83" s="78"/>
      <c r="K83" s="83"/>
      <c r="L83" s="78"/>
      <c r="M83" s="78"/>
      <c r="N83" s="77"/>
      <c r="O83" s="78"/>
      <c r="P83" s="77"/>
      <c r="Q83" s="78"/>
      <c r="R83" s="77"/>
      <c r="S83" s="78"/>
      <c r="T83" s="77"/>
      <c r="U83" s="78"/>
      <c r="V83" s="77"/>
      <c r="W83" s="7"/>
      <c r="X83" s="27" t="str">
        <f t="shared" si="8"/>
        <v/>
      </c>
      <c r="Y83" s="3" t="s">
        <v>42</v>
      </c>
      <c r="Z83" s="3"/>
      <c r="AA83" s="3" t="s">
        <v>10</v>
      </c>
      <c r="AB83" s="18" t="s">
        <v>31</v>
      </c>
      <c r="AC83" s="3">
        <v>25</v>
      </c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7"/>
      <c r="AO83" s="38"/>
      <c r="AP83" s="38"/>
      <c r="AQ83" s="38"/>
      <c r="AR83" s="43"/>
      <c r="AS83" s="42"/>
      <c r="AT83" s="42"/>
      <c r="AU83" s="42"/>
      <c r="AV83" s="42"/>
      <c r="AW83" s="42"/>
      <c r="AX83" s="42"/>
      <c r="AY83" s="42"/>
      <c r="AZ83" s="42"/>
      <c r="BA83" s="42"/>
      <c r="BB83" s="42"/>
    </row>
    <row r="84" spans="1:54" s="5" customFormat="1" x14ac:dyDescent="0.25">
      <c r="A84" s="7"/>
      <c r="B84" s="77"/>
      <c r="C84" s="78"/>
      <c r="D84" s="78"/>
      <c r="E84" s="83"/>
      <c r="F84" s="78"/>
      <c r="G84" s="77"/>
      <c r="H84" s="78"/>
      <c r="I84" s="83"/>
      <c r="J84" s="78"/>
      <c r="K84" s="83"/>
      <c r="L84" s="78"/>
      <c r="M84" s="78"/>
      <c r="N84" s="77"/>
      <c r="O84" s="78"/>
      <c r="P84" s="77"/>
      <c r="Q84" s="78"/>
      <c r="R84" s="77"/>
      <c r="S84" s="78"/>
      <c r="T84" s="77"/>
      <c r="U84" s="78"/>
      <c r="V84" s="77"/>
      <c r="W84" s="7"/>
      <c r="X84" s="27" t="str">
        <f t="shared" si="8"/>
        <v/>
      </c>
      <c r="Y84" s="3" t="s">
        <v>68</v>
      </c>
      <c r="Z84" s="3"/>
      <c r="AA84" s="3" t="s">
        <v>119</v>
      </c>
      <c r="AB84" s="18" t="s">
        <v>31</v>
      </c>
      <c r="AC84" s="3">
        <v>0.25</v>
      </c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7"/>
      <c r="AO84" s="38"/>
      <c r="AP84" s="38"/>
      <c r="AQ84" s="38"/>
      <c r="AR84" s="43"/>
      <c r="AS84" s="42"/>
      <c r="AT84" s="42"/>
      <c r="AU84" s="42"/>
      <c r="AV84" s="42"/>
      <c r="AW84" s="42"/>
      <c r="AX84" s="42"/>
      <c r="AY84" s="42"/>
      <c r="AZ84" s="42"/>
      <c r="BA84" s="42"/>
      <c r="BB84" s="42"/>
    </row>
    <row r="85" spans="1:54" s="5" customFormat="1" x14ac:dyDescent="0.25">
      <c r="A85" s="7"/>
      <c r="B85" s="77"/>
      <c r="C85" s="78"/>
      <c r="D85" s="78"/>
      <c r="E85" s="83"/>
      <c r="F85" s="78"/>
      <c r="G85" s="77"/>
      <c r="H85" s="78"/>
      <c r="I85" s="83"/>
      <c r="J85" s="78"/>
      <c r="K85" s="83"/>
      <c r="L85" s="78"/>
      <c r="M85" s="78"/>
      <c r="N85" s="77"/>
      <c r="O85" s="78"/>
      <c r="P85" s="77"/>
      <c r="Q85" s="78"/>
      <c r="R85" s="77"/>
      <c r="S85" s="78"/>
      <c r="T85" s="77"/>
      <c r="U85" s="78"/>
      <c r="V85" s="77"/>
      <c r="W85" s="7"/>
      <c r="X85" s="27" t="str">
        <f t="shared" si="8"/>
        <v/>
      </c>
      <c r="Y85" s="3" t="s">
        <v>38</v>
      </c>
      <c r="Z85" s="3"/>
      <c r="AA85" s="3" t="s">
        <v>69</v>
      </c>
      <c r="AB85" s="18" t="s">
        <v>31</v>
      </c>
      <c r="AC85" s="23">
        <v>2655</v>
      </c>
      <c r="AD85" s="167">
        <f t="shared" ref="AD85:AM85" si="9">AC85</f>
        <v>2655</v>
      </c>
      <c r="AE85" s="167">
        <f t="shared" si="9"/>
        <v>2655</v>
      </c>
      <c r="AF85" s="167">
        <f t="shared" si="9"/>
        <v>2655</v>
      </c>
      <c r="AG85" s="167">
        <f t="shared" si="9"/>
        <v>2655</v>
      </c>
      <c r="AH85" s="167">
        <f t="shared" si="9"/>
        <v>2655</v>
      </c>
      <c r="AI85" s="167">
        <f t="shared" si="9"/>
        <v>2655</v>
      </c>
      <c r="AJ85" s="167">
        <f t="shared" si="9"/>
        <v>2655</v>
      </c>
      <c r="AK85" s="167">
        <f t="shared" si="9"/>
        <v>2655</v>
      </c>
      <c r="AL85" s="167">
        <f t="shared" si="9"/>
        <v>2655</v>
      </c>
      <c r="AM85" s="167">
        <f t="shared" si="9"/>
        <v>2655</v>
      </c>
      <c r="AN85" s="7"/>
      <c r="AO85" s="38"/>
      <c r="AP85" s="38"/>
      <c r="AQ85" s="38"/>
      <c r="AR85" s="43"/>
      <c r="AS85" s="42"/>
      <c r="AT85" s="42"/>
      <c r="AU85" s="42"/>
      <c r="AV85" s="42"/>
      <c r="AW85" s="42"/>
      <c r="AX85" s="42"/>
      <c r="AY85" s="42"/>
      <c r="AZ85" s="42"/>
      <c r="BA85" s="42"/>
      <c r="BB85" s="42"/>
    </row>
    <row r="86" spans="1:54" s="5" customFormat="1" x14ac:dyDescent="0.25">
      <c r="A86" s="7"/>
      <c r="B86" s="77"/>
      <c r="C86" s="78"/>
      <c r="D86" s="78"/>
      <c r="E86" s="83"/>
      <c r="F86" s="78"/>
      <c r="G86" s="77"/>
      <c r="H86" s="78"/>
      <c r="I86" s="83"/>
      <c r="J86" s="78"/>
      <c r="K86" s="83"/>
      <c r="L86" s="78"/>
      <c r="M86" s="78"/>
      <c r="N86" s="77"/>
      <c r="O86" s="78"/>
      <c r="P86" s="77"/>
      <c r="Q86" s="78"/>
      <c r="R86" s="77"/>
      <c r="S86" s="78"/>
      <c r="T86" s="77"/>
      <c r="U86" s="78"/>
      <c r="V86" s="77"/>
      <c r="W86" s="7"/>
      <c r="X86" s="27" t="str">
        <f t="shared" si="8"/>
        <v/>
      </c>
      <c r="Y86" s="3" t="s">
        <v>44</v>
      </c>
      <c r="Z86" s="3"/>
      <c r="AA86" s="3" t="s">
        <v>69</v>
      </c>
      <c r="AB86" s="18" t="s">
        <v>31</v>
      </c>
      <c r="AC86" s="23"/>
      <c r="AD86" s="167"/>
      <c r="AE86" s="167"/>
      <c r="AF86" s="167"/>
      <c r="AG86" s="167"/>
      <c r="AH86" s="167"/>
      <c r="AI86" s="167"/>
      <c r="AJ86" s="167"/>
      <c r="AK86" s="167"/>
      <c r="AL86" s="167"/>
      <c r="AM86" s="167"/>
      <c r="AN86" s="7"/>
      <c r="AO86" s="38"/>
      <c r="AP86" s="38"/>
      <c r="AQ86" s="38"/>
      <c r="AR86" s="43"/>
      <c r="AS86" s="42"/>
      <c r="AT86" s="42"/>
      <c r="AU86" s="42"/>
      <c r="AV86" s="42"/>
      <c r="AW86" s="42"/>
      <c r="AX86" s="42"/>
      <c r="AY86" s="42"/>
      <c r="AZ86" s="42"/>
      <c r="BA86" s="42"/>
      <c r="BB86" s="42"/>
    </row>
    <row r="87" spans="1:54" s="5" customFormat="1" x14ac:dyDescent="0.25">
      <c r="A87" s="7"/>
      <c r="B87" s="77"/>
      <c r="C87" s="78"/>
      <c r="D87" s="78"/>
      <c r="E87" s="83"/>
      <c r="F87" s="78"/>
      <c r="G87" s="77"/>
      <c r="H87" s="78"/>
      <c r="I87" s="83"/>
      <c r="J87" s="78"/>
      <c r="K87" s="83"/>
      <c r="L87" s="78"/>
      <c r="M87" s="78"/>
      <c r="N87" s="77"/>
      <c r="O87" s="78"/>
      <c r="P87" s="77"/>
      <c r="Q87" s="78"/>
      <c r="R87" s="77"/>
      <c r="S87" s="78"/>
      <c r="T87" s="77"/>
      <c r="U87" s="78"/>
      <c r="V87" s="77"/>
      <c r="W87" s="7"/>
      <c r="X87" s="27" t="str">
        <f t="shared" si="8"/>
        <v/>
      </c>
      <c r="Y87" s="3" t="s">
        <v>51</v>
      </c>
      <c r="Z87" s="3"/>
      <c r="AA87" s="3" t="s">
        <v>69</v>
      </c>
      <c r="AB87" s="18" t="s">
        <v>31</v>
      </c>
      <c r="AC87" s="23"/>
      <c r="AD87" s="167"/>
      <c r="AE87" s="167"/>
      <c r="AF87" s="167"/>
      <c r="AG87" s="167"/>
      <c r="AH87" s="167"/>
      <c r="AI87" s="167"/>
      <c r="AJ87" s="167"/>
      <c r="AK87" s="167"/>
      <c r="AL87" s="167"/>
      <c r="AM87" s="167"/>
      <c r="AN87" s="7"/>
      <c r="AO87" s="38"/>
      <c r="AP87" s="38"/>
      <c r="AQ87" s="38"/>
      <c r="AR87" s="43"/>
      <c r="AS87" s="42"/>
      <c r="AT87" s="42"/>
      <c r="AU87" s="42"/>
      <c r="AV87" s="42"/>
      <c r="AW87" s="42"/>
      <c r="AX87" s="42"/>
      <c r="AY87" s="42"/>
      <c r="AZ87" s="42"/>
      <c r="BA87" s="42"/>
      <c r="BB87" s="42"/>
    </row>
    <row r="88" spans="1:54" s="5" customFormat="1" x14ac:dyDescent="0.25">
      <c r="A88" s="7"/>
      <c r="B88" s="77"/>
      <c r="C88" s="78"/>
      <c r="D88" s="78"/>
      <c r="E88" s="83"/>
      <c r="F88" s="78"/>
      <c r="G88" s="77"/>
      <c r="H88" s="78"/>
      <c r="I88" s="83"/>
      <c r="J88" s="78"/>
      <c r="K88" s="83"/>
      <c r="L88" s="78"/>
      <c r="M88" s="78"/>
      <c r="N88" s="77"/>
      <c r="O88" s="78"/>
      <c r="P88" s="77"/>
      <c r="Q88" s="78"/>
      <c r="R88" s="77"/>
      <c r="S88" s="78"/>
      <c r="T88" s="77"/>
      <c r="U88" s="78"/>
      <c r="V88" s="77"/>
      <c r="W88" s="7"/>
      <c r="X88" s="27" t="str">
        <f t="shared" si="8"/>
        <v/>
      </c>
      <c r="Y88" s="3" t="s">
        <v>200</v>
      </c>
      <c r="Z88" s="3"/>
      <c r="AA88" s="3" t="s">
        <v>119</v>
      </c>
      <c r="AB88" s="18" t="s">
        <v>31</v>
      </c>
      <c r="AC88" s="3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7"/>
      <c r="AO88" s="38"/>
      <c r="AP88" s="38"/>
      <c r="AQ88" s="38"/>
      <c r="AR88" s="43"/>
      <c r="AS88" s="42"/>
      <c r="AT88" s="42"/>
      <c r="AU88" s="42"/>
      <c r="AV88" s="42"/>
      <c r="AW88" s="42"/>
      <c r="AX88" s="42"/>
      <c r="AY88" s="42"/>
      <c r="AZ88" s="42"/>
      <c r="BA88" s="42"/>
      <c r="BB88" s="42"/>
    </row>
    <row r="89" spans="1:54" s="5" customFormat="1" x14ac:dyDescent="0.25">
      <c r="A89" s="7"/>
      <c r="B89" s="77"/>
      <c r="C89" s="78"/>
      <c r="D89" s="78"/>
      <c r="E89" s="83"/>
      <c r="F89" s="78"/>
      <c r="G89" s="77"/>
      <c r="H89" s="78"/>
      <c r="I89" s="83"/>
      <c r="J89" s="78"/>
      <c r="K89" s="83"/>
      <c r="L89" s="78"/>
      <c r="M89" s="78"/>
      <c r="N89" s="77"/>
      <c r="O89" s="78"/>
      <c r="P89" s="77"/>
      <c r="Q89" s="78"/>
      <c r="R89" s="77"/>
      <c r="S89" s="78"/>
      <c r="T89" s="77"/>
      <c r="U89" s="78"/>
      <c r="V89" s="77"/>
      <c r="W89" s="7"/>
      <c r="X89" s="27" t="str">
        <f t="shared" si="8"/>
        <v/>
      </c>
      <c r="Y89" s="3" t="s">
        <v>201</v>
      </c>
      <c r="Z89" s="3"/>
      <c r="AA89" s="3" t="s">
        <v>119</v>
      </c>
      <c r="AB89" s="18" t="s">
        <v>31</v>
      </c>
      <c r="AC89" s="3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7"/>
      <c r="AO89" s="38"/>
      <c r="AP89" s="38"/>
      <c r="AQ89" s="38"/>
      <c r="AR89" s="43"/>
      <c r="AS89" s="42"/>
      <c r="AT89" s="42"/>
      <c r="AU89" s="42"/>
      <c r="AV89" s="42"/>
      <c r="AW89" s="42"/>
      <c r="AX89" s="42"/>
      <c r="AY89" s="42"/>
      <c r="AZ89" s="42"/>
      <c r="BA89" s="42"/>
      <c r="BB89" s="42"/>
    </row>
    <row r="90" spans="1:54" s="5" customFormat="1" x14ac:dyDescent="0.25">
      <c r="A90" s="7"/>
      <c r="B90" s="77"/>
      <c r="C90" s="78"/>
      <c r="D90" s="78"/>
      <c r="E90" s="83"/>
      <c r="F90" s="78"/>
      <c r="G90" s="77"/>
      <c r="H90" s="78"/>
      <c r="I90" s="83"/>
      <c r="J90" s="78"/>
      <c r="K90" s="83"/>
      <c r="L90" s="78"/>
      <c r="M90" s="78"/>
      <c r="N90" s="77"/>
      <c r="O90" s="78"/>
      <c r="P90" s="77"/>
      <c r="Q90" s="78"/>
      <c r="R90" s="77"/>
      <c r="S90" s="78"/>
      <c r="T90" s="77"/>
      <c r="U90" s="78"/>
      <c r="V90" s="77"/>
      <c r="W90" s="7"/>
      <c r="X90" s="27" t="str">
        <f t="shared" si="8"/>
        <v/>
      </c>
      <c r="Y90" s="3" t="s">
        <v>95</v>
      </c>
      <c r="Z90" s="3" t="s">
        <v>155</v>
      </c>
      <c r="AA90" s="3" t="s">
        <v>54</v>
      </c>
      <c r="AB90" s="18" t="s">
        <v>31</v>
      </c>
      <c r="AC90" s="22">
        <v>0.51500000000000001</v>
      </c>
      <c r="AD90" s="166">
        <f t="shared" ref="AD90:AM90" si="10">AC90</f>
        <v>0.51500000000000001</v>
      </c>
      <c r="AE90" s="166">
        <f t="shared" si="10"/>
        <v>0.51500000000000001</v>
      </c>
      <c r="AF90" s="166">
        <f t="shared" si="10"/>
        <v>0.51500000000000001</v>
      </c>
      <c r="AG90" s="166">
        <f t="shared" si="10"/>
        <v>0.51500000000000001</v>
      </c>
      <c r="AH90" s="166">
        <f t="shared" si="10"/>
        <v>0.51500000000000001</v>
      </c>
      <c r="AI90" s="166">
        <f t="shared" si="10"/>
        <v>0.51500000000000001</v>
      </c>
      <c r="AJ90" s="166">
        <f t="shared" si="10"/>
        <v>0.51500000000000001</v>
      </c>
      <c r="AK90" s="166">
        <f t="shared" si="10"/>
        <v>0.51500000000000001</v>
      </c>
      <c r="AL90" s="166">
        <f t="shared" si="10"/>
        <v>0.51500000000000001</v>
      </c>
      <c r="AM90" s="166">
        <f t="shared" si="10"/>
        <v>0.51500000000000001</v>
      </c>
      <c r="AN90" s="7"/>
      <c r="AO90" s="38"/>
      <c r="AP90" s="38"/>
      <c r="AQ90" s="38"/>
      <c r="AR90" s="43"/>
      <c r="AS90" s="42"/>
      <c r="AT90" s="42"/>
      <c r="AU90" s="42"/>
      <c r="AV90" s="42"/>
      <c r="AW90" s="42"/>
      <c r="AX90" s="42"/>
      <c r="AY90" s="42"/>
      <c r="AZ90" s="42"/>
      <c r="BA90" s="42"/>
      <c r="BB90" s="42"/>
    </row>
    <row r="91" spans="1:54" s="5" customFormat="1" x14ac:dyDescent="0.25">
      <c r="A91" s="7"/>
      <c r="B91" s="77"/>
      <c r="C91" s="78"/>
      <c r="D91" s="78"/>
      <c r="E91" s="83"/>
      <c r="F91" s="78"/>
      <c r="G91" s="77"/>
      <c r="H91" s="78"/>
      <c r="I91" s="83"/>
      <c r="J91" s="78"/>
      <c r="K91" s="83"/>
      <c r="L91" s="78"/>
      <c r="M91" s="78"/>
      <c r="N91" s="77"/>
      <c r="O91" s="78"/>
      <c r="P91" s="77"/>
      <c r="Q91" s="78"/>
      <c r="R91" s="77"/>
      <c r="S91" s="78"/>
      <c r="T91" s="77"/>
      <c r="U91" s="78"/>
      <c r="V91" s="77"/>
      <c r="W91" s="7"/>
      <c r="X91" s="27" t="str">
        <f t="shared" si="8"/>
        <v/>
      </c>
      <c r="Y91" s="3" t="s">
        <v>95</v>
      </c>
      <c r="Z91" s="3" t="s">
        <v>156</v>
      </c>
      <c r="AA91" s="3" t="s">
        <v>54</v>
      </c>
      <c r="AB91" s="18" t="s">
        <v>31</v>
      </c>
      <c r="AC91" s="22">
        <v>5.6000000000000001E-2</v>
      </c>
      <c r="AD91" s="166">
        <f t="shared" ref="AD91:AM91" si="11">AC91</f>
        <v>5.6000000000000001E-2</v>
      </c>
      <c r="AE91" s="166">
        <f t="shared" si="11"/>
        <v>5.6000000000000001E-2</v>
      </c>
      <c r="AF91" s="166">
        <f t="shared" si="11"/>
        <v>5.6000000000000001E-2</v>
      </c>
      <c r="AG91" s="166">
        <f t="shared" si="11"/>
        <v>5.6000000000000001E-2</v>
      </c>
      <c r="AH91" s="166">
        <f t="shared" si="11"/>
        <v>5.6000000000000001E-2</v>
      </c>
      <c r="AI91" s="166">
        <f t="shared" si="11"/>
        <v>5.6000000000000001E-2</v>
      </c>
      <c r="AJ91" s="166">
        <f t="shared" si="11"/>
        <v>5.6000000000000001E-2</v>
      </c>
      <c r="AK91" s="166">
        <f t="shared" si="11"/>
        <v>5.6000000000000001E-2</v>
      </c>
      <c r="AL91" s="166">
        <f t="shared" si="11"/>
        <v>5.6000000000000001E-2</v>
      </c>
      <c r="AM91" s="166">
        <f t="shared" si="11"/>
        <v>5.6000000000000001E-2</v>
      </c>
      <c r="AN91" s="7"/>
      <c r="AO91" s="38"/>
      <c r="AP91" s="38"/>
      <c r="AQ91" s="38"/>
      <c r="AR91" s="43"/>
      <c r="AS91" s="42"/>
      <c r="AT91" s="42"/>
      <c r="AU91" s="42"/>
      <c r="AV91" s="42"/>
      <c r="AW91" s="42"/>
      <c r="AX91" s="42"/>
      <c r="AY91" s="42"/>
      <c r="AZ91" s="42"/>
      <c r="BA91" s="42"/>
      <c r="BB91" s="42"/>
    </row>
    <row r="92" spans="1:54" s="5" customFormat="1" x14ac:dyDescent="0.25">
      <c r="A92" s="7"/>
      <c r="B92" s="77"/>
      <c r="C92" s="78"/>
      <c r="D92" s="78"/>
      <c r="E92" s="83"/>
      <c r="F92" s="78"/>
      <c r="G92" s="77"/>
      <c r="H92" s="78"/>
      <c r="I92" s="83"/>
      <c r="J92" s="78"/>
      <c r="K92" s="83"/>
      <c r="L92" s="78"/>
      <c r="M92" s="78"/>
      <c r="N92" s="77"/>
      <c r="O92" s="78"/>
      <c r="P92" s="77"/>
      <c r="Q92" s="78"/>
      <c r="R92" s="77"/>
      <c r="S92" s="78"/>
      <c r="T92" s="77"/>
      <c r="U92" s="78"/>
      <c r="V92" s="77"/>
      <c r="W92" s="7"/>
      <c r="X92" s="27" t="str">
        <f t="shared" si="8"/>
        <v/>
      </c>
      <c r="Y92" s="3" t="s">
        <v>92</v>
      </c>
      <c r="Z92" s="3"/>
      <c r="AA92" s="3" t="s">
        <v>119</v>
      </c>
      <c r="AB92" s="18" t="s">
        <v>31</v>
      </c>
      <c r="AC92" s="22">
        <v>0</v>
      </c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7"/>
      <c r="AO92" s="38"/>
      <c r="AP92" s="38"/>
      <c r="AQ92" s="38"/>
      <c r="AR92" s="43"/>
      <c r="AS92" s="42"/>
      <c r="AT92" s="42"/>
      <c r="AU92" s="42"/>
      <c r="AV92" s="42"/>
      <c r="AW92" s="42"/>
      <c r="AX92" s="42"/>
      <c r="AY92" s="42"/>
      <c r="AZ92" s="42"/>
      <c r="BA92" s="42"/>
      <c r="BB92" s="42"/>
    </row>
    <row r="93" spans="1:54" s="5" customFormat="1" x14ac:dyDescent="0.25">
      <c r="A93" s="7"/>
      <c r="B93" s="77"/>
      <c r="C93" s="78"/>
      <c r="D93" s="78"/>
      <c r="E93" s="83"/>
      <c r="F93" s="78"/>
      <c r="G93" s="77"/>
      <c r="H93" s="78"/>
      <c r="I93" s="83"/>
      <c r="J93" s="78"/>
      <c r="K93" s="83"/>
      <c r="L93" s="78"/>
      <c r="M93" s="78"/>
      <c r="N93" s="77"/>
      <c r="O93" s="78"/>
      <c r="P93" s="77"/>
      <c r="Q93" s="78"/>
      <c r="R93" s="77"/>
      <c r="S93" s="78"/>
      <c r="T93" s="77"/>
      <c r="U93" s="78"/>
      <c r="V93" s="77"/>
      <c r="W93" s="7"/>
      <c r="X93" s="27" t="str">
        <f t="shared" si="5"/>
        <v/>
      </c>
      <c r="Y93" s="3" t="s">
        <v>64</v>
      </c>
      <c r="Z93" s="3"/>
      <c r="AA93" s="3"/>
      <c r="AB93" s="18" t="s">
        <v>32</v>
      </c>
      <c r="AC93" s="3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7"/>
      <c r="AO93" s="38"/>
      <c r="AP93" s="38"/>
      <c r="AQ93" s="38"/>
      <c r="AR93" s="43"/>
      <c r="AS93" s="42"/>
      <c r="AT93" s="42"/>
      <c r="AU93" s="42"/>
      <c r="AV93" s="42"/>
      <c r="AW93" s="42"/>
      <c r="AX93" s="42"/>
      <c r="AY93" s="42"/>
      <c r="AZ93" s="42"/>
      <c r="BA93" s="42"/>
      <c r="BB93" s="42"/>
    </row>
    <row r="94" spans="1:54" s="5" customFormat="1" x14ac:dyDescent="0.25">
      <c r="A94" s="7"/>
      <c r="B94" s="77"/>
      <c r="C94" s="78"/>
      <c r="D94" s="78"/>
      <c r="E94" s="83"/>
      <c r="F94" s="78"/>
      <c r="G94" s="77"/>
      <c r="H94" s="78"/>
      <c r="I94" s="83"/>
      <c r="J94" s="78"/>
      <c r="K94" s="83"/>
      <c r="L94" s="78"/>
      <c r="M94" s="78"/>
      <c r="N94" s="77"/>
      <c r="O94" s="78"/>
      <c r="P94" s="77"/>
      <c r="Q94" s="78"/>
      <c r="R94" s="77"/>
      <c r="S94" s="78"/>
      <c r="T94" s="77"/>
      <c r="U94" s="78"/>
      <c r="V94" s="77"/>
      <c r="W94" s="7"/>
      <c r="X94" s="27" t="str">
        <f t="shared" si="5"/>
        <v/>
      </c>
      <c r="Y94" s="3" t="s">
        <v>41</v>
      </c>
      <c r="Z94" s="3"/>
      <c r="AA94" s="3" t="s">
        <v>43</v>
      </c>
      <c r="AB94" s="18" t="s">
        <v>32</v>
      </c>
      <c r="AC94" s="3">
        <v>2000</v>
      </c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7"/>
      <c r="AO94" s="38"/>
      <c r="AP94" s="38"/>
      <c r="AQ94" s="38"/>
      <c r="AR94" s="43"/>
      <c r="AS94" s="42"/>
      <c r="AT94" s="42"/>
      <c r="AU94" s="42"/>
      <c r="AV94" s="42"/>
      <c r="AW94" s="42"/>
      <c r="AX94" s="42"/>
      <c r="AY94" s="42"/>
      <c r="AZ94" s="42"/>
      <c r="BA94" s="42"/>
      <c r="BB94" s="42"/>
    </row>
    <row r="95" spans="1:54" s="5" customFormat="1" x14ac:dyDescent="0.25">
      <c r="A95" s="7"/>
      <c r="B95" s="77"/>
      <c r="C95" s="78"/>
      <c r="D95" s="78"/>
      <c r="E95" s="83"/>
      <c r="F95" s="78"/>
      <c r="G95" s="77"/>
      <c r="H95" s="78"/>
      <c r="I95" s="83"/>
      <c r="J95" s="78"/>
      <c r="K95" s="83"/>
      <c r="L95" s="78"/>
      <c r="M95" s="78"/>
      <c r="N95" s="77"/>
      <c r="O95" s="78"/>
      <c r="P95" s="77"/>
      <c r="Q95" s="78"/>
      <c r="R95" s="77"/>
      <c r="S95" s="78"/>
      <c r="T95" s="77"/>
      <c r="U95" s="78"/>
      <c r="V95" s="77"/>
      <c r="W95" s="7"/>
      <c r="X95" s="27" t="str">
        <f t="shared" si="5"/>
        <v/>
      </c>
      <c r="Y95" s="3" t="s">
        <v>40</v>
      </c>
      <c r="Z95" s="3"/>
      <c r="AA95" s="3" t="s">
        <v>43</v>
      </c>
      <c r="AB95" s="18" t="s">
        <v>32</v>
      </c>
      <c r="AC95" s="3">
        <v>2100</v>
      </c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7"/>
      <c r="AO95" s="38"/>
      <c r="AP95" s="38"/>
      <c r="AQ95" s="38"/>
      <c r="AR95" s="43"/>
      <c r="AS95" s="42"/>
      <c r="AT95" s="42"/>
      <c r="AU95" s="42"/>
      <c r="AV95" s="42"/>
      <c r="AW95" s="42"/>
      <c r="AX95" s="42"/>
      <c r="AY95" s="42"/>
      <c r="AZ95" s="42"/>
      <c r="BA95" s="42"/>
      <c r="BB95" s="42"/>
    </row>
    <row r="96" spans="1:54" s="5" customFormat="1" x14ac:dyDescent="0.25">
      <c r="A96" s="7"/>
      <c r="B96" s="77"/>
      <c r="C96" s="78"/>
      <c r="D96" s="78"/>
      <c r="E96" s="83"/>
      <c r="F96" s="78"/>
      <c r="G96" s="77"/>
      <c r="H96" s="78"/>
      <c r="I96" s="83"/>
      <c r="J96" s="78"/>
      <c r="K96" s="83"/>
      <c r="L96" s="78"/>
      <c r="M96" s="78"/>
      <c r="N96" s="77"/>
      <c r="O96" s="78"/>
      <c r="P96" s="77"/>
      <c r="Q96" s="78"/>
      <c r="R96" s="77"/>
      <c r="S96" s="78"/>
      <c r="T96" s="77"/>
      <c r="U96" s="78"/>
      <c r="V96" s="77"/>
      <c r="W96" s="7"/>
      <c r="X96" s="27" t="str">
        <f t="shared" si="5"/>
        <v/>
      </c>
      <c r="Y96" s="3" t="s">
        <v>42</v>
      </c>
      <c r="Z96" s="3"/>
      <c r="AA96" s="3" t="s">
        <v>10</v>
      </c>
      <c r="AB96" s="18" t="s">
        <v>32</v>
      </c>
      <c r="AC96" s="3">
        <v>25</v>
      </c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7"/>
      <c r="AO96" s="38"/>
      <c r="AP96" s="38"/>
      <c r="AQ96" s="38"/>
      <c r="AR96" s="43"/>
      <c r="AS96" s="42"/>
      <c r="AT96" s="42"/>
      <c r="AU96" s="42"/>
      <c r="AV96" s="42"/>
      <c r="AW96" s="42"/>
      <c r="AX96" s="42"/>
      <c r="AY96" s="42"/>
      <c r="AZ96" s="42"/>
      <c r="BA96" s="42"/>
      <c r="BB96" s="42"/>
    </row>
    <row r="97" spans="1:54" s="5" customFormat="1" x14ac:dyDescent="0.25">
      <c r="A97" s="7"/>
      <c r="B97" s="77"/>
      <c r="C97" s="78"/>
      <c r="D97" s="78"/>
      <c r="E97" s="83"/>
      <c r="F97" s="78"/>
      <c r="G97" s="77"/>
      <c r="H97" s="78"/>
      <c r="I97" s="83"/>
      <c r="J97" s="78"/>
      <c r="K97" s="83"/>
      <c r="L97" s="78"/>
      <c r="M97" s="78"/>
      <c r="N97" s="77"/>
      <c r="O97" s="78"/>
      <c r="P97" s="77"/>
      <c r="Q97" s="78"/>
      <c r="R97" s="77"/>
      <c r="S97" s="78"/>
      <c r="T97" s="77"/>
      <c r="U97" s="78"/>
      <c r="V97" s="77"/>
      <c r="W97" s="7"/>
      <c r="X97" s="27" t="str">
        <f t="shared" si="5"/>
        <v/>
      </c>
      <c r="Y97" s="3" t="s">
        <v>68</v>
      </c>
      <c r="Z97" s="3"/>
      <c r="AA97" s="3" t="s">
        <v>119</v>
      </c>
      <c r="AB97" s="18" t="s">
        <v>32</v>
      </c>
      <c r="AC97" s="3">
        <v>0.25</v>
      </c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7"/>
      <c r="AO97" s="38"/>
      <c r="AP97" s="38"/>
      <c r="AQ97" s="38"/>
      <c r="AR97" s="43"/>
      <c r="AS97" s="42"/>
      <c r="AT97" s="42"/>
      <c r="AU97" s="42"/>
      <c r="AV97" s="42"/>
      <c r="AW97" s="42"/>
      <c r="AX97" s="42"/>
      <c r="AY97" s="42"/>
      <c r="AZ97" s="42"/>
      <c r="BA97" s="42"/>
      <c r="BB97" s="42"/>
    </row>
    <row r="98" spans="1:54" s="5" customFormat="1" x14ac:dyDescent="0.25">
      <c r="A98" s="7"/>
      <c r="B98" s="77"/>
      <c r="C98" s="78"/>
      <c r="D98" s="78"/>
      <c r="E98" s="83"/>
      <c r="F98" s="78"/>
      <c r="G98" s="77"/>
      <c r="H98" s="78"/>
      <c r="I98" s="83"/>
      <c r="J98" s="78"/>
      <c r="K98" s="83"/>
      <c r="L98" s="78"/>
      <c r="M98" s="78"/>
      <c r="N98" s="77"/>
      <c r="O98" s="78"/>
      <c r="P98" s="77"/>
      <c r="Q98" s="78"/>
      <c r="R98" s="77"/>
      <c r="S98" s="78"/>
      <c r="T98" s="77"/>
      <c r="U98" s="78"/>
      <c r="V98" s="77"/>
      <c r="W98" s="7"/>
      <c r="X98" s="27" t="str">
        <f t="shared" si="5"/>
        <v/>
      </c>
      <c r="Y98" s="3" t="s">
        <v>38</v>
      </c>
      <c r="Z98" s="3"/>
      <c r="AA98" s="3" t="s">
        <v>69</v>
      </c>
      <c r="AB98" s="18" t="s">
        <v>32</v>
      </c>
      <c r="AC98" s="23">
        <v>10548</v>
      </c>
      <c r="AD98" s="167">
        <f t="shared" ref="AD98:AM98" si="12">AC98</f>
        <v>10548</v>
      </c>
      <c r="AE98" s="167">
        <f t="shared" si="12"/>
        <v>10548</v>
      </c>
      <c r="AF98" s="167">
        <f t="shared" si="12"/>
        <v>10548</v>
      </c>
      <c r="AG98" s="167">
        <f t="shared" si="12"/>
        <v>10548</v>
      </c>
      <c r="AH98" s="167">
        <f t="shared" si="12"/>
        <v>10548</v>
      </c>
      <c r="AI98" s="167">
        <f t="shared" si="12"/>
        <v>10548</v>
      </c>
      <c r="AJ98" s="167">
        <f t="shared" si="12"/>
        <v>10548</v>
      </c>
      <c r="AK98" s="167">
        <f t="shared" si="12"/>
        <v>10548</v>
      </c>
      <c r="AL98" s="167">
        <f t="shared" si="12"/>
        <v>10548</v>
      </c>
      <c r="AM98" s="167">
        <f t="shared" si="12"/>
        <v>10548</v>
      </c>
      <c r="AN98" s="7"/>
      <c r="AO98" s="38"/>
      <c r="AP98" s="38"/>
      <c r="AQ98" s="38"/>
      <c r="AR98" s="43"/>
      <c r="AS98" s="42"/>
      <c r="AT98" s="42"/>
      <c r="AU98" s="42"/>
      <c r="AV98" s="42"/>
      <c r="AW98" s="42"/>
      <c r="AX98" s="42"/>
      <c r="AY98" s="42"/>
      <c r="AZ98" s="42"/>
      <c r="BA98" s="42"/>
      <c r="BB98" s="42"/>
    </row>
    <row r="99" spans="1:54" s="5" customFormat="1" x14ac:dyDescent="0.25">
      <c r="A99" s="7"/>
      <c r="B99" s="77"/>
      <c r="C99" s="78"/>
      <c r="D99" s="78"/>
      <c r="E99" s="83"/>
      <c r="F99" s="78"/>
      <c r="G99" s="77"/>
      <c r="H99" s="78"/>
      <c r="I99" s="83"/>
      <c r="J99" s="78"/>
      <c r="K99" s="83"/>
      <c r="L99" s="78"/>
      <c r="M99" s="78"/>
      <c r="N99" s="77"/>
      <c r="O99" s="78"/>
      <c r="P99" s="77"/>
      <c r="Q99" s="78"/>
      <c r="R99" s="77"/>
      <c r="S99" s="78"/>
      <c r="T99" s="77"/>
      <c r="U99" s="78"/>
      <c r="V99" s="77"/>
      <c r="W99" s="7"/>
      <c r="X99" s="27" t="str">
        <f t="shared" si="5"/>
        <v/>
      </c>
      <c r="Y99" s="3" t="s">
        <v>44</v>
      </c>
      <c r="Z99" s="3"/>
      <c r="AA99" s="3" t="s">
        <v>69</v>
      </c>
      <c r="AB99" s="18" t="s">
        <v>32</v>
      </c>
      <c r="AC99" s="23"/>
      <c r="AD99" s="167"/>
      <c r="AE99" s="167"/>
      <c r="AF99" s="167"/>
      <c r="AG99" s="167"/>
      <c r="AH99" s="167"/>
      <c r="AI99" s="167"/>
      <c r="AJ99" s="167"/>
      <c r="AK99" s="167"/>
      <c r="AL99" s="167"/>
      <c r="AM99" s="167"/>
      <c r="AN99" s="7"/>
      <c r="AO99" s="38"/>
      <c r="AP99" s="38"/>
      <c r="AQ99" s="38"/>
      <c r="AR99" s="43"/>
      <c r="AS99" s="42"/>
      <c r="AT99" s="42"/>
      <c r="AU99" s="42"/>
      <c r="AV99" s="42"/>
      <c r="AW99" s="42"/>
      <c r="AX99" s="42"/>
      <c r="AY99" s="42"/>
      <c r="AZ99" s="42"/>
      <c r="BA99" s="42"/>
      <c r="BB99" s="42"/>
    </row>
    <row r="100" spans="1:54" s="5" customFormat="1" x14ac:dyDescent="0.25">
      <c r="A100" s="7"/>
      <c r="B100" s="77"/>
      <c r="C100" s="78"/>
      <c r="D100" s="78"/>
      <c r="E100" s="83"/>
      <c r="F100" s="78"/>
      <c r="G100" s="77"/>
      <c r="H100" s="78"/>
      <c r="I100" s="83"/>
      <c r="J100" s="78"/>
      <c r="K100" s="83"/>
      <c r="L100" s="78"/>
      <c r="M100" s="78"/>
      <c r="N100" s="77"/>
      <c r="O100" s="78"/>
      <c r="P100" s="77"/>
      <c r="Q100" s="78"/>
      <c r="R100" s="77"/>
      <c r="S100" s="78"/>
      <c r="T100" s="77"/>
      <c r="U100" s="78"/>
      <c r="V100" s="77"/>
      <c r="W100" s="7"/>
      <c r="X100" s="27" t="str">
        <f t="shared" si="5"/>
        <v/>
      </c>
      <c r="Y100" s="3" t="s">
        <v>51</v>
      </c>
      <c r="Z100" s="3"/>
      <c r="AA100" s="3" t="s">
        <v>69</v>
      </c>
      <c r="AB100" s="18" t="s">
        <v>32</v>
      </c>
      <c r="AC100" s="23"/>
      <c r="AD100" s="167"/>
      <c r="AE100" s="167"/>
      <c r="AF100" s="167"/>
      <c r="AG100" s="167"/>
      <c r="AH100" s="167"/>
      <c r="AI100" s="167"/>
      <c r="AJ100" s="167"/>
      <c r="AK100" s="167"/>
      <c r="AL100" s="167"/>
      <c r="AM100" s="167"/>
      <c r="AN100" s="7"/>
      <c r="AO100" s="38"/>
      <c r="AP100" s="38"/>
      <c r="AQ100" s="38"/>
      <c r="AR100" s="43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</row>
    <row r="101" spans="1:54" s="5" customFormat="1" x14ac:dyDescent="0.25">
      <c r="A101" s="7"/>
      <c r="B101" s="77"/>
      <c r="C101" s="78"/>
      <c r="D101" s="78"/>
      <c r="E101" s="83"/>
      <c r="F101" s="78"/>
      <c r="G101" s="77"/>
      <c r="H101" s="78"/>
      <c r="I101" s="83"/>
      <c r="J101" s="78"/>
      <c r="K101" s="83"/>
      <c r="L101" s="78"/>
      <c r="M101" s="78"/>
      <c r="N101" s="77"/>
      <c r="O101" s="78"/>
      <c r="P101" s="77"/>
      <c r="Q101" s="78"/>
      <c r="R101" s="77"/>
      <c r="S101" s="78"/>
      <c r="T101" s="77"/>
      <c r="U101" s="78"/>
      <c r="V101" s="77"/>
      <c r="W101" s="7"/>
      <c r="X101" s="27" t="str">
        <f t="shared" si="5"/>
        <v/>
      </c>
      <c r="Y101" s="3" t="s">
        <v>200</v>
      </c>
      <c r="Z101" s="3"/>
      <c r="AA101" s="3" t="s">
        <v>119</v>
      </c>
      <c r="AB101" s="18" t="s">
        <v>32</v>
      </c>
      <c r="AC101" s="3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7"/>
      <c r="AO101" s="38"/>
      <c r="AP101" s="38"/>
      <c r="AQ101" s="38"/>
      <c r="AR101" s="43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</row>
    <row r="102" spans="1:54" s="5" customFormat="1" x14ac:dyDescent="0.25">
      <c r="A102" s="7"/>
      <c r="B102" s="77"/>
      <c r="C102" s="78"/>
      <c r="D102" s="78"/>
      <c r="E102" s="83"/>
      <c r="F102" s="78"/>
      <c r="G102" s="77"/>
      <c r="H102" s="78"/>
      <c r="I102" s="83"/>
      <c r="J102" s="78"/>
      <c r="K102" s="83"/>
      <c r="L102" s="78"/>
      <c r="M102" s="78"/>
      <c r="N102" s="77"/>
      <c r="O102" s="78"/>
      <c r="P102" s="77"/>
      <c r="Q102" s="78"/>
      <c r="R102" s="77"/>
      <c r="S102" s="78"/>
      <c r="T102" s="77"/>
      <c r="U102" s="78"/>
      <c r="V102" s="77"/>
      <c r="W102" s="7"/>
      <c r="X102" s="27" t="str">
        <f t="shared" si="5"/>
        <v/>
      </c>
      <c r="Y102" s="3" t="s">
        <v>201</v>
      </c>
      <c r="Z102" s="3"/>
      <c r="AA102" s="3" t="s">
        <v>119</v>
      </c>
      <c r="AB102" s="18" t="s">
        <v>32</v>
      </c>
      <c r="AC102" s="3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7"/>
      <c r="AO102" s="38"/>
      <c r="AP102" s="38"/>
      <c r="AQ102" s="38"/>
      <c r="AR102" s="43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</row>
    <row r="103" spans="1:54" s="5" customFormat="1" x14ac:dyDescent="0.25">
      <c r="A103" s="7"/>
      <c r="B103" s="77"/>
      <c r="C103" s="78"/>
      <c r="D103" s="78"/>
      <c r="E103" s="83"/>
      <c r="F103" s="78"/>
      <c r="G103" s="77"/>
      <c r="H103" s="78"/>
      <c r="I103" s="83"/>
      <c r="J103" s="78"/>
      <c r="K103" s="83"/>
      <c r="L103" s="78"/>
      <c r="M103" s="78"/>
      <c r="N103" s="77"/>
      <c r="O103" s="78"/>
      <c r="P103" s="77"/>
      <c r="Q103" s="78"/>
      <c r="R103" s="77"/>
      <c r="S103" s="78"/>
      <c r="T103" s="77"/>
      <c r="U103" s="78"/>
      <c r="V103" s="77"/>
      <c r="W103" s="7"/>
      <c r="X103" s="27" t="str">
        <f t="shared" si="5"/>
        <v/>
      </c>
      <c r="Y103" s="3" t="s">
        <v>95</v>
      </c>
      <c r="Z103" s="3" t="s">
        <v>155</v>
      </c>
      <c r="AA103" s="3" t="s">
        <v>54</v>
      </c>
      <c r="AB103" s="18" t="s">
        <v>32</v>
      </c>
      <c r="AC103" s="22">
        <v>0.36</v>
      </c>
      <c r="AD103" s="166">
        <f t="shared" ref="AD103:AM103" si="13">AC103</f>
        <v>0.36</v>
      </c>
      <c r="AE103" s="166">
        <f t="shared" si="13"/>
        <v>0.36</v>
      </c>
      <c r="AF103" s="166">
        <f t="shared" si="13"/>
        <v>0.36</v>
      </c>
      <c r="AG103" s="166">
        <f t="shared" si="13"/>
        <v>0.36</v>
      </c>
      <c r="AH103" s="166">
        <f t="shared" si="13"/>
        <v>0.36</v>
      </c>
      <c r="AI103" s="166">
        <f t="shared" si="13"/>
        <v>0.36</v>
      </c>
      <c r="AJ103" s="166">
        <f t="shared" si="13"/>
        <v>0.36</v>
      </c>
      <c r="AK103" s="166">
        <f t="shared" si="13"/>
        <v>0.36</v>
      </c>
      <c r="AL103" s="166">
        <f t="shared" si="13"/>
        <v>0.36</v>
      </c>
      <c r="AM103" s="166">
        <f t="shared" si="13"/>
        <v>0.36</v>
      </c>
      <c r="AN103" s="7"/>
      <c r="AO103" s="38"/>
      <c r="AP103" s="38"/>
      <c r="AQ103" s="38"/>
      <c r="AR103" s="43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</row>
    <row r="104" spans="1:54" s="5" customFormat="1" x14ac:dyDescent="0.25">
      <c r="A104" s="7"/>
      <c r="B104" s="77"/>
      <c r="C104" s="78"/>
      <c r="D104" s="78"/>
      <c r="E104" s="83"/>
      <c r="F104" s="78"/>
      <c r="G104" s="77"/>
      <c r="H104" s="78"/>
      <c r="I104" s="83"/>
      <c r="J104" s="78"/>
      <c r="K104" s="83"/>
      <c r="L104" s="78"/>
      <c r="M104" s="78"/>
      <c r="N104" s="77"/>
      <c r="O104" s="78"/>
      <c r="P104" s="77"/>
      <c r="Q104" s="78"/>
      <c r="R104" s="77"/>
      <c r="S104" s="78"/>
      <c r="T104" s="77"/>
      <c r="U104" s="78"/>
      <c r="V104" s="77"/>
      <c r="W104" s="7"/>
      <c r="X104" s="27" t="str">
        <f t="shared" si="5"/>
        <v/>
      </c>
      <c r="Y104" s="3" t="s">
        <v>95</v>
      </c>
      <c r="Z104" s="3" t="s">
        <v>156</v>
      </c>
      <c r="AA104" s="3" t="s">
        <v>54</v>
      </c>
      <c r="AB104" s="18" t="s">
        <v>32</v>
      </c>
      <c r="AC104" s="22">
        <v>3.9E-2</v>
      </c>
      <c r="AD104" s="166">
        <f t="shared" ref="AD104:AM104" si="14">AC104</f>
        <v>3.9E-2</v>
      </c>
      <c r="AE104" s="166">
        <f t="shared" si="14"/>
        <v>3.9E-2</v>
      </c>
      <c r="AF104" s="166">
        <f t="shared" si="14"/>
        <v>3.9E-2</v>
      </c>
      <c r="AG104" s="166">
        <f t="shared" si="14"/>
        <v>3.9E-2</v>
      </c>
      <c r="AH104" s="166">
        <f t="shared" si="14"/>
        <v>3.9E-2</v>
      </c>
      <c r="AI104" s="166">
        <f t="shared" si="14"/>
        <v>3.9E-2</v>
      </c>
      <c r="AJ104" s="166">
        <f t="shared" si="14"/>
        <v>3.9E-2</v>
      </c>
      <c r="AK104" s="166">
        <f t="shared" si="14"/>
        <v>3.9E-2</v>
      </c>
      <c r="AL104" s="166">
        <f t="shared" si="14"/>
        <v>3.9E-2</v>
      </c>
      <c r="AM104" s="166">
        <f t="shared" si="14"/>
        <v>3.9E-2</v>
      </c>
      <c r="AN104" s="7"/>
      <c r="AO104" s="38"/>
      <c r="AP104" s="38"/>
      <c r="AQ104" s="38"/>
      <c r="AR104" s="43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</row>
    <row r="105" spans="1:54" s="5" customFormat="1" x14ac:dyDescent="0.25">
      <c r="A105" s="7"/>
      <c r="B105" s="77"/>
      <c r="C105" s="78"/>
      <c r="D105" s="78"/>
      <c r="E105" s="83"/>
      <c r="F105" s="78"/>
      <c r="G105" s="77"/>
      <c r="H105" s="78"/>
      <c r="I105" s="83"/>
      <c r="J105" s="78"/>
      <c r="K105" s="83"/>
      <c r="L105" s="78"/>
      <c r="M105" s="78"/>
      <c r="N105" s="77"/>
      <c r="O105" s="78"/>
      <c r="P105" s="77"/>
      <c r="Q105" s="78"/>
      <c r="R105" s="77"/>
      <c r="S105" s="78"/>
      <c r="T105" s="77"/>
      <c r="U105" s="78"/>
      <c r="V105" s="77"/>
      <c r="W105" s="7"/>
      <c r="X105" s="27" t="str">
        <f t="shared" si="5"/>
        <v/>
      </c>
      <c r="Y105" s="3" t="s">
        <v>92</v>
      </c>
      <c r="Z105" s="3"/>
      <c r="AA105" s="3" t="s">
        <v>119</v>
      </c>
      <c r="AB105" s="18" t="s">
        <v>32</v>
      </c>
      <c r="AC105" s="22">
        <v>0</v>
      </c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7"/>
      <c r="AO105" s="38"/>
      <c r="AP105" s="38"/>
      <c r="AQ105" s="38"/>
      <c r="AR105" s="43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</row>
    <row r="106" spans="1:54" s="5" customFormat="1" x14ac:dyDescent="0.25">
      <c r="A106" s="7"/>
      <c r="B106" s="77"/>
      <c r="C106" s="78"/>
      <c r="D106" s="78"/>
      <c r="E106" s="83"/>
      <c r="F106" s="78"/>
      <c r="G106" s="77"/>
      <c r="H106" s="78"/>
      <c r="I106" s="83"/>
      <c r="J106" s="78"/>
      <c r="K106" s="83"/>
      <c r="L106" s="78"/>
      <c r="M106" s="78"/>
      <c r="N106" s="77"/>
      <c r="O106" s="78"/>
      <c r="P106" s="77"/>
      <c r="Q106" s="78"/>
      <c r="R106" s="77"/>
      <c r="S106" s="78"/>
      <c r="T106" s="77"/>
      <c r="U106" s="78"/>
      <c r="V106" s="77"/>
      <c r="W106" s="7"/>
      <c r="X106" s="27" t="str">
        <f t="shared" ref="X106:X118" si="15">IFERROR(INDEX($B106:$V106,MATCH(TRUE,INDEX(($B106:$V106&lt;&gt;0),0),0)),"")</f>
        <v/>
      </c>
      <c r="Y106" s="3" t="s">
        <v>64</v>
      </c>
      <c r="Z106" s="3"/>
      <c r="AA106" s="3"/>
      <c r="AB106" s="90" t="s">
        <v>33</v>
      </c>
      <c r="AC106" s="3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7"/>
      <c r="AO106" s="38"/>
      <c r="AP106" s="38"/>
      <c r="AQ106" s="38"/>
      <c r="AR106" s="43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</row>
    <row r="107" spans="1:54" s="5" customFormat="1" x14ac:dyDescent="0.25">
      <c r="A107" s="7"/>
      <c r="B107" s="77"/>
      <c r="C107" s="78"/>
      <c r="D107" s="78"/>
      <c r="E107" s="83"/>
      <c r="F107" s="78"/>
      <c r="G107" s="77"/>
      <c r="H107" s="78"/>
      <c r="I107" s="83"/>
      <c r="J107" s="78"/>
      <c r="K107" s="83"/>
      <c r="L107" s="78"/>
      <c r="M107" s="78"/>
      <c r="N107" s="77"/>
      <c r="O107" s="78"/>
      <c r="P107" s="77"/>
      <c r="Q107" s="78"/>
      <c r="R107" s="77"/>
      <c r="S107" s="78"/>
      <c r="T107" s="77"/>
      <c r="U107" s="78"/>
      <c r="V107" s="77"/>
      <c r="W107" s="7"/>
      <c r="X107" s="27" t="str">
        <f t="shared" si="15"/>
        <v/>
      </c>
      <c r="Y107" s="3" t="s">
        <v>41</v>
      </c>
      <c r="Z107" s="3"/>
      <c r="AA107" s="3" t="s">
        <v>43</v>
      </c>
      <c r="AB107" s="18" t="s">
        <v>33</v>
      </c>
      <c r="AC107" s="3">
        <v>2015</v>
      </c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7"/>
      <c r="AO107" s="38"/>
      <c r="AP107" s="38"/>
      <c r="AQ107" s="38"/>
      <c r="AR107" s="43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</row>
    <row r="108" spans="1:54" s="5" customFormat="1" x14ac:dyDescent="0.25">
      <c r="A108" s="7"/>
      <c r="B108" s="77"/>
      <c r="C108" s="78"/>
      <c r="D108" s="78"/>
      <c r="E108" s="83"/>
      <c r="F108" s="78"/>
      <c r="G108" s="77"/>
      <c r="H108" s="78"/>
      <c r="I108" s="83"/>
      <c r="J108" s="78"/>
      <c r="K108" s="83"/>
      <c r="L108" s="78"/>
      <c r="M108" s="78"/>
      <c r="N108" s="77"/>
      <c r="O108" s="78"/>
      <c r="P108" s="77"/>
      <c r="Q108" s="78"/>
      <c r="R108" s="77"/>
      <c r="S108" s="78"/>
      <c r="T108" s="77"/>
      <c r="U108" s="78"/>
      <c r="V108" s="77"/>
      <c r="W108" s="7"/>
      <c r="X108" s="27" t="str">
        <f t="shared" si="15"/>
        <v/>
      </c>
      <c r="Y108" s="3" t="s">
        <v>40</v>
      </c>
      <c r="Z108" s="3"/>
      <c r="AA108" s="3" t="s">
        <v>43</v>
      </c>
      <c r="AB108" s="18" t="s">
        <v>33</v>
      </c>
      <c r="AC108" s="3">
        <v>2100</v>
      </c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7"/>
      <c r="AO108" s="38"/>
      <c r="AP108" s="38"/>
      <c r="AQ108" s="38"/>
      <c r="AR108" s="43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</row>
    <row r="109" spans="1:54" s="5" customFormat="1" x14ac:dyDescent="0.25">
      <c r="A109" s="7"/>
      <c r="B109" s="77"/>
      <c r="C109" s="78"/>
      <c r="D109" s="78"/>
      <c r="E109" s="83"/>
      <c r="F109" s="78"/>
      <c r="G109" s="77"/>
      <c r="H109" s="78"/>
      <c r="I109" s="83"/>
      <c r="J109" s="78"/>
      <c r="K109" s="83"/>
      <c r="L109" s="78"/>
      <c r="M109" s="78"/>
      <c r="N109" s="77"/>
      <c r="O109" s="78"/>
      <c r="P109" s="77"/>
      <c r="Q109" s="78"/>
      <c r="R109" s="77"/>
      <c r="S109" s="78"/>
      <c r="T109" s="77"/>
      <c r="U109" s="78"/>
      <c r="V109" s="77"/>
      <c r="W109" s="7"/>
      <c r="X109" s="27" t="str">
        <f t="shared" si="15"/>
        <v/>
      </c>
      <c r="Y109" s="3" t="s">
        <v>42</v>
      </c>
      <c r="Z109" s="3"/>
      <c r="AA109" s="3" t="s">
        <v>10</v>
      </c>
      <c r="AB109" s="18" t="s">
        <v>33</v>
      </c>
      <c r="AC109" s="3">
        <v>25</v>
      </c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7"/>
      <c r="AO109" s="38"/>
      <c r="AP109" s="38"/>
      <c r="AQ109" s="38"/>
      <c r="AR109" s="43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</row>
    <row r="110" spans="1:54" s="5" customFormat="1" x14ac:dyDescent="0.25">
      <c r="A110" s="7"/>
      <c r="B110" s="77"/>
      <c r="C110" s="78"/>
      <c r="D110" s="78"/>
      <c r="E110" s="83"/>
      <c r="F110" s="78"/>
      <c r="G110" s="77"/>
      <c r="H110" s="78"/>
      <c r="I110" s="83"/>
      <c r="J110" s="78"/>
      <c r="K110" s="83"/>
      <c r="L110" s="78"/>
      <c r="M110" s="78"/>
      <c r="N110" s="77"/>
      <c r="O110" s="78"/>
      <c r="P110" s="77"/>
      <c r="Q110" s="78"/>
      <c r="R110" s="77"/>
      <c r="S110" s="78"/>
      <c r="T110" s="77"/>
      <c r="U110" s="78"/>
      <c r="V110" s="77"/>
      <c r="W110" s="7"/>
      <c r="X110" s="27" t="str">
        <f t="shared" si="15"/>
        <v/>
      </c>
      <c r="Y110" s="3" t="s">
        <v>68</v>
      </c>
      <c r="Z110" s="3"/>
      <c r="AA110" s="3" t="s">
        <v>119</v>
      </c>
      <c r="AB110" s="18" t="s">
        <v>33</v>
      </c>
      <c r="AC110" s="3">
        <v>0.25</v>
      </c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7"/>
      <c r="AO110" s="38"/>
      <c r="AP110" s="38"/>
      <c r="AQ110" s="38"/>
      <c r="AR110" s="43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</row>
    <row r="111" spans="1:54" s="5" customFormat="1" x14ac:dyDescent="0.25">
      <c r="A111" s="7"/>
      <c r="B111" s="77"/>
      <c r="C111" s="78"/>
      <c r="D111" s="78"/>
      <c r="E111" s="83"/>
      <c r="F111" s="78"/>
      <c r="G111" s="77"/>
      <c r="H111" s="78"/>
      <c r="I111" s="83"/>
      <c r="J111" s="78"/>
      <c r="K111" s="83"/>
      <c r="L111" s="78"/>
      <c r="M111" s="78"/>
      <c r="N111" s="77"/>
      <c r="O111" s="78"/>
      <c r="P111" s="77"/>
      <c r="Q111" s="78"/>
      <c r="R111" s="77"/>
      <c r="S111" s="78"/>
      <c r="T111" s="77"/>
      <c r="U111" s="78"/>
      <c r="V111" s="77"/>
      <c r="W111" s="7"/>
      <c r="X111" s="27" t="str">
        <f t="shared" si="15"/>
        <v/>
      </c>
      <c r="Y111" s="3" t="s">
        <v>38</v>
      </c>
      <c r="Z111" s="3"/>
      <c r="AA111" s="3" t="s">
        <v>69</v>
      </c>
      <c r="AB111" s="18" t="s">
        <v>33</v>
      </c>
      <c r="AC111" s="23">
        <v>18325</v>
      </c>
      <c r="AD111" s="167">
        <f t="shared" ref="AD111:AM111" si="16">AC111</f>
        <v>18325</v>
      </c>
      <c r="AE111" s="167">
        <f t="shared" si="16"/>
        <v>18325</v>
      </c>
      <c r="AF111" s="167">
        <f t="shared" si="16"/>
        <v>18325</v>
      </c>
      <c r="AG111" s="167">
        <f t="shared" si="16"/>
        <v>18325</v>
      </c>
      <c r="AH111" s="167">
        <f t="shared" si="16"/>
        <v>18325</v>
      </c>
      <c r="AI111" s="167">
        <f t="shared" si="16"/>
        <v>18325</v>
      </c>
      <c r="AJ111" s="167">
        <f t="shared" si="16"/>
        <v>18325</v>
      </c>
      <c r="AK111" s="167">
        <f t="shared" si="16"/>
        <v>18325</v>
      </c>
      <c r="AL111" s="167">
        <f t="shared" si="16"/>
        <v>18325</v>
      </c>
      <c r="AM111" s="167">
        <f t="shared" si="16"/>
        <v>18325</v>
      </c>
      <c r="AN111" s="7"/>
      <c r="AO111" s="38"/>
      <c r="AP111" s="38"/>
      <c r="AQ111" s="38"/>
      <c r="AR111" s="43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</row>
    <row r="112" spans="1:54" s="5" customFormat="1" x14ac:dyDescent="0.25">
      <c r="A112" s="7"/>
      <c r="B112" s="77"/>
      <c r="C112" s="78"/>
      <c r="D112" s="78"/>
      <c r="E112" s="83"/>
      <c r="F112" s="78"/>
      <c r="G112" s="77"/>
      <c r="H112" s="78"/>
      <c r="I112" s="83"/>
      <c r="J112" s="78"/>
      <c r="K112" s="83"/>
      <c r="L112" s="78"/>
      <c r="M112" s="78"/>
      <c r="N112" s="77"/>
      <c r="O112" s="78"/>
      <c r="P112" s="77"/>
      <c r="Q112" s="78"/>
      <c r="R112" s="77"/>
      <c r="S112" s="78"/>
      <c r="T112" s="77"/>
      <c r="U112" s="78"/>
      <c r="V112" s="77"/>
      <c r="W112" s="7"/>
      <c r="X112" s="27" t="str">
        <f t="shared" si="15"/>
        <v/>
      </c>
      <c r="Y112" s="3" t="s">
        <v>44</v>
      </c>
      <c r="Z112" s="3"/>
      <c r="AA112" s="3" t="s">
        <v>69</v>
      </c>
      <c r="AB112" s="18" t="s">
        <v>33</v>
      </c>
      <c r="AC112" s="23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  <c r="AN112" s="7"/>
      <c r="AO112" s="38"/>
      <c r="AP112" s="38"/>
      <c r="AQ112" s="38"/>
      <c r="AR112" s="43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</row>
    <row r="113" spans="1:54" s="5" customFormat="1" x14ac:dyDescent="0.25">
      <c r="A113" s="7"/>
      <c r="B113" s="77"/>
      <c r="C113" s="78"/>
      <c r="D113" s="78"/>
      <c r="E113" s="83"/>
      <c r="F113" s="78"/>
      <c r="G113" s="77"/>
      <c r="H113" s="78"/>
      <c r="I113" s="83"/>
      <c r="J113" s="78"/>
      <c r="K113" s="83"/>
      <c r="L113" s="78"/>
      <c r="M113" s="78"/>
      <c r="N113" s="77"/>
      <c r="O113" s="78"/>
      <c r="P113" s="77"/>
      <c r="Q113" s="78"/>
      <c r="R113" s="77"/>
      <c r="S113" s="78"/>
      <c r="T113" s="77"/>
      <c r="U113" s="78"/>
      <c r="V113" s="77"/>
      <c r="W113" s="7"/>
      <c r="X113" s="27" t="str">
        <f t="shared" si="15"/>
        <v/>
      </c>
      <c r="Y113" s="3" t="s">
        <v>51</v>
      </c>
      <c r="Z113" s="3"/>
      <c r="AA113" s="3" t="s">
        <v>69</v>
      </c>
      <c r="AB113" s="18" t="s">
        <v>33</v>
      </c>
      <c r="AC113" s="23"/>
      <c r="AD113" s="167"/>
      <c r="AE113" s="167"/>
      <c r="AF113" s="167"/>
      <c r="AG113" s="167"/>
      <c r="AH113" s="167"/>
      <c r="AI113" s="167"/>
      <c r="AJ113" s="167"/>
      <c r="AK113" s="167"/>
      <c r="AL113" s="167"/>
      <c r="AM113" s="167"/>
      <c r="AN113" s="7"/>
      <c r="AO113" s="38"/>
      <c r="AP113" s="38"/>
      <c r="AQ113" s="38"/>
      <c r="AR113" s="43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</row>
    <row r="114" spans="1:54" s="5" customFormat="1" x14ac:dyDescent="0.25">
      <c r="A114" s="7"/>
      <c r="B114" s="77"/>
      <c r="C114" s="78"/>
      <c r="D114" s="78"/>
      <c r="E114" s="83"/>
      <c r="F114" s="78"/>
      <c r="G114" s="77"/>
      <c r="H114" s="78"/>
      <c r="I114" s="83"/>
      <c r="J114" s="78"/>
      <c r="K114" s="83"/>
      <c r="L114" s="78"/>
      <c r="M114" s="78"/>
      <c r="N114" s="77"/>
      <c r="O114" s="78"/>
      <c r="P114" s="77"/>
      <c r="Q114" s="78"/>
      <c r="R114" s="77"/>
      <c r="S114" s="78"/>
      <c r="T114" s="77"/>
      <c r="U114" s="78"/>
      <c r="V114" s="77"/>
      <c r="W114" s="7"/>
      <c r="X114" s="27" t="str">
        <f t="shared" si="15"/>
        <v/>
      </c>
      <c r="Y114" s="3" t="s">
        <v>200</v>
      </c>
      <c r="Z114" s="3"/>
      <c r="AA114" s="3" t="s">
        <v>119</v>
      </c>
      <c r="AB114" s="18" t="s">
        <v>33</v>
      </c>
      <c r="AC114" s="3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7"/>
      <c r="AO114" s="38"/>
      <c r="AP114" s="38"/>
      <c r="AQ114" s="38"/>
      <c r="AR114" s="43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</row>
    <row r="115" spans="1:54" s="5" customFormat="1" x14ac:dyDescent="0.25">
      <c r="A115" s="7"/>
      <c r="B115" s="77"/>
      <c r="C115" s="78"/>
      <c r="D115" s="78"/>
      <c r="E115" s="83"/>
      <c r="F115" s="78"/>
      <c r="G115" s="77"/>
      <c r="H115" s="78"/>
      <c r="I115" s="83"/>
      <c r="J115" s="78"/>
      <c r="K115" s="83"/>
      <c r="L115" s="78"/>
      <c r="M115" s="78"/>
      <c r="N115" s="77"/>
      <c r="O115" s="78"/>
      <c r="P115" s="77"/>
      <c r="Q115" s="78"/>
      <c r="R115" s="77"/>
      <c r="S115" s="78"/>
      <c r="T115" s="77"/>
      <c r="U115" s="78"/>
      <c r="V115" s="77"/>
      <c r="W115" s="7"/>
      <c r="X115" s="27" t="str">
        <f t="shared" si="15"/>
        <v/>
      </c>
      <c r="Y115" s="3" t="s">
        <v>201</v>
      </c>
      <c r="Z115" s="3"/>
      <c r="AA115" s="3" t="s">
        <v>119</v>
      </c>
      <c r="AB115" s="18" t="s">
        <v>33</v>
      </c>
      <c r="AC115" s="3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7"/>
      <c r="AO115" s="38"/>
      <c r="AP115" s="38"/>
      <c r="AQ115" s="38"/>
      <c r="AR115" s="43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</row>
    <row r="116" spans="1:54" s="5" customFormat="1" x14ac:dyDescent="0.25">
      <c r="A116" s="7"/>
      <c r="B116" s="77"/>
      <c r="C116" s="78"/>
      <c r="D116" s="78"/>
      <c r="E116" s="83"/>
      <c r="F116" s="78"/>
      <c r="G116" s="77"/>
      <c r="H116" s="78"/>
      <c r="I116" s="83"/>
      <c r="J116" s="78"/>
      <c r="K116" s="83"/>
      <c r="L116" s="78"/>
      <c r="M116" s="78"/>
      <c r="N116" s="77"/>
      <c r="O116" s="78"/>
      <c r="P116" s="77"/>
      <c r="Q116" s="78"/>
      <c r="R116" s="77"/>
      <c r="S116" s="78"/>
      <c r="T116" s="77"/>
      <c r="U116" s="78"/>
      <c r="V116" s="77"/>
      <c r="W116" s="7"/>
      <c r="X116" s="27" t="str">
        <f t="shared" si="15"/>
        <v/>
      </c>
      <c r="Y116" s="3" t="s">
        <v>95</v>
      </c>
      <c r="Z116" s="3" t="s">
        <v>155</v>
      </c>
      <c r="AA116" s="3" t="s">
        <v>54</v>
      </c>
      <c r="AB116" s="18" t="s">
        <v>33</v>
      </c>
      <c r="AC116" s="22">
        <v>0.309</v>
      </c>
      <c r="AD116" s="166">
        <f t="shared" ref="AD116:AM116" si="17">AC116</f>
        <v>0.309</v>
      </c>
      <c r="AE116" s="166">
        <f t="shared" si="17"/>
        <v>0.309</v>
      </c>
      <c r="AF116" s="166">
        <f t="shared" si="17"/>
        <v>0.309</v>
      </c>
      <c r="AG116" s="166">
        <f t="shared" si="17"/>
        <v>0.309</v>
      </c>
      <c r="AH116" s="166">
        <f t="shared" si="17"/>
        <v>0.309</v>
      </c>
      <c r="AI116" s="166">
        <f t="shared" si="17"/>
        <v>0.309</v>
      </c>
      <c r="AJ116" s="166">
        <f t="shared" si="17"/>
        <v>0.309</v>
      </c>
      <c r="AK116" s="166">
        <f t="shared" si="17"/>
        <v>0.309</v>
      </c>
      <c r="AL116" s="166">
        <f t="shared" si="17"/>
        <v>0.309</v>
      </c>
      <c r="AM116" s="166">
        <f t="shared" si="17"/>
        <v>0.309</v>
      </c>
      <c r="AN116" s="7"/>
      <c r="AO116" s="38"/>
      <c r="AP116" s="38"/>
      <c r="AQ116" s="38"/>
      <c r="AR116" s="43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</row>
    <row r="117" spans="1:54" s="5" customFormat="1" x14ac:dyDescent="0.25">
      <c r="A117" s="7"/>
      <c r="B117" s="77"/>
      <c r="C117" s="78"/>
      <c r="D117" s="78"/>
      <c r="E117" s="83"/>
      <c r="F117" s="78"/>
      <c r="G117" s="77"/>
      <c r="H117" s="78"/>
      <c r="I117" s="83"/>
      <c r="J117" s="78"/>
      <c r="K117" s="83"/>
      <c r="L117" s="78"/>
      <c r="M117" s="78"/>
      <c r="N117" s="77"/>
      <c r="O117" s="78"/>
      <c r="P117" s="77"/>
      <c r="Q117" s="78"/>
      <c r="R117" s="77"/>
      <c r="S117" s="78"/>
      <c r="T117" s="77"/>
      <c r="U117" s="78"/>
      <c r="V117" s="77"/>
      <c r="W117" s="7"/>
      <c r="X117" s="27" t="str">
        <f t="shared" si="15"/>
        <v/>
      </c>
      <c r="Y117" s="3" t="s">
        <v>95</v>
      </c>
      <c r="Z117" s="3" t="s">
        <v>156</v>
      </c>
      <c r="AA117" s="3" t="s">
        <v>54</v>
      </c>
      <c r="AB117" s="18" t="s">
        <v>33</v>
      </c>
      <c r="AC117" s="22">
        <v>2.3E-2</v>
      </c>
      <c r="AD117" s="166">
        <f t="shared" ref="AD117:AM117" si="18">AC117</f>
        <v>2.3E-2</v>
      </c>
      <c r="AE117" s="166">
        <f t="shared" si="18"/>
        <v>2.3E-2</v>
      </c>
      <c r="AF117" s="166">
        <f t="shared" si="18"/>
        <v>2.3E-2</v>
      </c>
      <c r="AG117" s="166">
        <f t="shared" si="18"/>
        <v>2.3E-2</v>
      </c>
      <c r="AH117" s="166">
        <f t="shared" si="18"/>
        <v>2.3E-2</v>
      </c>
      <c r="AI117" s="166">
        <f t="shared" si="18"/>
        <v>2.3E-2</v>
      </c>
      <c r="AJ117" s="166">
        <f t="shared" si="18"/>
        <v>2.3E-2</v>
      </c>
      <c r="AK117" s="166">
        <f t="shared" si="18"/>
        <v>2.3E-2</v>
      </c>
      <c r="AL117" s="166">
        <f t="shared" si="18"/>
        <v>2.3E-2</v>
      </c>
      <c r="AM117" s="166">
        <f t="shared" si="18"/>
        <v>2.3E-2</v>
      </c>
      <c r="AN117" s="7"/>
      <c r="AO117" s="38"/>
      <c r="AP117" s="38"/>
      <c r="AQ117" s="38"/>
      <c r="AR117" s="43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</row>
    <row r="118" spans="1:54" s="5" customFormat="1" x14ac:dyDescent="0.25">
      <c r="A118" s="7"/>
      <c r="B118" s="77"/>
      <c r="C118" s="78"/>
      <c r="D118" s="78"/>
      <c r="E118" s="83"/>
      <c r="F118" s="78"/>
      <c r="G118" s="77"/>
      <c r="H118" s="78"/>
      <c r="I118" s="83"/>
      <c r="J118" s="78"/>
      <c r="K118" s="83"/>
      <c r="L118" s="78"/>
      <c r="M118" s="78"/>
      <c r="N118" s="77"/>
      <c r="O118" s="78"/>
      <c r="P118" s="77"/>
      <c r="Q118" s="78"/>
      <c r="R118" s="77"/>
      <c r="S118" s="78"/>
      <c r="T118" s="77"/>
      <c r="U118" s="78"/>
      <c r="V118" s="77"/>
      <c r="W118" s="7"/>
      <c r="X118" s="27" t="str">
        <f t="shared" si="15"/>
        <v/>
      </c>
      <c r="Y118" s="3" t="s">
        <v>92</v>
      </c>
      <c r="Z118" s="3"/>
      <c r="AA118" s="3" t="s">
        <v>119</v>
      </c>
      <c r="AB118" s="18" t="s">
        <v>33</v>
      </c>
      <c r="AC118" s="22">
        <v>0</v>
      </c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7"/>
      <c r="AO118" s="38"/>
      <c r="AP118" s="38"/>
      <c r="AQ118" s="38"/>
      <c r="AR118" s="43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</row>
    <row r="119" spans="1:54" s="5" customFormat="1" x14ac:dyDescent="0.25">
      <c r="A119" s="7"/>
      <c r="B119" s="77"/>
      <c r="C119" s="78"/>
      <c r="D119" s="78"/>
      <c r="E119" s="83"/>
      <c r="F119" s="78"/>
      <c r="G119" s="77"/>
      <c r="H119" s="78"/>
      <c r="I119" s="83"/>
      <c r="J119" s="80"/>
      <c r="K119" s="84"/>
      <c r="L119" s="78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"/>
      <c r="X119" s="27" t="str">
        <f t="shared" si="5"/>
        <v/>
      </c>
      <c r="Y119" s="6"/>
      <c r="Z119" s="6"/>
      <c r="AA119" s="6"/>
      <c r="AB119" s="11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7"/>
      <c r="AO119" s="15"/>
      <c r="AP119" s="15"/>
      <c r="AQ119" s="15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</row>
    <row r="120" spans="1:54" s="5" customFormat="1" x14ac:dyDescent="0.25">
      <c r="A120" s="7"/>
      <c r="B120" s="77"/>
      <c r="C120" s="78"/>
      <c r="D120" s="78"/>
      <c r="E120" s="83"/>
      <c r="F120" s="78"/>
      <c r="G120" s="77"/>
      <c r="H120" s="78"/>
      <c r="I120" s="83"/>
      <c r="J120" s="78"/>
      <c r="K120" s="82"/>
      <c r="L120" s="33" t="s">
        <v>87</v>
      </c>
      <c r="M120" s="83"/>
      <c r="N120" s="77"/>
      <c r="O120" s="78"/>
      <c r="P120" s="77"/>
      <c r="Q120" s="78"/>
      <c r="R120" s="77"/>
      <c r="S120" s="78"/>
      <c r="T120" s="77"/>
      <c r="U120" s="78"/>
      <c r="V120" s="77"/>
      <c r="W120" s="7"/>
      <c r="X120" s="28" t="str">
        <f t="shared" si="5"/>
        <v>Space heating</v>
      </c>
      <c r="Y120" s="6"/>
      <c r="Z120" s="6"/>
      <c r="AA120" s="6"/>
      <c r="AB120" s="11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7"/>
      <c r="AO120" s="15"/>
      <c r="AP120" s="15"/>
      <c r="AQ120" s="15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</row>
    <row r="121" spans="1:54" s="5" customFormat="1" x14ac:dyDescent="0.25">
      <c r="A121" s="7"/>
      <c r="B121" s="77"/>
      <c r="C121" s="78"/>
      <c r="D121" s="78"/>
      <c r="E121" s="83"/>
      <c r="F121" s="78"/>
      <c r="G121" s="77"/>
      <c r="H121" s="78"/>
      <c r="I121" s="83"/>
      <c r="J121" s="78"/>
      <c r="K121" s="83"/>
      <c r="L121" s="78"/>
      <c r="M121" s="83"/>
      <c r="N121" s="77"/>
      <c r="O121" s="78"/>
      <c r="P121" s="77"/>
      <c r="Q121" s="78"/>
      <c r="R121" s="77"/>
      <c r="S121" s="78"/>
      <c r="T121" s="77"/>
      <c r="U121" s="78"/>
      <c r="V121" s="77"/>
      <c r="W121" s="7"/>
      <c r="X121" s="27" t="str">
        <f t="shared" si="5"/>
        <v/>
      </c>
      <c r="Y121" s="6" t="s">
        <v>94</v>
      </c>
      <c r="Z121" s="3" t="s">
        <v>157</v>
      </c>
      <c r="AA121" s="3"/>
      <c r="AB121" s="18" t="s">
        <v>36</v>
      </c>
      <c r="AC121" s="3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7"/>
      <c r="AO121" s="38"/>
      <c r="AP121" s="38"/>
      <c r="AQ121" s="38"/>
      <c r="AR121" s="43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</row>
    <row r="122" spans="1:54" s="5" customFormat="1" x14ac:dyDescent="0.25">
      <c r="A122" s="7"/>
      <c r="B122" s="77"/>
      <c r="C122" s="78"/>
      <c r="D122" s="78"/>
      <c r="E122" s="83"/>
      <c r="F122" s="78"/>
      <c r="G122" s="77"/>
      <c r="H122" s="78"/>
      <c r="I122" s="83"/>
      <c r="J122" s="78"/>
      <c r="K122" s="83"/>
      <c r="L122" s="78"/>
      <c r="M122" s="83"/>
      <c r="N122" s="77"/>
      <c r="O122" s="78"/>
      <c r="P122" s="77"/>
      <c r="Q122" s="78"/>
      <c r="R122" s="77"/>
      <c r="S122" s="78"/>
      <c r="T122" s="77"/>
      <c r="U122" s="78"/>
      <c r="V122" s="77"/>
      <c r="W122" s="7"/>
      <c r="X122" s="27" t="str">
        <f t="shared" si="5"/>
        <v/>
      </c>
      <c r="Y122" s="3" t="s">
        <v>59</v>
      </c>
      <c r="Z122" s="3"/>
      <c r="AA122" s="3"/>
      <c r="AB122" s="18" t="s">
        <v>23</v>
      </c>
      <c r="AC122" s="3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7"/>
      <c r="AO122" s="38"/>
      <c r="AP122" s="38"/>
      <c r="AQ122" s="38"/>
      <c r="AR122" s="43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</row>
    <row r="123" spans="1:54" s="5" customFormat="1" x14ac:dyDescent="0.25">
      <c r="A123" s="7"/>
      <c r="B123" s="77"/>
      <c r="C123" s="78"/>
      <c r="D123" s="78"/>
      <c r="E123" s="83"/>
      <c r="F123" s="78"/>
      <c r="G123" s="77"/>
      <c r="H123" s="78"/>
      <c r="I123" s="83"/>
      <c r="J123" s="78"/>
      <c r="K123" s="83"/>
      <c r="L123" s="78"/>
      <c r="M123" s="83"/>
      <c r="N123" s="77"/>
      <c r="O123" s="78"/>
      <c r="P123" s="77"/>
      <c r="Q123" s="78"/>
      <c r="R123" s="77"/>
      <c r="S123" s="78"/>
      <c r="T123" s="77"/>
      <c r="U123" s="78"/>
      <c r="V123" s="77"/>
      <c r="W123" s="7"/>
      <c r="X123" s="27" t="str">
        <f t="shared" si="5"/>
        <v/>
      </c>
      <c r="Y123" s="3" t="s">
        <v>81</v>
      </c>
      <c r="Z123" s="3"/>
      <c r="AA123" s="3"/>
      <c r="AB123" s="18" t="s">
        <v>37</v>
      </c>
      <c r="AC123" s="3">
        <v>10</v>
      </c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7"/>
      <c r="AO123" s="38"/>
      <c r="AP123" s="38"/>
      <c r="AQ123" s="38"/>
      <c r="AR123" s="43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</row>
    <row r="124" spans="1:54" s="5" customFormat="1" x14ac:dyDescent="0.25">
      <c r="A124" s="7"/>
      <c r="B124" s="77"/>
      <c r="C124" s="78"/>
      <c r="D124" s="78"/>
      <c r="E124" s="83"/>
      <c r="F124" s="78"/>
      <c r="G124" s="77"/>
      <c r="H124" s="78"/>
      <c r="I124" s="83"/>
      <c r="J124" s="78"/>
      <c r="K124" s="83"/>
      <c r="L124" s="78"/>
      <c r="M124" s="83"/>
      <c r="N124" s="77"/>
      <c r="O124" s="78"/>
      <c r="P124" s="77"/>
      <c r="Q124" s="78"/>
      <c r="R124" s="77"/>
      <c r="S124" s="78"/>
      <c r="T124" s="77"/>
      <c r="U124" s="78"/>
      <c r="V124" s="77"/>
      <c r="W124" s="7"/>
      <c r="X124" s="27" t="str">
        <f t="shared" si="5"/>
        <v/>
      </c>
      <c r="Y124" s="3" t="s">
        <v>64</v>
      </c>
      <c r="Z124" s="3"/>
      <c r="AA124" s="3"/>
      <c r="AB124" s="18" t="s">
        <v>34</v>
      </c>
      <c r="AC124" s="3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7"/>
      <c r="AO124" s="38"/>
      <c r="AP124" s="38"/>
      <c r="AQ124" s="38"/>
      <c r="AR124" s="43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</row>
    <row r="125" spans="1:54" s="5" customFormat="1" x14ac:dyDescent="0.25">
      <c r="A125" s="7"/>
      <c r="B125" s="77"/>
      <c r="C125" s="78"/>
      <c r="D125" s="78"/>
      <c r="E125" s="83"/>
      <c r="F125" s="78"/>
      <c r="G125" s="77"/>
      <c r="H125" s="78"/>
      <c r="I125" s="83"/>
      <c r="J125" s="78"/>
      <c r="K125" s="83"/>
      <c r="L125" s="78"/>
      <c r="M125" s="83"/>
      <c r="N125" s="77"/>
      <c r="O125" s="78"/>
      <c r="P125" s="77"/>
      <c r="Q125" s="78"/>
      <c r="R125" s="77"/>
      <c r="S125" s="78"/>
      <c r="T125" s="77"/>
      <c r="U125" s="78"/>
      <c r="V125" s="77"/>
      <c r="W125" s="7"/>
      <c r="X125" s="27" t="str">
        <f t="shared" si="5"/>
        <v/>
      </c>
      <c r="Y125" s="3" t="s">
        <v>41</v>
      </c>
      <c r="Z125" s="3"/>
      <c r="AA125" s="3" t="s">
        <v>43</v>
      </c>
      <c r="AB125" s="18" t="s">
        <v>34</v>
      </c>
      <c r="AC125" s="3">
        <v>2000</v>
      </c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7"/>
      <c r="AO125" s="38"/>
      <c r="AP125" s="38"/>
      <c r="AQ125" s="38"/>
      <c r="AR125" s="43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</row>
    <row r="126" spans="1:54" s="5" customFormat="1" x14ac:dyDescent="0.25">
      <c r="A126" s="7"/>
      <c r="B126" s="77"/>
      <c r="C126" s="78"/>
      <c r="D126" s="78"/>
      <c r="E126" s="83"/>
      <c r="F126" s="78"/>
      <c r="G126" s="77"/>
      <c r="H126" s="78"/>
      <c r="I126" s="83"/>
      <c r="J126" s="78"/>
      <c r="K126" s="83"/>
      <c r="L126" s="78"/>
      <c r="M126" s="83"/>
      <c r="N126" s="77"/>
      <c r="O126" s="78"/>
      <c r="P126" s="77"/>
      <c r="Q126" s="78"/>
      <c r="R126" s="77"/>
      <c r="S126" s="78"/>
      <c r="T126" s="77"/>
      <c r="U126" s="78"/>
      <c r="V126" s="77"/>
      <c r="W126" s="7"/>
      <c r="X126" s="27" t="str">
        <f t="shared" si="5"/>
        <v/>
      </c>
      <c r="Y126" s="3" t="s">
        <v>40</v>
      </c>
      <c r="Z126" s="3"/>
      <c r="AA126" s="3" t="s">
        <v>43</v>
      </c>
      <c r="AB126" s="18" t="s">
        <v>34</v>
      </c>
      <c r="AC126" s="3">
        <v>2100</v>
      </c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7"/>
      <c r="AO126" s="38"/>
      <c r="AP126" s="38"/>
      <c r="AQ126" s="38"/>
      <c r="AR126" s="43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</row>
    <row r="127" spans="1:54" s="5" customFormat="1" x14ac:dyDescent="0.25">
      <c r="A127" s="7"/>
      <c r="B127" s="77"/>
      <c r="C127" s="78"/>
      <c r="D127" s="78"/>
      <c r="E127" s="83"/>
      <c r="F127" s="78"/>
      <c r="G127" s="77"/>
      <c r="H127" s="78"/>
      <c r="I127" s="83"/>
      <c r="J127" s="78"/>
      <c r="K127" s="83"/>
      <c r="L127" s="78"/>
      <c r="M127" s="83"/>
      <c r="N127" s="77"/>
      <c r="O127" s="78"/>
      <c r="P127" s="77"/>
      <c r="Q127" s="78"/>
      <c r="R127" s="77"/>
      <c r="S127" s="78"/>
      <c r="T127" s="77"/>
      <c r="U127" s="78"/>
      <c r="V127" s="77"/>
      <c r="W127" s="7"/>
      <c r="X127" s="27" t="str">
        <f t="shared" si="5"/>
        <v/>
      </c>
      <c r="Y127" s="3" t="s">
        <v>42</v>
      </c>
      <c r="Z127" s="3"/>
      <c r="AA127" s="3" t="s">
        <v>10</v>
      </c>
      <c r="AB127" s="18" t="s">
        <v>34</v>
      </c>
      <c r="AC127" s="3">
        <v>25</v>
      </c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7"/>
      <c r="AO127" s="38"/>
      <c r="AP127" s="38"/>
      <c r="AQ127" s="38"/>
      <c r="AR127" s="43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</row>
    <row r="128" spans="1:54" s="5" customFormat="1" x14ac:dyDescent="0.25">
      <c r="A128" s="7"/>
      <c r="B128" s="77"/>
      <c r="C128" s="78"/>
      <c r="D128" s="78"/>
      <c r="E128" s="83"/>
      <c r="F128" s="78"/>
      <c r="G128" s="77"/>
      <c r="H128" s="78"/>
      <c r="I128" s="83"/>
      <c r="J128" s="78"/>
      <c r="K128" s="83"/>
      <c r="L128" s="78"/>
      <c r="M128" s="83"/>
      <c r="N128" s="77"/>
      <c r="O128" s="78"/>
      <c r="P128" s="77"/>
      <c r="Q128" s="78"/>
      <c r="R128" s="77"/>
      <c r="S128" s="78"/>
      <c r="T128" s="77"/>
      <c r="U128" s="78"/>
      <c r="V128" s="77"/>
      <c r="W128" s="7"/>
      <c r="X128" s="27" t="str">
        <f t="shared" si="5"/>
        <v/>
      </c>
      <c r="Y128" s="3" t="s">
        <v>68</v>
      </c>
      <c r="Z128" s="3"/>
      <c r="AA128" s="3" t="s">
        <v>119</v>
      </c>
      <c r="AB128" s="18" t="s">
        <v>34</v>
      </c>
      <c r="AC128" s="3">
        <v>0.25</v>
      </c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7"/>
      <c r="AO128" s="38"/>
      <c r="AP128" s="38"/>
      <c r="AQ128" s="38"/>
      <c r="AR128" s="43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</row>
    <row r="129" spans="1:54" s="5" customFormat="1" x14ac:dyDescent="0.25">
      <c r="A129" s="7"/>
      <c r="B129" s="77"/>
      <c r="C129" s="78"/>
      <c r="D129" s="78"/>
      <c r="E129" s="83"/>
      <c r="F129" s="78"/>
      <c r="G129" s="77"/>
      <c r="H129" s="78"/>
      <c r="I129" s="83"/>
      <c r="J129" s="78"/>
      <c r="K129" s="83"/>
      <c r="L129" s="78"/>
      <c r="M129" s="83"/>
      <c r="N129" s="77"/>
      <c r="O129" s="78"/>
      <c r="P129" s="77"/>
      <c r="Q129" s="78"/>
      <c r="R129" s="77"/>
      <c r="S129" s="78"/>
      <c r="T129" s="77"/>
      <c r="U129" s="78"/>
      <c r="V129" s="77"/>
      <c r="W129" s="7"/>
      <c r="X129" s="27" t="str">
        <f t="shared" si="5"/>
        <v/>
      </c>
      <c r="Y129" s="3" t="s">
        <v>38</v>
      </c>
      <c r="Z129" s="3"/>
      <c r="AA129" s="3" t="s">
        <v>17</v>
      </c>
      <c r="AB129" s="18" t="s">
        <v>34</v>
      </c>
      <c r="AC129" s="23">
        <v>2655</v>
      </c>
      <c r="AD129" s="167">
        <f t="shared" ref="AD129:AM129" si="19">AC129</f>
        <v>2655</v>
      </c>
      <c r="AE129" s="167">
        <f t="shared" si="19"/>
        <v>2655</v>
      </c>
      <c r="AF129" s="167">
        <f t="shared" si="19"/>
        <v>2655</v>
      </c>
      <c r="AG129" s="167">
        <f t="shared" si="19"/>
        <v>2655</v>
      </c>
      <c r="AH129" s="167">
        <f t="shared" si="19"/>
        <v>2655</v>
      </c>
      <c r="AI129" s="167">
        <f t="shared" si="19"/>
        <v>2655</v>
      </c>
      <c r="AJ129" s="167">
        <f t="shared" si="19"/>
        <v>2655</v>
      </c>
      <c r="AK129" s="167">
        <f t="shared" si="19"/>
        <v>2655</v>
      </c>
      <c r="AL129" s="167">
        <f t="shared" si="19"/>
        <v>2655</v>
      </c>
      <c r="AM129" s="167">
        <f t="shared" si="19"/>
        <v>2655</v>
      </c>
      <c r="AN129" s="7"/>
      <c r="AO129" s="38"/>
      <c r="AP129" s="38"/>
      <c r="AQ129" s="38"/>
      <c r="AR129" s="43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</row>
    <row r="130" spans="1:54" s="5" customFormat="1" x14ac:dyDescent="0.25">
      <c r="A130" s="7"/>
      <c r="B130" s="77"/>
      <c r="C130" s="78"/>
      <c r="D130" s="78"/>
      <c r="E130" s="83"/>
      <c r="F130" s="78"/>
      <c r="G130" s="77"/>
      <c r="H130" s="78"/>
      <c r="I130" s="83"/>
      <c r="J130" s="78"/>
      <c r="K130" s="83"/>
      <c r="L130" s="78"/>
      <c r="M130" s="83"/>
      <c r="N130" s="77"/>
      <c r="O130" s="78"/>
      <c r="P130" s="77"/>
      <c r="Q130" s="78"/>
      <c r="R130" s="77"/>
      <c r="S130" s="78"/>
      <c r="T130" s="77"/>
      <c r="U130" s="78"/>
      <c r="V130" s="77"/>
      <c r="W130" s="7"/>
      <c r="X130" s="27" t="str">
        <f t="shared" si="5"/>
        <v/>
      </c>
      <c r="Y130" s="3" t="s">
        <v>44</v>
      </c>
      <c r="Z130" s="3"/>
      <c r="AA130" s="3" t="s">
        <v>17</v>
      </c>
      <c r="AB130" s="18" t="s">
        <v>34</v>
      </c>
      <c r="AC130" s="23"/>
      <c r="AD130" s="167"/>
      <c r="AE130" s="167"/>
      <c r="AF130" s="167"/>
      <c r="AG130" s="167"/>
      <c r="AH130" s="167"/>
      <c r="AI130" s="167"/>
      <c r="AJ130" s="167"/>
      <c r="AK130" s="167"/>
      <c r="AL130" s="167"/>
      <c r="AM130" s="167"/>
      <c r="AN130" s="7"/>
      <c r="AO130" s="38"/>
      <c r="AP130" s="38"/>
      <c r="AQ130" s="38"/>
      <c r="AR130" s="43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</row>
    <row r="131" spans="1:54" s="5" customFormat="1" x14ac:dyDescent="0.25">
      <c r="A131" s="7"/>
      <c r="B131" s="77"/>
      <c r="C131" s="78"/>
      <c r="D131" s="78"/>
      <c r="E131" s="83"/>
      <c r="F131" s="78"/>
      <c r="G131" s="77"/>
      <c r="H131" s="78"/>
      <c r="I131" s="83"/>
      <c r="J131" s="78"/>
      <c r="K131" s="83"/>
      <c r="L131" s="78"/>
      <c r="M131" s="83"/>
      <c r="N131" s="77"/>
      <c r="O131" s="78"/>
      <c r="P131" s="77"/>
      <c r="Q131" s="78"/>
      <c r="R131" s="77"/>
      <c r="S131" s="78"/>
      <c r="T131" s="77"/>
      <c r="U131" s="78"/>
      <c r="V131" s="77"/>
      <c r="W131" s="7"/>
      <c r="X131" s="27" t="str">
        <f t="shared" si="5"/>
        <v/>
      </c>
      <c r="Y131" s="3" t="s">
        <v>51</v>
      </c>
      <c r="Z131" s="3"/>
      <c r="AA131" s="3" t="s">
        <v>17</v>
      </c>
      <c r="AB131" s="18" t="s">
        <v>34</v>
      </c>
      <c r="AC131" s="23"/>
      <c r="AD131" s="167"/>
      <c r="AE131" s="167"/>
      <c r="AF131" s="167"/>
      <c r="AG131" s="167"/>
      <c r="AH131" s="167"/>
      <c r="AI131" s="167"/>
      <c r="AJ131" s="167"/>
      <c r="AK131" s="167"/>
      <c r="AL131" s="167"/>
      <c r="AM131" s="167"/>
      <c r="AN131" s="7"/>
      <c r="AO131" s="38"/>
      <c r="AP131" s="38"/>
      <c r="AQ131" s="38"/>
      <c r="AR131" s="43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</row>
    <row r="132" spans="1:54" s="5" customFormat="1" x14ac:dyDescent="0.25">
      <c r="A132" s="7"/>
      <c r="B132" s="77"/>
      <c r="C132" s="78"/>
      <c r="D132" s="78"/>
      <c r="E132" s="83"/>
      <c r="F132" s="78"/>
      <c r="G132" s="77"/>
      <c r="H132" s="78"/>
      <c r="I132" s="83"/>
      <c r="J132" s="78"/>
      <c r="K132" s="83"/>
      <c r="L132" s="78"/>
      <c r="M132" s="83"/>
      <c r="N132" s="77"/>
      <c r="O132" s="78"/>
      <c r="P132" s="77"/>
      <c r="Q132" s="78"/>
      <c r="R132" s="77"/>
      <c r="S132" s="78"/>
      <c r="T132" s="77"/>
      <c r="U132" s="78"/>
      <c r="V132" s="77"/>
      <c r="W132" s="7"/>
      <c r="X132" s="27" t="str">
        <f t="shared" si="5"/>
        <v/>
      </c>
      <c r="Y132" s="3" t="s">
        <v>96</v>
      </c>
      <c r="Z132" s="3" t="s">
        <v>148</v>
      </c>
      <c r="AA132" s="3" t="s">
        <v>17</v>
      </c>
      <c r="AB132" s="18" t="s">
        <v>34</v>
      </c>
      <c r="AC132" s="23">
        <f>AC137*$AC$23</f>
        <v>22</v>
      </c>
      <c r="AD132" s="167"/>
      <c r="AE132" s="167"/>
      <c r="AF132" s="167"/>
      <c r="AG132" s="167"/>
      <c r="AH132" s="167"/>
      <c r="AI132" s="167"/>
      <c r="AJ132" s="167"/>
      <c r="AK132" s="167"/>
      <c r="AL132" s="167"/>
      <c r="AM132" s="167"/>
      <c r="AN132" s="7"/>
      <c r="AO132" s="38"/>
      <c r="AP132" s="38"/>
      <c r="AQ132" s="38"/>
      <c r="AR132" s="43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</row>
    <row r="133" spans="1:54" s="5" customFormat="1" x14ac:dyDescent="0.25">
      <c r="A133" s="7"/>
      <c r="B133" s="77"/>
      <c r="C133" s="78"/>
      <c r="D133" s="78"/>
      <c r="E133" s="83"/>
      <c r="F133" s="78"/>
      <c r="G133" s="77"/>
      <c r="H133" s="78"/>
      <c r="I133" s="83"/>
      <c r="J133" s="78"/>
      <c r="K133" s="83"/>
      <c r="L133" s="78"/>
      <c r="M133" s="83"/>
      <c r="N133" s="77"/>
      <c r="O133" s="78"/>
      <c r="P133" s="77"/>
      <c r="Q133" s="78"/>
      <c r="R133" s="77"/>
      <c r="S133" s="78"/>
      <c r="T133" s="77"/>
      <c r="U133" s="78"/>
      <c r="V133" s="77"/>
      <c r="W133" s="7"/>
      <c r="X133" s="27" t="str">
        <f t="shared" ref="X133:X197" si="20">IFERROR(INDEX($B133:$V133,MATCH(TRUE,INDEX(($B133:$V133&lt;&gt;0),0),0)),"")</f>
        <v/>
      </c>
      <c r="Y133" s="3" t="s">
        <v>200</v>
      </c>
      <c r="Z133" s="3"/>
      <c r="AA133" s="3" t="s">
        <v>119</v>
      </c>
      <c r="AB133" s="18" t="s">
        <v>34</v>
      </c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7"/>
      <c r="AO133" s="38"/>
      <c r="AP133" s="38"/>
      <c r="AQ133" s="38"/>
      <c r="AR133" s="43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</row>
    <row r="134" spans="1:54" s="5" customFormat="1" x14ac:dyDescent="0.25">
      <c r="A134" s="7"/>
      <c r="B134" s="77"/>
      <c r="C134" s="78"/>
      <c r="D134" s="78"/>
      <c r="E134" s="83"/>
      <c r="F134" s="78"/>
      <c r="G134" s="77"/>
      <c r="H134" s="78"/>
      <c r="I134" s="83"/>
      <c r="J134" s="78"/>
      <c r="K134" s="83"/>
      <c r="L134" s="78"/>
      <c r="M134" s="83"/>
      <c r="N134" s="77"/>
      <c r="O134" s="78"/>
      <c r="P134" s="77"/>
      <c r="Q134" s="78"/>
      <c r="R134" s="77"/>
      <c r="S134" s="78"/>
      <c r="T134" s="77"/>
      <c r="U134" s="78"/>
      <c r="V134" s="77"/>
      <c r="W134" s="7"/>
      <c r="X134" s="27" t="str">
        <f t="shared" si="20"/>
        <v/>
      </c>
      <c r="Y134" s="3" t="s">
        <v>201</v>
      </c>
      <c r="Z134" s="3"/>
      <c r="AA134" s="3" t="s">
        <v>119</v>
      </c>
      <c r="AB134" s="18" t="s">
        <v>34</v>
      </c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7"/>
      <c r="AO134" s="38"/>
      <c r="AP134" s="38"/>
      <c r="AQ134" s="38"/>
      <c r="AR134" s="43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</row>
    <row r="135" spans="1:54" s="5" customFormat="1" x14ac:dyDescent="0.25">
      <c r="A135" s="7"/>
      <c r="B135" s="77"/>
      <c r="C135" s="78"/>
      <c r="D135" s="78"/>
      <c r="E135" s="83"/>
      <c r="F135" s="78"/>
      <c r="G135" s="77"/>
      <c r="H135" s="78"/>
      <c r="I135" s="83"/>
      <c r="J135" s="78"/>
      <c r="K135" s="83"/>
      <c r="L135" s="78"/>
      <c r="M135" s="83"/>
      <c r="N135" s="77"/>
      <c r="O135" s="78"/>
      <c r="P135" s="77"/>
      <c r="Q135" s="78"/>
      <c r="R135" s="77"/>
      <c r="S135" s="78"/>
      <c r="T135" s="77"/>
      <c r="U135" s="78"/>
      <c r="V135" s="77"/>
      <c r="W135" s="7"/>
      <c r="X135" s="27" t="str">
        <f t="shared" si="20"/>
        <v/>
      </c>
      <c r="Y135" s="3" t="s">
        <v>202</v>
      </c>
      <c r="Z135" s="3"/>
      <c r="AA135" s="3" t="s">
        <v>119</v>
      </c>
      <c r="AB135" s="18" t="s">
        <v>34</v>
      </c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7"/>
      <c r="AO135" s="38"/>
      <c r="AP135" s="38"/>
      <c r="AQ135" s="38"/>
      <c r="AR135" s="43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</row>
    <row r="136" spans="1:54" s="5" customFormat="1" x14ac:dyDescent="0.25">
      <c r="A136" s="7"/>
      <c r="B136" s="77"/>
      <c r="C136" s="78"/>
      <c r="D136" s="78"/>
      <c r="E136" s="83"/>
      <c r="F136" s="78"/>
      <c r="G136" s="77"/>
      <c r="H136" s="78"/>
      <c r="I136" s="83"/>
      <c r="J136" s="78"/>
      <c r="K136" s="83"/>
      <c r="L136" s="78"/>
      <c r="M136" s="83"/>
      <c r="N136" s="77"/>
      <c r="O136" s="78"/>
      <c r="P136" s="77"/>
      <c r="Q136" s="78"/>
      <c r="R136" s="77"/>
      <c r="S136" s="78"/>
      <c r="T136" s="77"/>
      <c r="U136" s="78"/>
      <c r="V136" s="77"/>
      <c r="W136" s="7"/>
      <c r="X136" s="27" t="str">
        <f t="shared" si="20"/>
        <v/>
      </c>
      <c r="Y136" s="3" t="s">
        <v>203</v>
      </c>
      <c r="Z136" s="3"/>
      <c r="AA136" s="3" t="s">
        <v>119</v>
      </c>
      <c r="AB136" s="18" t="s">
        <v>34</v>
      </c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7"/>
      <c r="AO136" s="38"/>
      <c r="AP136" s="38"/>
      <c r="AQ136" s="38"/>
      <c r="AR136" s="43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</row>
    <row r="137" spans="1:54" s="5" customFormat="1" x14ac:dyDescent="0.25">
      <c r="A137" s="7"/>
      <c r="B137" s="77"/>
      <c r="C137" s="78"/>
      <c r="D137" s="78"/>
      <c r="E137" s="83"/>
      <c r="F137" s="78"/>
      <c r="G137" s="77"/>
      <c r="H137" s="78"/>
      <c r="I137" s="83"/>
      <c r="J137" s="78"/>
      <c r="K137" s="83"/>
      <c r="L137" s="78"/>
      <c r="M137" s="83"/>
      <c r="N137" s="77"/>
      <c r="O137" s="78"/>
      <c r="P137" s="77"/>
      <c r="Q137" s="78"/>
      <c r="R137" s="77"/>
      <c r="S137" s="78"/>
      <c r="T137" s="77"/>
      <c r="U137" s="78"/>
      <c r="V137" s="77"/>
      <c r="W137" s="7"/>
      <c r="X137" s="27" t="str">
        <f t="shared" si="20"/>
        <v/>
      </c>
      <c r="Y137" s="3" t="s">
        <v>95</v>
      </c>
      <c r="Z137" s="3" t="s">
        <v>148</v>
      </c>
      <c r="AA137" s="3" t="s">
        <v>58</v>
      </c>
      <c r="AB137" s="18" t="s">
        <v>34</v>
      </c>
      <c r="AC137" s="22">
        <v>1</v>
      </c>
      <c r="AD137" s="166">
        <f t="shared" ref="AD137:AM137" si="21">AC137</f>
        <v>1</v>
      </c>
      <c r="AE137" s="166">
        <f t="shared" si="21"/>
        <v>1</v>
      </c>
      <c r="AF137" s="166">
        <f t="shared" si="21"/>
        <v>1</v>
      </c>
      <c r="AG137" s="166">
        <f t="shared" si="21"/>
        <v>1</v>
      </c>
      <c r="AH137" s="166">
        <f t="shared" si="21"/>
        <v>1</v>
      </c>
      <c r="AI137" s="166">
        <f t="shared" si="21"/>
        <v>1</v>
      </c>
      <c r="AJ137" s="166">
        <f t="shared" si="21"/>
        <v>1</v>
      </c>
      <c r="AK137" s="166">
        <f t="shared" si="21"/>
        <v>1</v>
      </c>
      <c r="AL137" s="166">
        <f t="shared" si="21"/>
        <v>1</v>
      </c>
      <c r="AM137" s="166">
        <f t="shared" si="21"/>
        <v>1</v>
      </c>
      <c r="AN137" s="7"/>
      <c r="AO137" s="38"/>
      <c r="AP137" s="38"/>
      <c r="AQ137" s="38"/>
      <c r="AR137" s="43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</row>
    <row r="138" spans="1:54" s="5" customFormat="1" x14ac:dyDescent="0.25">
      <c r="A138" s="7"/>
      <c r="B138" s="77"/>
      <c r="C138" s="78"/>
      <c r="D138" s="78"/>
      <c r="E138" s="83"/>
      <c r="F138" s="78"/>
      <c r="G138" s="77"/>
      <c r="H138" s="78"/>
      <c r="I138" s="83"/>
      <c r="J138" s="78"/>
      <c r="K138" s="83"/>
      <c r="L138" s="78"/>
      <c r="M138" s="83"/>
      <c r="N138" s="77"/>
      <c r="O138" s="78"/>
      <c r="P138" s="77"/>
      <c r="Q138" s="78"/>
      <c r="R138" s="77"/>
      <c r="S138" s="78"/>
      <c r="T138" s="77"/>
      <c r="U138" s="78"/>
      <c r="V138" s="77"/>
      <c r="W138" s="7"/>
      <c r="X138" s="27" t="str">
        <f t="shared" si="20"/>
        <v/>
      </c>
      <c r="Y138" s="3" t="s">
        <v>92</v>
      </c>
      <c r="Z138" s="3"/>
      <c r="AA138" s="3" t="s">
        <v>119</v>
      </c>
      <c r="AB138" s="18" t="s">
        <v>34</v>
      </c>
      <c r="AC138" s="22">
        <v>5.5303779999999999E-3</v>
      </c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7"/>
      <c r="AO138" s="38"/>
      <c r="AP138" s="38"/>
      <c r="AQ138" s="38"/>
      <c r="AR138" s="43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</row>
    <row r="139" spans="1:54" s="5" customFormat="1" x14ac:dyDescent="0.25">
      <c r="A139" s="7"/>
      <c r="B139" s="77"/>
      <c r="C139" s="78"/>
      <c r="D139" s="78"/>
      <c r="E139" s="83"/>
      <c r="F139" s="78"/>
      <c r="G139" s="77"/>
      <c r="H139" s="78"/>
      <c r="I139" s="83"/>
      <c r="J139" s="78"/>
      <c r="K139" s="83"/>
      <c r="L139" s="78"/>
      <c r="M139" s="83"/>
      <c r="N139" s="77"/>
      <c r="O139" s="78"/>
      <c r="P139" s="77"/>
      <c r="Q139" s="78"/>
      <c r="R139" s="77"/>
      <c r="S139" s="78"/>
      <c r="T139" s="77"/>
      <c r="U139" s="78"/>
      <c r="V139" s="77"/>
      <c r="W139" s="7"/>
      <c r="X139" s="27" t="str">
        <f t="shared" si="20"/>
        <v/>
      </c>
      <c r="Y139" s="3" t="s">
        <v>64</v>
      </c>
      <c r="Z139" s="3"/>
      <c r="AA139" s="3"/>
      <c r="AB139" s="18" t="s">
        <v>35</v>
      </c>
      <c r="AC139" s="3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7"/>
      <c r="AO139" s="38"/>
      <c r="AP139" s="38"/>
      <c r="AQ139" s="38"/>
      <c r="AR139" s="43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</row>
    <row r="140" spans="1:54" s="5" customFormat="1" x14ac:dyDescent="0.25">
      <c r="A140" s="7"/>
      <c r="B140" s="77"/>
      <c r="C140" s="78"/>
      <c r="D140" s="78"/>
      <c r="E140" s="83"/>
      <c r="F140" s="78"/>
      <c r="G140" s="77"/>
      <c r="H140" s="78"/>
      <c r="I140" s="83"/>
      <c r="J140" s="78"/>
      <c r="K140" s="83"/>
      <c r="L140" s="78"/>
      <c r="M140" s="83"/>
      <c r="N140" s="77"/>
      <c r="O140" s="78"/>
      <c r="P140" s="77"/>
      <c r="Q140" s="78"/>
      <c r="R140" s="77"/>
      <c r="S140" s="78"/>
      <c r="T140" s="77"/>
      <c r="U140" s="78"/>
      <c r="V140" s="77"/>
      <c r="W140" s="7"/>
      <c r="X140" s="27" t="str">
        <f t="shared" si="20"/>
        <v/>
      </c>
      <c r="Y140" s="3" t="s">
        <v>41</v>
      </c>
      <c r="Z140" s="3"/>
      <c r="AA140" s="3" t="s">
        <v>43</v>
      </c>
      <c r="AB140" s="18" t="s">
        <v>35</v>
      </c>
      <c r="AC140" s="3">
        <v>2000</v>
      </c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7"/>
      <c r="AO140" s="38"/>
      <c r="AP140" s="38"/>
      <c r="AQ140" s="38"/>
      <c r="AR140" s="43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</row>
    <row r="141" spans="1:54" s="5" customFormat="1" x14ac:dyDescent="0.25">
      <c r="A141" s="7"/>
      <c r="B141" s="77"/>
      <c r="C141" s="78"/>
      <c r="D141" s="78"/>
      <c r="E141" s="83"/>
      <c r="F141" s="78"/>
      <c r="G141" s="77"/>
      <c r="H141" s="78"/>
      <c r="I141" s="83"/>
      <c r="J141" s="78"/>
      <c r="K141" s="83"/>
      <c r="L141" s="78"/>
      <c r="M141" s="83"/>
      <c r="N141" s="77"/>
      <c r="O141" s="78"/>
      <c r="P141" s="77"/>
      <c r="Q141" s="78"/>
      <c r="R141" s="77"/>
      <c r="S141" s="78"/>
      <c r="T141" s="77"/>
      <c r="U141" s="78"/>
      <c r="V141" s="77"/>
      <c r="W141" s="7"/>
      <c r="X141" s="27" t="str">
        <f t="shared" si="20"/>
        <v/>
      </c>
      <c r="Y141" s="3" t="s">
        <v>40</v>
      </c>
      <c r="Z141" s="3"/>
      <c r="AA141" s="3" t="s">
        <v>43</v>
      </c>
      <c r="AB141" s="18" t="s">
        <v>35</v>
      </c>
      <c r="AC141" s="3">
        <v>2100</v>
      </c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7"/>
      <c r="AO141" s="38"/>
      <c r="AP141" s="38"/>
      <c r="AQ141" s="38"/>
      <c r="AR141" s="43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</row>
    <row r="142" spans="1:54" s="5" customFormat="1" x14ac:dyDescent="0.25">
      <c r="A142" s="7"/>
      <c r="B142" s="77"/>
      <c r="C142" s="78"/>
      <c r="D142" s="78"/>
      <c r="E142" s="83"/>
      <c r="F142" s="78"/>
      <c r="G142" s="77"/>
      <c r="H142" s="78"/>
      <c r="I142" s="83"/>
      <c r="J142" s="78"/>
      <c r="K142" s="83"/>
      <c r="L142" s="78"/>
      <c r="M142" s="83"/>
      <c r="N142" s="77"/>
      <c r="O142" s="78"/>
      <c r="P142" s="77"/>
      <c r="Q142" s="78"/>
      <c r="R142" s="77"/>
      <c r="S142" s="78"/>
      <c r="T142" s="77"/>
      <c r="U142" s="78"/>
      <c r="V142" s="77"/>
      <c r="W142" s="7"/>
      <c r="X142" s="27" t="str">
        <f t="shared" si="20"/>
        <v/>
      </c>
      <c r="Y142" s="3" t="s">
        <v>96</v>
      </c>
      <c r="Z142" s="3" t="s">
        <v>158</v>
      </c>
      <c r="AA142" s="3" t="s">
        <v>17</v>
      </c>
      <c r="AB142" s="18" t="s">
        <v>35</v>
      </c>
      <c r="AC142" s="23">
        <f>AC147*((AC160*AC159/(1-(1+AC159)^(-AC158))+SUM(AC161:AC163))*AC165+(AC171*AC170/(1-(1+AC170)^(-AC169))+SUM(AC172:AC174))*AC179+(AC185*AC184/(1-(1+AC184)^(-AC183))+SUM(AC186:AC188))*AC192+(AC198*AC197/(1-(1+AC197)^(-AC196))+SUM(AC199:AC201))*AC205)</f>
        <v>503.29078916038679</v>
      </c>
      <c r="AD142" s="167"/>
      <c r="AE142" s="167"/>
      <c r="AF142" s="167"/>
      <c r="AG142" s="167"/>
      <c r="AH142" s="167"/>
      <c r="AI142" s="167"/>
      <c r="AJ142" s="167"/>
      <c r="AK142" s="167"/>
      <c r="AL142" s="167"/>
      <c r="AM142" s="167"/>
      <c r="AN142" s="7"/>
      <c r="AO142" s="38"/>
      <c r="AP142" s="38"/>
      <c r="AQ142" s="38"/>
      <c r="AR142" s="43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</row>
    <row r="143" spans="1:54" s="5" customFormat="1" x14ac:dyDescent="0.25">
      <c r="A143" s="7"/>
      <c r="B143" s="77"/>
      <c r="C143" s="78"/>
      <c r="D143" s="78"/>
      <c r="E143" s="83"/>
      <c r="F143" s="78"/>
      <c r="G143" s="77"/>
      <c r="H143" s="78"/>
      <c r="I143" s="83"/>
      <c r="J143" s="78"/>
      <c r="K143" s="83"/>
      <c r="L143" s="78"/>
      <c r="M143" s="83"/>
      <c r="N143" s="77"/>
      <c r="O143" s="78"/>
      <c r="P143" s="77"/>
      <c r="Q143" s="78"/>
      <c r="R143" s="77"/>
      <c r="S143" s="78"/>
      <c r="T143" s="77"/>
      <c r="U143" s="78"/>
      <c r="V143" s="77"/>
      <c r="W143" s="7"/>
      <c r="X143" s="27" t="str">
        <f t="shared" si="20"/>
        <v/>
      </c>
      <c r="Y143" s="3" t="s">
        <v>200</v>
      </c>
      <c r="Z143" s="3"/>
      <c r="AA143" s="3" t="s">
        <v>119</v>
      </c>
      <c r="AB143" s="18" t="s">
        <v>35</v>
      </c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7"/>
      <c r="AO143" s="38"/>
      <c r="AP143" s="38"/>
      <c r="AQ143" s="38"/>
      <c r="AR143" s="43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</row>
    <row r="144" spans="1:54" s="5" customFormat="1" x14ac:dyDescent="0.25">
      <c r="A144" s="7"/>
      <c r="B144" s="77"/>
      <c r="C144" s="78"/>
      <c r="D144" s="78"/>
      <c r="E144" s="83"/>
      <c r="F144" s="78"/>
      <c r="G144" s="77"/>
      <c r="H144" s="78"/>
      <c r="I144" s="83"/>
      <c r="J144" s="78"/>
      <c r="K144" s="83"/>
      <c r="L144" s="78"/>
      <c r="M144" s="83"/>
      <c r="N144" s="77"/>
      <c r="O144" s="78"/>
      <c r="P144" s="77"/>
      <c r="Q144" s="78"/>
      <c r="R144" s="77"/>
      <c r="S144" s="78"/>
      <c r="T144" s="77"/>
      <c r="U144" s="78"/>
      <c r="V144" s="77"/>
      <c r="W144" s="7"/>
      <c r="X144" s="27" t="str">
        <f t="shared" si="20"/>
        <v/>
      </c>
      <c r="Y144" s="3" t="s">
        <v>201</v>
      </c>
      <c r="Z144" s="3"/>
      <c r="AA144" s="3" t="s">
        <v>119</v>
      </c>
      <c r="AB144" s="18" t="s">
        <v>35</v>
      </c>
      <c r="AC144" s="3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7"/>
      <c r="AO144" s="38"/>
      <c r="AP144" s="38"/>
      <c r="AQ144" s="38"/>
      <c r="AR144" s="43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</row>
    <row r="145" spans="1:54" s="5" customFormat="1" x14ac:dyDescent="0.25">
      <c r="A145" s="7"/>
      <c r="B145" s="77"/>
      <c r="C145" s="78"/>
      <c r="D145" s="78"/>
      <c r="E145" s="83"/>
      <c r="F145" s="78"/>
      <c r="G145" s="77"/>
      <c r="H145" s="78"/>
      <c r="I145" s="83"/>
      <c r="J145" s="78"/>
      <c r="K145" s="83"/>
      <c r="L145" s="78"/>
      <c r="M145" s="83"/>
      <c r="N145" s="77"/>
      <c r="O145" s="78"/>
      <c r="P145" s="77"/>
      <c r="Q145" s="78"/>
      <c r="R145" s="77"/>
      <c r="S145" s="78"/>
      <c r="T145" s="77"/>
      <c r="U145" s="78"/>
      <c r="V145" s="77"/>
      <c r="W145" s="7"/>
      <c r="X145" s="27" t="str">
        <f t="shared" si="20"/>
        <v/>
      </c>
      <c r="Y145" s="3" t="s">
        <v>202</v>
      </c>
      <c r="Z145" s="3"/>
      <c r="AA145" s="3" t="s">
        <v>119</v>
      </c>
      <c r="AB145" s="18" t="s">
        <v>35</v>
      </c>
      <c r="AC145" s="3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7"/>
      <c r="AO145" s="38"/>
      <c r="AP145" s="38"/>
      <c r="AQ145" s="38"/>
      <c r="AR145" s="43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</row>
    <row r="146" spans="1:54" s="5" customFormat="1" x14ac:dyDescent="0.25">
      <c r="A146" s="7"/>
      <c r="B146" s="77"/>
      <c r="C146" s="78"/>
      <c r="D146" s="78"/>
      <c r="E146" s="83"/>
      <c r="F146" s="78"/>
      <c r="G146" s="77"/>
      <c r="H146" s="78"/>
      <c r="I146" s="83"/>
      <c r="J146" s="78"/>
      <c r="K146" s="83"/>
      <c r="L146" s="78"/>
      <c r="M146" s="83"/>
      <c r="N146" s="77"/>
      <c r="O146" s="78"/>
      <c r="P146" s="77"/>
      <c r="Q146" s="78"/>
      <c r="R146" s="77"/>
      <c r="S146" s="78"/>
      <c r="T146" s="77"/>
      <c r="U146" s="78"/>
      <c r="V146" s="77"/>
      <c r="W146" s="7"/>
      <c r="X146" s="27" t="str">
        <f t="shared" si="20"/>
        <v/>
      </c>
      <c r="Y146" s="3" t="s">
        <v>203</v>
      </c>
      <c r="Z146" s="3"/>
      <c r="AA146" s="3" t="s">
        <v>119</v>
      </c>
      <c r="AB146" s="18" t="s">
        <v>35</v>
      </c>
      <c r="AC146" s="3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7"/>
      <c r="AO146" s="38"/>
      <c r="AP146" s="38"/>
      <c r="AQ146" s="38"/>
      <c r="AR146" s="43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</row>
    <row r="147" spans="1:54" s="5" customFormat="1" x14ac:dyDescent="0.25">
      <c r="A147" s="7"/>
      <c r="B147" s="77"/>
      <c r="C147" s="78"/>
      <c r="D147" s="78"/>
      <c r="E147" s="83"/>
      <c r="F147" s="78"/>
      <c r="G147" s="77"/>
      <c r="H147" s="78"/>
      <c r="I147" s="83"/>
      <c r="J147" s="78"/>
      <c r="K147" s="83"/>
      <c r="L147" s="78"/>
      <c r="M147" s="83"/>
      <c r="N147" s="77"/>
      <c r="O147" s="78"/>
      <c r="P147" s="77"/>
      <c r="Q147" s="78"/>
      <c r="R147" s="77"/>
      <c r="S147" s="78"/>
      <c r="T147" s="77"/>
      <c r="U147" s="78"/>
      <c r="V147" s="77"/>
      <c r="W147" s="7"/>
      <c r="X147" s="27" t="str">
        <f t="shared" si="20"/>
        <v/>
      </c>
      <c r="Y147" s="3" t="s">
        <v>95</v>
      </c>
      <c r="Z147" s="3" t="s">
        <v>158</v>
      </c>
      <c r="AA147" s="3" t="s">
        <v>58</v>
      </c>
      <c r="AB147" s="18" t="s">
        <v>35</v>
      </c>
      <c r="AC147" s="22">
        <v>1</v>
      </c>
      <c r="AD147" s="166">
        <f t="shared" ref="AD147:AM147" si="22">AC147</f>
        <v>1</v>
      </c>
      <c r="AE147" s="166">
        <f t="shared" si="22"/>
        <v>1</v>
      </c>
      <c r="AF147" s="166">
        <f t="shared" si="22"/>
        <v>1</v>
      </c>
      <c r="AG147" s="166">
        <f t="shared" si="22"/>
        <v>1</v>
      </c>
      <c r="AH147" s="166">
        <f t="shared" si="22"/>
        <v>1</v>
      </c>
      <c r="AI147" s="166">
        <f t="shared" si="22"/>
        <v>1</v>
      </c>
      <c r="AJ147" s="166">
        <f t="shared" si="22"/>
        <v>1</v>
      </c>
      <c r="AK147" s="166">
        <f t="shared" si="22"/>
        <v>1</v>
      </c>
      <c r="AL147" s="166">
        <f t="shared" si="22"/>
        <v>1</v>
      </c>
      <c r="AM147" s="166">
        <f t="shared" si="22"/>
        <v>1</v>
      </c>
      <c r="AN147" s="7"/>
      <c r="AO147" s="38"/>
      <c r="AP147" s="38"/>
      <c r="AQ147" s="38"/>
      <c r="AR147" s="43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</row>
    <row r="148" spans="1:54" s="5" customFormat="1" x14ac:dyDescent="0.25">
      <c r="A148" s="7"/>
      <c r="B148" s="77"/>
      <c r="C148" s="78"/>
      <c r="D148" s="78"/>
      <c r="E148" s="83"/>
      <c r="F148" s="78"/>
      <c r="G148" s="77"/>
      <c r="H148" s="78"/>
      <c r="I148" s="83"/>
      <c r="J148" s="78"/>
      <c r="K148" s="83"/>
      <c r="L148" s="78"/>
      <c r="M148" s="83"/>
      <c r="N148" s="77"/>
      <c r="O148" s="78"/>
      <c r="P148" s="77"/>
      <c r="Q148" s="78"/>
      <c r="R148" s="77"/>
      <c r="S148" s="78"/>
      <c r="T148" s="77"/>
      <c r="U148" s="78"/>
      <c r="V148" s="77"/>
      <c r="W148" s="7"/>
      <c r="X148" s="27" t="str">
        <f t="shared" si="20"/>
        <v/>
      </c>
      <c r="Y148" s="3" t="s">
        <v>92</v>
      </c>
      <c r="Z148" s="3"/>
      <c r="AA148" s="3" t="s">
        <v>119</v>
      </c>
      <c r="AB148" s="18" t="s">
        <v>35</v>
      </c>
      <c r="AC148" s="22">
        <f>1-AC138</f>
        <v>0.994469622</v>
      </c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7"/>
      <c r="AO148" s="38"/>
      <c r="AP148" s="38"/>
      <c r="AQ148" s="38"/>
      <c r="AR148" s="43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</row>
    <row r="149" spans="1:54" s="5" customFormat="1" x14ac:dyDescent="0.25">
      <c r="A149" s="7"/>
      <c r="B149" s="77"/>
      <c r="C149" s="78"/>
      <c r="D149" s="78"/>
      <c r="E149" s="83"/>
      <c r="F149" s="78"/>
      <c r="G149" s="77"/>
      <c r="H149" s="80"/>
      <c r="I149" s="83"/>
      <c r="J149" s="78"/>
      <c r="K149" s="83"/>
      <c r="L149" s="77"/>
      <c r="M149" s="84"/>
      <c r="N149" s="78"/>
      <c r="O149" s="78"/>
      <c r="P149" s="77"/>
      <c r="Q149" s="78"/>
      <c r="R149" s="77"/>
      <c r="S149" s="78"/>
      <c r="T149" s="77"/>
      <c r="U149" s="78"/>
      <c r="V149" s="77"/>
      <c r="W149" s="7"/>
      <c r="X149" s="27" t="str">
        <f t="shared" si="20"/>
        <v/>
      </c>
      <c r="Y149" s="6"/>
      <c r="Z149" s="6"/>
      <c r="AA149" s="6"/>
      <c r="AB149" s="11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7"/>
      <c r="AO149" s="15"/>
      <c r="AP149" s="15"/>
      <c r="AQ149" s="15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</row>
    <row r="150" spans="1:54" s="5" customFormat="1" x14ac:dyDescent="0.25">
      <c r="A150" s="7"/>
      <c r="B150" s="77"/>
      <c r="C150" s="78"/>
      <c r="D150" s="78"/>
      <c r="E150" s="83"/>
      <c r="F150" s="78"/>
      <c r="G150" s="77"/>
      <c r="H150" s="80"/>
      <c r="I150" s="83"/>
      <c r="J150" s="78"/>
      <c r="K150" s="83"/>
      <c r="L150" s="77"/>
      <c r="M150" s="81"/>
      <c r="N150" s="32" t="s">
        <v>35</v>
      </c>
      <c r="O150" s="78"/>
      <c r="P150" s="77"/>
      <c r="Q150" s="78"/>
      <c r="R150" s="77"/>
      <c r="S150" s="78"/>
      <c r="T150" s="77"/>
      <c r="U150" s="78"/>
      <c r="V150" s="77"/>
      <c r="W150" s="7"/>
      <c r="X150" s="28" t="str">
        <f t="shared" si="20"/>
        <v>Furnace</v>
      </c>
      <c r="Y150" s="6"/>
      <c r="Z150" s="6"/>
      <c r="AA150" s="6"/>
      <c r="AB150" s="11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7"/>
      <c r="AO150" s="15"/>
      <c r="AP150" s="15"/>
      <c r="AQ150" s="15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</row>
    <row r="151" spans="1:54" s="5" customFormat="1" x14ac:dyDescent="0.25">
      <c r="A151" s="7"/>
      <c r="B151" s="77"/>
      <c r="C151" s="78"/>
      <c r="D151" s="78"/>
      <c r="E151" s="83"/>
      <c r="F151" s="78"/>
      <c r="G151" s="77"/>
      <c r="H151" s="80"/>
      <c r="I151" s="83"/>
      <c r="J151" s="78"/>
      <c r="K151" s="83"/>
      <c r="L151" s="77"/>
      <c r="M151" s="78"/>
      <c r="N151" s="78"/>
      <c r="O151" s="78"/>
      <c r="P151" s="77"/>
      <c r="Q151" s="78"/>
      <c r="R151" s="77"/>
      <c r="S151" s="78"/>
      <c r="T151" s="77"/>
      <c r="U151" s="78"/>
      <c r="V151" s="77"/>
      <c r="W151" s="7"/>
      <c r="X151" s="27" t="str">
        <f t="shared" si="20"/>
        <v/>
      </c>
      <c r="Y151" s="3" t="s">
        <v>94</v>
      </c>
      <c r="Z151" s="3" t="s">
        <v>153</v>
      </c>
      <c r="AA151" s="3"/>
      <c r="AB151" s="18" t="s">
        <v>36</v>
      </c>
      <c r="AC151" s="3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7"/>
      <c r="AO151" s="38"/>
      <c r="AP151" s="38"/>
      <c r="AQ151" s="38"/>
      <c r="AR151" s="43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</row>
    <row r="152" spans="1:54" s="5" customFormat="1" x14ac:dyDescent="0.25">
      <c r="A152" s="7"/>
      <c r="B152" s="77"/>
      <c r="C152" s="78"/>
      <c r="D152" s="78"/>
      <c r="E152" s="83"/>
      <c r="F152" s="78"/>
      <c r="G152" s="77"/>
      <c r="H152" s="80"/>
      <c r="I152" s="83"/>
      <c r="J152" s="78"/>
      <c r="K152" s="83"/>
      <c r="L152" s="77"/>
      <c r="M152" s="78"/>
      <c r="N152" s="78"/>
      <c r="O152" s="78"/>
      <c r="P152" s="77"/>
      <c r="Q152" s="78"/>
      <c r="R152" s="77"/>
      <c r="S152" s="78"/>
      <c r="T152" s="77"/>
      <c r="U152" s="78"/>
      <c r="V152" s="77"/>
      <c r="W152" s="7"/>
      <c r="X152" s="27" t="str">
        <f t="shared" si="20"/>
        <v/>
      </c>
      <c r="Y152" s="3" t="s">
        <v>59</v>
      </c>
      <c r="Z152" s="3"/>
      <c r="AA152" s="3"/>
      <c r="AB152" s="18" t="s">
        <v>23</v>
      </c>
      <c r="AC152" s="3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7"/>
      <c r="AO152" s="38"/>
      <c r="AP152" s="38"/>
      <c r="AQ152" s="38"/>
      <c r="AR152" s="43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</row>
    <row r="153" spans="1:54" s="5" customFormat="1" x14ac:dyDescent="0.25">
      <c r="A153" s="7"/>
      <c r="B153" s="77"/>
      <c r="C153" s="78"/>
      <c r="D153" s="78"/>
      <c r="E153" s="83"/>
      <c r="F153" s="78"/>
      <c r="G153" s="77"/>
      <c r="H153" s="80"/>
      <c r="I153" s="83"/>
      <c r="J153" s="78"/>
      <c r="K153" s="83"/>
      <c r="L153" s="77"/>
      <c r="M153" s="78"/>
      <c r="N153" s="78"/>
      <c r="O153" s="78"/>
      <c r="P153" s="77"/>
      <c r="Q153" s="78"/>
      <c r="R153" s="77"/>
      <c r="S153" s="78"/>
      <c r="T153" s="77"/>
      <c r="U153" s="78"/>
      <c r="V153" s="77"/>
      <c r="W153" s="7"/>
      <c r="X153" s="27" t="str">
        <f t="shared" si="20"/>
        <v/>
      </c>
      <c r="Y153" s="3" t="s">
        <v>81</v>
      </c>
      <c r="Z153" s="3"/>
      <c r="AA153" s="3"/>
      <c r="AB153" s="18" t="s">
        <v>37</v>
      </c>
      <c r="AC153" s="3">
        <v>10</v>
      </c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7"/>
      <c r="AO153" s="38"/>
      <c r="AP153" s="38"/>
      <c r="AQ153" s="38"/>
      <c r="AR153" s="43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</row>
    <row r="154" spans="1:54" s="5" customFormat="1" x14ac:dyDescent="0.25">
      <c r="A154" s="7"/>
      <c r="B154" s="77"/>
      <c r="C154" s="78"/>
      <c r="D154" s="78"/>
      <c r="E154" s="83"/>
      <c r="F154" s="78"/>
      <c r="G154" s="77"/>
      <c r="H154" s="80"/>
      <c r="I154" s="83"/>
      <c r="J154" s="78"/>
      <c r="K154" s="83"/>
      <c r="L154" s="77"/>
      <c r="M154" s="78"/>
      <c r="N154" s="78"/>
      <c r="O154" s="78"/>
      <c r="P154" s="77"/>
      <c r="Q154" s="78"/>
      <c r="R154" s="77"/>
      <c r="S154" s="78"/>
      <c r="T154" s="77"/>
      <c r="U154" s="78"/>
      <c r="V154" s="77"/>
      <c r="W154" s="7"/>
      <c r="X154" s="27" t="str">
        <f t="shared" si="20"/>
        <v/>
      </c>
      <c r="Y154" s="3" t="s">
        <v>62</v>
      </c>
      <c r="Z154" s="3"/>
      <c r="AA154" s="3" t="s">
        <v>119</v>
      </c>
      <c r="AB154" s="18" t="s">
        <v>45</v>
      </c>
      <c r="AC154" s="3">
        <v>0.25</v>
      </c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7"/>
      <c r="AO154" s="38"/>
      <c r="AP154" s="38"/>
      <c r="AQ154" s="38"/>
      <c r="AR154" s="43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</row>
    <row r="155" spans="1:54" s="5" customFormat="1" x14ac:dyDescent="0.25">
      <c r="A155" s="7"/>
      <c r="B155" s="77"/>
      <c r="C155" s="78"/>
      <c r="D155" s="78"/>
      <c r="E155" s="83"/>
      <c r="F155" s="78"/>
      <c r="G155" s="77"/>
      <c r="H155" s="80"/>
      <c r="I155" s="83"/>
      <c r="J155" s="78"/>
      <c r="K155" s="83"/>
      <c r="L155" s="77"/>
      <c r="M155" s="78"/>
      <c r="N155" s="78"/>
      <c r="O155" s="78"/>
      <c r="P155" s="77"/>
      <c r="Q155" s="78"/>
      <c r="R155" s="77"/>
      <c r="S155" s="78"/>
      <c r="T155" s="77"/>
      <c r="U155" s="78"/>
      <c r="V155" s="77"/>
      <c r="W155" s="7"/>
      <c r="X155" s="27" t="str">
        <f>IFERROR(INDEX($B155:$V155,MATCH(TRUE,INDEX(($B155:$V155&lt;&gt;0),0),0)),"")</f>
        <v/>
      </c>
      <c r="Y155" s="3" t="s">
        <v>64</v>
      </c>
      <c r="Z155" s="3"/>
      <c r="AA155" s="3"/>
      <c r="AB155" s="18" t="s">
        <v>65</v>
      </c>
      <c r="AC155" s="3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7"/>
      <c r="AO155" s="38"/>
      <c r="AP155" s="38"/>
      <c r="AQ155" s="38"/>
      <c r="AR155" s="43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</row>
    <row r="156" spans="1:54" s="5" customFormat="1" x14ac:dyDescent="0.25">
      <c r="A156" s="7"/>
      <c r="B156" s="77"/>
      <c r="C156" s="78"/>
      <c r="D156" s="78"/>
      <c r="E156" s="83"/>
      <c r="F156" s="78"/>
      <c r="G156" s="77"/>
      <c r="H156" s="80"/>
      <c r="I156" s="83"/>
      <c r="J156" s="78"/>
      <c r="K156" s="83"/>
      <c r="L156" s="77"/>
      <c r="M156" s="78"/>
      <c r="N156" s="78"/>
      <c r="O156" s="78"/>
      <c r="P156" s="77"/>
      <c r="Q156" s="78"/>
      <c r="R156" s="77"/>
      <c r="S156" s="78"/>
      <c r="T156" s="77"/>
      <c r="U156" s="78"/>
      <c r="V156" s="77"/>
      <c r="W156" s="7"/>
      <c r="X156" s="27" t="str">
        <f>IFERROR(INDEX($B156:$V156,MATCH(TRUE,INDEX(($B156:$V156&lt;&gt;0),0),0)),"")</f>
        <v/>
      </c>
      <c r="Y156" s="3" t="s">
        <v>41</v>
      </c>
      <c r="Z156" s="3"/>
      <c r="AA156" s="3" t="s">
        <v>43</v>
      </c>
      <c r="AB156" s="18" t="s">
        <v>65</v>
      </c>
      <c r="AC156" s="3">
        <v>2000</v>
      </c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7"/>
      <c r="AO156" s="38"/>
      <c r="AP156" s="38"/>
      <c r="AQ156" s="38"/>
      <c r="AR156" s="43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</row>
    <row r="157" spans="1:54" s="5" customFormat="1" x14ac:dyDescent="0.25">
      <c r="A157" s="7"/>
      <c r="B157" s="77"/>
      <c r="C157" s="78"/>
      <c r="D157" s="78"/>
      <c r="E157" s="83"/>
      <c r="F157" s="78"/>
      <c r="G157" s="77"/>
      <c r="H157" s="80"/>
      <c r="I157" s="83"/>
      <c r="J157" s="78"/>
      <c r="K157" s="83"/>
      <c r="L157" s="77"/>
      <c r="M157" s="78"/>
      <c r="N157" s="78"/>
      <c r="O157" s="78"/>
      <c r="P157" s="77"/>
      <c r="Q157" s="78"/>
      <c r="R157" s="77"/>
      <c r="S157" s="78"/>
      <c r="T157" s="77"/>
      <c r="U157" s="78"/>
      <c r="V157" s="77"/>
      <c r="W157" s="7"/>
      <c r="X157" s="27" t="str">
        <f>IFERROR(INDEX($B157:$V157,MATCH(TRUE,INDEX(($B157:$V157&lt;&gt;0),0),0)),"")</f>
        <v/>
      </c>
      <c r="Y157" s="3" t="s">
        <v>40</v>
      </c>
      <c r="Z157" s="3"/>
      <c r="AA157" s="3" t="s">
        <v>43</v>
      </c>
      <c r="AB157" s="18" t="s">
        <v>65</v>
      </c>
      <c r="AC157" s="3">
        <v>2000</v>
      </c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7"/>
      <c r="AO157" s="38"/>
      <c r="AP157" s="38"/>
      <c r="AQ157" s="38"/>
      <c r="AR157" s="43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</row>
    <row r="158" spans="1:54" s="5" customFormat="1" x14ac:dyDescent="0.25">
      <c r="A158" s="7"/>
      <c r="B158" s="77"/>
      <c r="C158" s="78"/>
      <c r="D158" s="78"/>
      <c r="E158" s="83"/>
      <c r="F158" s="78"/>
      <c r="G158" s="77"/>
      <c r="H158" s="80"/>
      <c r="I158" s="83"/>
      <c r="J158" s="78"/>
      <c r="K158" s="83"/>
      <c r="L158" s="77"/>
      <c r="M158" s="78"/>
      <c r="N158" s="78"/>
      <c r="O158" s="78"/>
      <c r="P158" s="77"/>
      <c r="Q158" s="78"/>
      <c r="R158" s="77"/>
      <c r="S158" s="78"/>
      <c r="T158" s="77"/>
      <c r="U158" s="78"/>
      <c r="V158" s="77"/>
      <c r="W158" s="7"/>
      <c r="X158" s="27" t="str">
        <f>IFERROR(INDEX($B158:$V158,MATCH(TRUE,INDEX(($B158:$V158&lt;&gt;0),0),0)),"")</f>
        <v/>
      </c>
      <c r="Y158" s="3" t="s">
        <v>42</v>
      </c>
      <c r="Z158" s="3"/>
      <c r="AA158" s="3" t="s">
        <v>10</v>
      </c>
      <c r="AB158" s="18" t="s">
        <v>65</v>
      </c>
      <c r="AC158" s="3">
        <v>18</v>
      </c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7"/>
      <c r="AO158" s="38"/>
      <c r="AP158" s="38"/>
      <c r="AQ158" s="38"/>
      <c r="AR158" s="43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</row>
    <row r="159" spans="1:54" s="5" customFormat="1" x14ac:dyDescent="0.25">
      <c r="A159" s="7"/>
      <c r="B159" s="77"/>
      <c r="C159" s="78"/>
      <c r="D159" s="78"/>
      <c r="E159" s="83"/>
      <c r="F159" s="78"/>
      <c r="G159" s="77"/>
      <c r="H159" s="80"/>
      <c r="I159" s="83"/>
      <c r="J159" s="78"/>
      <c r="K159" s="83"/>
      <c r="L159" s="77"/>
      <c r="M159" s="78"/>
      <c r="N159" s="78"/>
      <c r="O159" s="78"/>
      <c r="P159" s="77"/>
      <c r="Q159" s="78"/>
      <c r="R159" s="77"/>
      <c r="S159" s="78"/>
      <c r="T159" s="77"/>
      <c r="U159" s="78"/>
      <c r="V159" s="77"/>
      <c r="W159" s="7"/>
      <c r="X159" s="27" t="str">
        <f t="shared" si="20"/>
        <v/>
      </c>
      <c r="Y159" s="3" t="s">
        <v>68</v>
      </c>
      <c r="Z159" s="3"/>
      <c r="AA159" s="3" t="s">
        <v>119</v>
      </c>
      <c r="AB159" s="18" t="s">
        <v>65</v>
      </c>
      <c r="AC159" s="3">
        <v>0.25</v>
      </c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7"/>
      <c r="AO159" s="38"/>
      <c r="AP159" s="38"/>
      <c r="AQ159" s="38"/>
      <c r="AR159" s="43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</row>
    <row r="160" spans="1:54" s="5" customFormat="1" x14ac:dyDescent="0.25">
      <c r="A160" s="7"/>
      <c r="B160" s="77"/>
      <c r="C160" s="78"/>
      <c r="D160" s="78"/>
      <c r="E160" s="83"/>
      <c r="F160" s="78"/>
      <c r="G160" s="77"/>
      <c r="H160" s="80"/>
      <c r="I160" s="83"/>
      <c r="J160" s="78"/>
      <c r="K160" s="83"/>
      <c r="L160" s="77"/>
      <c r="M160" s="78"/>
      <c r="N160" s="78"/>
      <c r="O160" s="78"/>
      <c r="P160" s="77"/>
      <c r="Q160" s="78"/>
      <c r="R160" s="77"/>
      <c r="S160" s="78"/>
      <c r="T160" s="77"/>
      <c r="U160" s="78"/>
      <c r="V160" s="77"/>
      <c r="W160" s="7"/>
      <c r="X160" s="27" t="str">
        <f t="shared" ref="X160:X165" si="23">IFERROR(INDEX($B160:$V160,MATCH(TRUE,INDEX(($B160:$V160&lt;&gt;0),0),0)),"")</f>
        <v/>
      </c>
      <c r="Y160" s="3" t="s">
        <v>38</v>
      </c>
      <c r="Z160" s="3"/>
      <c r="AA160" s="3" t="s">
        <v>17</v>
      </c>
      <c r="AB160" s="18" t="s">
        <v>65</v>
      </c>
      <c r="AC160" s="23">
        <f>AC198/2</f>
        <v>1782.5</v>
      </c>
      <c r="AD160" s="23">
        <f>AC160</f>
        <v>1782.5</v>
      </c>
      <c r="AE160" s="23">
        <f t="shared" ref="AE160:AM160" si="24">AD160</f>
        <v>1782.5</v>
      </c>
      <c r="AF160" s="23">
        <f t="shared" si="24"/>
        <v>1782.5</v>
      </c>
      <c r="AG160" s="23">
        <f t="shared" si="24"/>
        <v>1782.5</v>
      </c>
      <c r="AH160" s="23">
        <f t="shared" si="24"/>
        <v>1782.5</v>
      </c>
      <c r="AI160" s="23">
        <f t="shared" si="24"/>
        <v>1782.5</v>
      </c>
      <c r="AJ160" s="23">
        <f t="shared" si="24"/>
        <v>1782.5</v>
      </c>
      <c r="AK160" s="23">
        <f t="shared" si="24"/>
        <v>1782.5</v>
      </c>
      <c r="AL160" s="23">
        <f t="shared" si="24"/>
        <v>1782.5</v>
      </c>
      <c r="AM160" s="23">
        <f t="shared" si="24"/>
        <v>1782.5</v>
      </c>
      <c r="AN160" s="7"/>
      <c r="AO160" s="38"/>
      <c r="AP160" s="38"/>
      <c r="AQ160" s="38"/>
      <c r="AR160" s="43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</row>
    <row r="161" spans="1:54" s="5" customFormat="1" x14ac:dyDescent="0.25">
      <c r="A161" s="7"/>
      <c r="B161" s="77"/>
      <c r="C161" s="78"/>
      <c r="D161" s="78"/>
      <c r="E161" s="83"/>
      <c r="F161" s="78"/>
      <c r="G161" s="77"/>
      <c r="H161" s="80"/>
      <c r="I161" s="83"/>
      <c r="J161" s="78"/>
      <c r="K161" s="83"/>
      <c r="L161" s="77"/>
      <c r="M161" s="78"/>
      <c r="N161" s="78"/>
      <c r="O161" s="78"/>
      <c r="P161" s="77"/>
      <c r="Q161" s="78"/>
      <c r="R161" s="77"/>
      <c r="S161" s="78"/>
      <c r="T161" s="77"/>
      <c r="U161" s="78"/>
      <c r="V161" s="77"/>
      <c r="W161" s="7"/>
      <c r="X161" s="27" t="str">
        <f t="shared" si="23"/>
        <v/>
      </c>
      <c r="Y161" s="3" t="s">
        <v>44</v>
      </c>
      <c r="Z161" s="3"/>
      <c r="AA161" s="3" t="s">
        <v>17</v>
      </c>
      <c r="AB161" s="18" t="s">
        <v>65</v>
      </c>
      <c r="AC161" s="3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7"/>
      <c r="AO161" s="38"/>
      <c r="AP161" s="38"/>
      <c r="AQ161" s="38"/>
      <c r="AR161" s="43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</row>
    <row r="162" spans="1:54" s="5" customFormat="1" x14ac:dyDescent="0.25">
      <c r="A162" s="7"/>
      <c r="B162" s="77"/>
      <c r="C162" s="78"/>
      <c r="D162" s="78"/>
      <c r="E162" s="83"/>
      <c r="F162" s="78"/>
      <c r="G162" s="77"/>
      <c r="H162" s="80"/>
      <c r="I162" s="83"/>
      <c r="J162" s="78"/>
      <c r="K162" s="83"/>
      <c r="L162" s="77"/>
      <c r="M162" s="78"/>
      <c r="N162" s="78"/>
      <c r="O162" s="78"/>
      <c r="P162" s="77"/>
      <c r="Q162" s="78"/>
      <c r="R162" s="77"/>
      <c r="S162" s="78"/>
      <c r="T162" s="77"/>
      <c r="U162" s="78"/>
      <c r="V162" s="77"/>
      <c r="W162" s="7"/>
      <c r="X162" s="27" t="str">
        <f t="shared" si="23"/>
        <v/>
      </c>
      <c r="Y162" s="3" t="s">
        <v>51</v>
      </c>
      <c r="Z162" s="3"/>
      <c r="AA162" s="3" t="s">
        <v>17</v>
      </c>
      <c r="AB162" s="18" t="s">
        <v>65</v>
      </c>
      <c r="AC162" s="3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7"/>
      <c r="AO162" s="38"/>
      <c r="AP162" s="38"/>
      <c r="AQ162" s="38"/>
      <c r="AR162" s="43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</row>
    <row r="163" spans="1:54" s="5" customFormat="1" x14ac:dyDescent="0.25">
      <c r="A163" s="7"/>
      <c r="B163" s="77"/>
      <c r="C163" s="78"/>
      <c r="D163" s="78"/>
      <c r="E163" s="83"/>
      <c r="F163" s="78"/>
      <c r="G163" s="77"/>
      <c r="H163" s="80"/>
      <c r="I163" s="83"/>
      <c r="J163" s="78"/>
      <c r="K163" s="83"/>
      <c r="L163" s="77"/>
      <c r="M163" s="78"/>
      <c r="N163" s="78"/>
      <c r="O163" s="78"/>
      <c r="P163" s="77"/>
      <c r="Q163" s="78"/>
      <c r="R163" s="77"/>
      <c r="S163" s="78"/>
      <c r="T163" s="77"/>
      <c r="U163" s="78"/>
      <c r="V163" s="77"/>
      <c r="W163" s="7"/>
      <c r="X163" s="27" t="str">
        <f t="shared" si="23"/>
        <v/>
      </c>
      <c r="Y163" s="3" t="s">
        <v>96</v>
      </c>
      <c r="Z163" s="97" t="s">
        <v>150</v>
      </c>
      <c r="AA163" s="3" t="s">
        <v>17</v>
      </c>
      <c r="AB163" s="18" t="s">
        <v>65</v>
      </c>
      <c r="AC163" s="23">
        <f>AC164*$AC$9</f>
        <v>18.581759999999999</v>
      </c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7"/>
      <c r="AO163" s="38"/>
      <c r="AP163" s="38"/>
      <c r="AQ163" s="38"/>
      <c r="AR163" s="43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</row>
    <row r="164" spans="1:54" s="5" customFormat="1" x14ac:dyDescent="0.25">
      <c r="A164" s="7"/>
      <c r="B164" s="77"/>
      <c r="C164" s="78"/>
      <c r="D164" s="78"/>
      <c r="E164" s="83"/>
      <c r="F164" s="78"/>
      <c r="G164" s="77"/>
      <c r="H164" s="80"/>
      <c r="I164" s="83"/>
      <c r="J164" s="78"/>
      <c r="K164" s="83"/>
      <c r="L164" s="77"/>
      <c r="M164" s="78"/>
      <c r="N164" s="78"/>
      <c r="O164" s="78"/>
      <c r="P164" s="77"/>
      <c r="Q164" s="78"/>
      <c r="R164" s="77"/>
      <c r="S164" s="78"/>
      <c r="T164" s="77"/>
      <c r="U164" s="78"/>
      <c r="V164" s="77"/>
      <c r="W164" s="7"/>
      <c r="X164" s="27" t="str">
        <f t="shared" si="23"/>
        <v/>
      </c>
      <c r="Y164" s="97" t="s">
        <v>95</v>
      </c>
      <c r="Z164" s="97" t="s">
        <v>150</v>
      </c>
      <c r="AA164" s="3" t="s">
        <v>58</v>
      </c>
      <c r="AB164" s="18" t="s">
        <v>65</v>
      </c>
      <c r="AC164" s="3">
        <v>1.613</v>
      </c>
      <c r="AD164" s="22">
        <f>AC164</f>
        <v>1.613</v>
      </c>
      <c r="AE164" s="22">
        <f t="shared" ref="AE164:AM164" si="25">AD164</f>
        <v>1.613</v>
      </c>
      <c r="AF164" s="22">
        <f t="shared" si="25"/>
        <v>1.613</v>
      </c>
      <c r="AG164" s="22">
        <f t="shared" si="25"/>
        <v>1.613</v>
      </c>
      <c r="AH164" s="22">
        <f t="shared" si="25"/>
        <v>1.613</v>
      </c>
      <c r="AI164" s="22">
        <f t="shared" si="25"/>
        <v>1.613</v>
      </c>
      <c r="AJ164" s="22">
        <f t="shared" si="25"/>
        <v>1.613</v>
      </c>
      <c r="AK164" s="22">
        <f t="shared" si="25"/>
        <v>1.613</v>
      </c>
      <c r="AL164" s="22">
        <f t="shared" si="25"/>
        <v>1.613</v>
      </c>
      <c r="AM164" s="22">
        <f t="shared" si="25"/>
        <v>1.613</v>
      </c>
      <c r="AN164" s="7"/>
      <c r="AO164" s="38"/>
      <c r="AP164" s="38"/>
      <c r="AQ164" s="38"/>
      <c r="AR164" s="43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</row>
    <row r="165" spans="1:54" s="5" customFormat="1" x14ac:dyDescent="0.25">
      <c r="A165" s="7"/>
      <c r="B165" s="77"/>
      <c r="C165" s="78"/>
      <c r="D165" s="78"/>
      <c r="E165" s="83"/>
      <c r="F165" s="78"/>
      <c r="G165" s="77"/>
      <c r="H165" s="80"/>
      <c r="I165" s="83"/>
      <c r="J165" s="78"/>
      <c r="K165" s="83"/>
      <c r="L165" s="77"/>
      <c r="M165" s="78"/>
      <c r="N165" s="78"/>
      <c r="O165" s="78"/>
      <c r="P165" s="77"/>
      <c r="Q165" s="78"/>
      <c r="R165" s="77"/>
      <c r="S165" s="78"/>
      <c r="T165" s="77"/>
      <c r="U165" s="78"/>
      <c r="V165" s="77"/>
      <c r="W165" s="7"/>
      <c r="X165" s="27" t="str">
        <f t="shared" si="23"/>
        <v/>
      </c>
      <c r="Y165" s="3" t="s">
        <v>92</v>
      </c>
      <c r="Z165" s="3"/>
      <c r="AA165" s="3" t="s">
        <v>119</v>
      </c>
      <c r="AB165" s="18" t="s">
        <v>65</v>
      </c>
      <c r="AC165" s="22">
        <v>0.94</v>
      </c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7"/>
      <c r="AO165" s="38"/>
      <c r="AP165" s="38"/>
      <c r="AQ165" s="38"/>
      <c r="AR165" s="43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</row>
    <row r="166" spans="1:54" s="5" customFormat="1" x14ac:dyDescent="0.25">
      <c r="A166" s="7"/>
      <c r="B166" s="77"/>
      <c r="C166" s="78"/>
      <c r="D166" s="78"/>
      <c r="E166" s="83"/>
      <c r="F166" s="78"/>
      <c r="G166" s="77"/>
      <c r="H166" s="80"/>
      <c r="I166" s="83"/>
      <c r="J166" s="78"/>
      <c r="K166" s="83"/>
      <c r="L166" s="77"/>
      <c r="M166" s="78"/>
      <c r="N166" s="78"/>
      <c r="O166" s="78"/>
      <c r="P166" s="77"/>
      <c r="Q166" s="78"/>
      <c r="R166" s="77"/>
      <c r="S166" s="78"/>
      <c r="T166" s="77"/>
      <c r="U166" s="78"/>
      <c r="V166" s="77"/>
      <c r="W166" s="7"/>
      <c r="X166" s="27" t="str">
        <f t="shared" si="20"/>
        <v/>
      </c>
      <c r="Y166" s="3" t="s">
        <v>64</v>
      </c>
      <c r="Z166" s="3"/>
      <c r="AA166" s="3"/>
      <c r="AB166" s="18" t="s">
        <v>67</v>
      </c>
      <c r="AC166" s="3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7"/>
      <c r="AO166" s="38"/>
      <c r="AP166" s="38"/>
      <c r="AQ166" s="38"/>
      <c r="AR166" s="43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</row>
    <row r="167" spans="1:54" s="5" customFormat="1" x14ac:dyDescent="0.25">
      <c r="A167" s="7"/>
      <c r="B167" s="77"/>
      <c r="C167" s="78"/>
      <c r="D167" s="78"/>
      <c r="E167" s="83"/>
      <c r="F167" s="78"/>
      <c r="G167" s="77"/>
      <c r="H167" s="80"/>
      <c r="I167" s="83"/>
      <c r="J167" s="78"/>
      <c r="K167" s="83"/>
      <c r="L167" s="77"/>
      <c r="M167" s="78"/>
      <c r="N167" s="78"/>
      <c r="O167" s="78"/>
      <c r="P167" s="77"/>
      <c r="Q167" s="78"/>
      <c r="R167" s="77"/>
      <c r="S167" s="78"/>
      <c r="T167" s="77"/>
      <c r="U167" s="78"/>
      <c r="V167" s="77"/>
      <c r="W167" s="7"/>
      <c r="X167" s="27" t="str">
        <f t="shared" si="20"/>
        <v/>
      </c>
      <c r="Y167" s="3" t="s">
        <v>41</v>
      </c>
      <c r="Z167" s="3"/>
      <c r="AA167" s="3" t="s">
        <v>43</v>
      </c>
      <c r="AB167" s="18" t="s">
        <v>67</v>
      </c>
      <c r="AC167" s="3">
        <v>2000</v>
      </c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7"/>
      <c r="AO167" s="38"/>
      <c r="AP167" s="38"/>
      <c r="AQ167" s="38"/>
      <c r="AR167" s="43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</row>
    <row r="168" spans="1:54" s="5" customFormat="1" x14ac:dyDescent="0.25">
      <c r="A168" s="7"/>
      <c r="B168" s="77"/>
      <c r="C168" s="78"/>
      <c r="D168" s="78"/>
      <c r="E168" s="83"/>
      <c r="F168" s="78"/>
      <c r="G168" s="77"/>
      <c r="H168" s="80"/>
      <c r="I168" s="83"/>
      <c r="J168" s="78"/>
      <c r="K168" s="83"/>
      <c r="L168" s="77"/>
      <c r="M168" s="78"/>
      <c r="N168" s="78"/>
      <c r="O168" s="78"/>
      <c r="P168" s="77"/>
      <c r="Q168" s="78"/>
      <c r="R168" s="77"/>
      <c r="S168" s="78"/>
      <c r="T168" s="77"/>
      <c r="U168" s="78"/>
      <c r="V168" s="77"/>
      <c r="W168" s="7"/>
      <c r="X168" s="27" t="str">
        <f t="shared" si="20"/>
        <v/>
      </c>
      <c r="Y168" s="3" t="s">
        <v>40</v>
      </c>
      <c r="Z168" s="3"/>
      <c r="AA168" s="3" t="s">
        <v>43</v>
      </c>
      <c r="AB168" s="18" t="s">
        <v>67</v>
      </c>
      <c r="AC168" s="3">
        <v>2100</v>
      </c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7"/>
      <c r="AO168" s="38"/>
      <c r="AP168" s="38"/>
      <c r="AQ168" s="38"/>
      <c r="AR168" s="43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</row>
    <row r="169" spans="1:54" s="5" customFormat="1" x14ac:dyDescent="0.25">
      <c r="A169" s="7"/>
      <c r="B169" s="77"/>
      <c r="C169" s="78"/>
      <c r="D169" s="78"/>
      <c r="E169" s="83"/>
      <c r="F169" s="78"/>
      <c r="G169" s="77"/>
      <c r="H169" s="80"/>
      <c r="I169" s="83"/>
      <c r="J169" s="78"/>
      <c r="K169" s="83"/>
      <c r="L169" s="77"/>
      <c r="M169" s="78"/>
      <c r="N169" s="78"/>
      <c r="O169" s="78"/>
      <c r="P169" s="77"/>
      <c r="Q169" s="78"/>
      <c r="R169" s="77"/>
      <c r="S169" s="78"/>
      <c r="T169" s="77"/>
      <c r="U169" s="78"/>
      <c r="V169" s="77"/>
      <c r="W169" s="7"/>
      <c r="X169" s="27" t="str">
        <f t="shared" si="20"/>
        <v/>
      </c>
      <c r="Y169" s="3" t="s">
        <v>42</v>
      </c>
      <c r="Z169" s="3"/>
      <c r="AA169" s="3" t="s">
        <v>10</v>
      </c>
      <c r="AB169" s="18" t="s">
        <v>67</v>
      </c>
      <c r="AC169" s="3">
        <v>12</v>
      </c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7"/>
      <c r="AO169" s="38"/>
      <c r="AP169" s="38"/>
      <c r="AQ169" s="38"/>
      <c r="AR169" s="43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</row>
    <row r="170" spans="1:54" s="5" customFormat="1" x14ac:dyDescent="0.25">
      <c r="A170" s="7"/>
      <c r="B170" s="77"/>
      <c r="C170" s="78"/>
      <c r="D170" s="78"/>
      <c r="E170" s="83"/>
      <c r="F170" s="78"/>
      <c r="G170" s="77"/>
      <c r="H170" s="80"/>
      <c r="I170" s="83"/>
      <c r="J170" s="78"/>
      <c r="K170" s="83"/>
      <c r="L170" s="77"/>
      <c r="M170" s="78"/>
      <c r="N170" s="78"/>
      <c r="O170" s="78"/>
      <c r="P170" s="77"/>
      <c r="Q170" s="78"/>
      <c r="R170" s="77"/>
      <c r="S170" s="78"/>
      <c r="T170" s="77"/>
      <c r="U170" s="78"/>
      <c r="V170" s="77"/>
      <c r="W170" s="7"/>
      <c r="X170" s="27" t="str">
        <f t="shared" si="20"/>
        <v/>
      </c>
      <c r="Y170" s="3" t="s">
        <v>68</v>
      </c>
      <c r="Z170" s="3"/>
      <c r="AA170" s="3" t="s">
        <v>119</v>
      </c>
      <c r="AB170" s="18" t="s">
        <v>67</v>
      </c>
      <c r="AC170" s="3">
        <v>0.25</v>
      </c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7"/>
      <c r="AO170" s="38"/>
      <c r="AP170" s="38"/>
      <c r="AQ170" s="38"/>
      <c r="AR170" s="43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</row>
    <row r="171" spans="1:54" s="5" customFormat="1" x14ac:dyDescent="0.25">
      <c r="A171" s="7"/>
      <c r="B171" s="77"/>
      <c r="C171" s="78"/>
      <c r="D171" s="78"/>
      <c r="E171" s="83"/>
      <c r="F171" s="78"/>
      <c r="G171" s="77"/>
      <c r="H171" s="80"/>
      <c r="I171" s="83"/>
      <c r="J171" s="78"/>
      <c r="K171" s="83"/>
      <c r="L171" s="77"/>
      <c r="M171" s="78"/>
      <c r="N171" s="78"/>
      <c r="O171" s="78"/>
      <c r="P171" s="77"/>
      <c r="Q171" s="78"/>
      <c r="R171" s="77"/>
      <c r="S171" s="78"/>
      <c r="T171" s="77"/>
      <c r="U171" s="78"/>
      <c r="V171" s="77"/>
      <c r="W171" s="7"/>
      <c r="X171" s="27" t="str">
        <f t="shared" si="20"/>
        <v/>
      </c>
      <c r="Y171" s="3" t="s">
        <v>38</v>
      </c>
      <c r="Z171" s="3"/>
      <c r="AA171" s="3" t="s">
        <v>17</v>
      </c>
      <c r="AB171" s="18" t="s">
        <v>67</v>
      </c>
      <c r="AC171" s="23">
        <v>4886</v>
      </c>
      <c r="AD171" s="23">
        <f>AC171*0.95</f>
        <v>4641.7</v>
      </c>
      <c r="AE171" s="23">
        <f t="shared" ref="AE171:AM171" si="26">AD171*0.95</f>
        <v>4409.6149999999998</v>
      </c>
      <c r="AF171" s="23">
        <f t="shared" si="26"/>
        <v>4189.1342499999992</v>
      </c>
      <c r="AG171" s="23">
        <f t="shared" si="26"/>
        <v>3979.6775374999988</v>
      </c>
      <c r="AH171" s="23">
        <f t="shared" si="26"/>
        <v>3780.6936606249988</v>
      </c>
      <c r="AI171" s="23">
        <f t="shared" si="26"/>
        <v>3591.6589775937487</v>
      </c>
      <c r="AJ171" s="23">
        <f t="shared" si="26"/>
        <v>3412.0760287140611</v>
      </c>
      <c r="AK171" s="23">
        <f t="shared" si="26"/>
        <v>3241.4722272783579</v>
      </c>
      <c r="AL171" s="23">
        <f t="shared" si="26"/>
        <v>3079.3986159144397</v>
      </c>
      <c r="AM171" s="23">
        <f t="shared" si="26"/>
        <v>2925.4286851187176</v>
      </c>
      <c r="AN171" s="7"/>
      <c r="AO171" s="38"/>
      <c r="AP171" s="38"/>
      <c r="AQ171" s="38"/>
      <c r="AR171" s="43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</row>
    <row r="172" spans="1:54" s="5" customFormat="1" x14ac:dyDescent="0.25">
      <c r="A172" s="7"/>
      <c r="B172" s="77"/>
      <c r="C172" s="78"/>
      <c r="D172" s="78"/>
      <c r="E172" s="83"/>
      <c r="F172" s="78"/>
      <c r="G172" s="77"/>
      <c r="H172" s="80"/>
      <c r="I172" s="83"/>
      <c r="J172" s="78"/>
      <c r="K172" s="83"/>
      <c r="L172" s="77"/>
      <c r="M172" s="78"/>
      <c r="N172" s="78"/>
      <c r="O172" s="78"/>
      <c r="P172" s="77"/>
      <c r="Q172" s="78"/>
      <c r="R172" s="77"/>
      <c r="S172" s="78"/>
      <c r="T172" s="77"/>
      <c r="U172" s="78"/>
      <c r="V172" s="77"/>
      <c r="W172" s="7"/>
      <c r="X172" s="27" t="str">
        <f t="shared" si="20"/>
        <v/>
      </c>
      <c r="Y172" s="3" t="s">
        <v>44</v>
      </c>
      <c r="Z172" s="3"/>
      <c r="AA172" s="3" t="s">
        <v>17</v>
      </c>
      <c r="AB172" s="18" t="s">
        <v>67</v>
      </c>
      <c r="AC172" s="23"/>
      <c r="AD172" s="167"/>
      <c r="AE172" s="167"/>
      <c r="AF172" s="167"/>
      <c r="AG172" s="167"/>
      <c r="AH172" s="167"/>
      <c r="AI172" s="167"/>
      <c r="AJ172" s="167"/>
      <c r="AK172" s="167"/>
      <c r="AL172" s="167"/>
      <c r="AM172" s="167"/>
      <c r="AN172" s="7"/>
      <c r="AO172" s="38"/>
      <c r="AP172" s="38"/>
      <c r="AQ172" s="38"/>
      <c r="AR172" s="43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</row>
    <row r="173" spans="1:54" s="5" customFormat="1" x14ac:dyDescent="0.25">
      <c r="A173" s="7"/>
      <c r="B173" s="77"/>
      <c r="C173" s="78"/>
      <c r="D173" s="78"/>
      <c r="E173" s="83"/>
      <c r="F173" s="78"/>
      <c r="G173" s="77"/>
      <c r="H173" s="80"/>
      <c r="I173" s="83"/>
      <c r="J173" s="78"/>
      <c r="K173" s="83"/>
      <c r="L173" s="77"/>
      <c r="M173" s="78"/>
      <c r="N173" s="78"/>
      <c r="O173" s="78"/>
      <c r="P173" s="77"/>
      <c r="Q173" s="78"/>
      <c r="R173" s="77"/>
      <c r="S173" s="78"/>
      <c r="T173" s="77"/>
      <c r="U173" s="78"/>
      <c r="V173" s="77"/>
      <c r="W173" s="7"/>
      <c r="X173" s="27" t="str">
        <f t="shared" si="20"/>
        <v/>
      </c>
      <c r="Y173" s="3" t="s">
        <v>51</v>
      </c>
      <c r="Z173" s="3"/>
      <c r="AA173" s="3" t="s">
        <v>17</v>
      </c>
      <c r="AB173" s="18" t="s">
        <v>67</v>
      </c>
      <c r="AC173" s="23"/>
      <c r="AD173" s="167"/>
      <c r="AE173" s="167"/>
      <c r="AF173" s="167"/>
      <c r="AG173" s="167"/>
      <c r="AH173" s="167"/>
      <c r="AI173" s="167"/>
      <c r="AJ173" s="167"/>
      <c r="AK173" s="167"/>
      <c r="AL173" s="167"/>
      <c r="AM173" s="167"/>
      <c r="AN173" s="7"/>
      <c r="AO173" s="38"/>
      <c r="AP173" s="38"/>
      <c r="AQ173" s="38"/>
      <c r="AR173" s="43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</row>
    <row r="174" spans="1:54" s="5" customFormat="1" x14ac:dyDescent="0.25">
      <c r="A174" s="7"/>
      <c r="B174" s="77"/>
      <c r="C174" s="78"/>
      <c r="D174" s="78"/>
      <c r="E174" s="83"/>
      <c r="F174" s="78"/>
      <c r="G174" s="77"/>
      <c r="H174" s="80"/>
      <c r="I174" s="83"/>
      <c r="J174" s="78"/>
      <c r="K174" s="83"/>
      <c r="L174" s="77"/>
      <c r="M174" s="78"/>
      <c r="N174" s="78"/>
      <c r="O174" s="78"/>
      <c r="P174" s="77"/>
      <c r="Q174" s="78"/>
      <c r="R174" s="77"/>
      <c r="S174" s="78"/>
      <c r="T174" s="77"/>
      <c r="U174" s="78"/>
      <c r="V174" s="77"/>
      <c r="W174" s="7"/>
      <c r="X174" s="27" t="str">
        <f t="shared" si="20"/>
        <v/>
      </c>
      <c r="Y174" s="3" t="s">
        <v>96</v>
      </c>
      <c r="Z174" s="3" t="s">
        <v>148</v>
      </c>
      <c r="AA174" s="3" t="s">
        <v>17</v>
      </c>
      <c r="AB174" s="18" t="s">
        <v>67</v>
      </c>
      <c r="AC174" s="23">
        <f>AC178*$AC$23</f>
        <v>11.572000000000001</v>
      </c>
      <c r="AD174" s="167"/>
      <c r="AE174" s="167"/>
      <c r="AF174" s="167"/>
      <c r="AG174" s="167"/>
      <c r="AH174" s="167"/>
      <c r="AI174" s="167"/>
      <c r="AJ174" s="167"/>
      <c r="AK174" s="167"/>
      <c r="AL174" s="167"/>
      <c r="AM174" s="167"/>
      <c r="AN174" s="7"/>
      <c r="AO174" s="38"/>
      <c r="AP174" s="38"/>
      <c r="AQ174" s="38"/>
      <c r="AR174" s="43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</row>
    <row r="175" spans="1:54" s="5" customFormat="1" x14ac:dyDescent="0.25">
      <c r="A175" s="7"/>
      <c r="B175" s="77"/>
      <c r="C175" s="78"/>
      <c r="D175" s="78"/>
      <c r="E175" s="83"/>
      <c r="F175" s="78"/>
      <c r="G175" s="77"/>
      <c r="H175" s="80"/>
      <c r="I175" s="83"/>
      <c r="J175" s="78"/>
      <c r="K175" s="83"/>
      <c r="L175" s="77"/>
      <c r="M175" s="78"/>
      <c r="N175" s="78"/>
      <c r="O175" s="78"/>
      <c r="P175" s="77"/>
      <c r="Q175" s="78"/>
      <c r="R175" s="77"/>
      <c r="S175" s="78"/>
      <c r="T175" s="77"/>
      <c r="U175" s="78"/>
      <c r="V175" s="77"/>
      <c r="W175" s="7"/>
      <c r="X175" s="27"/>
      <c r="Y175" s="3" t="s">
        <v>152</v>
      </c>
      <c r="Z175" s="3" t="s">
        <v>169</v>
      </c>
      <c r="AA175" s="3"/>
      <c r="AB175" s="18" t="s">
        <v>67</v>
      </c>
      <c r="AC175" s="23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7"/>
      <c r="AO175" s="38"/>
      <c r="AP175" s="38"/>
      <c r="AQ175" s="38"/>
      <c r="AR175" s="43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</row>
    <row r="176" spans="1:54" s="5" customFormat="1" x14ac:dyDescent="0.25">
      <c r="A176" s="7"/>
      <c r="B176" s="77"/>
      <c r="C176" s="78"/>
      <c r="D176" s="78"/>
      <c r="E176" s="83"/>
      <c r="F176" s="78"/>
      <c r="G176" s="77"/>
      <c r="H176" s="80"/>
      <c r="I176" s="83"/>
      <c r="J176" s="78"/>
      <c r="K176" s="83"/>
      <c r="L176" s="77"/>
      <c r="M176" s="78"/>
      <c r="N176" s="78"/>
      <c r="O176" s="78"/>
      <c r="P176" s="77"/>
      <c r="Q176" s="78"/>
      <c r="R176" s="77"/>
      <c r="S176" s="78"/>
      <c r="T176" s="77"/>
      <c r="U176" s="78"/>
      <c r="V176" s="77"/>
      <c r="W176" s="7"/>
      <c r="X176" s="27" t="str">
        <f t="shared" si="20"/>
        <v/>
      </c>
      <c r="Y176" s="3" t="s">
        <v>200</v>
      </c>
      <c r="Z176" s="3"/>
      <c r="AA176" s="3" t="s">
        <v>119</v>
      </c>
      <c r="AB176" s="18" t="s">
        <v>67</v>
      </c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7"/>
      <c r="AO176" s="38"/>
      <c r="AP176" s="38"/>
      <c r="AQ176" s="38"/>
      <c r="AR176" s="43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</row>
    <row r="177" spans="1:54" s="5" customFormat="1" x14ac:dyDescent="0.25">
      <c r="A177" s="7"/>
      <c r="B177" s="77"/>
      <c r="C177" s="78"/>
      <c r="D177" s="78"/>
      <c r="E177" s="83"/>
      <c r="F177" s="78"/>
      <c r="G177" s="77"/>
      <c r="H177" s="80"/>
      <c r="I177" s="83"/>
      <c r="J177" s="78"/>
      <c r="K177" s="83"/>
      <c r="L177" s="77"/>
      <c r="M177" s="78"/>
      <c r="N177" s="78"/>
      <c r="O177" s="78"/>
      <c r="P177" s="77"/>
      <c r="Q177" s="78"/>
      <c r="R177" s="77"/>
      <c r="S177" s="78"/>
      <c r="T177" s="77"/>
      <c r="U177" s="78"/>
      <c r="V177" s="77"/>
      <c r="W177" s="7"/>
      <c r="X177" s="27" t="str">
        <f t="shared" si="20"/>
        <v/>
      </c>
      <c r="Y177" s="3" t="s">
        <v>201</v>
      </c>
      <c r="Z177" s="3"/>
      <c r="AA177" s="3" t="s">
        <v>119</v>
      </c>
      <c r="AB177" s="18" t="s">
        <v>67</v>
      </c>
      <c r="AC177" s="3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7"/>
      <c r="AO177" s="38"/>
      <c r="AP177" s="38"/>
      <c r="AQ177" s="38"/>
      <c r="AR177" s="43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</row>
    <row r="178" spans="1:54" s="5" customFormat="1" x14ac:dyDescent="0.25">
      <c r="A178" s="7"/>
      <c r="B178" s="77"/>
      <c r="C178" s="78"/>
      <c r="D178" s="78"/>
      <c r="E178" s="83"/>
      <c r="F178" s="78"/>
      <c r="G178" s="77"/>
      <c r="H178" s="80"/>
      <c r="I178" s="83"/>
      <c r="J178" s="78"/>
      <c r="K178" s="83"/>
      <c r="L178" s="77"/>
      <c r="M178" s="78"/>
      <c r="N178" s="78"/>
      <c r="O178" s="78"/>
      <c r="P178" s="77"/>
      <c r="Q178" s="78"/>
      <c r="R178" s="77"/>
      <c r="S178" s="78"/>
      <c r="T178" s="77"/>
      <c r="U178" s="78"/>
      <c r="V178" s="77"/>
      <c r="W178" s="7"/>
      <c r="X178" s="27" t="str">
        <f t="shared" si="20"/>
        <v/>
      </c>
      <c r="Y178" s="3" t="s">
        <v>95</v>
      </c>
      <c r="Z178" s="3" t="s">
        <v>148</v>
      </c>
      <c r="AA178" s="3" t="s">
        <v>58</v>
      </c>
      <c r="AB178" s="18" t="s">
        <v>67</v>
      </c>
      <c r="AC178" s="3">
        <v>0.52600000000000002</v>
      </c>
      <c r="AD178" s="22">
        <f>AC178</f>
        <v>0.52600000000000002</v>
      </c>
      <c r="AE178" s="22">
        <f t="shared" ref="AE178:AM178" si="27">AD178</f>
        <v>0.52600000000000002</v>
      </c>
      <c r="AF178" s="22">
        <f t="shared" si="27"/>
        <v>0.52600000000000002</v>
      </c>
      <c r="AG178" s="22">
        <f t="shared" si="27"/>
        <v>0.52600000000000002</v>
      </c>
      <c r="AH178" s="22">
        <f t="shared" si="27"/>
        <v>0.52600000000000002</v>
      </c>
      <c r="AI178" s="22">
        <f t="shared" si="27"/>
        <v>0.52600000000000002</v>
      </c>
      <c r="AJ178" s="22">
        <f t="shared" si="27"/>
        <v>0.52600000000000002</v>
      </c>
      <c r="AK178" s="22">
        <f t="shared" si="27"/>
        <v>0.52600000000000002</v>
      </c>
      <c r="AL178" s="22">
        <f t="shared" si="27"/>
        <v>0.52600000000000002</v>
      </c>
      <c r="AM178" s="22">
        <f t="shared" si="27"/>
        <v>0.52600000000000002</v>
      </c>
      <c r="AN178" s="7"/>
      <c r="AO178" s="38"/>
      <c r="AP178" s="38"/>
      <c r="AQ178" s="38"/>
      <c r="AR178" s="43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</row>
    <row r="179" spans="1:54" s="5" customFormat="1" x14ac:dyDescent="0.25">
      <c r="A179" s="7"/>
      <c r="B179" s="77"/>
      <c r="C179" s="78"/>
      <c r="D179" s="78"/>
      <c r="E179" s="83"/>
      <c r="F179" s="78"/>
      <c r="G179" s="77"/>
      <c r="H179" s="80"/>
      <c r="I179" s="83"/>
      <c r="J179" s="78"/>
      <c r="K179" s="83"/>
      <c r="L179" s="77"/>
      <c r="M179" s="78"/>
      <c r="N179" s="78"/>
      <c r="O179" s="78"/>
      <c r="P179" s="77"/>
      <c r="Q179" s="78"/>
      <c r="R179" s="77"/>
      <c r="S179" s="78"/>
      <c r="T179" s="77"/>
      <c r="U179" s="78"/>
      <c r="V179" s="77"/>
      <c r="W179" s="7"/>
      <c r="X179" s="27" t="str">
        <f t="shared" si="20"/>
        <v/>
      </c>
      <c r="Y179" s="3" t="s">
        <v>92</v>
      </c>
      <c r="Z179" s="3"/>
      <c r="AA179" s="3" t="s">
        <v>119</v>
      </c>
      <c r="AB179" s="18" t="s">
        <v>67</v>
      </c>
      <c r="AC179" s="22">
        <v>0.01</v>
      </c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7"/>
      <c r="AO179" s="38"/>
      <c r="AP179" s="38"/>
      <c r="AQ179" s="38"/>
      <c r="AR179" s="43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</row>
    <row r="180" spans="1:54" s="5" customFormat="1" x14ac:dyDescent="0.25">
      <c r="A180" s="7"/>
      <c r="B180" s="77"/>
      <c r="C180" s="78"/>
      <c r="D180" s="78"/>
      <c r="E180" s="83"/>
      <c r="F180" s="78"/>
      <c r="G180" s="77"/>
      <c r="H180" s="80"/>
      <c r="I180" s="83"/>
      <c r="J180" s="78"/>
      <c r="K180" s="83"/>
      <c r="L180" s="77"/>
      <c r="M180" s="78"/>
      <c r="N180" s="78"/>
      <c r="O180" s="78"/>
      <c r="P180" s="77"/>
      <c r="Q180" s="78"/>
      <c r="R180" s="77"/>
      <c r="S180" s="78"/>
      <c r="T180" s="77"/>
      <c r="U180" s="78"/>
      <c r="V180" s="77"/>
      <c r="W180" s="7"/>
      <c r="X180" s="27" t="str">
        <f t="shared" si="20"/>
        <v/>
      </c>
      <c r="Y180" s="3" t="s">
        <v>64</v>
      </c>
      <c r="Z180" s="3"/>
      <c r="AA180" s="3"/>
      <c r="AB180" s="18" t="s">
        <v>144</v>
      </c>
      <c r="AC180" s="3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7"/>
      <c r="AO180" s="38"/>
      <c r="AP180" s="38"/>
      <c r="AQ180" s="38"/>
      <c r="AR180" s="43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</row>
    <row r="181" spans="1:54" s="5" customFormat="1" x14ac:dyDescent="0.25">
      <c r="A181" s="7"/>
      <c r="B181" s="77"/>
      <c r="C181" s="78"/>
      <c r="D181" s="78"/>
      <c r="E181" s="83"/>
      <c r="F181" s="78"/>
      <c r="G181" s="77"/>
      <c r="H181" s="80"/>
      <c r="I181" s="83"/>
      <c r="J181" s="78"/>
      <c r="K181" s="83"/>
      <c r="L181" s="77"/>
      <c r="M181" s="78"/>
      <c r="N181" s="78"/>
      <c r="O181" s="78"/>
      <c r="P181" s="77"/>
      <c r="Q181" s="78"/>
      <c r="R181" s="77"/>
      <c r="S181" s="78"/>
      <c r="T181" s="77"/>
      <c r="U181" s="78"/>
      <c r="V181" s="77"/>
      <c r="W181" s="7"/>
      <c r="X181" s="27" t="str">
        <f t="shared" si="20"/>
        <v/>
      </c>
      <c r="Y181" s="3" t="s">
        <v>41</v>
      </c>
      <c r="Z181" s="3"/>
      <c r="AA181" s="3" t="s">
        <v>43</v>
      </c>
      <c r="AB181" s="18" t="s">
        <v>144</v>
      </c>
      <c r="AC181" s="3">
        <v>2010</v>
      </c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7"/>
      <c r="AO181" s="38"/>
      <c r="AP181" s="38"/>
      <c r="AQ181" s="38"/>
      <c r="AR181" s="43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</row>
    <row r="182" spans="1:54" s="5" customFormat="1" x14ac:dyDescent="0.25">
      <c r="A182" s="7"/>
      <c r="B182" s="77"/>
      <c r="C182" s="78"/>
      <c r="D182" s="78"/>
      <c r="E182" s="83"/>
      <c r="F182" s="78"/>
      <c r="G182" s="77"/>
      <c r="H182" s="80"/>
      <c r="I182" s="83"/>
      <c r="J182" s="78"/>
      <c r="K182" s="83"/>
      <c r="L182" s="77"/>
      <c r="M182" s="78"/>
      <c r="N182" s="78"/>
      <c r="O182" s="78"/>
      <c r="P182" s="77"/>
      <c r="Q182" s="78"/>
      <c r="R182" s="77"/>
      <c r="S182" s="78"/>
      <c r="T182" s="77"/>
      <c r="U182" s="78"/>
      <c r="V182" s="77"/>
      <c r="W182" s="7"/>
      <c r="X182" s="27" t="str">
        <f t="shared" si="20"/>
        <v/>
      </c>
      <c r="Y182" s="3" t="s">
        <v>40</v>
      </c>
      <c r="Z182" s="3"/>
      <c r="AA182" s="3" t="s">
        <v>43</v>
      </c>
      <c r="AB182" s="18" t="s">
        <v>144</v>
      </c>
      <c r="AC182" s="3">
        <v>2100</v>
      </c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7"/>
      <c r="AO182" s="38"/>
      <c r="AP182" s="38"/>
      <c r="AQ182" s="38"/>
      <c r="AR182" s="43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</row>
    <row r="183" spans="1:54" s="5" customFormat="1" x14ac:dyDescent="0.25">
      <c r="A183" s="7"/>
      <c r="B183" s="77"/>
      <c r="C183" s="78"/>
      <c r="D183" s="78"/>
      <c r="E183" s="83"/>
      <c r="F183" s="78"/>
      <c r="G183" s="77"/>
      <c r="H183" s="80"/>
      <c r="I183" s="83"/>
      <c r="J183" s="78"/>
      <c r="K183" s="83"/>
      <c r="L183" s="77"/>
      <c r="M183" s="78"/>
      <c r="N183" s="78"/>
      <c r="O183" s="78"/>
      <c r="P183" s="77"/>
      <c r="Q183" s="78"/>
      <c r="R183" s="77"/>
      <c r="S183" s="78"/>
      <c r="T183" s="77"/>
      <c r="U183" s="78"/>
      <c r="V183" s="77"/>
      <c r="W183" s="7"/>
      <c r="X183" s="27" t="str">
        <f t="shared" si="20"/>
        <v/>
      </c>
      <c r="Y183" s="3" t="s">
        <v>42</v>
      </c>
      <c r="Z183" s="3"/>
      <c r="AA183" s="3" t="s">
        <v>10</v>
      </c>
      <c r="AB183" s="18" t="s">
        <v>144</v>
      </c>
      <c r="AC183" s="3">
        <v>50</v>
      </c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7"/>
      <c r="AO183" s="38"/>
      <c r="AP183" s="38"/>
      <c r="AQ183" s="38"/>
      <c r="AR183" s="43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</row>
    <row r="184" spans="1:54" s="5" customFormat="1" x14ac:dyDescent="0.25">
      <c r="A184" s="7"/>
      <c r="B184" s="77"/>
      <c r="C184" s="78"/>
      <c r="D184" s="78"/>
      <c r="E184" s="83"/>
      <c r="F184" s="78"/>
      <c r="G184" s="77"/>
      <c r="H184" s="80"/>
      <c r="I184" s="83"/>
      <c r="J184" s="78"/>
      <c r="K184" s="83"/>
      <c r="L184" s="77"/>
      <c r="M184" s="78"/>
      <c r="N184" s="78"/>
      <c r="O184" s="78"/>
      <c r="P184" s="77"/>
      <c r="Q184" s="78"/>
      <c r="R184" s="77"/>
      <c r="S184" s="78"/>
      <c r="T184" s="77"/>
      <c r="U184" s="78"/>
      <c r="V184" s="77"/>
      <c r="W184" s="7"/>
      <c r="X184" s="27" t="str">
        <f t="shared" si="20"/>
        <v/>
      </c>
      <c r="Y184" s="3" t="s">
        <v>68</v>
      </c>
      <c r="Z184" s="3"/>
      <c r="AA184" s="3" t="s">
        <v>119</v>
      </c>
      <c r="AB184" s="18" t="s">
        <v>144</v>
      </c>
      <c r="AC184" s="3">
        <v>0.25</v>
      </c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7"/>
      <c r="AO184" s="38"/>
      <c r="AP184" s="38"/>
      <c r="AQ184" s="38"/>
      <c r="AR184" s="43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</row>
    <row r="185" spans="1:54" s="5" customFormat="1" x14ac:dyDescent="0.25">
      <c r="A185" s="7"/>
      <c r="B185" s="77"/>
      <c r="C185" s="78"/>
      <c r="D185" s="78"/>
      <c r="E185" s="83"/>
      <c r="F185" s="78"/>
      <c r="G185" s="77"/>
      <c r="H185" s="80"/>
      <c r="I185" s="83"/>
      <c r="J185" s="78"/>
      <c r="K185" s="83"/>
      <c r="L185" s="77"/>
      <c r="M185" s="78"/>
      <c r="N185" s="78"/>
      <c r="O185" s="78"/>
      <c r="P185" s="77"/>
      <c r="Q185" s="78"/>
      <c r="R185" s="77"/>
      <c r="S185" s="78"/>
      <c r="T185" s="77"/>
      <c r="U185" s="78"/>
      <c r="V185" s="77"/>
      <c r="W185" s="7"/>
      <c r="X185" s="27" t="str">
        <f t="shared" si="20"/>
        <v/>
      </c>
      <c r="Y185" s="3" t="s">
        <v>38</v>
      </c>
      <c r="Z185" s="3"/>
      <c r="AA185" s="3" t="s">
        <v>17</v>
      </c>
      <c r="AB185" s="18" t="s">
        <v>144</v>
      </c>
      <c r="AC185" s="23">
        <v>15521</v>
      </c>
      <c r="AD185" s="23">
        <f>AC185</f>
        <v>15521</v>
      </c>
      <c r="AE185" s="23">
        <f t="shared" ref="AE185:AM185" si="28">AD185</f>
        <v>15521</v>
      </c>
      <c r="AF185" s="23">
        <f t="shared" si="28"/>
        <v>15521</v>
      </c>
      <c r="AG185" s="23">
        <f t="shared" si="28"/>
        <v>15521</v>
      </c>
      <c r="AH185" s="23">
        <f t="shared" si="28"/>
        <v>15521</v>
      </c>
      <c r="AI185" s="23">
        <f t="shared" si="28"/>
        <v>15521</v>
      </c>
      <c r="AJ185" s="23">
        <f t="shared" si="28"/>
        <v>15521</v>
      </c>
      <c r="AK185" s="23">
        <f t="shared" si="28"/>
        <v>15521</v>
      </c>
      <c r="AL185" s="23">
        <f t="shared" si="28"/>
        <v>15521</v>
      </c>
      <c r="AM185" s="23">
        <f t="shared" si="28"/>
        <v>15521</v>
      </c>
      <c r="AN185" s="7"/>
      <c r="AO185" s="38"/>
      <c r="AP185" s="38"/>
      <c r="AQ185" s="38"/>
      <c r="AR185" s="43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</row>
    <row r="186" spans="1:54" s="5" customFormat="1" x14ac:dyDescent="0.25">
      <c r="A186" s="7"/>
      <c r="B186" s="77"/>
      <c r="C186" s="78"/>
      <c r="D186" s="78"/>
      <c r="E186" s="83"/>
      <c r="F186" s="78"/>
      <c r="G186" s="77"/>
      <c r="H186" s="80"/>
      <c r="I186" s="83"/>
      <c r="J186" s="78"/>
      <c r="K186" s="83"/>
      <c r="L186" s="77"/>
      <c r="M186" s="78"/>
      <c r="N186" s="78"/>
      <c r="O186" s="78"/>
      <c r="P186" s="77"/>
      <c r="Q186" s="78"/>
      <c r="R186" s="77"/>
      <c r="S186" s="78"/>
      <c r="T186" s="77"/>
      <c r="U186" s="78"/>
      <c r="V186" s="77"/>
      <c r="W186" s="7"/>
      <c r="X186" s="27" t="str">
        <f t="shared" si="20"/>
        <v/>
      </c>
      <c r="Y186" s="3" t="s">
        <v>44</v>
      </c>
      <c r="Z186" s="3"/>
      <c r="AA186" s="3" t="s">
        <v>17</v>
      </c>
      <c r="AB186" s="18" t="s">
        <v>144</v>
      </c>
      <c r="AC186" s="23"/>
      <c r="AD186" s="167"/>
      <c r="AE186" s="167"/>
      <c r="AF186" s="167"/>
      <c r="AG186" s="167"/>
      <c r="AH186" s="167"/>
      <c r="AI186" s="167"/>
      <c r="AJ186" s="167"/>
      <c r="AK186" s="167"/>
      <c r="AL186" s="167"/>
      <c r="AM186" s="167"/>
      <c r="AN186" s="7"/>
      <c r="AO186" s="38"/>
      <c r="AP186" s="38"/>
      <c r="AQ186" s="38"/>
      <c r="AR186" s="43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</row>
    <row r="187" spans="1:54" s="5" customFormat="1" x14ac:dyDescent="0.25">
      <c r="A187" s="7"/>
      <c r="B187" s="77"/>
      <c r="C187" s="78"/>
      <c r="D187" s="78"/>
      <c r="E187" s="83"/>
      <c r="F187" s="78"/>
      <c r="G187" s="77"/>
      <c r="H187" s="80"/>
      <c r="I187" s="83"/>
      <c r="J187" s="78"/>
      <c r="K187" s="83"/>
      <c r="L187" s="77"/>
      <c r="M187" s="78"/>
      <c r="N187" s="78"/>
      <c r="O187" s="78"/>
      <c r="P187" s="77"/>
      <c r="Q187" s="78"/>
      <c r="R187" s="77"/>
      <c r="S187" s="78"/>
      <c r="T187" s="77"/>
      <c r="U187" s="78"/>
      <c r="V187" s="77"/>
      <c r="W187" s="7"/>
      <c r="X187" s="27" t="str">
        <f t="shared" si="20"/>
        <v/>
      </c>
      <c r="Y187" s="3" t="s">
        <v>51</v>
      </c>
      <c r="Z187" s="3"/>
      <c r="AA187" s="3" t="s">
        <v>17</v>
      </c>
      <c r="AB187" s="18" t="s">
        <v>144</v>
      </c>
      <c r="AC187" s="23"/>
      <c r="AD187" s="167"/>
      <c r="AE187" s="167"/>
      <c r="AF187" s="167"/>
      <c r="AG187" s="167"/>
      <c r="AH187" s="167"/>
      <c r="AI187" s="167"/>
      <c r="AJ187" s="167"/>
      <c r="AK187" s="167"/>
      <c r="AL187" s="167"/>
      <c r="AM187" s="167"/>
      <c r="AN187" s="7"/>
      <c r="AO187" s="38"/>
      <c r="AP187" s="38"/>
      <c r="AQ187" s="38"/>
      <c r="AR187" s="43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</row>
    <row r="188" spans="1:54" s="5" customFormat="1" x14ac:dyDescent="0.25">
      <c r="A188" s="7"/>
      <c r="B188" s="77"/>
      <c r="C188" s="78"/>
      <c r="D188" s="78"/>
      <c r="E188" s="83"/>
      <c r="F188" s="78"/>
      <c r="G188" s="77"/>
      <c r="H188" s="80"/>
      <c r="I188" s="83"/>
      <c r="J188" s="78"/>
      <c r="K188" s="83"/>
      <c r="L188" s="77"/>
      <c r="M188" s="78"/>
      <c r="N188" s="78"/>
      <c r="O188" s="78"/>
      <c r="P188" s="77"/>
      <c r="Q188" s="78"/>
      <c r="R188" s="77"/>
      <c r="S188" s="78"/>
      <c r="T188" s="77"/>
      <c r="U188" s="78"/>
      <c r="V188" s="77"/>
      <c r="W188" s="7"/>
      <c r="X188" s="27" t="str">
        <f t="shared" si="20"/>
        <v/>
      </c>
      <c r="Y188" s="3" t="s">
        <v>96</v>
      </c>
      <c r="Z188" s="3" t="s">
        <v>148</v>
      </c>
      <c r="AA188" s="3" t="s">
        <v>17</v>
      </c>
      <c r="AB188" s="18" t="s">
        <v>144</v>
      </c>
      <c r="AC188" s="23">
        <f>AC191*$AC$23</f>
        <v>8.8000000000000007</v>
      </c>
      <c r="AD188" s="167"/>
      <c r="AE188" s="167"/>
      <c r="AF188" s="167"/>
      <c r="AG188" s="167"/>
      <c r="AH188" s="167"/>
      <c r="AI188" s="167"/>
      <c r="AJ188" s="167"/>
      <c r="AK188" s="167"/>
      <c r="AL188" s="167"/>
      <c r="AM188" s="167"/>
      <c r="AN188" s="7"/>
      <c r="AO188" s="38"/>
      <c r="AP188" s="38"/>
      <c r="AQ188" s="38"/>
      <c r="AR188" s="43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</row>
    <row r="189" spans="1:54" s="5" customFormat="1" x14ac:dyDescent="0.25">
      <c r="A189" s="7"/>
      <c r="B189" s="77"/>
      <c r="C189" s="78"/>
      <c r="D189" s="78"/>
      <c r="E189" s="83"/>
      <c r="F189" s="78"/>
      <c r="G189" s="77"/>
      <c r="H189" s="80"/>
      <c r="I189" s="83"/>
      <c r="J189" s="78"/>
      <c r="K189" s="83"/>
      <c r="L189" s="77"/>
      <c r="M189" s="78"/>
      <c r="N189" s="78"/>
      <c r="O189" s="78"/>
      <c r="P189" s="77"/>
      <c r="Q189" s="78"/>
      <c r="R189" s="77"/>
      <c r="S189" s="78"/>
      <c r="T189" s="77"/>
      <c r="U189" s="78"/>
      <c r="V189" s="77"/>
      <c r="W189" s="7"/>
      <c r="X189" s="27" t="str">
        <f t="shared" si="20"/>
        <v/>
      </c>
      <c r="Y189" s="3" t="s">
        <v>200</v>
      </c>
      <c r="Z189" s="3"/>
      <c r="AA189" s="3" t="s">
        <v>119</v>
      </c>
      <c r="AB189" s="18" t="s">
        <v>144</v>
      </c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7"/>
      <c r="AO189" s="38"/>
      <c r="AP189" s="38"/>
      <c r="AQ189" s="38"/>
      <c r="AR189" s="43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</row>
    <row r="190" spans="1:54" s="5" customFormat="1" x14ac:dyDescent="0.25">
      <c r="A190" s="7"/>
      <c r="B190" s="77"/>
      <c r="C190" s="78"/>
      <c r="D190" s="78"/>
      <c r="E190" s="83"/>
      <c r="F190" s="78"/>
      <c r="G190" s="77"/>
      <c r="H190" s="80"/>
      <c r="I190" s="83"/>
      <c r="J190" s="78"/>
      <c r="K190" s="83"/>
      <c r="L190" s="77"/>
      <c r="M190" s="78"/>
      <c r="N190" s="78"/>
      <c r="O190" s="78"/>
      <c r="P190" s="77"/>
      <c r="Q190" s="78"/>
      <c r="R190" s="77"/>
      <c r="S190" s="78"/>
      <c r="T190" s="77"/>
      <c r="U190" s="78"/>
      <c r="V190" s="77"/>
      <c r="W190" s="7"/>
      <c r="X190" s="27" t="str">
        <f t="shared" si="20"/>
        <v/>
      </c>
      <c r="Y190" s="3" t="s">
        <v>201</v>
      </c>
      <c r="Z190" s="3"/>
      <c r="AA190" s="3" t="s">
        <v>119</v>
      </c>
      <c r="AB190" s="18" t="s">
        <v>144</v>
      </c>
      <c r="AC190" s="3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7"/>
      <c r="AO190" s="38"/>
      <c r="AP190" s="38"/>
      <c r="AQ190" s="38"/>
      <c r="AR190" s="43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</row>
    <row r="191" spans="1:54" s="5" customFormat="1" x14ac:dyDescent="0.25">
      <c r="A191" s="7"/>
      <c r="B191" s="77"/>
      <c r="C191" s="78"/>
      <c r="D191" s="78"/>
      <c r="E191" s="83"/>
      <c r="F191" s="78"/>
      <c r="G191" s="77"/>
      <c r="H191" s="80"/>
      <c r="I191" s="83"/>
      <c r="J191" s="78"/>
      <c r="K191" s="83"/>
      <c r="L191" s="77"/>
      <c r="M191" s="78"/>
      <c r="N191" s="78"/>
      <c r="O191" s="78"/>
      <c r="P191" s="77"/>
      <c r="Q191" s="78"/>
      <c r="R191" s="77"/>
      <c r="S191" s="78"/>
      <c r="T191" s="77"/>
      <c r="U191" s="78"/>
      <c r="V191" s="77"/>
      <c r="W191" s="7"/>
      <c r="X191" s="27" t="str">
        <f t="shared" si="20"/>
        <v/>
      </c>
      <c r="Y191" s="97" t="s">
        <v>95</v>
      </c>
      <c r="Z191" s="3" t="s">
        <v>148</v>
      </c>
      <c r="AA191" s="3" t="s">
        <v>58</v>
      </c>
      <c r="AB191" s="18" t="s">
        <v>144</v>
      </c>
      <c r="AC191" s="22">
        <v>0.4</v>
      </c>
      <c r="AD191" s="22">
        <f>AC191</f>
        <v>0.4</v>
      </c>
      <c r="AE191" s="22">
        <f t="shared" ref="AE191:AM191" si="29">AD191</f>
        <v>0.4</v>
      </c>
      <c r="AF191" s="22">
        <f t="shared" si="29"/>
        <v>0.4</v>
      </c>
      <c r="AG191" s="22">
        <f t="shared" si="29"/>
        <v>0.4</v>
      </c>
      <c r="AH191" s="22">
        <f t="shared" si="29"/>
        <v>0.4</v>
      </c>
      <c r="AI191" s="22">
        <f t="shared" si="29"/>
        <v>0.4</v>
      </c>
      <c r="AJ191" s="22">
        <f t="shared" si="29"/>
        <v>0.4</v>
      </c>
      <c r="AK191" s="22">
        <f t="shared" si="29"/>
        <v>0.4</v>
      </c>
      <c r="AL191" s="22">
        <f t="shared" si="29"/>
        <v>0.4</v>
      </c>
      <c r="AM191" s="22">
        <f t="shared" si="29"/>
        <v>0.4</v>
      </c>
      <c r="AN191" s="7"/>
      <c r="AO191" s="38"/>
      <c r="AP191" s="38"/>
      <c r="AQ191" s="38"/>
      <c r="AR191" s="43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</row>
    <row r="192" spans="1:54" s="5" customFormat="1" x14ac:dyDescent="0.25">
      <c r="A192" s="7"/>
      <c r="B192" s="77"/>
      <c r="C192" s="78"/>
      <c r="D192" s="78"/>
      <c r="E192" s="83"/>
      <c r="F192" s="78"/>
      <c r="G192" s="77"/>
      <c r="H192" s="80"/>
      <c r="I192" s="83"/>
      <c r="J192" s="78"/>
      <c r="K192" s="83"/>
      <c r="L192" s="77"/>
      <c r="M192" s="78"/>
      <c r="N192" s="78"/>
      <c r="O192" s="78"/>
      <c r="P192" s="77"/>
      <c r="Q192" s="78"/>
      <c r="R192" s="77"/>
      <c r="S192" s="78"/>
      <c r="T192" s="77"/>
      <c r="U192" s="78"/>
      <c r="V192" s="77"/>
      <c r="W192" s="7"/>
      <c r="X192" s="27" t="str">
        <f t="shared" si="20"/>
        <v/>
      </c>
      <c r="Y192" s="3" t="s">
        <v>92</v>
      </c>
      <c r="Z192" s="3"/>
      <c r="AA192" s="3" t="s">
        <v>119</v>
      </c>
      <c r="AB192" s="18" t="s">
        <v>144</v>
      </c>
      <c r="AC192" s="22">
        <v>0</v>
      </c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7"/>
      <c r="AO192" s="38"/>
      <c r="AP192" s="38"/>
      <c r="AQ192" s="38"/>
      <c r="AR192" s="43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</row>
    <row r="193" spans="1:54" s="5" customFormat="1" x14ac:dyDescent="0.25">
      <c r="A193" s="7"/>
      <c r="B193" s="77"/>
      <c r="C193" s="78"/>
      <c r="D193" s="78"/>
      <c r="E193" s="83"/>
      <c r="F193" s="78"/>
      <c r="G193" s="77"/>
      <c r="H193" s="80"/>
      <c r="I193" s="83"/>
      <c r="J193" s="78"/>
      <c r="K193" s="83"/>
      <c r="L193" s="77"/>
      <c r="M193" s="78"/>
      <c r="N193" s="78"/>
      <c r="O193" s="78"/>
      <c r="P193" s="77"/>
      <c r="Q193" s="78"/>
      <c r="R193" s="77"/>
      <c r="S193" s="78"/>
      <c r="T193" s="77"/>
      <c r="U193" s="78"/>
      <c r="V193" s="77"/>
      <c r="W193" s="7"/>
      <c r="X193" s="27" t="str">
        <f t="shared" si="20"/>
        <v/>
      </c>
      <c r="Y193" s="3" t="s">
        <v>64</v>
      </c>
      <c r="Z193" s="3"/>
      <c r="AA193" s="3"/>
      <c r="AB193" s="18" t="s">
        <v>66</v>
      </c>
      <c r="AC193" s="3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7"/>
      <c r="AO193" s="38"/>
      <c r="AP193" s="38"/>
      <c r="AQ193" s="38"/>
      <c r="AR193" s="43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</row>
    <row r="194" spans="1:54" s="5" customFormat="1" x14ac:dyDescent="0.25">
      <c r="A194" s="7"/>
      <c r="B194" s="77"/>
      <c r="C194" s="78"/>
      <c r="D194" s="78"/>
      <c r="E194" s="83"/>
      <c r="F194" s="78"/>
      <c r="G194" s="77"/>
      <c r="H194" s="80"/>
      <c r="I194" s="83"/>
      <c r="J194" s="78"/>
      <c r="K194" s="83"/>
      <c r="L194" s="77"/>
      <c r="M194" s="78"/>
      <c r="N194" s="78"/>
      <c r="O194" s="78"/>
      <c r="P194" s="77"/>
      <c r="Q194" s="78"/>
      <c r="R194" s="77"/>
      <c r="S194" s="78"/>
      <c r="T194" s="77"/>
      <c r="U194" s="78"/>
      <c r="V194" s="77"/>
      <c r="W194" s="7"/>
      <c r="X194" s="27" t="str">
        <f t="shared" si="20"/>
        <v/>
      </c>
      <c r="Y194" s="3" t="s">
        <v>41</v>
      </c>
      <c r="Z194" s="3"/>
      <c r="AA194" s="3" t="s">
        <v>43</v>
      </c>
      <c r="AB194" s="18" t="s">
        <v>66</v>
      </c>
      <c r="AC194" s="3">
        <v>2000</v>
      </c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7"/>
      <c r="AO194" s="38"/>
      <c r="AP194" s="38"/>
      <c r="AQ194" s="38"/>
      <c r="AR194" s="43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</row>
    <row r="195" spans="1:54" s="5" customFormat="1" x14ac:dyDescent="0.25">
      <c r="A195" s="7"/>
      <c r="B195" s="77"/>
      <c r="C195" s="78"/>
      <c r="D195" s="78"/>
      <c r="E195" s="83"/>
      <c r="F195" s="78"/>
      <c r="G195" s="77"/>
      <c r="H195" s="80"/>
      <c r="I195" s="83"/>
      <c r="J195" s="78"/>
      <c r="K195" s="83"/>
      <c r="L195" s="77"/>
      <c r="M195" s="78"/>
      <c r="N195" s="78"/>
      <c r="O195" s="78"/>
      <c r="P195" s="77"/>
      <c r="Q195" s="78"/>
      <c r="R195" s="77"/>
      <c r="S195" s="78"/>
      <c r="T195" s="77"/>
      <c r="U195" s="78"/>
      <c r="V195" s="77"/>
      <c r="W195" s="7"/>
      <c r="X195" s="27" t="str">
        <f t="shared" si="20"/>
        <v/>
      </c>
      <c r="Y195" s="3" t="s">
        <v>40</v>
      </c>
      <c r="Z195" s="3"/>
      <c r="AA195" s="3" t="s">
        <v>43</v>
      </c>
      <c r="AB195" s="18" t="s">
        <v>66</v>
      </c>
      <c r="AC195" s="3">
        <v>2100</v>
      </c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7"/>
      <c r="AO195" s="38"/>
      <c r="AP195" s="38"/>
      <c r="AQ195" s="38"/>
      <c r="AR195" s="43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</row>
    <row r="196" spans="1:54" s="5" customFormat="1" x14ac:dyDescent="0.25">
      <c r="A196" s="7"/>
      <c r="B196" s="77"/>
      <c r="C196" s="78"/>
      <c r="D196" s="78"/>
      <c r="E196" s="83"/>
      <c r="F196" s="78"/>
      <c r="G196" s="77"/>
      <c r="H196" s="80"/>
      <c r="I196" s="83"/>
      <c r="J196" s="78"/>
      <c r="K196" s="83"/>
      <c r="L196" s="77"/>
      <c r="M196" s="78"/>
      <c r="N196" s="78"/>
      <c r="O196" s="78"/>
      <c r="P196" s="77"/>
      <c r="Q196" s="78"/>
      <c r="R196" s="77"/>
      <c r="S196" s="78"/>
      <c r="T196" s="77"/>
      <c r="U196" s="78"/>
      <c r="V196" s="77"/>
      <c r="W196" s="7"/>
      <c r="X196" s="27" t="str">
        <f t="shared" si="20"/>
        <v/>
      </c>
      <c r="Y196" s="3" t="s">
        <v>42</v>
      </c>
      <c r="Z196" s="3"/>
      <c r="AA196" s="3" t="s">
        <v>10</v>
      </c>
      <c r="AB196" s="18" t="s">
        <v>66</v>
      </c>
      <c r="AC196" s="3">
        <v>18</v>
      </c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7"/>
      <c r="AO196" s="38"/>
      <c r="AP196" s="38"/>
      <c r="AQ196" s="38"/>
      <c r="AR196" s="43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</row>
    <row r="197" spans="1:54" s="5" customFormat="1" x14ac:dyDescent="0.25">
      <c r="A197" s="7"/>
      <c r="B197" s="77"/>
      <c r="C197" s="78"/>
      <c r="D197" s="78"/>
      <c r="E197" s="83"/>
      <c r="F197" s="78"/>
      <c r="G197" s="77"/>
      <c r="H197" s="80"/>
      <c r="I197" s="83"/>
      <c r="J197" s="78"/>
      <c r="K197" s="83"/>
      <c r="L197" s="77"/>
      <c r="M197" s="78"/>
      <c r="N197" s="78"/>
      <c r="O197" s="78"/>
      <c r="P197" s="77"/>
      <c r="Q197" s="78"/>
      <c r="R197" s="77"/>
      <c r="S197" s="78"/>
      <c r="T197" s="77"/>
      <c r="U197" s="78"/>
      <c r="V197" s="77"/>
      <c r="W197" s="7"/>
      <c r="X197" s="27" t="str">
        <f t="shared" si="20"/>
        <v/>
      </c>
      <c r="Y197" s="3" t="s">
        <v>68</v>
      </c>
      <c r="Z197" s="3"/>
      <c r="AA197" s="3" t="s">
        <v>119</v>
      </c>
      <c r="AB197" s="18" t="s">
        <v>66</v>
      </c>
      <c r="AC197" s="3">
        <v>0.25</v>
      </c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7"/>
      <c r="AO197" s="38"/>
      <c r="AP197" s="38"/>
      <c r="AQ197" s="38"/>
      <c r="AR197" s="43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</row>
    <row r="198" spans="1:54" s="5" customFormat="1" x14ac:dyDescent="0.25">
      <c r="A198" s="7"/>
      <c r="B198" s="77"/>
      <c r="C198" s="78"/>
      <c r="D198" s="78"/>
      <c r="E198" s="83"/>
      <c r="F198" s="78"/>
      <c r="G198" s="77"/>
      <c r="H198" s="80"/>
      <c r="I198" s="83"/>
      <c r="J198" s="78"/>
      <c r="K198" s="83"/>
      <c r="L198" s="77"/>
      <c r="M198" s="78"/>
      <c r="N198" s="78"/>
      <c r="O198" s="78"/>
      <c r="P198" s="77"/>
      <c r="Q198" s="78"/>
      <c r="R198" s="77"/>
      <c r="S198" s="78"/>
      <c r="T198" s="77"/>
      <c r="U198" s="78"/>
      <c r="V198" s="77"/>
      <c r="W198" s="7"/>
      <c r="X198" s="27" t="str">
        <f t="shared" ref="X198:X363" si="30">IFERROR(INDEX($B198:$V198,MATCH(TRUE,INDEX(($B198:$V198&lt;&gt;0),0),0)),"")</f>
        <v/>
      </c>
      <c r="Y198" s="3" t="s">
        <v>38</v>
      </c>
      <c r="Z198" s="3"/>
      <c r="AA198" s="3" t="s">
        <v>17</v>
      </c>
      <c r="AB198" s="18" t="s">
        <v>66</v>
      </c>
      <c r="AC198" s="23">
        <v>3565</v>
      </c>
      <c r="AD198" s="23">
        <f>AC198</f>
        <v>3565</v>
      </c>
      <c r="AE198" s="23">
        <f t="shared" ref="AE198:AM198" si="31">AD198</f>
        <v>3565</v>
      </c>
      <c r="AF198" s="23">
        <f t="shared" si="31"/>
        <v>3565</v>
      </c>
      <c r="AG198" s="23">
        <f t="shared" si="31"/>
        <v>3565</v>
      </c>
      <c r="AH198" s="23">
        <f t="shared" si="31"/>
        <v>3565</v>
      </c>
      <c r="AI198" s="23">
        <f t="shared" si="31"/>
        <v>3565</v>
      </c>
      <c r="AJ198" s="23">
        <f t="shared" si="31"/>
        <v>3565</v>
      </c>
      <c r="AK198" s="23">
        <f t="shared" si="31"/>
        <v>3565</v>
      </c>
      <c r="AL198" s="23">
        <f t="shared" si="31"/>
        <v>3565</v>
      </c>
      <c r="AM198" s="23">
        <f t="shared" si="31"/>
        <v>3565</v>
      </c>
      <c r="AN198" s="7"/>
      <c r="AO198" s="38"/>
      <c r="AP198" s="38"/>
      <c r="AQ198" s="38"/>
      <c r="AR198" s="43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</row>
    <row r="199" spans="1:54" s="5" customFormat="1" x14ac:dyDescent="0.25">
      <c r="A199" s="7"/>
      <c r="B199" s="77"/>
      <c r="C199" s="78"/>
      <c r="D199" s="78"/>
      <c r="E199" s="83"/>
      <c r="F199" s="78"/>
      <c r="G199" s="77"/>
      <c r="H199" s="80"/>
      <c r="I199" s="83"/>
      <c r="J199" s="78"/>
      <c r="K199" s="83"/>
      <c r="L199" s="77"/>
      <c r="M199" s="78"/>
      <c r="N199" s="78"/>
      <c r="O199" s="78"/>
      <c r="P199" s="77"/>
      <c r="Q199" s="78"/>
      <c r="R199" s="77"/>
      <c r="S199" s="78"/>
      <c r="T199" s="77"/>
      <c r="U199" s="78"/>
      <c r="V199" s="77"/>
      <c r="W199" s="7"/>
      <c r="X199" s="27" t="str">
        <f t="shared" si="30"/>
        <v/>
      </c>
      <c r="Y199" s="3" t="s">
        <v>44</v>
      </c>
      <c r="Z199" s="3"/>
      <c r="AA199" s="3" t="s">
        <v>17</v>
      </c>
      <c r="AB199" s="18" t="s">
        <v>66</v>
      </c>
      <c r="AC199" s="23"/>
      <c r="AD199" s="167"/>
      <c r="AE199" s="167"/>
      <c r="AF199" s="167"/>
      <c r="AG199" s="167"/>
      <c r="AH199" s="167"/>
      <c r="AI199" s="167"/>
      <c r="AJ199" s="167"/>
      <c r="AK199" s="167"/>
      <c r="AL199" s="167"/>
      <c r="AM199" s="167"/>
      <c r="AN199" s="7"/>
      <c r="AO199" s="38"/>
      <c r="AP199" s="38"/>
      <c r="AQ199" s="38"/>
      <c r="AR199" s="43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</row>
    <row r="200" spans="1:54" s="5" customFormat="1" x14ac:dyDescent="0.25">
      <c r="A200" s="7"/>
      <c r="B200" s="77"/>
      <c r="C200" s="78"/>
      <c r="D200" s="78"/>
      <c r="E200" s="83"/>
      <c r="F200" s="78"/>
      <c r="G200" s="77"/>
      <c r="H200" s="80"/>
      <c r="I200" s="83"/>
      <c r="J200" s="78"/>
      <c r="K200" s="83"/>
      <c r="L200" s="77"/>
      <c r="M200" s="78"/>
      <c r="N200" s="78"/>
      <c r="O200" s="78"/>
      <c r="P200" s="77"/>
      <c r="Q200" s="78"/>
      <c r="R200" s="77"/>
      <c r="S200" s="78"/>
      <c r="T200" s="77"/>
      <c r="U200" s="78"/>
      <c r="V200" s="77"/>
      <c r="W200" s="7"/>
      <c r="X200" s="27" t="str">
        <f t="shared" si="30"/>
        <v/>
      </c>
      <c r="Y200" s="3" t="s">
        <v>51</v>
      </c>
      <c r="Z200" s="3"/>
      <c r="AA200" s="3" t="s">
        <v>17</v>
      </c>
      <c r="AB200" s="18" t="s">
        <v>66</v>
      </c>
      <c r="AC200" s="23"/>
      <c r="AD200" s="167"/>
      <c r="AE200" s="167"/>
      <c r="AF200" s="167"/>
      <c r="AG200" s="167"/>
      <c r="AH200" s="167"/>
      <c r="AI200" s="167"/>
      <c r="AJ200" s="167"/>
      <c r="AK200" s="167"/>
      <c r="AL200" s="167"/>
      <c r="AM200" s="167"/>
      <c r="AN200" s="7"/>
      <c r="AO200" s="38"/>
      <c r="AP200" s="38"/>
      <c r="AQ200" s="38"/>
      <c r="AR200" s="43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</row>
    <row r="201" spans="1:54" s="5" customFormat="1" x14ac:dyDescent="0.25">
      <c r="A201" s="7"/>
      <c r="B201" s="77"/>
      <c r="C201" s="78"/>
      <c r="D201" s="78"/>
      <c r="E201" s="83"/>
      <c r="F201" s="78"/>
      <c r="G201" s="77"/>
      <c r="H201" s="80"/>
      <c r="I201" s="83"/>
      <c r="J201" s="78"/>
      <c r="K201" s="83"/>
      <c r="L201" s="77"/>
      <c r="M201" s="78"/>
      <c r="N201" s="78"/>
      <c r="O201" s="78"/>
      <c r="P201" s="77"/>
      <c r="Q201" s="78"/>
      <c r="R201" s="77"/>
      <c r="S201" s="78"/>
      <c r="T201" s="77"/>
      <c r="U201" s="78"/>
      <c r="V201" s="77"/>
      <c r="W201" s="7"/>
      <c r="X201" s="27" t="str">
        <f t="shared" si="30"/>
        <v/>
      </c>
      <c r="Y201" s="3" t="s">
        <v>96</v>
      </c>
      <c r="Z201" s="97" t="s">
        <v>150</v>
      </c>
      <c r="AA201" s="3" t="s">
        <v>17</v>
      </c>
      <c r="AB201" s="18" t="s">
        <v>66</v>
      </c>
      <c r="AC201" s="23">
        <f>AC204*$AC$9</f>
        <v>12.798719999999999</v>
      </c>
      <c r="AD201" s="167"/>
      <c r="AE201" s="167"/>
      <c r="AF201" s="167"/>
      <c r="AG201" s="167"/>
      <c r="AH201" s="167"/>
      <c r="AI201" s="167"/>
      <c r="AJ201" s="167"/>
      <c r="AK201" s="167"/>
      <c r="AL201" s="167"/>
      <c r="AM201" s="167"/>
      <c r="AN201" s="7"/>
      <c r="AO201" s="38"/>
      <c r="AP201" s="38"/>
      <c r="AQ201" s="38"/>
      <c r="AR201" s="43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</row>
    <row r="202" spans="1:54" s="5" customFormat="1" x14ac:dyDescent="0.25">
      <c r="A202" s="7"/>
      <c r="B202" s="77"/>
      <c r="C202" s="78"/>
      <c r="D202" s="78"/>
      <c r="E202" s="83"/>
      <c r="F202" s="78"/>
      <c r="G202" s="77"/>
      <c r="H202" s="80"/>
      <c r="I202" s="83"/>
      <c r="J202" s="78"/>
      <c r="K202" s="83"/>
      <c r="L202" s="77"/>
      <c r="M202" s="78"/>
      <c r="N202" s="78"/>
      <c r="O202" s="78"/>
      <c r="P202" s="77"/>
      <c r="Q202" s="78"/>
      <c r="R202" s="77"/>
      <c r="S202" s="78"/>
      <c r="T202" s="77"/>
      <c r="U202" s="78"/>
      <c r="V202" s="77"/>
      <c r="W202" s="7"/>
      <c r="X202" s="27" t="str">
        <f t="shared" si="30"/>
        <v/>
      </c>
      <c r="Y202" s="3" t="s">
        <v>200</v>
      </c>
      <c r="Z202" s="3"/>
      <c r="AA202" s="3" t="s">
        <v>119</v>
      </c>
      <c r="AB202" s="18" t="s">
        <v>66</v>
      </c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7"/>
      <c r="AO202" s="38"/>
      <c r="AP202" s="38"/>
      <c r="AQ202" s="38"/>
      <c r="AR202" s="43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</row>
    <row r="203" spans="1:54" s="5" customFormat="1" x14ac:dyDescent="0.25">
      <c r="A203" s="7"/>
      <c r="B203" s="77"/>
      <c r="C203" s="78"/>
      <c r="D203" s="78"/>
      <c r="E203" s="83"/>
      <c r="F203" s="78"/>
      <c r="G203" s="77"/>
      <c r="H203" s="80"/>
      <c r="I203" s="83"/>
      <c r="J203" s="78"/>
      <c r="K203" s="83"/>
      <c r="L203" s="77"/>
      <c r="M203" s="78"/>
      <c r="N203" s="78"/>
      <c r="O203" s="78"/>
      <c r="P203" s="77"/>
      <c r="Q203" s="78"/>
      <c r="R203" s="77"/>
      <c r="S203" s="78"/>
      <c r="T203" s="77"/>
      <c r="U203" s="78"/>
      <c r="V203" s="77"/>
      <c r="W203" s="7"/>
      <c r="X203" s="27" t="str">
        <f t="shared" si="30"/>
        <v/>
      </c>
      <c r="Y203" s="3" t="s">
        <v>201</v>
      </c>
      <c r="Z203" s="3"/>
      <c r="AA203" s="3" t="s">
        <v>119</v>
      </c>
      <c r="AB203" s="18" t="s">
        <v>66</v>
      </c>
      <c r="AC203" s="3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7"/>
      <c r="AO203" s="38"/>
      <c r="AP203" s="38"/>
      <c r="AQ203" s="38"/>
      <c r="AR203" s="43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</row>
    <row r="204" spans="1:54" s="5" customFormat="1" x14ac:dyDescent="0.25">
      <c r="A204" s="7"/>
      <c r="B204" s="77"/>
      <c r="C204" s="78"/>
      <c r="D204" s="78"/>
      <c r="E204" s="83"/>
      <c r="F204" s="78"/>
      <c r="G204" s="77"/>
      <c r="H204" s="80"/>
      <c r="I204" s="83"/>
      <c r="J204" s="78"/>
      <c r="K204" s="83"/>
      <c r="L204" s="77"/>
      <c r="M204" s="78"/>
      <c r="N204" s="78"/>
      <c r="O204" s="78"/>
      <c r="P204" s="77"/>
      <c r="Q204" s="78"/>
      <c r="R204" s="77"/>
      <c r="S204" s="78"/>
      <c r="T204" s="77"/>
      <c r="U204" s="78"/>
      <c r="V204" s="77"/>
      <c r="W204" s="7"/>
      <c r="X204" s="27" t="str">
        <f t="shared" si="30"/>
        <v/>
      </c>
      <c r="Y204" s="3" t="s">
        <v>95</v>
      </c>
      <c r="Z204" s="3" t="s">
        <v>150</v>
      </c>
      <c r="AA204" s="3" t="s">
        <v>58</v>
      </c>
      <c r="AB204" s="18" t="s">
        <v>66</v>
      </c>
      <c r="AC204" s="3">
        <v>1.111</v>
      </c>
      <c r="AD204" s="22">
        <f>AC204</f>
        <v>1.111</v>
      </c>
      <c r="AE204" s="22">
        <f t="shared" ref="AE204:AM204" si="32">AD204</f>
        <v>1.111</v>
      </c>
      <c r="AF204" s="22">
        <f t="shared" si="32"/>
        <v>1.111</v>
      </c>
      <c r="AG204" s="22">
        <f t="shared" si="32"/>
        <v>1.111</v>
      </c>
      <c r="AH204" s="22">
        <f t="shared" si="32"/>
        <v>1.111</v>
      </c>
      <c r="AI204" s="22">
        <f t="shared" si="32"/>
        <v>1.111</v>
      </c>
      <c r="AJ204" s="22">
        <f t="shared" si="32"/>
        <v>1.111</v>
      </c>
      <c r="AK204" s="22">
        <f t="shared" si="32"/>
        <v>1.111</v>
      </c>
      <c r="AL204" s="22">
        <f t="shared" si="32"/>
        <v>1.111</v>
      </c>
      <c r="AM204" s="22">
        <f t="shared" si="32"/>
        <v>1.111</v>
      </c>
      <c r="AN204" s="7"/>
      <c r="AO204" s="38"/>
      <c r="AP204" s="38"/>
      <c r="AQ204" s="38"/>
      <c r="AR204" s="43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</row>
    <row r="205" spans="1:54" s="5" customFormat="1" x14ac:dyDescent="0.25">
      <c r="A205" s="7"/>
      <c r="B205" s="77"/>
      <c r="C205" s="78"/>
      <c r="D205" s="78"/>
      <c r="E205" s="83"/>
      <c r="F205" s="78"/>
      <c r="G205" s="77"/>
      <c r="H205" s="80"/>
      <c r="I205" s="83"/>
      <c r="J205" s="78"/>
      <c r="K205" s="83"/>
      <c r="L205" s="77"/>
      <c r="M205" s="78"/>
      <c r="N205" s="78"/>
      <c r="O205" s="78"/>
      <c r="P205" s="77"/>
      <c r="Q205" s="78"/>
      <c r="R205" s="77"/>
      <c r="S205" s="78"/>
      <c r="T205" s="77"/>
      <c r="U205" s="78"/>
      <c r="V205" s="77"/>
      <c r="W205" s="7"/>
      <c r="X205" s="27" t="str">
        <f t="shared" si="30"/>
        <v/>
      </c>
      <c r="Y205" s="3" t="s">
        <v>92</v>
      </c>
      <c r="Z205" s="3"/>
      <c r="AA205" s="3" t="s">
        <v>119</v>
      </c>
      <c r="AB205" s="18" t="s">
        <v>66</v>
      </c>
      <c r="AC205" s="22">
        <v>0.05</v>
      </c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7"/>
      <c r="AO205" s="38"/>
      <c r="AP205" s="38"/>
      <c r="AQ205" s="38"/>
      <c r="AR205" s="43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</row>
    <row r="206" spans="1:54" s="5" customFormat="1" x14ac:dyDescent="0.25">
      <c r="A206" s="7"/>
      <c r="B206" s="77"/>
      <c r="C206" s="78"/>
      <c r="D206" s="78"/>
      <c r="E206" s="83"/>
      <c r="F206" s="78"/>
      <c r="G206" s="77"/>
      <c r="H206" s="77"/>
      <c r="I206" s="83"/>
      <c r="J206" s="77"/>
      <c r="K206" s="83"/>
      <c r="L206" s="78"/>
      <c r="M206" s="78"/>
      <c r="N206" s="77"/>
      <c r="O206" s="78"/>
      <c r="P206" s="77"/>
      <c r="Q206" s="78"/>
      <c r="R206" s="77"/>
      <c r="S206" s="78"/>
      <c r="T206" s="77"/>
      <c r="U206" s="78"/>
      <c r="V206" s="77"/>
      <c r="W206" s="7"/>
      <c r="X206" s="27" t="str">
        <f t="shared" si="30"/>
        <v/>
      </c>
      <c r="Y206" s="6"/>
      <c r="Z206" s="6"/>
      <c r="AA206" s="6"/>
      <c r="AB206" s="11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7"/>
      <c r="AO206" s="15"/>
      <c r="AP206" s="15"/>
      <c r="AQ206" s="15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</row>
    <row r="207" spans="1:54" s="5" customFormat="1" x14ac:dyDescent="0.25">
      <c r="A207" s="7"/>
      <c r="B207" s="77"/>
      <c r="C207" s="78"/>
      <c r="D207" s="78"/>
      <c r="E207" s="83"/>
      <c r="F207" s="78"/>
      <c r="G207" s="77"/>
      <c r="H207" s="77"/>
      <c r="I207" s="83"/>
      <c r="J207" s="77"/>
      <c r="K207" s="81"/>
      <c r="L207" s="33" t="s">
        <v>86</v>
      </c>
      <c r="M207" s="83"/>
      <c r="N207" s="77"/>
      <c r="O207" s="78"/>
      <c r="P207" s="77"/>
      <c r="Q207" s="78"/>
      <c r="R207" s="77"/>
      <c r="S207" s="78"/>
      <c r="T207" s="77"/>
      <c r="U207" s="78"/>
      <c r="V207" s="77"/>
      <c r="W207" s="7"/>
      <c r="X207" s="28" t="str">
        <f t="shared" si="30"/>
        <v>Water heating</v>
      </c>
      <c r="Y207" s="6"/>
      <c r="Z207" s="6"/>
      <c r="AA207" s="6"/>
      <c r="AB207" s="11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7"/>
      <c r="AO207" s="15"/>
      <c r="AP207" s="15"/>
      <c r="AQ207" s="15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</row>
    <row r="208" spans="1:54" s="5" customFormat="1" hidden="1" x14ac:dyDescent="0.25">
      <c r="A208" s="7"/>
      <c r="B208" s="77"/>
      <c r="C208" s="78"/>
      <c r="D208" s="78"/>
      <c r="E208" s="83"/>
      <c r="F208" s="78"/>
      <c r="G208" s="77"/>
      <c r="H208" s="78"/>
      <c r="I208" s="83"/>
      <c r="J208" s="78"/>
      <c r="K208" s="78"/>
      <c r="L208" s="78"/>
      <c r="M208" s="78"/>
      <c r="N208" s="77"/>
      <c r="O208" s="78"/>
      <c r="P208" s="77"/>
      <c r="Q208" s="78"/>
      <c r="R208" s="77"/>
      <c r="S208" s="78"/>
      <c r="T208" s="77"/>
      <c r="U208" s="78"/>
      <c r="V208" s="77"/>
      <c r="W208" s="7"/>
      <c r="X208" s="27" t="str">
        <f t="shared" si="30"/>
        <v/>
      </c>
      <c r="Y208" s="3" t="s">
        <v>94</v>
      </c>
      <c r="Z208" s="3" t="s">
        <v>159</v>
      </c>
      <c r="AA208" s="3"/>
      <c r="AB208" s="18" t="s">
        <v>36</v>
      </c>
      <c r="AC208" s="3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7"/>
      <c r="AO208" s="38"/>
      <c r="AP208" s="38"/>
      <c r="AQ208" s="38"/>
      <c r="AR208" s="43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</row>
    <row r="209" spans="1:54" s="5" customFormat="1" hidden="1" x14ac:dyDescent="0.25">
      <c r="A209" s="7"/>
      <c r="B209" s="77"/>
      <c r="C209" s="78"/>
      <c r="D209" s="78"/>
      <c r="E209" s="83"/>
      <c r="F209" s="78"/>
      <c r="G209" s="77"/>
      <c r="H209" s="78"/>
      <c r="I209" s="83"/>
      <c r="J209" s="78"/>
      <c r="K209" s="78"/>
      <c r="L209" s="78"/>
      <c r="M209" s="78"/>
      <c r="N209" s="77"/>
      <c r="O209" s="78"/>
      <c r="P209" s="77"/>
      <c r="Q209" s="78"/>
      <c r="R209" s="77"/>
      <c r="S209" s="78"/>
      <c r="T209" s="77"/>
      <c r="U209" s="78"/>
      <c r="V209" s="77"/>
      <c r="W209" s="7"/>
      <c r="X209" s="27" t="str">
        <f t="shared" si="30"/>
        <v/>
      </c>
      <c r="Y209" s="3" t="s">
        <v>59</v>
      </c>
      <c r="Z209" s="3"/>
      <c r="AA209" s="3"/>
      <c r="AB209" s="18" t="s">
        <v>23</v>
      </c>
      <c r="AC209" s="3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7"/>
      <c r="AO209" s="38"/>
      <c r="AP209" s="38"/>
      <c r="AQ209" s="38"/>
      <c r="AR209" s="43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</row>
    <row r="210" spans="1:54" s="5" customFormat="1" hidden="1" x14ac:dyDescent="0.25">
      <c r="A210" s="7"/>
      <c r="B210" s="77"/>
      <c r="C210" s="78"/>
      <c r="D210" s="78"/>
      <c r="E210" s="83"/>
      <c r="F210" s="78"/>
      <c r="G210" s="77"/>
      <c r="H210" s="78"/>
      <c r="I210" s="83"/>
      <c r="J210" s="78"/>
      <c r="K210" s="78"/>
      <c r="L210" s="78"/>
      <c r="M210" s="78"/>
      <c r="N210" s="77"/>
      <c r="O210" s="78"/>
      <c r="P210" s="77"/>
      <c r="Q210" s="78"/>
      <c r="R210" s="77"/>
      <c r="S210" s="78"/>
      <c r="T210" s="77"/>
      <c r="U210" s="78"/>
      <c r="V210" s="77"/>
      <c r="W210" s="7"/>
      <c r="X210" s="27" t="str">
        <f t="shared" si="30"/>
        <v/>
      </c>
      <c r="Y210" s="3" t="s">
        <v>81</v>
      </c>
      <c r="Z210" s="3"/>
      <c r="AA210" s="3"/>
      <c r="AB210" s="18" t="s">
        <v>37</v>
      </c>
      <c r="AC210" s="3">
        <v>10</v>
      </c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7"/>
      <c r="AO210" s="38"/>
      <c r="AP210" s="38"/>
      <c r="AQ210" s="38"/>
      <c r="AR210" s="43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</row>
    <row r="211" spans="1:54" s="5" customFormat="1" hidden="1" x14ac:dyDescent="0.25">
      <c r="A211" s="7"/>
      <c r="B211" s="77"/>
      <c r="C211" s="78"/>
      <c r="D211" s="78"/>
      <c r="E211" s="83"/>
      <c r="F211" s="78"/>
      <c r="G211" s="77"/>
      <c r="H211" s="80"/>
      <c r="I211" s="83"/>
      <c r="J211" s="78"/>
      <c r="K211" s="78"/>
      <c r="L211" s="77"/>
      <c r="M211" s="78"/>
      <c r="N211" s="78"/>
      <c r="O211" s="78"/>
      <c r="P211" s="77"/>
      <c r="Q211" s="78"/>
      <c r="R211" s="77"/>
      <c r="S211" s="78"/>
      <c r="T211" s="77"/>
      <c r="U211" s="78"/>
      <c r="V211" s="77"/>
      <c r="W211" s="7"/>
      <c r="X211" s="27" t="str">
        <f t="shared" si="30"/>
        <v/>
      </c>
      <c r="Y211" s="3" t="s">
        <v>64</v>
      </c>
      <c r="Z211" s="3"/>
      <c r="AA211" s="3"/>
      <c r="AB211" s="91" t="s">
        <v>160</v>
      </c>
      <c r="AC211" s="92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7"/>
      <c r="AO211" s="38"/>
      <c r="AP211" s="38"/>
      <c r="AQ211" s="38"/>
      <c r="AR211" s="43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</row>
    <row r="212" spans="1:54" s="5" customFormat="1" hidden="1" x14ac:dyDescent="0.25">
      <c r="A212" s="7"/>
      <c r="B212" s="77"/>
      <c r="C212" s="78"/>
      <c r="D212" s="78"/>
      <c r="E212" s="83"/>
      <c r="F212" s="78"/>
      <c r="G212" s="77"/>
      <c r="H212" s="80"/>
      <c r="I212" s="83"/>
      <c r="J212" s="78"/>
      <c r="K212" s="78"/>
      <c r="L212" s="77"/>
      <c r="M212" s="78"/>
      <c r="N212" s="78"/>
      <c r="O212" s="78"/>
      <c r="P212" s="77"/>
      <c r="Q212" s="78"/>
      <c r="R212" s="77"/>
      <c r="S212" s="78"/>
      <c r="T212" s="77"/>
      <c r="U212" s="78"/>
      <c r="V212" s="77"/>
      <c r="W212" s="7"/>
      <c r="X212" s="27" t="str">
        <f t="shared" si="30"/>
        <v/>
      </c>
      <c r="Y212" s="3" t="s">
        <v>41</v>
      </c>
      <c r="Z212" s="3"/>
      <c r="AA212" s="3" t="s">
        <v>43</v>
      </c>
      <c r="AB212" s="91" t="s">
        <v>160</v>
      </c>
      <c r="AC212" s="92">
        <v>1990</v>
      </c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7"/>
      <c r="AO212" s="38"/>
      <c r="AP212" s="38"/>
      <c r="AQ212" s="38"/>
      <c r="AR212" s="43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</row>
    <row r="213" spans="1:54" s="5" customFormat="1" hidden="1" x14ac:dyDescent="0.25">
      <c r="A213" s="7"/>
      <c r="B213" s="77"/>
      <c r="C213" s="78"/>
      <c r="D213" s="78"/>
      <c r="E213" s="83"/>
      <c r="F213" s="78"/>
      <c r="G213" s="77"/>
      <c r="H213" s="80"/>
      <c r="I213" s="83"/>
      <c r="J213" s="78"/>
      <c r="K213" s="78"/>
      <c r="L213" s="77"/>
      <c r="M213" s="78"/>
      <c r="N213" s="78"/>
      <c r="O213" s="78"/>
      <c r="P213" s="77"/>
      <c r="Q213" s="78"/>
      <c r="R213" s="77"/>
      <c r="S213" s="78"/>
      <c r="T213" s="77"/>
      <c r="U213" s="78"/>
      <c r="V213" s="77"/>
      <c r="W213" s="7"/>
      <c r="X213" s="27" t="str">
        <f t="shared" si="30"/>
        <v/>
      </c>
      <c r="Y213" s="3" t="s">
        <v>40</v>
      </c>
      <c r="Z213" s="3"/>
      <c r="AA213" s="3" t="s">
        <v>43</v>
      </c>
      <c r="AB213" s="91" t="s">
        <v>160</v>
      </c>
      <c r="AC213" s="92">
        <v>2000</v>
      </c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7"/>
      <c r="AO213" s="38"/>
      <c r="AP213" s="38"/>
      <c r="AQ213" s="38"/>
      <c r="AR213" s="43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</row>
    <row r="214" spans="1:54" s="5" customFormat="1" hidden="1" x14ac:dyDescent="0.25">
      <c r="A214" s="7"/>
      <c r="B214" s="77"/>
      <c r="C214" s="78"/>
      <c r="D214" s="78"/>
      <c r="E214" s="83"/>
      <c r="F214" s="78"/>
      <c r="G214" s="77"/>
      <c r="H214" s="80"/>
      <c r="I214" s="83"/>
      <c r="J214" s="78"/>
      <c r="K214" s="78"/>
      <c r="L214" s="77"/>
      <c r="M214" s="78"/>
      <c r="N214" s="78"/>
      <c r="O214" s="78"/>
      <c r="P214" s="77"/>
      <c r="Q214" s="78"/>
      <c r="R214" s="77"/>
      <c r="S214" s="78"/>
      <c r="T214" s="77"/>
      <c r="U214" s="78"/>
      <c r="V214" s="77"/>
      <c r="W214" s="7"/>
      <c r="X214" s="27" t="str">
        <f t="shared" si="30"/>
        <v/>
      </c>
      <c r="Y214" s="3" t="s">
        <v>42</v>
      </c>
      <c r="Z214" s="3"/>
      <c r="AA214" s="3" t="s">
        <v>10</v>
      </c>
      <c r="AB214" s="91" t="s">
        <v>160</v>
      </c>
      <c r="AC214" s="92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7"/>
      <c r="AO214" s="38"/>
      <c r="AP214" s="38"/>
      <c r="AQ214" s="38"/>
      <c r="AR214" s="43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</row>
    <row r="215" spans="1:54" s="5" customFormat="1" hidden="1" x14ac:dyDescent="0.25">
      <c r="A215" s="7"/>
      <c r="B215" s="77"/>
      <c r="C215" s="78"/>
      <c r="D215" s="78"/>
      <c r="E215" s="83"/>
      <c r="F215" s="78"/>
      <c r="G215" s="77"/>
      <c r="H215" s="80"/>
      <c r="I215" s="83"/>
      <c r="J215" s="78"/>
      <c r="K215" s="78"/>
      <c r="L215" s="77"/>
      <c r="M215" s="78"/>
      <c r="N215" s="78"/>
      <c r="O215" s="78"/>
      <c r="P215" s="77"/>
      <c r="Q215" s="78"/>
      <c r="R215" s="77"/>
      <c r="S215" s="78"/>
      <c r="T215" s="77"/>
      <c r="U215" s="78"/>
      <c r="V215" s="77"/>
      <c r="W215" s="7"/>
      <c r="X215" s="27" t="str">
        <f t="shared" si="30"/>
        <v/>
      </c>
      <c r="Y215" s="3" t="s">
        <v>68</v>
      </c>
      <c r="Z215" s="3"/>
      <c r="AA215" s="3" t="s">
        <v>119</v>
      </c>
      <c r="AB215" s="91" t="s">
        <v>160</v>
      </c>
      <c r="AC215" s="92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7"/>
      <c r="AO215" s="38"/>
      <c r="AP215" s="38"/>
      <c r="AQ215" s="38"/>
      <c r="AR215" s="43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</row>
    <row r="216" spans="1:54" s="5" customFormat="1" hidden="1" x14ac:dyDescent="0.25">
      <c r="A216" s="7"/>
      <c r="B216" s="77"/>
      <c r="C216" s="78"/>
      <c r="D216" s="78"/>
      <c r="E216" s="83"/>
      <c r="F216" s="78"/>
      <c r="G216" s="77"/>
      <c r="H216" s="80"/>
      <c r="I216" s="83"/>
      <c r="J216" s="78"/>
      <c r="K216" s="78"/>
      <c r="L216" s="77"/>
      <c r="M216" s="78"/>
      <c r="N216" s="78"/>
      <c r="O216" s="78"/>
      <c r="P216" s="77"/>
      <c r="Q216" s="78"/>
      <c r="R216" s="77"/>
      <c r="S216" s="78"/>
      <c r="T216" s="77"/>
      <c r="U216" s="78"/>
      <c r="V216" s="77"/>
      <c r="W216" s="7"/>
      <c r="X216" s="27" t="str">
        <f t="shared" si="30"/>
        <v/>
      </c>
      <c r="Y216" s="3" t="s">
        <v>38</v>
      </c>
      <c r="Z216" s="3"/>
      <c r="AA216" s="3" t="s">
        <v>17</v>
      </c>
      <c r="AB216" s="91" t="s">
        <v>160</v>
      </c>
      <c r="AC216" s="92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7"/>
      <c r="AO216" s="38"/>
      <c r="AP216" s="38"/>
      <c r="AQ216" s="38"/>
      <c r="AR216" s="43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</row>
    <row r="217" spans="1:54" s="5" customFormat="1" hidden="1" x14ac:dyDescent="0.25">
      <c r="A217" s="7"/>
      <c r="B217" s="77"/>
      <c r="C217" s="78"/>
      <c r="D217" s="78"/>
      <c r="E217" s="83"/>
      <c r="F217" s="78"/>
      <c r="G217" s="77"/>
      <c r="H217" s="80"/>
      <c r="I217" s="83"/>
      <c r="J217" s="78"/>
      <c r="K217" s="78"/>
      <c r="L217" s="77"/>
      <c r="M217" s="78"/>
      <c r="N217" s="78"/>
      <c r="O217" s="78"/>
      <c r="P217" s="77"/>
      <c r="Q217" s="78"/>
      <c r="R217" s="77"/>
      <c r="S217" s="78"/>
      <c r="T217" s="77"/>
      <c r="U217" s="78"/>
      <c r="V217" s="77"/>
      <c r="W217" s="7"/>
      <c r="X217" s="27" t="str">
        <f t="shared" si="30"/>
        <v/>
      </c>
      <c r="Y217" s="3" t="s">
        <v>44</v>
      </c>
      <c r="Z217" s="3"/>
      <c r="AA217" s="3" t="s">
        <v>17</v>
      </c>
      <c r="AB217" s="91" t="s">
        <v>160</v>
      </c>
      <c r="AC217" s="92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7"/>
      <c r="AO217" s="38"/>
      <c r="AP217" s="38"/>
      <c r="AQ217" s="38"/>
      <c r="AR217" s="43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</row>
    <row r="218" spans="1:54" s="5" customFormat="1" hidden="1" x14ac:dyDescent="0.25">
      <c r="A218" s="7"/>
      <c r="B218" s="77"/>
      <c r="C218" s="78"/>
      <c r="D218" s="78"/>
      <c r="E218" s="83"/>
      <c r="F218" s="78"/>
      <c r="G218" s="77"/>
      <c r="H218" s="80"/>
      <c r="I218" s="83"/>
      <c r="J218" s="78"/>
      <c r="K218" s="78"/>
      <c r="L218" s="77"/>
      <c r="M218" s="78"/>
      <c r="N218" s="78"/>
      <c r="O218" s="78"/>
      <c r="P218" s="77"/>
      <c r="Q218" s="78"/>
      <c r="R218" s="77"/>
      <c r="S218" s="78"/>
      <c r="T218" s="77"/>
      <c r="U218" s="78"/>
      <c r="V218" s="77"/>
      <c r="W218" s="7"/>
      <c r="X218" s="27" t="str">
        <f t="shared" si="30"/>
        <v/>
      </c>
      <c r="Y218" s="3" t="s">
        <v>51</v>
      </c>
      <c r="Z218" s="3"/>
      <c r="AA218" s="3" t="s">
        <v>17</v>
      </c>
      <c r="AB218" s="91" t="s">
        <v>160</v>
      </c>
      <c r="AC218" s="92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7"/>
      <c r="AO218" s="38"/>
      <c r="AP218" s="38"/>
      <c r="AQ218" s="38"/>
      <c r="AR218" s="43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</row>
    <row r="219" spans="1:54" s="5" customFormat="1" hidden="1" x14ac:dyDescent="0.25">
      <c r="A219" s="7"/>
      <c r="B219" s="77"/>
      <c r="C219" s="78"/>
      <c r="D219" s="78"/>
      <c r="E219" s="83"/>
      <c r="F219" s="78"/>
      <c r="G219" s="77"/>
      <c r="H219" s="80"/>
      <c r="I219" s="83"/>
      <c r="J219" s="78"/>
      <c r="K219" s="78"/>
      <c r="L219" s="77"/>
      <c r="M219" s="78"/>
      <c r="N219" s="78"/>
      <c r="O219" s="78"/>
      <c r="P219" s="77"/>
      <c r="Q219" s="78"/>
      <c r="R219" s="77"/>
      <c r="S219" s="78"/>
      <c r="T219" s="77"/>
      <c r="U219" s="78"/>
      <c r="V219" s="77"/>
      <c r="W219" s="7"/>
      <c r="X219" s="27" t="str">
        <f t="shared" si="30"/>
        <v/>
      </c>
      <c r="Y219" s="3" t="s">
        <v>96</v>
      </c>
      <c r="Z219" s="3"/>
      <c r="AA219" s="3" t="s">
        <v>17</v>
      </c>
      <c r="AB219" s="91" t="s">
        <v>160</v>
      </c>
      <c r="AC219" s="93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7"/>
      <c r="AO219" s="38"/>
      <c r="AP219" s="38"/>
      <c r="AQ219" s="38"/>
      <c r="AR219" s="43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</row>
    <row r="220" spans="1:54" s="5" customFormat="1" hidden="1" x14ac:dyDescent="0.25">
      <c r="A220" s="7"/>
      <c r="B220" s="77"/>
      <c r="C220" s="78"/>
      <c r="D220" s="78"/>
      <c r="E220" s="83"/>
      <c r="F220" s="78"/>
      <c r="G220" s="77"/>
      <c r="H220" s="80"/>
      <c r="I220" s="83"/>
      <c r="J220" s="78"/>
      <c r="K220" s="78"/>
      <c r="L220" s="77"/>
      <c r="M220" s="78"/>
      <c r="N220" s="78"/>
      <c r="O220" s="78"/>
      <c r="P220" s="77"/>
      <c r="Q220" s="78"/>
      <c r="R220" s="77"/>
      <c r="S220" s="78"/>
      <c r="T220" s="77"/>
      <c r="U220" s="78"/>
      <c r="V220" s="77"/>
      <c r="W220" s="7"/>
      <c r="X220" s="27"/>
      <c r="Y220" s="3" t="s">
        <v>152</v>
      </c>
      <c r="Z220" s="3" t="s">
        <v>169</v>
      </c>
      <c r="AA220" s="3"/>
      <c r="AB220" s="91" t="s">
        <v>160</v>
      </c>
      <c r="AC220" s="93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7"/>
      <c r="AO220" s="38"/>
      <c r="AP220" s="38"/>
      <c r="AQ220" s="38"/>
      <c r="AR220" s="43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</row>
    <row r="221" spans="1:54" s="5" customFormat="1" hidden="1" x14ac:dyDescent="0.25">
      <c r="A221" s="7"/>
      <c r="B221" s="77"/>
      <c r="C221" s="78"/>
      <c r="D221" s="78"/>
      <c r="E221" s="83"/>
      <c r="F221" s="78"/>
      <c r="G221" s="77"/>
      <c r="H221" s="80"/>
      <c r="I221" s="83"/>
      <c r="J221" s="78"/>
      <c r="K221" s="78"/>
      <c r="L221" s="77"/>
      <c r="M221" s="78"/>
      <c r="N221" s="78"/>
      <c r="O221" s="78"/>
      <c r="P221" s="77"/>
      <c r="Q221" s="78"/>
      <c r="R221" s="77"/>
      <c r="S221" s="78"/>
      <c r="T221" s="77"/>
      <c r="U221" s="78"/>
      <c r="V221" s="77"/>
      <c r="W221" s="7"/>
      <c r="X221" s="27" t="str">
        <f t="shared" si="30"/>
        <v/>
      </c>
      <c r="Y221" s="3" t="s">
        <v>47</v>
      </c>
      <c r="Z221" s="3"/>
      <c r="AA221" s="3" t="s">
        <v>119</v>
      </c>
      <c r="AB221" s="91" t="s">
        <v>160</v>
      </c>
      <c r="AC221" s="92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7"/>
      <c r="AO221" s="38"/>
      <c r="AP221" s="38"/>
      <c r="AQ221" s="38"/>
      <c r="AR221" s="43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</row>
    <row r="222" spans="1:54" s="5" customFormat="1" hidden="1" x14ac:dyDescent="0.25">
      <c r="A222" s="7"/>
      <c r="B222" s="77"/>
      <c r="C222" s="78"/>
      <c r="D222" s="78"/>
      <c r="E222" s="83"/>
      <c r="F222" s="78"/>
      <c r="G222" s="77"/>
      <c r="H222" s="80"/>
      <c r="I222" s="83"/>
      <c r="J222" s="78"/>
      <c r="K222" s="78"/>
      <c r="L222" s="77"/>
      <c r="M222" s="78"/>
      <c r="N222" s="78"/>
      <c r="O222" s="78"/>
      <c r="P222" s="77"/>
      <c r="Q222" s="78"/>
      <c r="R222" s="77"/>
      <c r="S222" s="78"/>
      <c r="T222" s="77"/>
      <c r="U222" s="78"/>
      <c r="V222" s="77"/>
      <c r="W222" s="7"/>
      <c r="X222" s="27" t="str">
        <f t="shared" si="30"/>
        <v/>
      </c>
      <c r="Y222" s="3" t="s">
        <v>48</v>
      </c>
      <c r="Z222" s="3"/>
      <c r="AA222" s="3" t="s">
        <v>119</v>
      </c>
      <c r="AB222" s="91" t="s">
        <v>160</v>
      </c>
      <c r="AC222" s="92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7"/>
      <c r="AO222" s="38"/>
      <c r="AP222" s="38"/>
      <c r="AQ222" s="38"/>
      <c r="AR222" s="43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</row>
    <row r="223" spans="1:54" s="5" customFormat="1" hidden="1" x14ac:dyDescent="0.25">
      <c r="A223" s="7"/>
      <c r="B223" s="77"/>
      <c r="C223" s="78"/>
      <c r="D223" s="78"/>
      <c r="E223" s="83"/>
      <c r="F223" s="78"/>
      <c r="G223" s="77"/>
      <c r="H223" s="80"/>
      <c r="I223" s="83"/>
      <c r="J223" s="78"/>
      <c r="K223" s="78"/>
      <c r="L223" s="77"/>
      <c r="M223" s="78"/>
      <c r="N223" s="78"/>
      <c r="O223" s="78"/>
      <c r="P223" s="77"/>
      <c r="Q223" s="78"/>
      <c r="R223" s="77"/>
      <c r="S223" s="78"/>
      <c r="T223" s="77"/>
      <c r="U223" s="78"/>
      <c r="V223" s="77"/>
      <c r="W223" s="7"/>
      <c r="X223" s="27" t="str">
        <f t="shared" si="30"/>
        <v/>
      </c>
      <c r="Y223" s="3" t="s">
        <v>95</v>
      </c>
      <c r="Z223" s="3"/>
      <c r="AA223" s="3" t="s">
        <v>58</v>
      </c>
      <c r="AB223" s="91" t="s">
        <v>160</v>
      </c>
      <c r="AC223" s="92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7"/>
      <c r="AO223" s="38"/>
      <c r="AP223" s="38"/>
      <c r="AQ223" s="38"/>
      <c r="AR223" s="43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</row>
    <row r="224" spans="1:54" s="5" customFormat="1" hidden="1" x14ac:dyDescent="0.25">
      <c r="A224" s="7"/>
      <c r="B224" s="77"/>
      <c r="C224" s="78"/>
      <c r="D224" s="78"/>
      <c r="E224" s="83"/>
      <c r="F224" s="78"/>
      <c r="G224" s="77"/>
      <c r="H224" s="80"/>
      <c r="I224" s="83"/>
      <c r="J224" s="78"/>
      <c r="K224" s="78"/>
      <c r="L224" s="77"/>
      <c r="M224" s="78"/>
      <c r="N224" s="78"/>
      <c r="O224" s="78"/>
      <c r="P224" s="77"/>
      <c r="Q224" s="78"/>
      <c r="R224" s="77"/>
      <c r="S224" s="78"/>
      <c r="T224" s="77"/>
      <c r="U224" s="78"/>
      <c r="V224" s="77"/>
      <c r="W224" s="7"/>
      <c r="X224" s="27" t="str">
        <f t="shared" si="30"/>
        <v/>
      </c>
      <c r="Y224" s="3" t="s">
        <v>92</v>
      </c>
      <c r="Z224" s="3"/>
      <c r="AA224" s="3" t="s">
        <v>119</v>
      </c>
      <c r="AB224" s="91" t="s">
        <v>160</v>
      </c>
      <c r="AC224" s="94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7"/>
      <c r="AO224" s="38"/>
      <c r="AP224" s="38"/>
      <c r="AQ224" s="38"/>
      <c r="AR224" s="43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</row>
    <row r="225" spans="1:54" s="5" customFormat="1" hidden="1" x14ac:dyDescent="0.25">
      <c r="A225" s="7"/>
      <c r="B225" s="77"/>
      <c r="C225" s="78"/>
      <c r="D225" s="78"/>
      <c r="E225" s="83"/>
      <c r="F225" s="78"/>
      <c r="G225" s="77"/>
      <c r="H225" s="80"/>
      <c r="I225" s="83"/>
      <c r="J225" s="78"/>
      <c r="K225" s="78"/>
      <c r="L225" s="77"/>
      <c r="M225" s="78"/>
      <c r="N225" s="78"/>
      <c r="O225" s="78"/>
      <c r="P225" s="77"/>
      <c r="Q225" s="78"/>
      <c r="R225" s="77"/>
      <c r="S225" s="78"/>
      <c r="T225" s="77"/>
      <c r="U225" s="78"/>
      <c r="V225" s="77"/>
      <c r="W225" s="7"/>
      <c r="X225" s="27" t="str">
        <f t="shared" si="30"/>
        <v/>
      </c>
      <c r="Y225" s="3" t="s">
        <v>64</v>
      </c>
      <c r="Z225" s="3"/>
      <c r="AA225" s="3"/>
      <c r="AB225" s="91" t="s">
        <v>162</v>
      </c>
      <c r="AC225" s="92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7"/>
      <c r="AO225" s="38"/>
      <c r="AP225" s="38"/>
      <c r="AQ225" s="38"/>
      <c r="AR225" s="43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</row>
    <row r="226" spans="1:54" s="5" customFormat="1" hidden="1" x14ac:dyDescent="0.25">
      <c r="A226" s="7"/>
      <c r="B226" s="77"/>
      <c r="C226" s="78"/>
      <c r="D226" s="78"/>
      <c r="E226" s="83"/>
      <c r="F226" s="78"/>
      <c r="G226" s="77"/>
      <c r="H226" s="80"/>
      <c r="I226" s="83"/>
      <c r="J226" s="78"/>
      <c r="K226" s="78"/>
      <c r="L226" s="77"/>
      <c r="M226" s="78"/>
      <c r="N226" s="78"/>
      <c r="O226" s="78"/>
      <c r="P226" s="77"/>
      <c r="Q226" s="78"/>
      <c r="R226" s="77"/>
      <c r="S226" s="78"/>
      <c r="T226" s="77"/>
      <c r="U226" s="78"/>
      <c r="V226" s="77"/>
      <c r="W226" s="7"/>
      <c r="X226" s="27" t="str">
        <f t="shared" si="30"/>
        <v/>
      </c>
      <c r="Y226" s="3" t="s">
        <v>41</v>
      </c>
      <c r="Z226" s="3"/>
      <c r="AA226" s="3" t="s">
        <v>43</v>
      </c>
      <c r="AB226" s="91" t="s">
        <v>162</v>
      </c>
      <c r="AC226" s="92">
        <v>1990</v>
      </c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7"/>
      <c r="AO226" s="38"/>
      <c r="AP226" s="38"/>
      <c r="AQ226" s="38"/>
      <c r="AR226" s="43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</row>
    <row r="227" spans="1:54" s="5" customFormat="1" hidden="1" x14ac:dyDescent="0.25">
      <c r="A227" s="7"/>
      <c r="B227" s="77"/>
      <c r="C227" s="78"/>
      <c r="D227" s="78"/>
      <c r="E227" s="83"/>
      <c r="F227" s="78"/>
      <c r="G227" s="77"/>
      <c r="H227" s="80"/>
      <c r="I227" s="83"/>
      <c r="J227" s="78"/>
      <c r="K227" s="78"/>
      <c r="L227" s="77"/>
      <c r="M227" s="78"/>
      <c r="N227" s="78"/>
      <c r="O227" s="78"/>
      <c r="P227" s="77"/>
      <c r="Q227" s="78"/>
      <c r="R227" s="77"/>
      <c r="S227" s="78"/>
      <c r="T227" s="77"/>
      <c r="U227" s="78"/>
      <c r="V227" s="77"/>
      <c r="W227" s="7"/>
      <c r="X227" s="27" t="str">
        <f t="shared" si="30"/>
        <v/>
      </c>
      <c r="Y227" s="3" t="s">
        <v>40</v>
      </c>
      <c r="Z227" s="3"/>
      <c r="AA227" s="3" t="s">
        <v>43</v>
      </c>
      <c r="AB227" s="91" t="s">
        <v>162</v>
      </c>
      <c r="AC227" s="92">
        <v>2000</v>
      </c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7"/>
      <c r="AO227" s="38"/>
      <c r="AP227" s="38"/>
      <c r="AQ227" s="38"/>
      <c r="AR227" s="43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</row>
    <row r="228" spans="1:54" s="5" customFormat="1" hidden="1" x14ac:dyDescent="0.25">
      <c r="A228" s="7"/>
      <c r="B228" s="77"/>
      <c r="C228" s="78"/>
      <c r="D228" s="78"/>
      <c r="E228" s="83"/>
      <c r="F228" s="78"/>
      <c r="G228" s="77"/>
      <c r="H228" s="80"/>
      <c r="I228" s="83"/>
      <c r="J228" s="78"/>
      <c r="K228" s="78"/>
      <c r="L228" s="77"/>
      <c r="M228" s="78"/>
      <c r="N228" s="78"/>
      <c r="O228" s="78"/>
      <c r="P228" s="77"/>
      <c r="Q228" s="78"/>
      <c r="R228" s="77"/>
      <c r="S228" s="78"/>
      <c r="T228" s="77"/>
      <c r="U228" s="78"/>
      <c r="V228" s="77"/>
      <c r="W228" s="7"/>
      <c r="X228" s="27" t="str">
        <f t="shared" si="30"/>
        <v/>
      </c>
      <c r="Y228" s="3" t="s">
        <v>42</v>
      </c>
      <c r="Z228" s="3"/>
      <c r="AA228" s="3" t="s">
        <v>10</v>
      </c>
      <c r="AB228" s="91" t="s">
        <v>162</v>
      </c>
      <c r="AC228" s="92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7"/>
      <c r="AO228" s="38"/>
      <c r="AP228" s="38"/>
      <c r="AQ228" s="38"/>
      <c r="AR228" s="43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</row>
    <row r="229" spans="1:54" s="5" customFormat="1" hidden="1" x14ac:dyDescent="0.25">
      <c r="A229" s="7"/>
      <c r="B229" s="77"/>
      <c r="C229" s="78"/>
      <c r="D229" s="78"/>
      <c r="E229" s="83"/>
      <c r="F229" s="78"/>
      <c r="G229" s="77"/>
      <c r="H229" s="80"/>
      <c r="I229" s="83"/>
      <c r="J229" s="78"/>
      <c r="K229" s="78"/>
      <c r="L229" s="77"/>
      <c r="M229" s="78"/>
      <c r="N229" s="78"/>
      <c r="O229" s="78"/>
      <c r="P229" s="77"/>
      <c r="Q229" s="78"/>
      <c r="R229" s="77"/>
      <c r="S229" s="78"/>
      <c r="T229" s="77"/>
      <c r="U229" s="78"/>
      <c r="V229" s="77"/>
      <c r="W229" s="7"/>
      <c r="X229" s="27" t="str">
        <f t="shared" si="30"/>
        <v/>
      </c>
      <c r="Y229" s="3" t="s">
        <v>68</v>
      </c>
      <c r="Z229" s="3"/>
      <c r="AA229" s="3" t="s">
        <v>119</v>
      </c>
      <c r="AB229" s="91" t="s">
        <v>162</v>
      </c>
      <c r="AC229" s="92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7"/>
      <c r="AO229" s="38"/>
      <c r="AP229" s="38"/>
      <c r="AQ229" s="38"/>
      <c r="AR229" s="43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</row>
    <row r="230" spans="1:54" s="5" customFormat="1" hidden="1" x14ac:dyDescent="0.25">
      <c r="A230" s="7"/>
      <c r="B230" s="77"/>
      <c r="C230" s="78"/>
      <c r="D230" s="78"/>
      <c r="E230" s="83"/>
      <c r="F230" s="78"/>
      <c r="G230" s="77"/>
      <c r="H230" s="80"/>
      <c r="I230" s="83"/>
      <c r="J230" s="78"/>
      <c r="K230" s="78"/>
      <c r="L230" s="77"/>
      <c r="M230" s="78"/>
      <c r="N230" s="78"/>
      <c r="O230" s="78"/>
      <c r="P230" s="77"/>
      <c r="Q230" s="78"/>
      <c r="R230" s="77"/>
      <c r="S230" s="78"/>
      <c r="T230" s="77"/>
      <c r="U230" s="78"/>
      <c r="V230" s="77"/>
      <c r="W230" s="7"/>
      <c r="X230" s="27" t="str">
        <f t="shared" si="30"/>
        <v/>
      </c>
      <c r="Y230" s="3" t="s">
        <v>38</v>
      </c>
      <c r="Z230" s="3"/>
      <c r="AA230" s="3" t="s">
        <v>17</v>
      </c>
      <c r="AB230" s="91" t="s">
        <v>162</v>
      </c>
      <c r="AC230" s="92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7"/>
      <c r="AO230" s="38"/>
      <c r="AP230" s="38"/>
      <c r="AQ230" s="38"/>
      <c r="AR230" s="43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</row>
    <row r="231" spans="1:54" s="5" customFormat="1" hidden="1" x14ac:dyDescent="0.25">
      <c r="A231" s="7"/>
      <c r="B231" s="77"/>
      <c r="C231" s="78"/>
      <c r="D231" s="78"/>
      <c r="E231" s="83"/>
      <c r="F231" s="78"/>
      <c r="G231" s="77"/>
      <c r="H231" s="80"/>
      <c r="I231" s="83"/>
      <c r="J231" s="78"/>
      <c r="K231" s="78"/>
      <c r="L231" s="77"/>
      <c r="M231" s="78"/>
      <c r="N231" s="78"/>
      <c r="O231" s="78"/>
      <c r="P231" s="77"/>
      <c r="Q231" s="78"/>
      <c r="R231" s="77"/>
      <c r="S231" s="78"/>
      <c r="T231" s="77"/>
      <c r="U231" s="78"/>
      <c r="V231" s="77"/>
      <c r="W231" s="7"/>
      <c r="X231" s="27" t="str">
        <f t="shared" si="30"/>
        <v/>
      </c>
      <c r="Y231" s="3" t="s">
        <v>44</v>
      </c>
      <c r="Z231" s="3"/>
      <c r="AA231" s="3" t="s">
        <v>17</v>
      </c>
      <c r="AB231" s="91" t="s">
        <v>162</v>
      </c>
      <c r="AC231" s="92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7"/>
      <c r="AO231" s="38"/>
      <c r="AP231" s="38"/>
      <c r="AQ231" s="38"/>
      <c r="AR231" s="43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</row>
    <row r="232" spans="1:54" s="5" customFormat="1" hidden="1" x14ac:dyDescent="0.25">
      <c r="A232" s="7"/>
      <c r="B232" s="77"/>
      <c r="C232" s="78"/>
      <c r="D232" s="78"/>
      <c r="E232" s="83"/>
      <c r="F232" s="78"/>
      <c r="G232" s="77"/>
      <c r="H232" s="80"/>
      <c r="I232" s="83"/>
      <c r="J232" s="78"/>
      <c r="K232" s="78"/>
      <c r="L232" s="77"/>
      <c r="M232" s="78"/>
      <c r="N232" s="78"/>
      <c r="O232" s="78"/>
      <c r="P232" s="77"/>
      <c r="Q232" s="78"/>
      <c r="R232" s="77"/>
      <c r="S232" s="78"/>
      <c r="T232" s="77"/>
      <c r="U232" s="78"/>
      <c r="V232" s="77"/>
      <c r="W232" s="7"/>
      <c r="X232" s="27" t="str">
        <f t="shared" si="30"/>
        <v/>
      </c>
      <c r="Y232" s="3" t="s">
        <v>51</v>
      </c>
      <c r="Z232" s="3"/>
      <c r="AA232" s="3" t="s">
        <v>17</v>
      </c>
      <c r="AB232" s="91" t="s">
        <v>162</v>
      </c>
      <c r="AC232" s="92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7"/>
      <c r="AO232" s="38"/>
      <c r="AP232" s="38"/>
      <c r="AQ232" s="38"/>
      <c r="AR232" s="43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</row>
    <row r="233" spans="1:54" s="5" customFormat="1" hidden="1" x14ac:dyDescent="0.25">
      <c r="A233" s="7"/>
      <c r="B233" s="77"/>
      <c r="C233" s="78"/>
      <c r="D233" s="78"/>
      <c r="E233" s="83"/>
      <c r="F233" s="78"/>
      <c r="G233" s="77"/>
      <c r="H233" s="80"/>
      <c r="I233" s="83"/>
      <c r="J233" s="78"/>
      <c r="K233" s="78"/>
      <c r="L233" s="77"/>
      <c r="M233" s="78"/>
      <c r="N233" s="78"/>
      <c r="O233" s="78"/>
      <c r="P233" s="77"/>
      <c r="Q233" s="78"/>
      <c r="R233" s="77"/>
      <c r="S233" s="78"/>
      <c r="T233" s="77"/>
      <c r="U233" s="78"/>
      <c r="V233" s="77"/>
      <c r="W233" s="7"/>
      <c r="X233" s="27" t="str">
        <f t="shared" si="30"/>
        <v/>
      </c>
      <c r="Y233" s="3" t="s">
        <v>96</v>
      </c>
      <c r="Z233" s="3"/>
      <c r="AA233" s="3" t="s">
        <v>17</v>
      </c>
      <c r="AB233" s="91" t="s">
        <v>162</v>
      </c>
      <c r="AC233" s="93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7"/>
      <c r="AO233" s="38"/>
      <c r="AP233" s="38"/>
      <c r="AQ233" s="38"/>
      <c r="AR233" s="43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</row>
    <row r="234" spans="1:54" s="5" customFormat="1" hidden="1" x14ac:dyDescent="0.25">
      <c r="A234" s="7"/>
      <c r="B234" s="77"/>
      <c r="C234" s="78"/>
      <c r="D234" s="78"/>
      <c r="E234" s="83"/>
      <c r="F234" s="78"/>
      <c r="G234" s="77"/>
      <c r="H234" s="80"/>
      <c r="I234" s="83"/>
      <c r="J234" s="78"/>
      <c r="K234" s="78"/>
      <c r="L234" s="77"/>
      <c r="M234" s="78"/>
      <c r="N234" s="78"/>
      <c r="O234" s="78"/>
      <c r="P234" s="77"/>
      <c r="Q234" s="78"/>
      <c r="R234" s="77"/>
      <c r="S234" s="78"/>
      <c r="T234" s="77"/>
      <c r="U234" s="78"/>
      <c r="V234" s="77"/>
      <c r="W234" s="7"/>
      <c r="X234" s="27"/>
      <c r="Y234" s="3" t="s">
        <v>152</v>
      </c>
      <c r="Z234" s="3" t="s">
        <v>169</v>
      </c>
      <c r="AA234" s="3"/>
      <c r="AB234" s="91" t="s">
        <v>162</v>
      </c>
      <c r="AC234" s="93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7"/>
      <c r="AO234" s="38"/>
      <c r="AP234" s="38"/>
      <c r="AQ234" s="38"/>
      <c r="AR234" s="43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</row>
    <row r="235" spans="1:54" s="5" customFormat="1" hidden="1" x14ac:dyDescent="0.25">
      <c r="A235" s="7"/>
      <c r="B235" s="77"/>
      <c r="C235" s="78"/>
      <c r="D235" s="78"/>
      <c r="E235" s="83"/>
      <c r="F235" s="78"/>
      <c r="G235" s="77"/>
      <c r="H235" s="80"/>
      <c r="I235" s="83"/>
      <c r="J235" s="78"/>
      <c r="K235" s="78"/>
      <c r="L235" s="77"/>
      <c r="M235" s="78"/>
      <c r="N235" s="78"/>
      <c r="O235" s="78"/>
      <c r="P235" s="77"/>
      <c r="Q235" s="78"/>
      <c r="R235" s="77"/>
      <c r="S235" s="78"/>
      <c r="T235" s="77"/>
      <c r="U235" s="78"/>
      <c r="V235" s="77"/>
      <c r="W235" s="7"/>
      <c r="X235" s="27" t="str">
        <f t="shared" si="30"/>
        <v/>
      </c>
      <c r="Y235" s="3" t="s">
        <v>47</v>
      </c>
      <c r="Z235" s="3"/>
      <c r="AA235" s="3" t="s">
        <v>119</v>
      </c>
      <c r="AB235" s="91" t="s">
        <v>162</v>
      </c>
      <c r="AC235" s="92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7"/>
      <c r="AO235" s="38"/>
      <c r="AP235" s="38"/>
      <c r="AQ235" s="38"/>
      <c r="AR235" s="43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</row>
    <row r="236" spans="1:54" s="5" customFormat="1" hidden="1" x14ac:dyDescent="0.25">
      <c r="A236" s="7"/>
      <c r="B236" s="77"/>
      <c r="C236" s="78"/>
      <c r="D236" s="78"/>
      <c r="E236" s="83"/>
      <c r="F236" s="78"/>
      <c r="G236" s="77"/>
      <c r="H236" s="80"/>
      <c r="I236" s="83"/>
      <c r="J236" s="78"/>
      <c r="K236" s="78"/>
      <c r="L236" s="77"/>
      <c r="M236" s="78"/>
      <c r="N236" s="78"/>
      <c r="O236" s="78"/>
      <c r="P236" s="77"/>
      <c r="Q236" s="78"/>
      <c r="R236" s="77"/>
      <c r="S236" s="78"/>
      <c r="T236" s="77"/>
      <c r="U236" s="78"/>
      <c r="V236" s="77"/>
      <c r="W236" s="7"/>
      <c r="X236" s="27" t="str">
        <f t="shared" si="30"/>
        <v/>
      </c>
      <c r="Y236" s="3" t="s">
        <v>48</v>
      </c>
      <c r="Z236" s="3"/>
      <c r="AA236" s="3" t="s">
        <v>119</v>
      </c>
      <c r="AB236" s="91" t="s">
        <v>162</v>
      </c>
      <c r="AC236" s="92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7"/>
      <c r="AO236" s="38"/>
      <c r="AP236" s="38"/>
      <c r="AQ236" s="38"/>
      <c r="AR236" s="43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</row>
    <row r="237" spans="1:54" s="5" customFormat="1" hidden="1" x14ac:dyDescent="0.25">
      <c r="A237" s="7"/>
      <c r="B237" s="77"/>
      <c r="C237" s="78"/>
      <c r="D237" s="78"/>
      <c r="E237" s="83"/>
      <c r="F237" s="78"/>
      <c r="G237" s="77"/>
      <c r="H237" s="80"/>
      <c r="I237" s="83"/>
      <c r="J237" s="78"/>
      <c r="K237" s="78"/>
      <c r="L237" s="77"/>
      <c r="M237" s="78"/>
      <c r="N237" s="78"/>
      <c r="O237" s="78"/>
      <c r="P237" s="77"/>
      <c r="Q237" s="78"/>
      <c r="R237" s="77"/>
      <c r="S237" s="78"/>
      <c r="T237" s="77"/>
      <c r="U237" s="78"/>
      <c r="V237" s="77"/>
      <c r="W237" s="7"/>
      <c r="X237" s="27" t="str">
        <f t="shared" si="30"/>
        <v/>
      </c>
      <c r="Y237" s="3" t="s">
        <v>95</v>
      </c>
      <c r="Z237" s="3"/>
      <c r="AA237" s="3" t="s">
        <v>58</v>
      </c>
      <c r="AB237" s="91" t="s">
        <v>162</v>
      </c>
      <c r="AC237" s="92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7"/>
      <c r="AO237" s="38"/>
      <c r="AP237" s="38"/>
      <c r="AQ237" s="38"/>
      <c r="AR237" s="43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</row>
    <row r="238" spans="1:54" s="5" customFormat="1" hidden="1" x14ac:dyDescent="0.25">
      <c r="A238" s="7"/>
      <c r="B238" s="77"/>
      <c r="C238" s="78"/>
      <c r="D238" s="78"/>
      <c r="E238" s="83"/>
      <c r="F238" s="78"/>
      <c r="G238" s="77"/>
      <c r="H238" s="80"/>
      <c r="I238" s="83"/>
      <c r="J238" s="78"/>
      <c r="K238" s="78"/>
      <c r="L238" s="77"/>
      <c r="M238" s="78"/>
      <c r="N238" s="78"/>
      <c r="O238" s="78"/>
      <c r="P238" s="77"/>
      <c r="Q238" s="78"/>
      <c r="R238" s="77"/>
      <c r="S238" s="78"/>
      <c r="T238" s="77"/>
      <c r="U238" s="78"/>
      <c r="V238" s="77"/>
      <c r="W238" s="7"/>
      <c r="X238" s="27" t="str">
        <f t="shared" si="30"/>
        <v/>
      </c>
      <c r="Y238" s="3" t="s">
        <v>92</v>
      </c>
      <c r="Z238" s="3"/>
      <c r="AA238" s="3" t="s">
        <v>119</v>
      </c>
      <c r="AB238" s="91" t="s">
        <v>162</v>
      </c>
      <c r="AC238" s="94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7"/>
      <c r="AO238" s="38"/>
      <c r="AP238" s="38"/>
      <c r="AQ238" s="38"/>
      <c r="AR238" s="43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</row>
    <row r="239" spans="1:54" s="5" customFormat="1" hidden="1" x14ac:dyDescent="0.25">
      <c r="A239" s="7"/>
      <c r="B239" s="77"/>
      <c r="C239" s="78"/>
      <c r="D239" s="78"/>
      <c r="E239" s="83"/>
      <c r="F239" s="78"/>
      <c r="G239" s="77"/>
      <c r="H239" s="80"/>
      <c r="I239" s="83"/>
      <c r="J239" s="78"/>
      <c r="K239" s="78"/>
      <c r="L239" s="77"/>
      <c r="M239" s="78"/>
      <c r="N239" s="78"/>
      <c r="O239" s="78"/>
      <c r="P239" s="77"/>
      <c r="Q239" s="78"/>
      <c r="R239" s="77"/>
      <c r="S239" s="78"/>
      <c r="T239" s="77"/>
      <c r="U239" s="78"/>
      <c r="V239" s="77"/>
      <c r="W239" s="7"/>
      <c r="X239" s="27" t="str">
        <f t="shared" si="30"/>
        <v/>
      </c>
      <c r="Y239" s="3" t="s">
        <v>64</v>
      </c>
      <c r="Z239" s="3"/>
      <c r="AA239" s="3"/>
      <c r="AB239" s="91" t="s">
        <v>161</v>
      </c>
      <c r="AC239" s="92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7"/>
      <c r="AO239" s="38"/>
      <c r="AP239" s="38"/>
      <c r="AQ239" s="38"/>
      <c r="AR239" s="43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</row>
    <row r="240" spans="1:54" s="5" customFormat="1" hidden="1" x14ac:dyDescent="0.25">
      <c r="A240" s="7"/>
      <c r="B240" s="77"/>
      <c r="C240" s="78"/>
      <c r="D240" s="78"/>
      <c r="E240" s="83"/>
      <c r="F240" s="78"/>
      <c r="G240" s="77"/>
      <c r="H240" s="80"/>
      <c r="I240" s="83"/>
      <c r="J240" s="78"/>
      <c r="K240" s="78"/>
      <c r="L240" s="77"/>
      <c r="M240" s="78"/>
      <c r="N240" s="78"/>
      <c r="O240" s="78"/>
      <c r="P240" s="77"/>
      <c r="Q240" s="78"/>
      <c r="R240" s="77"/>
      <c r="S240" s="78"/>
      <c r="T240" s="77"/>
      <c r="U240" s="78"/>
      <c r="V240" s="77"/>
      <c r="W240" s="7"/>
      <c r="X240" s="27" t="str">
        <f t="shared" si="30"/>
        <v/>
      </c>
      <c r="Y240" s="3" t="s">
        <v>41</v>
      </c>
      <c r="Z240" s="3"/>
      <c r="AA240" s="3" t="s">
        <v>43</v>
      </c>
      <c r="AB240" s="91" t="s">
        <v>161</v>
      </c>
      <c r="AC240" s="92">
        <v>2000</v>
      </c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7"/>
      <c r="AO240" s="38"/>
      <c r="AP240" s="38"/>
      <c r="AQ240" s="38"/>
      <c r="AR240" s="43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</row>
    <row r="241" spans="1:54" s="5" customFormat="1" hidden="1" x14ac:dyDescent="0.25">
      <c r="A241" s="7"/>
      <c r="B241" s="77"/>
      <c r="C241" s="78"/>
      <c r="D241" s="78"/>
      <c r="E241" s="83"/>
      <c r="F241" s="78"/>
      <c r="G241" s="77"/>
      <c r="H241" s="80"/>
      <c r="I241" s="83"/>
      <c r="J241" s="78"/>
      <c r="K241" s="78"/>
      <c r="L241" s="77"/>
      <c r="M241" s="78"/>
      <c r="N241" s="78"/>
      <c r="O241" s="78"/>
      <c r="P241" s="77"/>
      <c r="Q241" s="78"/>
      <c r="R241" s="77"/>
      <c r="S241" s="78"/>
      <c r="T241" s="77"/>
      <c r="U241" s="78"/>
      <c r="V241" s="77"/>
      <c r="W241" s="7"/>
      <c r="X241" s="27" t="str">
        <f t="shared" si="30"/>
        <v/>
      </c>
      <c r="Y241" s="3" t="s">
        <v>40</v>
      </c>
      <c r="Z241" s="3"/>
      <c r="AA241" s="3" t="s">
        <v>43</v>
      </c>
      <c r="AB241" s="91" t="s">
        <v>161</v>
      </c>
      <c r="AC241" s="92">
        <v>2020</v>
      </c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7"/>
      <c r="AO241" s="38"/>
      <c r="AP241" s="38"/>
      <c r="AQ241" s="38"/>
      <c r="AR241" s="43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</row>
    <row r="242" spans="1:54" s="5" customFormat="1" hidden="1" x14ac:dyDescent="0.25">
      <c r="A242" s="7"/>
      <c r="B242" s="77"/>
      <c r="C242" s="78"/>
      <c r="D242" s="78"/>
      <c r="E242" s="83"/>
      <c r="F242" s="78"/>
      <c r="G242" s="77"/>
      <c r="H242" s="80"/>
      <c r="I242" s="83"/>
      <c r="J242" s="78"/>
      <c r="K242" s="78"/>
      <c r="L242" s="77"/>
      <c r="M242" s="78"/>
      <c r="N242" s="78"/>
      <c r="O242" s="78"/>
      <c r="P242" s="77"/>
      <c r="Q242" s="78"/>
      <c r="R242" s="77"/>
      <c r="S242" s="78"/>
      <c r="T242" s="77"/>
      <c r="U242" s="78"/>
      <c r="V242" s="77"/>
      <c r="W242" s="7"/>
      <c r="X242" s="27" t="str">
        <f t="shared" si="30"/>
        <v/>
      </c>
      <c r="Y242" s="3" t="s">
        <v>42</v>
      </c>
      <c r="Z242" s="3"/>
      <c r="AA242" s="3" t="s">
        <v>10</v>
      </c>
      <c r="AB242" s="91" t="s">
        <v>161</v>
      </c>
      <c r="AC242" s="92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7"/>
      <c r="AO242" s="38"/>
      <c r="AP242" s="38"/>
      <c r="AQ242" s="38"/>
      <c r="AR242" s="43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</row>
    <row r="243" spans="1:54" s="5" customFormat="1" hidden="1" x14ac:dyDescent="0.25">
      <c r="A243" s="7"/>
      <c r="B243" s="77"/>
      <c r="C243" s="78"/>
      <c r="D243" s="78"/>
      <c r="E243" s="83"/>
      <c r="F243" s="78"/>
      <c r="G243" s="77"/>
      <c r="H243" s="80"/>
      <c r="I243" s="83"/>
      <c r="J243" s="78"/>
      <c r="K243" s="78"/>
      <c r="L243" s="77"/>
      <c r="M243" s="78"/>
      <c r="N243" s="78"/>
      <c r="O243" s="78"/>
      <c r="P243" s="77"/>
      <c r="Q243" s="78"/>
      <c r="R243" s="77"/>
      <c r="S243" s="78"/>
      <c r="T243" s="77"/>
      <c r="U243" s="78"/>
      <c r="V243" s="77"/>
      <c r="W243" s="7"/>
      <c r="X243" s="27" t="str">
        <f t="shared" si="30"/>
        <v/>
      </c>
      <c r="Y243" s="3" t="s">
        <v>68</v>
      </c>
      <c r="Z243" s="3"/>
      <c r="AA243" s="3" t="s">
        <v>119</v>
      </c>
      <c r="AB243" s="91" t="s">
        <v>161</v>
      </c>
      <c r="AC243" s="92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7"/>
      <c r="AO243" s="38"/>
      <c r="AP243" s="38"/>
      <c r="AQ243" s="38"/>
      <c r="AR243" s="43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</row>
    <row r="244" spans="1:54" s="5" customFormat="1" hidden="1" x14ac:dyDescent="0.25">
      <c r="A244" s="7"/>
      <c r="B244" s="77"/>
      <c r="C244" s="78"/>
      <c r="D244" s="78"/>
      <c r="E244" s="83"/>
      <c r="F244" s="78"/>
      <c r="G244" s="77"/>
      <c r="H244" s="80"/>
      <c r="I244" s="83"/>
      <c r="J244" s="78"/>
      <c r="K244" s="78"/>
      <c r="L244" s="77"/>
      <c r="M244" s="78"/>
      <c r="N244" s="78"/>
      <c r="O244" s="78"/>
      <c r="P244" s="77"/>
      <c r="Q244" s="78"/>
      <c r="R244" s="77"/>
      <c r="S244" s="78"/>
      <c r="T244" s="77"/>
      <c r="U244" s="78"/>
      <c r="V244" s="77"/>
      <c r="W244" s="7"/>
      <c r="X244" s="27" t="str">
        <f t="shared" si="30"/>
        <v/>
      </c>
      <c r="Y244" s="3" t="s">
        <v>38</v>
      </c>
      <c r="Z244" s="3"/>
      <c r="AA244" s="3" t="s">
        <v>17</v>
      </c>
      <c r="AB244" s="91" t="s">
        <v>161</v>
      </c>
      <c r="AC244" s="92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7"/>
      <c r="AO244" s="38"/>
      <c r="AP244" s="38"/>
      <c r="AQ244" s="38"/>
      <c r="AR244" s="43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</row>
    <row r="245" spans="1:54" s="5" customFormat="1" hidden="1" x14ac:dyDescent="0.25">
      <c r="A245" s="7"/>
      <c r="B245" s="77"/>
      <c r="C245" s="78"/>
      <c r="D245" s="78"/>
      <c r="E245" s="83"/>
      <c r="F245" s="78"/>
      <c r="G245" s="77"/>
      <c r="H245" s="80"/>
      <c r="I245" s="83"/>
      <c r="J245" s="78"/>
      <c r="K245" s="78"/>
      <c r="L245" s="77"/>
      <c r="M245" s="78"/>
      <c r="N245" s="78"/>
      <c r="O245" s="78"/>
      <c r="P245" s="77"/>
      <c r="Q245" s="78"/>
      <c r="R245" s="77"/>
      <c r="S245" s="78"/>
      <c r="T245" s="77"/>
      <c r="U245" s="78"/>
      <c r="V245" s="77"/>
      <c r="W245" s="7"/>
      <c r="X245" s="27" t="str">
        <f t="shared" si="30"/>
        <v/>
      </c>
      <c r="Y245" s="3" t="s">
        <v>44</v>
      </c>
      <c r="Z245" s="3"/>
      <c r="AA245" s="3" t="s">
        <v>17</v>
      </c>
      <c r="AB245" s="91" t="s">
        <v>161</v>
      </c>
      <c r="AC245" s="92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7"/>
      <c r="AO245" s="38"/>
      <c r="AP245" s="38"/>
      <c r="AQ245" s="38"/>
      <c r="AR245" s="43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</row>
    <row r="246" spans="1:54" s="5" customFormat="1" hidden="1" x14ac:dyDescent="0.25">
      <c r="A246" s="7"/>
      <c r="B246" s="77"/>
      <c r="C246" s="78"/>
      <c r="D246" s="78"/>
      <c r="E246" s="83"/>
      <c r="F246" s="78"/>
      <c r="G246" s="77"/>
      <c r="H246" s="80"/>
      <c r="I246" s="83"/>
      <c r="J246" s="78"/>
      <c r="K246" s="78"/>
      <c r="L246" s="77"/>
      <c r="M246" s="78"/>
      <c r="N246" s="78"/>
      <c r="O246" s="78"/>
      <c r="P246" s="77"/>
      <c r="Q246" s="78"/>
      <c r="R246" s="77"/>
      <c r="S246" s="78"/>
      <c r="T246" s="77"/>
      <c r="U246" s="78"/>
      <c r="V246" s="77"/>
      <c r="W246" s="7"/>
      <c r="X246" s="27" t="str">
        <f t="shared" si="30"/>
        <v/>
      </c>
      <c r="Y246" s="3" t="s">
        <v>51</v>
      </c>
      <c r="Z246" s="3"/>
      <c r="AA246" s="3" t="s">
        <v>17</v>
      </c>
      <c r="AB246" s="91" t="s">
        <v>161</v>
      </c>
      <c r="AC246" s="92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7"/>
      <c r="AO246" s="38"/>
      <c r="AP246" s="38"/>
      <c r="AQ246" s="38"/>
      <c r="AR246" s="43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</row>
    <row r="247" spans="1:54" s="5" customFormat="1" hidden="1" x14ac:dyDescent="0.25">
      <c r="A247" s="7"/>
      <c r="B247" s="77"/>
      <c r="C247" s="78"/>
      <c r="D247" s="78"/>
      <c r="E247" s="83"/>
      <c r="F247" s="78"/>
      <c r="G247" s="77"/>
      <c r="H247" s="80"/>
      <c r="I247" s="83"/>
      <c r="J247" s="78"/>
      <c r="K247" s="78"/>
      <c r="L247" s="77"/>
      <c r="M247" s="78"/>
      <c r="N247" s="78"/>
      <c r="O247" s="78"/>
      <c r="P247" s="77"/>
      <c r="Q247" s="78"/>
      <c r="R247" s="77"/>
      <c r="S247" s="78"/>
      <c r="T247" s="77"/>
      <c r="U247" s="78"/>
      <c r="V247" s="77"/>
      <c r="W247" s="7"/>
      <c r="X247" s="27" t="str">
        <f t="shared" si="30"/>
        <v/>
      </c>
      <c r="Y247" s="3" t="s">
        <v>96</v>
      </c>
      <c r="Z247" s="3"/>
      <c r="AA247" s="3" t="s">
        <v>17</v>
      </c>
      <c r="AB247" s="91" t="s">
        <v>161</v>
      </c>
      <c r="AC247" s="93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7"/>
      <c r="AO247" s="38"/>
      <c r="AP247" s="38"/>
      <c r="AQ247" s="38"/>
      <c r="AR247" s="43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</row>
    <row r="248" spans="1:54" s="5" customFormat="1" hidden="1" x14ac:dyDescent="0.25">
      <c r="A248" s="7"/>
      <c r="B248" s="77"/>
      <c r="C248" s="78"/>
      <c r="D248" s="78"/>
      <c r="E248" s="83"/>
      <c r="F248" s="78"/>
      <c r="G248" s="77"/>
      <c r="H248" s="80"/>
      <c r="I248" s="83"/>
      <c r="J248" s="78"/>
      <c r="K248" s="78"/>
      <c r="L248" s="77"/>
      <c r="M248" s="78"/>
      <c r="N248" s="78"/>
      <c r="O248" s="78"/>
      <c r="P248" s="77"/>
      <c r="Q248" s="78"/>
      <c r="R248" s="77"/>
      <c r="S248" s="78"/>
      <c r="T248" s="77"/>
      <c r="U248" s="78"/>
      <c r="V248" s="77"/>
      <c r="W248" s="7"/>
      <c r="X248" s="27"/>
      <c r="Y248" s="3" t="s">
        <v>152</v>
      </c>
      <c r="Z248" s="3" t="s">
        <v>169</v>
      </c>
      <c r="AA248" s="3"/>
      <c r="AB248" s="91" t="s">
        <v>161</v>
      </c>
      <c r="AC248" s="93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7"/>
      <c r="AO248" s="38"/>
      <c r="AP248" s="38"/>
      <c r="AQ248" s="38"/>
      <c r="AR248" s="43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</row>
    <row r="249" spans="1:54" s="5" customFormat="1" hidden="1" x14ac:dyDescent="0.25">
      <c r="A249" s="7"/>
      <c r="B249" s="77"/>
      <c r="C249" s="78"/>
      <c r="D249" s="78"/>
      <c r="E249" s="83"/>
      <c r="F249" s="78"/>
      <c r="G249" s="77"/>
      <c r="H249" s="80"/>
      <c r="I249" s="83"/>
      <c r="J249" s="78"/>
      <c r="K249" s="78"/>
      <c r="L249" s="77"/>
      <c r="M249" s="78"/>
      <c r="N249" s="78"/>
      <c r="O249" s="78"/>
      <c r="P249" s="77"/>
      <c r="Q249" s="78"/>
      <c r="R249" s="77"/>
      <c r="S249" s="78"/>
      <c r="T249" s="77"/>
      <c r="U249" s="78"/>
      <c r="V249" s="77"/>
      <c r="W249" s="7"/>
      <c r="X249" s="27" t="str">
        <f t="shared" si="30"/>
        <v/>
      </c>
      <c r="Y249" s="3" t="s">
        <v>47</v>
      </c>
      <c r="Z249" s="3"/>
      <c r="AA249" s="3" t="s">
        <v>119</v>
      </c>
      <c r="AB249" s="91" t="s">
        <v>161</v>
      </c>
      <c r="AC249" s="92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7"/>
      <c r="AO249" s="38"/>
      <c r="AP249" s="38"/>
      <c r="AQ249" s="38"/>
      <c r="AR249" s="43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</row>
    <row r="250" spans="1:54" s="5" customFormat="1" hidden="1" x14ac:dyDescent="0.25">
      <c r="A250" s="7"/>
      <c r="B250" s="77"/>
      <c r="C250" s="78"/>
      <c r="D250" s="78"/>
      <c r="E250" s="83"/>
      <c r="F250" s="78"/>
      <c r="G250" s="77"/>
      <c r="H250" s="80"/>
      <c r="I250" s="83"/>
      <c r="J250" s="78"/>
      <c r="K250" s="78"/>
      <c r="L250" s="77"/>
      <c r="M250" s="78"/>
      <c r="N250" s="78"/>
      <c r="O250" s="78"/>
      <c r="P250" s="77"/>
      <c r="Q250" s="78"/>
      <c r="R250" s="77"/>
      <c r="S250" s="78"/>
      <c r="T250" s="77"/>
      <c r="U250" s="78"/>
      <c r="V250" s="77"/>
      <c r="W250" s="7"/>
      <c r="X250" s="27" t="str">
        <f t="shared" si="30"/>
        <v/>
      </c>
      <c r="Y250" s="3" t="s">
        <v>48</v>
      </c>
      <c r="Z250" s="3"/>
      <c r="AA250" s="3" t="s">
        <v>119</v>
      </c>
      <c r="AB250" s="91" t="s">
        <v>161</v>
      </c>
      <c r="AC250" s="92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7"/>
      <c r="AO250" s="38"/>
      <c r="AP250" s="38"/>
      <c r="AQ250" s="38"/>
      <c r="AR250" s="43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</row>
    <row r="251" spans="1:54" s="5" customFormat="1" hidden="1" x14ac:dyDescent="0.25">
      <c r="A251" s="7"/>
      <c r="B251" s="77"/>
      <c r="C251" s="78"/>
      <c r="D251" s="78"/>
      <c r="E251" s="83"/>
      <c r="F251" s="78"/>
      <c r="G251" s="77"/>
      <c r="H251" s="80"/>
      <c r="I251" s="83"/>
      <c r="J251" s="78"/>
      <c r="K251" s="78"/>
      <c r="L251" s="77"/>
      <c r="M251" s="78"/>
      <c r="N251" s="78"/>
      <c r="O251" s="78"/>
      <c r="P251" s="77"/>
      <c r="Q251" s="78"/>
      <c r="R251" s="77"/>
      <c r="S251" s="78"/>
      <c r="T251" s="77"/>
      <c r="U251" s="78"/>
      <c r="V251" s="77"/>
      <c r="W251" s="7"/>
      <c r="X251" s="27" t="str">
        <f t="shared" si="30"/>
        <v/>
      </c>
      <c r="Y251" s="3" t="s">
        <v>95</v>
      </c>
      <c r="Z251" s="3"/>
      <c r="AA251" s="3" t="s">
        <v>58</v>
      </c>
      <c r="AB251" s="91" t="s">
        <v>161</v>
      </c>
      <c r="AC251" s="92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7"/>
      <c r="AO251" s="38"/>
      <c r="AP251" s="38"/>
      <c r="AQ251" s="38"/>
      <c r="AR251" s="43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</row>
    <row r="252" spans="1:54" s="5" customFormat="1" hidden="1" x14ac:dyDescent="0.25">
      <c r="A252" s="7"/>
      <c r="B252" s="77"/>
      <c r="C252" s="78"/>
      <c r="D252" s="78"/>
      <c r="E252" s="83"/>
      <c r="F252" s="78"/>
      <c r="G252" s="77"/>
      <c r="H252" s="80"/>
      <c r="I252" s="83"/>
      <c r="J252" s="78"/>
      <c r="K252" s="78"/>
      <c r="L252" s="77"/>
      <c r="M252" s="78"/>
      <c r="N252" s="78"/>
      <c r="O252" s="78"/>
      <c r="P252" s="77"/>
      <c r="Q252" s="78"/>
      <c r="R252" s="77"/>
      <c r="S252" s="78"/>
      <c r="T252" s="77"/>
      <c r="U252" s="78"/>
      <c r="V252" s="77"/>
      <c r="W252" s="7"/>
      <c r="X252" s="27" t="str">
        <f t="shared" si="30"/>
        <v/>
      </c>
      <c r="Y252" s="3" t="s">
        <v>92</v>
      </c>
      <c r="Z252" s="3"/>
      <c r="AA252" s="3" t="s">
        <v>119</v>
      </c>
      <c r="AB252" s="91" t="s">
        <v>161</v>
      </c>
      <c r="AC252" s="94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7"/>
      <c r="AO252" s="38"/>
      <c r="AP252" s="38"/>
      <c r="AQ252" s="38"/>
      <c r="AR252" s="43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</row>
    <row r="253" spans="1:54" s="5" customFormat="1" hidden="1" x14ac:dyDescent="0.25">
      <c r="A253" s="7"/>
      <c r="B253" s="77"/>
      <c r="C253" s="78"/>
      <c r="D253" s="78"/>
      <c r="E253" s="83"/>
      <c r="F253" s="78"/>
      <c r="G253" s="77"/>
      <c r="H253" s="80"/>
      <c r="I253" s="83"/>
      <c r="J253" s="78"/>
      <c r="K253" s="78"/>
      <c r="L253" s="77"/>
      <c r="M253" s="78"/>
      <c r="N253" s="78"/>
      <c r="O253" s="78"/>
      <c r="P253" s="77"/>
      <c r="Q253" s="78"/>
      <c r="R253" s="77"/>
      <c r="S253" s="78"/>
      <c r="T253" s="77"/>
      <c r="U253" s="78"/>
      <c r="V253" s="77"/>
      <c r="W253" s="7"/>
      <c r="X253" s="27" t="str">
        <f t="shared" si="30"/>
        <v/>
      </c>
      <c r="Y253" s="3" t="s">
        <v>64</v>
      </c>
      <c r="Z253" s="3"/>
      <c r="AA253" s="3"/>
      <c r="AB253" s="91" t="s">
        <v>163</v>
      </c>
      <c r="AC253" s="92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7"/>
      <c r="AO253" s="38"/>
      <c r="AP253" s="38"/>
      <c r="AQ253" s="38"/>
      <c r="AR253" s="43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</row>
    <row r="254" spans="1:54" s="5" customFormat="1" hidden="1" x14ac:dyDescent="0.25">
      <c r="A254" s="7"/>
      <c r="B254" s="77"/>
      <c r="C254" s="78"/>
      <c r="D254" s="78"/>
      <c r="E254" s="83"/>
      <c r="F254" s="78"/>
      <c r="G254" s="77"/>
      <c r="H254" s="80"/>
      <c r="I254" s="83"/>
      <c r="J254" s="78"/>
      <c r="K254" s="78"/>
      <c r="L254" s="77"/>
      <c r="M254" s="78"/>
      <c r="N254" s="78"/>
      <c r="O254" s="78"/>
      <c r="P254" s="77"/>
      <c r="Q254" s="78"/>
      <c r="R254" s="77"/>
      <c r="S254" s="78"/>
      <c r="T254" s="77"/>
      <c r="U254" s="78"/>
      <c r="V254" s="77"/>
      <c r="W254" s="7"/>
      <c r="X254" s="27" t="str">
        <f t="shared" si="30"/>
        <v/>
      </c>
      <c r="Y254" s="3" t="s">
        <v>41</v>
      </c>
      <c r="Z254" s="3"/>
      <c r="AA254" s="3" t="s">
        <v>43</v>
      </c>
      <c r="AB254" s="91" t="s">
        <v>163</v>
      </c>
      <c r="AC254" s="92">
        <v>2000</v>
      </c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7"/>
      <c r="AO254" s="38"/>
      <c r="AP254" s="38"/>
      <c r="AQ254" s="38"/>
      <c r="AR254" s="43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</row>
    <row r="255" spans="1:54" s="5" customFormat="1" hidden="1" x14ac:dyDescent="0.25">
      <c r="A255" s="7"/>
      <c r="B255" s="77"/>
      <c r="C255" s="78"/>
      <c r="D255" s="78"/>
      <c r="E255" s="83"/>
      <c r="F255" s="78"/>
      <c r="G255" s="77"/>
      <c r="H255" s="80"/>
      <c r="I255" s="83"/>
      <c r="J255" s="78"/>
      <c r="K255" s="78"/>
      <c r="L255" s="77"/>
      <c r="M255" s="78"/>
      <c r="N255" s="78"/>
      <c r="O255" s="78"/>
      <c r="P255" s="77"/>
      <c r="Q255" s="78"/>
      <c r="R255" s="77"/>
      <c r="S255" s="78"/>
      <c r="T255" s="77"/>
      <c r="U255" s="78"/>
      <c r="V255" s="77"/>
      <c r="W255" s="7"/>
      <c r="X255" s="27" t="str">
        <f t="shared" si="30"/>
        <v/>
      </c>
      <c r="Y255" s="3" t="s">
        <v>40</v>
      </c>
      <c r="Z255" s="3"/>
      <c r="AA255" s="3" t="s">
        <v>43</v>
      </c>
      <c r="AB255" s="91" t="s">
        <v>163</v>
      </c>
      <c r="AC255" s="92">
        <v>2020</v>
      </c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7"/>
      <c r="AO255" s="38"/>
      <c r="AP255" s="38"/>
      <c r="AQ255" s="38"/>
      <c r="AR255" s="43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</row>
    <row r="256" spans="1:54" s="5" customFormat="1" hidden="1" x14ac:dyDescent="0.25">
      <c r="A256" s="7"/>
      <c r="B256" s="77"/>
      <c r="C256" s="78"/>
      <c r="D256" s="78"/>
      <c r="E256" s="83"/>
      <c r="F256" s="78"/>
      <c r="G256" s="77"/>
      <c r="H256" s="80"/>
      <c r="I256" s="83"/>
      <c r="J256" s="78"/>
      <c r="K256" s="78"/>
      <c r="L256" s="77"/>
      <c r="M256" s="78"/>
      <c r="N256" s="78"/>
      <c r="O256" s="78"/>
      <c r="P256" s="77"/>
      <c r="Q256" s="78"/>
      <c r="R256" s="77"/>
      <c r="S256" s="78"/>
      <c r="T256" s="77"/>
      <c r="U256" s="78"/>
      <c r="V256" s="77"/>
      <c r="W256" s="7"/>
      <c r="X256" s="27" t="str">
        <f t="shared" si="30"/>
        <v/>
      </c>
      <c r="Y256" s="3" t="s">
        <v>42</v>
      </c>
      <c r="Z256" s="3"/>
      <c r="AA256" s="3" t="s">
        <v>10</v>
      </c>
      <c r="AB256" s="91" t="s">
        <v>163</v>
      </c>
      <c r="AC256" s="92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7"/>
      <c r="AO256" s="38"/>
      <c r="AP256" s="38"/>
      <c r="AQ256" s="38"/>
      <c r="AR256" s="43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</row>
    <row r="257" spans="1:54" s="5" customFormat="1" hidden="1" x14ac:dyDescent="0.25">
      <c r="A257" s="7"/>
      <c r="B257" s="77"/>
      <c r="C257" s="78"/>
      <c r="D257" s="78"/>
      <c r="E257" s="83"/>
      <c r="F257" s="78"/>
      <c r="G257" s="77"/>
      <c r="H257" s="80"/>
      <c r="I257" s="83"/>
      <c r="J257" s="78"/>
      <c r="K257" s="78"/>
      <c r="L257" s="77"/>
      <c r="M257" s="78"/>
      <c r="N257" s="78"/>
      <c r="O257" s="78"/>
      <c r="P257" s="77"/>
      <c r="Q257" s="78"/>
      <c r="R257" s="77"/>
      <c r="S257" s="78"/>
      <c r="T257" s="77"/>
      <c r="U257" s="78"/>
      <c r="V257" s="77"/>
      <c r="W257" s="7"/>
      <c r="X257" s="27" t="str">
        <f t="shared" si="30"/>
        <v/>
      </c>
      <c r="Y257" s="3" t="s">
        <v>68</v>
      </c>
      <c r="Z257" s="3"/>
      <c r="AA257" s="3" t="s">
        <v>119</v>
      </c>
      <c r="AB257" s="91" t="s">
        <v>163</v>
      </c>
      <c r="AC257" s="92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7"/>
      <c r="AO257" s="38"/>
      <c r="AP257" s="38"/>
      <c r="AQ257" s="38"/>
      <c r="AR257" s="43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</row>
    <row r="258" spans="1:54" s="5" customFormat="1" hidden="1" x14ac:dyDescent="0.25">
      <c r="A258" s="7"/>
      <c r="B258" s="77"/>
      <c r="C258" s="78"/>
      <c r="D258" s="78"/>
      <c r="E258" s="83"/>
      <c r="F258" s="78"/>
      <c r="G258" s="77"/>
      <c r="H258" s="80"/>
      <c r="I258" s="83"/>
      <c r="J258" s="78"/>
      <c r="K258" s="78"/>
      <c r="L258" s="77"/>
      <c r="M258" s="78"/>
      <c r="N258" s="78"/>
      <c r="O258" s="78"/>
      <c r="P258" s="77"/>
      <c r="Q258" s="78"/>
      <c r="R258" s="77"/>
      <c r="S258" s="78"/>
      <c r="T258" s="77"/>
      <c r="U258" s="78"/>
      <c r="V258" s="77"/>
      <c r="W258" s="7"/>
      <c r="X258" s="27" t="str">
        <f t="shared" si="30"/>
        <v/>
      </c>
      <c r="Y258" s="3" t="s">
        <v>38</v>
      </c>
      <c r="Z258" s="3"/>
      <c r="AA258" s="3" t="s">
        <v>17</v>
      </c>
      <c r="AB258" s="91" t="s">
        <v>163</v>
      </c>
      <c r="AC258" s="92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7"/>
      <c r="AO258" s="38"/>
      <c r="AP258" s="38"/>
      <c r="AQ258" s="38"/>
      <c r="AR258" s="43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</row>
    <row r="259" spans="1:54" s="5" customFormat="1" hidden="1" x14ac:dyDescent="0.25">
      <c r="A259" s="7"/>
      <c r="B259" s="77"/>
      <c r="C259" s="78"/>
      <c r="D259" s="78"/>
      <c r="E259" s="83"/>
      <c r="F259" s="78"/>
      <c r="G259" s="77"/>
      <c r="H259" s="80"/>
      <c r="I259" s="83"/>
      <c r="J259" s="78"/>
      <c r="K259" s="78"/>
      <c r="L259" s="77"/>
      <c r="M259" s="78"/>
      <c r="N259" s="78"/>
      <c r="O259" s="78"/>
      <c r="P259" s="77"/>
      <c r="Q259" s="78"/>
      <c r="R259" s="77"/>
      <c r="S259" s="78"/>
      <c r="T259" s="77"/>
      <c r="U259" s="78"/>
      <c r="V259" s="77"/>
      <c r="W259" s="7"/>
      <c r="X259" s="27" t="str">
        <f t="shared" si="30"/>
        <v/>
      </c>
      <c r="Y259" s="3" t="s">
        <v>44</v>
      </c>
      <c r="Z259" s="3"/>
      <c r="AA259" s="3" t="s">
        <v>17</v>
      </c>
      <c r="AB259" s="91" t="s">
        <v>163</v>
      </c>
      <c r="AC259" s="92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7"/>
      <c r="AO259" s="38"/>
      <c r="AP259" s="38"/>
      <c r="AQ259" s="38"/>
      <c r="AR259" s="43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</row>
    <row r="260" spans="1:54" s="5" customFormat="1" hidden="1" x14ac:dyDescent="0.25">
      <c r="A260" s="7"/>
      <c r="B260" s="77"/>
      <c r="C260" s="78"/>
      <c r="D260" s="78"/>
      <c r="E260" s="83"/>
      <c r="F260" s="78"/>
      <c r="G260" s="77"/>
      <c r="H260" s="80"/>
      <c r="I260" s="83"/>
      <c r="J260" s="78"/>
      <c r="K260" s="78"/>
      <c r="L260" s="77"/>
      <c r="M260" s="78"/>
      <c r="N260" s="78"/>
      <c r="O260" s="78"/>
      <c r="P260" s="77"/>
      <c r="Q260" s="78"/>
      <c r="R260" s="77"/>
      <c r="S260" s="78"/>
      <c r="T260" s="77"/>
      <c r="U260" s="78"/>
      <c r="V260" s="77"/>
      <c r="W260" s="7"/>
      <c r="X260" s="27" t="str">
        <f t="shared" si="30"/>
        <v/>
      </c>
      <c r="Y260" s="3" t="s">
        <v>51</v>
      </c>
      <c r="Z260" s="3"/>
      <c r="AA260" s="3" t="s">
        <v>17</v>
      </c>
      <c r="AB260" s="91" t="s">
        <v>163</v>
      </c>
      <c r="AC260" s="92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7"/>
      <c r="AO260" s="38"/>
      <c r="AP260" s="38"/>
      <c r="AQ260" s="38"/>
      <c r="AR260" s="43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</row>
    <row r="261" spans="1:54" s="5" customFormat="1" hidden="1" x14ac:dyDescent="0.25">
      <c r="A261" s="7"/>
      <c r="B261" s="77"/>
      <c r="C261" s="78"/>
      <c r="D261" s="78"/>
      <c r="E261" s="83"/>
      <c r="F261" s="78"/>
      <c r="G261" s="77"/>
      <c r="H261" s="80"/>
      <c r="I261" s="83"/>
      <c r="J261" s="78"/>
      <c r="K261" s="78"/>
      <c r="L261" s="77"/>
      <c r="M261" s="78"/>
      <c r="N261" s="78"/>
      <c r="O261" s="78"/>
      <c r="P261" s="77"/>
      <c r="Q261" s="78"/>
      <c r="R261" s="77"/>
      <c r="S261" s="78"/>
      <c r="T261" s="77"/>
      <c r="U261" s="78"/>
      <c r="V261" s="77"/>
      <c r="W261" s="7"/>
      <c r="X261" s="27" t="str">
        <f t="shared" si="30"/>
        <v/>
      </c>
      <c r="Y261" s="3" t="s">
        <v>96</v>
      </c>
      <c r="Z261" s="3"/>
      <c r="AA261" s="3" t="s">
        <v>17</v>
      </c>
      <c r="AB261" s="91" t="s">
        <v>163</v>
      </c>
      <c r="AC261" s="93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7"/>
      <c r="AO261" s="38"/>
      <c r="AP261" s="38"/>
      <c r="AQ261" s="38"/>
      <c r="AR261" s="43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</row>
    <row r="262" spans="1:54" s="5" customFormat="1" hidden="1" x14ac:dyDescent="0.25">
      <c r="A262" s="7"/>
      <c r="B262" s="77"/>
      <c r="C262" s="78"/>
      <c r="D262" s="78"/>
      <c r="E262" s="83"/>
      <c r="F262" s="78"/>
      <c r="G262" s="77"/>
      <c r="H262" s="80"/>
      <c r="I262" s="83"/>
      <c r="J262" s="78"/>
      <c r="K262" s="78"/>
      <c r="L262" s="77"/>
      <c r="M262" s="78"/>
      <c r="N262" s="78"/>
      <c r="O262" s="78"/>
      <c r="P262" s="77"/>
      <c r="Q262" s="78"/>
      <c r="R262" s="77"/>
      <c r="S262" s="78"/>
      <c r="T262" s="77"/>
      <c r="U262" s="78"/>
      <c r="V262" s="77"/>
      <c r="W262" s="7"/>
      <c r="X262" s="27"/>
      <c r="Y262" s="3" t="s">
        <v>152</v>
      </c>
      <c r="Z262" s="3" t="s">
        <v>169</v>
      </c>
      <c r="AA262" s="3"/>
      <c r="AB262" s="91" t="s">
        <v>163</v>
      </c>
      <c r="AC262" s="93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7"/>
      <c r="AO262" s="38"/>
      <c r="AP262" s="38"/>
      <c r="AQ262" s="38"/>
      <c r="AR262" s="43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</row>
    <row r="263" spans="1:54" s="5" customFormat="1" hidden="1" x14ac:dyDescent="0.25">
      <c r="A263" s="7"/>
      <c r="B263" s="77"/>
      <c r="C263" s="78"/>
      <c r="D263" s="78"/>
      <c r="E263" s="83"/>
      <c r="F263" s="78"/>
      <c r="G263" s="77"/>
      <c r="H263" s="80"/>
      <c r="I263" s="83"/>
      <c r="J263" s="78"/>
      <c r="K263" s="78"/>
      <c r="L263" s="77"/>
      <c r="M263" s="78"/>
      <c r="N263" s="78"/>
      <c r="O263" s="78"/>
      <c r="P263" s="77"/>
      <c r="Q263" s="78"/>
      <c r="R263" s="77"/>
      <c r="S263" s="78"/>
      <c r="T263" s="77"/>
      <c r="U263" s="78"/>
      <c r="V263" s="77"/>
      <c r="W263" s="7"/>
      <c r="X263" s="27" t="str">
        <f t="shared" si="30"/>
        <v/>
      </c>
      <c r="Y263" s="3" t="s">
        <v>47</v>
      </c>
      <c r="Z263" s="3"/>
      <c r="AA263" s="3" t="s">
        <v>119</v>
      </c>
      <c r="AB263" s="91" t="s">
        <v>163</v>
      </c>
      <c r="AC263" s="92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7"/>
      <c r="AO263" s="38"/>
      <c r="AP263" s="38"/>
      <c r="AQ263" s="38"/>
      <c r="AR263" s="43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</row>
    <row r="264" spans="1:54" s="5" customFormat="1" hidden="1" x14ac:dyDescent="0.25">
      <c r="A264" s="7"/>
      <c r="B264" s="77"/>
      <c r="C264" s="78"/>
      <c r="D264" s="78"/>
      <c r="E264" s="83"/>
      <c r="F264" s="78"/>
      <c r="G264" s="77"/>
      <c r="H264" s="80"/>
      <c r="I264" s="83"/>
      <c r="J264" s="78"/>
      <c r="K264" s="78"/>
      <c r="L264" s="77"/>
      <c r="M264" s="78"/>
      <c r="N264" s="78"/>
      <c r="O264" s="78"/>
      <c r="P264" s="77"/>
      <c r="Q264" s="78"/>
      <c r="R264" s="77"/>
      <c r="S264" s="78"/>
      <c r="T264" s="77"/>
      <c r="U264" s="78"/>
      <c r="V264" s="77"/>
      <c r="W264" s="7"/>
      <c r="X264" s="27" t="str">
        <f t="shared" si="30"/>
        <v/>
      </c>
      <c r="Y264" s="3" t="s">
        <v>48</v>
      </c>
      <c r="Z264" s="3"/>
      <c r="AA264" s="3" t="s">
        <v>119</v>
      </c>
      <c r="AB264" s="91" t="s">
        <v>163</v>
      </c>
      <c r="AC264" s="92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7"/>
      <c r="AO264" s="38"/>
      <c r="AP264" s="38"/>
      <c r="AQ264" s="38"/>
      <c r="AR264" s="43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</row>
    <row r="265" spans="1:54" s="5" customFormat="1" hidden="1" x14ac:dyDescent="0.25">
      <c r="A265" s="7"/>
      <c r="B265" s="77"/>
      <c r="C265" s="78"/>
      <c r="D265" s="78"/>
      <c r="E265" s="83"/>
      <c r="F265" s="78"/>
      <c r="G265" s="77"/>
      <c r="H265" s="80"/>
      <c r="I265" s="83"/>
      <c r="J265" s="78"/>
      <c r="K265" s="78"/>
      <c r="L265" s="77"/>
      <c r="M265" s="78"/>
      <c r="N265" s="78"/>
      <c r="O265" s="78"/>
      <c r="P265" s="77"/>
      <c r="Q265" s="78"/>
      <c r="R265" s="77"/>
      <c r="S265" s="78"/>
      <c r="T265" s="77"/>
      <c r="U265" s="78"/>
      <c r="V265" s="77"/>
      <c r="W265" s="7"/>
      <c r="X265" s="27" t="str">
        <f t="shared" si="30"/>
        <v/>
      </c>
      <c r="Y265" s="3" t="s">
        <v>95</v>
      </c>
      <c r="Z265" s="3"/>
      <c r="AA265" s="3" t="s">
        <v>58</v>
      </c>
      <c r="AB265" s="91" t="s">
        <v>163</v>
      </c>
      <c r="AC265" s="92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7"/>
      <c r="AO265" s="38"/>
      <c r="AP265" s="38"/>
      <c r="AQ265" s="38"/>
      <c r="AR265" s="43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</row>
    <row r="266" spans="1:54" s="5" customFormat="1" hidden="1" x14ac:dyDescent="0.25">
      <c r="A266" s="7"/>
      <c r="B266" s="77"/>
      <c r="C266" s="78"/>
      <c r="D266" s="78"/>
      <c r="E266" s="83"/>
      <c r="F266" s="78"/>
      <c r="G266" s="77"/>
      <c r="H266" s="80"/>
      <c r="I266" s="83"/>
      <c r="J266" s="78"/>
      <c r="K266" s="78"/>
      <c r="L266" s="77"/>
      <c r="M266" s="78"/>
      <c r="N266" s="78"/>
      <c r="O266" s="78"/>
      <c r="P266" s="77"/>
      <c r="Q266" s="78"/>
      <c r="R266" s="77"/>
      <c r="S266" s="78"/>
      <c r="T266" s="77"/>
      <c r="U266" s="78"/>
      <c r="V266" s="77"/>
      <c r="W266" s="7"/>
      <c r="X266" s="27" t="str">
        <f t="shared" si="30"/>
        <v/>
      </c>
      <c r="Y266" s="3" t="s">
        <v>92</v>
      </c>
      <c r="Z266" s="3"/>
      <c r="AA266" s="3" t="s">
        <v>119</v>
      </c>
      <c r="AB266" s="91" t="s">
        <v>163</v>
      </c>
      <c r="AC266" s="94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7"/>
      <c r="AO266" s="38"/>
      <c r="AP266" s="38"/>
      <c r="AQ266" s="38"/>
      <c r="AR266" s="43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</row>
    <row r="267" spans="1:54" s="5" customFormat="1" hidden="1" x14ac:dyDescent="0.25">
      <c r="A267" s="7"/>
      <c r="B267" s="77"/>
      <c r="C267" s="78"/>
      <c r="D267" s="78"/>
      <c r="E267" s="83"/>
      <c r="F267" s="78"/>
      <c r="G267" s="77"/>
      <c r="H267" s="80"/>
      <c r="I267" s="83"/>
      <c r="J267" s="78"/>
      <c r="K267" s="78"/>
      <c r="L267" s="77"/>
      <c r="M267" s="78"/>
      <c r="N267" s="78"/>
      <c r="O267" s="78"/>
      <c r="P267" s="77"/>
      <c r="Q267" s="78"/>
      <c r="R267" s="77"/>
      <c r="S267" s="78"/>
      <c r="T267" s="77"/>
      <c r="U267" s="78"/>
      <c r="V267" s="77"/>
      <c r="W267" s="7"/>
      <c r="X267" s="27" t="str">
        <f t="shared" si="30"/>
        <v/>
      </c>
      <c r="Y267" s="104" t="s">
        <v>64</v>
      </c>
      <c r="Z267" s="3"/>
      <c r="AA267" s="3"/>
      <c r="AB267" s="91" t="s">
        <v>160</v>
      </c>
      <c r="AC267" s="92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7"/>
      <c r="AO267" s="38"/>
      <c r="AP267" s="38"/>
      <c r="AQ267" s="38"/>
      <c r="AR267" s="43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</row>
    <row r="268" spans="1:54" s="5" customFormat="1" hidden="1" x14ac:dyDescent="0.25">
      <c r="A268" s="7"/>
      <c r="B268" s="77"/>
      <c r="C268" s="78"/>
      <c r="D268" s="78"/>
      <c r="E268" s="83"/>
      <c r="F268" s="78"/>
      <c r="G268" s="77"/>
      <c r="H268" s="80"/>
      <c r="I268" s="83"/>
      <c r="J268" s="78"/>
      <c r="K268" s="78"/>
      <c r="L268" s="77"/>
      <c r="M268" s="78"/>
      <c r="N268" s="78"/>
      <c r="O268" s="78"/>
      <c r="P268" s="77"/>
      <c r="Q268" s="78"/>
      <c r="R268" s="77"/>
      <c r="S268" s="78"/>
      <c r="T268" s="77"/>
      <c r="U268" s="78"/>
      <c r="V268" s="77"/>
      <c r="W268" s="7"/>
      <c r="X268" s="27" t="str">
        <f t="shared" si="30"/>
        <v/>
      </c>
      <c r="Y268" s="3" t="s">
        <v>41</v>
      </c>
      <c r="Z268" s="3"/>
      <c r="AA268" s="3" t="s">
        <v>43</v>
      </c>
      <c r="AB268" s="91" t="s">
        <v>160</v>
      </c>
      <c r="AC268" s="92">
        <v>1990</v>
      </c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7"/>
      <c r="AO268" s="38"/>
      <c r="AP268" s="38"/>
      <c r="AQ268" s="38"/>
      <c r="AR268" s="43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</row>
    <row r="269" spans="1:54" s="5" customFormat="1" hidden="1" x14ac:dyDescent="0.25">
      <c r="A269" s="7"/>
      <c r="B269" s="77"/>
      <c r="C269" s="78"/>
      <c r="D269" s="78"/>
      <c r="E269" s="83"/>
      <c r="F269" s="78"/>
      <c r="G269" s="77"/>
      <c r="H269" s="80"/>
      <c r="I269" s="83"/>
      <c r="J269" s="78"/>
      <c r="K269" s="78"/>
      <c r="L269" s="77"/>
      <c r="M269" s="78"/>
      <c r="N269" s="78"/>
      <c r="O269" s="78"/>
      <c r="P269" s="77"/>
      <c r="Q269" s="78"/>
      <c r="R269" s="77"/>
      <c r="S269" s="78"/>
      <c r="T269" s="77"/>
      <c r="U269" s="78"/>
      <c r="V269" s="77"/>
      <c r="W269" s="7"/>
      <c r="X269" s="27" t="str">
        <f t="shared" si="30"/>
        <v/>
      </c>
      <c r="Y269" s="3" t="s">
        <v>40</v>
      </c>
      <c r="Z269" s="3"/>
      <c r="AA269" s="3" t="s">
        <v>43</v>
      </c>
      <c r="AB269" s="91" t="s">
        <v>160</v>
      </c>
      <c r="AC269" s="92">
        <v>2000</v>
      </c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7"/>
      <c r="AO269" s="38"/>
      <c r="AP269" s="38"/>
      <c r="AQ269" s="38"/>
      <c r="AR269" s="43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</row>
    <row r="270" spans="1:54" s="5" customFormat="1" hidden="1" x14ac:dyDescent="0.25">
      <c r="A270" s="7"/>
      <c r="B270" s="77"/>
      <c r="C270" s="78"/>
      <c r="D270" s="78"/>
      <c r="E270" s="83"/>
      <c r="F270" s="78"/>
      <c r="G270" s="77"/>
      <c r="H270" s="80"/>
      <c r="I270" s="83"/>
      <c r="J270" s="78"/>
      <c r="K270" s="78"/>
      <c r="L270" s="77"/>
      <c r="M270" s="78"/>
      <c r="N270" s="78"/>
      <c r="O270" s="78"/>
      <c r="P270" s="77"/>
      <c r="Q270" s="78"/>
      <c r="R270" s="77"/>
      <c r="S270" s="78"/>
      <c r="T270" s="77"/>
      <c r="U270" s="78"/>
      <c r="V270" s="77"/>
      <c r="W270" s="7"/>
      <c r="X270" s="27" t="str">
        <f t="shared" si="30"/>
        <v/>
      </c>
      <c r="Y270" s="3" t="s">
        <v>42</v>
      </c>
      <c r="Z270" s="3"/>
      <c r="AA270" s="3" t="s">
        <v>10</v>
      </c>
      <c r="AB270" s="91" t="s">
        <v>160</v>
      </c>
      <c r="AC270" s="92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7"/>
      <c r="AO270" s="38"/>
      <c r="AP270" s="38"/>
      <c r="AQ270" s="38"/>
      <c r="AR270" s="43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</row>
    <row r="271" spans="1:54" s="5" customFormat="1" hidden="1" x14ac:dyDescent="0.25">
      <c r="A271" s="7"/>
      <c r="B271" s="77"/>
      <c r="C271" s="78"/>
      <c r="D271" s="78"/>
      <c r="E271" s="83"/>
      <c r="F271" s="78"/>
      <c r="G271" s="77"/>
      <c r="H271" s="80"/>
      <c r="I271" s="83"/>
      <c r="J271" s="78"/>
      <c r="K271" s="78"/>
      <c r="L271" s="77"/>
      <c r="M271" s="78"/>
      <c r="N271" s="78"/>
      <c r="O271" s="78"/>
      <c r="P271" s="77"/>
      <c r="Q271" s="78"/>
      <c r="R271" s="77"/>
      <c r="S271" s="78"/>
      <c r="T271" s="77"/>
      <c r="U271" s="78"/>
      <c r="V271" s="77"/>
      <c r="W271" s="7"/>
      <c r="X271" s="27" t="str">
        <f t="shared" si="30"/>
        <v/>
      </c>
      <c r="Y271" s="3" t="s">
        <v>68</v>
      </c>
      <c r="Z271" s="3"/>
      <c r="AA271" s="3" t="s">
        <v>119</v>
      </c>
      <c r="AB271" s="91" t="s">
        <v>160</v>
      </c>
      <c r="AC271" s="92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7"/>
      <c r="AO271" s="38"/>
      <c r="AP271" s="38"/>
      <c r="AQ271" s="38"/>
      <c r="AR271" s="43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</row>
    <row r="272" spans="1:54" s="5" customFormat="1" hidden="1" x14ac:dyDescent="0.25">
      <c r="A272" s="7"/>
      <c r="B272" s="77"/>
      <c r="C272" s="78"/>
      <c r="D272" s="78"/>
      <c r="E272" s="83"/>
      <c r="F272" s="78"/>
      <c r="G272" s="77"/>
      <c r="H272" s="80"/>
      <c r="I272" s="83"/>
      <c r="J272" s="78"/>
      <c r="K272" s="78"/>
      <c r="L272" s="77"/>
      <c r="M272" s="78"/>
      <c r="N272" s="78"/>
      <c r="O272" s="78"/>
      <c r="P272" s="77"/>
      <c r="Q272" s="78"/>
      <c r="R272" s="77"/>
      <c r="S272" s="78"/>
      <c r="T272" s="77"/>
      <c r="U272" s="78"/>
      <c r="V272" s="77"/>
      <c r="W272" s="7"/>
      <c r="X272" s="27" t="str">
        <f t="shared" si="30"/>
        <v/>
      </c>
      <c r="Y272" s="3" t="s">
        <v>38</v>
      </c>
      <c r="Z272" s="3"/>
      <c r="AA272" s="3" t="s">
        <v>17</v>
      </c>
      <c r="AB272" s="91" t="s">
        <v>160</v>
      </c>
      <c r="AC272" s="92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7"/>
      <c r="AO272" s="38"/>
      <c r="AP272" s="38"/>
      <c r="AQ272" s="38"/>
      <c r="AR272" s="43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</row>
    <row r="273" spans="1:54" s="5" customFormat="1" hidden="1" x14ac:dyDescent="0.25">
      <c r="A273" s="7"/>
      <c r="B273" s="77"/>
      <c r="C273" s="78"/>
      <c r="D273" s="78"/>
      <c r="E273" s="83"/>
      <c r="F273" s="78"/>
      <c r="G273" s="77"/>
      <c r="H273" s="80"/>
      <c r="I273" s="83"/>
      <c r="J273" s="78"/>
      <c r="K273" s="78"/>
      <c r="L273" s="77"/>
      <c r="M273" s="78"/>
      <c r="N273" s="78"/>
      <c r="O273" s="78"/>
      <c r="P273" s="77"/>
      <c r="Q273" s="78"/>
      <c r="R273" s="77"/>
      <c r="S273" s="78"/>
      <c r="T273" s="77"/>
      <c r="U273" s="78"/>
      <c r="V273" s="77"/>
      <c r="W273" s="7"/>
      <c r="X273" s="27" t="str">
        <f t="shared" si="30"/>
        <v/>
      </c>
      <c r="Y273" s="3" t="s">
        <v>44</v>
      </c>
      <c r="Z273" s="3"/>
      <c r="AA273" s="3" t="s">
        <v>17</v>
      </c>
      <c r="AB273" s="91" t="s">
        <v>160</v>
      </c>
      <c r="AC273" s="92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7"/>
      <c r="AO273" s="38"/>
      <c r="AP273" s="38"/>
      <c r="AQ273" s="38"/>
      <c r="AR273" s="43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</row>
    <row r="274" spans="1:54" s="5" customFormat="1" hidden="1" x14ac:dyDescent="0.25">
      <c r="A274" s="7"/>
      <c r="B274" s="77"/>
      <c r="C274" s="78"/>
      <c r="D274" s="78"/>
      <c r="E274" s="83"/>
      <c r="F274" s="78"/>
      <c r="G274" s="77"/>
      <c r="H274" s="80"/>
      <c r="I274" s="83"/>
      <c r="J274" s="78"/>
      <c r="K274" s="78"/>
      <c r="L274" s="77"/>
      <c r="M274" s="78"/>
      <c r="N274" s="78"/>
      <c r="O274" s="78"/>
      <c r="P274" s="77"/>
      <c r="Q274" s="78"/>
      <c r="R274" s="77"/>
      <c r="S274" s="78"/>
      <c r="T274" s="77"/>
      <c r="U274" s="78"/>
      <c r="V274" s="77"/>
      <c r="W274" s="7"/>
      <c r="X274" s="27" t="str">
        <f t="shared" si="30"/>
        <v/>
      </c>
      <c r="Y274" s="3" t="s">
        <v>51</v>
      </c>
      <c r="Z274" s="3"/>
      <c r="AA274" s="3" t="s">
        <v>17</v>
      </c>
      <c r="AB274" s="91" t="s">
        <v>160</v>
      </c>
      <c r="AC274" s="92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7"/>
      <c r="AO274" s="38"/>
      <c r="AP274" s="38"/>
      <c r="AQ274" s="38"/>
      <c r="AR274" s="43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</row>
    <row r="275" spans="1:54" s="5" customFormat="1" hidden="1" x14ac:dyDescent="0.25">
      <c r="A275" s="7"/>
      <c r="B275" s="77"/>
      <c r="C275" s="78"/>
      <c r="D275" s="78"/>
      <c r="E275" s="83"/>
      <c r="F275" s="78"/>
      <c r="G275" s="77"/>
      <c r="H275" s="80"/>
      <c r="I275" s="83"/>
      <c r="J275" s="78"/>
      <c r="K275" s="78"/>
      <c r="L275" s="77"/>
      <c r="M275" s="78"/>
      <c r="N275" s="78"/>
      <c r="O275" s="78"/>
      <c r="P275" s="77"/>
      <c r="Q275" s="78"/>
      <c r="R275" s="77"/>
      <c r="S275" s="78"/>
      <c r="T275" s="77"/>
      <c r="U275" s="78"/>
      <c r="V275" s="77"/>
      <c r="W275" s="7"/>
      <c r="X275" s="27" t="str">
        <f t="shared" si="30"/>
        <v/>
      </c>
      <c r="Y275" s="3" t="s">
        <v>96</v>
      </c>
      <c r="Z275" s="3"/>
      <c r="AA275" s="3" t="s">
        <v>17</v>
      </c>
      <c r="AB275" s="91" t="s">
        <v>160</v>
      </c>
      <c r="AC275" s="93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7"/>
      <c r="AO275" s="38"/>
      <c r="AP275" s="38"/>
      <c r="AQ275" s="38"/>
      <c r="AR275" s="43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</row>
    <row r="276" spans="1:54" s="5" customFormat="1" hidden="1" x14ac:dyDescent="0.25">
      <c r="A276" s="7"/>
      <c r="B276" s="77"/>
      <c r="C276" s="78"/>
      <c r="D276" s="78"/>
      <c r="E276" s="83"/>
      <c r="F276" s="78"/>
      <c r="G276" s="77"/>
      <c r="H276" s="80"/>
      <c r="I276" s="83"/>
      <c r="J276" s="78"/>
      <c r="K276" s="78"/>
      <c r="L276" s="77"/>
      <c r="M276" s="78"/>
      <c r="N276" s="78"/>
      <c r="O276" s="78"/>
      <c r="P276" s="77"/>
      <c r="Q276" s="78"/>
      <c r="R276" s="77"/>
      <c r="S276" s="78"/>
      <c r="T276" s="77"/>
      <c r="U276" s="78"/>
      <c r="V276" s="77"/>
      <c r="W276" s="7"/>
      <c r="X276" s="27" t="str">
        <f t="shared" si="30"/>
        <v/>
      </c>
      <c r="Y276" s="3" t="s">
        <v>152</v>
      </c>
      <c r="Z276" s="3" t="s">
        <v>171</v>
      </c>
      <c r="AA276" s="3"/>
      <c r="AB276" s="91" t="s">
        <v>160</v>
      </c>
      <c r="AC276" s="93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7"/>
      <c r="AO276" s="38"/>
      <c r="AP276" s="38"/>
      <c r="AQ276" s="38"/>
      <c r="AR276" s="43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</row>
    <row r="277" spans="1:54" s="5" customFormat="1" hidden="1" x14ac:dyDescent="0.25">
      <c r="A277" s="7"/>
      <c r="B277" s="77"/>
      <c r="C277" s="78"/>
      <c r="D277" s="78"/>
      <c r="E277" s="83"/>
      <c r="F277" s="78"/>
      <c r="G277" s="77"/>
      <c r="H277" s="80"/>
      <c r="I277" s="83"/>
      <c r="J277" s="78"/>
      <c r="K277" s="78"/>
      <c r="L277" s="77"/>
      <c r="M277" s="78"/>
      <c r="N277" s="78"/>
      <c r="O277" s="78"/>
      <c r="P277" s="77"/>
      <c r="Q277" s="78"/>
      <c r="R277" s="77"/>
      <c r="S277" s="78"/>
      <c r="T277" s="77"/>
      <c r="U277" s="78"/>
      <c r="V277" s="77"/>
      <c r="W277" s="7"/>
      <c r="X277" s="27" t="str">
        <f t="shared" si="30"/>
        <v/>
      </c>
      <c r="Y277" s="3" t="s">
        <v>152</v>
      </c>
      <c r="Z277" s="3" t="s">
        <v>172</v>
      </c>
      <c r="AA277" s="3"/>
      <c r="AB277" s="91" t="s">
        <v>160</v>
      </c>
      <c r="AC277" s="93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7"/>
      <c r="AO277" s="38"/>
      <c r="AP277" s="38"/>
      <c r="AQ277" s="38"/>
      <c r="AR277" s="43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</row>
    <row r="278" spans="1:54" s="5" customFormat="1" hidden="1" x14ac:dyDescent="0.25">
      <c r="A278" s="7"/>
      <c r="B278" s="77"/>
      <c r="C278" s="78"/>
      <c r="D278" s="78"/>
      <c r="E278" s="83"/>
      <c r="F278" s="78"/>
      <c r="G278" s="77"/>
      <c r="H278" s="80"/>
      <c r="I278" s="83"/>
      <c r="J278" s="78"/>
      <c r="K278" s="78"/>
      <c r="L278" s="77"/>
      <c r="M278" s="78"/>
      <c r="N278" s="78"/>
      <c r="O278" s="78"/>
      <c r="P278" s="77"/>
      <c r="Q278" s="78"/>
      <c r="R278" s="77"/>
      <c r="S278" s="78"/>
      <c r="T278" s="77"/>
      <c r="U278" s="78"/>
      <c r="V278" s="77"/>
      <c r="W278" s="7"/>
      <c r="X278" s="27" t="str">
        <f t="shared" si="30"/>
        <v/>
      </c>
      <c r="Y278" s="3" t="s">
        <v>152</v>
      </c>
      <c r="Z278" s="3" t="s">
        <v>170</v>
      </c>
      <c r="AA278" s="3"/>
      <c r="AB278" s="91" t="s">
        <v>160</v>
      </c>
      <c r="AC278" s="93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7"/>
      <c r="AO278" s="38"/>
      <c r="AP278" s="38"/>
      <c r="AQ278" s="38"/>
      <c r="AR278" s="43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</row>
    <row r="279" spans="1:54" s="5" customFormat="1" hidden="1" x14ac:dyDescent="0.25">
      <c r="A279" s="7"/>
      <c r="B279" s="77"/>
      <c r="C279" s="78"/>
      <c r="D279" s="78"/>
      <c r="E279" s="83"/>
      <c r="F279" s="78"/>
      <c r="G279" s="77"/>
      <c r="H279" s="80"/>
      <c r="I279" s="83"/>
      <c r="J279" s="78"/>
      <c r="K279" s="78"/>
      <c r="L279" s="77"/>
      <c r="M279" s="78"/>
      <c r="N279" s="78"/>
      <c r="O279" s="78"/>
      <c r="P279" s="77"/>
      <c r="Q279" s="78"/>
      <c r="R279" s="77"/>
      <c r="S279" s="78"/>
      <c r="T279" s="77"/>
      <c r="U279" s="78"/>
      <c r="V279" s="77"/>
      <c r="W279" s="7"/>
      <c r="X279" s="27" t="str">
        <f t="shared" si="30"/>
        <v/>
      </c>
      <c r="Y279" s="3" t="s">
        <v>47</v>
      </c>
      <c r="Z279" s="3"/>
      <c r="AA279" s="3" t="s">
        <v>119</v>
      </c>
      <c r="AB279" s="91" t="s">
        <v>160</v>
      </c>
      <c r="AC279" s="92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7"/>
      <c r="AO279" s="38"/>
      <c r="AP279" s="38"/>
      <c r="AQ279" s="38"/>
      <c r="AR279" s="43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</row>
    <row r="280" spans="1:54" s="5" customFormat="1" hidden="1" x14ac:dyDescent="0.25">
      <c r="A280" s="7"/>
      <c r="B280" s="77"/>
      <c r="C280" s="78"/>
      <c r="D280" s="78"/>
      <c r="E280" s="83"/>
      <c r="F280" s="78"/>
      <c r="G280" s="77"/>
      <c r="H280" s="80"/>
      <c r="I280" s="83"/>
      <c r="J280" s="78"/>
      <c r="K280" s="78"/>
      <c r="L280" s="77"/>
      <c r="M280" s="78"/>
      <c r="N280" s="78"/>
      <c r="O280" s="78"/>
      <c r="P280" s="77"/>
      <c r="Q280" s="78"/>
      <c r="R280" s="77"/>
      <c r="S280" s="78"/>
      <c r="T280" s="77"/>
      <c r="U280" s="78"/>
      <c r="V280" s="77"/>
      <c r="W280" s="7"/>
      <c r="X280" s="27" t="str">
        <f t="shared" si="30"/>
        <v/>
      </c>
      <c r="Y280" s="3" t="s">
        <v>48</v>
      </c>
      <c r="Z280" s="3"/>
      <c r="AA280" s="3" t="s">
        <v>119</v>
      </c>
      <c r="AB280" s="91" t="s">
        <v>160</v>
      </c>
      <c r="AC280" s="92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7"/>
      <c r="AO280" s="38"/>
      <c r="AP280" s="38"/>
      <c r="AQ280" s="38"/>
      <c r="AR280" s="43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</row>
    <row r="281" spans="1:54" s="5" customFormat="1" hidden="1" x14ac:dyDescent="0.25">
      <c r="A281" s="7"/>
      <c r="B281" s="77"/>
      <c r="C281" s="78"/>
      <c r="D281" s="78"/>
      <c r="E281" s="83"/>
      <c r="F281" s="78"/>
      <c r="G281" s="77"/>
      <c r="H281" s="80"/>
      <c r="I281" s="83"/>
      <c r="J281" s="78"/>
      <c r="K281" s="78"/>
      <c r="L281" s="77"/>
      <c r="M281" s="78"/>
      <c r="N281" s="78"/>
      <c r="O281" s="78"/>
      <c r="P281" s="77"/>
      <c r="Q281" s="78"/>
      <c r="R281" s="77"/>
      <c r="S281" s="78"/>
      <c r="T281" s="77"/>
      <c r="U281" s="78"/>
      <c r="V281" s="77"/>
      <c r="W281" s="7"/>
      <c r="X281" s="27" t="str">
        <f t="shared" si="30"/>
        <v/>
      </c>
      <c r="Y281" s="3" t="s">
        <v>95</v>
      </c>
      <c r="Z281" s="3"/>
      <c r="AA281" s="3" t="s">
        <v>58</v>
      </c>
      <c r="AB281" s="91" t="s">
        <v>160</v>
      </c>
      <c r="AC281" s="92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7"/>
      <c r="AO281" s="38"/>
      <c r="AP281" s="38"/>
      <c r="AQ281" s="38"/>
      <c r="AR281" s="43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</row>
    <row r="282" spans="1:54" s="5" customFormat="1" hidden="1" x14ac:dyDescent="0.25">
      <c r="A282" s="7"/>
      <c r="B282" s="77"/>
      <c r="C282" s="78"/>
      <c r="D282" s="78"/>
      <c r="E282" s="83"/>
      <c r="F282" s="78"/>
      <c r="G282" s="77"/>
      <c r="H282" s="80"/>
      <c r="I282" s="83"/>
      <c r="J282" s="78"/>
      <c r="K282" s="78"/>
      <c r="L282" s="77"/>
      <c r="M282" s="78"/>
      <c r="N282" s="78"/>
      <c r="O282" s="78"/>
      <c r="P282" s="77"/>
      <c r="Q282" s="78"/>
      <c r="R282" s="77"/>
      <c r="S282" s="78"/>
      <c r="T282" s="77"/>
      <c r="U282" s="78"/>
      <c r="V282" s="77"/>
      <c r="W282" s="7"/>
      <c r="X282" s="27" t="str">
        <f t="shared" si="30"/>
        <v/>
      </c>
      <c r="Y282" s="3" t="s">
        <v>92</v>
      </c>
      <c r="Z282" s="3"/>
      <c r="AA282" s="3" t="s">
        <v>119</v>
      </c>
      <c r="AB282" s="91" t="s">
        <v>160</v>
      </c>
      <c r="AC282" s="94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7"/>
      <c r="AO282" s="38"/>
      <c r="AP282" s="38"/>
      <c r="AQ282" s="38"/>
      <c r="AR282" s="43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</row>
    <row r="283" spans="1:54" s="5" customFormat="1" hidden="1" x14ac:dyDescent="0.25">
      <c r="A283" s="7"/>
      <c r="B283" s="77"/>
      <c r="C283" s="78"/>
      <c r="D283" s="78"/>
      <c r="E283" s="83"/>
      <c r="F283" s="78"/>
      <c r="G283" s="77"/>
      <c r="H283" s="80"/>
      <c r="I283" s="83"/>
      <c r="J283" s="78"/>
      <c r="K283" s="78"/>
      <c r="L283" s="77"/>
      <c r="M283" s="78"/>
      <c r="N283" s="78"/>
      <c r="O283" s="78"/>
      <c r="P283" s="77"/>
      <c r="Q283" s="78"/>
      <c r="R283" s="77"/>
      <c r="S283" s="78"/>
      <c r="T283" s="77"/>
      <c r="U283" s="78"/>
      <c r="V283" s="77"/>
      <c r="W283" s="7"/>
      <c r="X283" s="27" t="str">
        <f t="shared" si="30"/>
        <v/>
      </c>
      <c r="Y283" s="3" t="s">
        <v>64</v>
      </c>
      <c r="Z283" s="3"/>
      <c r="AA283" s="3"/>
      <c r="AB283" s="91" t="s">
        <v>162</v>
      </c>
      <c r="AC283" s="92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7"/>
      <c r="AO283" s="38"/>
      <c r="AP283" s="38"/>
      <c r="AQ283" s="38"/>
      <c r="AR283" s="43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</row>
    <row r="284" spans="1:54" s="5" customFormat="1" hidden="1" x14ac:dyDescent="0.25">
      <c r="A284" s="7"/>
      <c r="B284" s="77"/>
      <c r="C284" s="78"/>
      <c r="D284" s="78"/>
      <c r="E284" s="83"/>
      <c r="F284" s="78"/>
      <c r="G284" s="77"/>
      <c r="H284" s="80"/>
      <c r="I284" s="83"/>
      <c r="J284" s="78"/>
      <c r="K284" s="78"/>
      <c r="L284" s="77"/>
      <c r="M284" s="78"/>
      <c r="N284" s="78"/>
      <c r="O284" s="78"/>
      <c r="P284" s="77"/>
      <c r="Q284" s="78"/>
      <c r="R284" s="77"/>
      <c r="S284" s="78"/>
      <c r="T284" s="77"/>
      <c r="U284" s="78"/>
      <c r="V284" s="77"/>
      <c r="W284" s="7"/>
      <c r="X284" s="27" t="str">
        <f t="shared" si="30"/>
        <v/>
      </c>
      <c r="Y284" s="3" t="s">
        <v>41</v>
      </c>
      <c r="Z284" s="3"/>
      <c r="AA284" s="3" t="s">
        <v>43</v>
      </c>
      <c r="AB284" s="91" t="s">
        <v>162</v>
      </c>
      <c r="AC284" s="92">
        <v>1990</v>
      </c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7"/>
      <c r="AO284" s="38"/>
      <c r="AP284" s="38"/>
      <c r="AQ284" s="38"/>
      <c r="AR284" s="43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</row>
    <row r="285" spans="1:54" s="5" customFormat="1" hidden="1" x14ac:dyDescent="0.25">
      <c r="A285" s="7"/>
      <c r="B285" s="77"/>
      <c r="C285" s="78"/>
      <c r="D285" s="78"/>
      <c r="E285" s="83"/>
      <c r="F285" s="78"/>
      <c r="G285" s="77"/>
      <c r="H285" s="80"/>
      <c r="I285" s="83"/>
      <c r="J285" s="78"/>
      <c r="K285" s="78"/>
      <c r="L285" s="77"/>
      <c r="M285" s="78"/>
      <c r="N285" s="78"/>
      <c r="O285" s="78"/>
      <c r="P285" s="77"/>
      <c r="Q285" s="78"/>
      <c r="R285" s="77"/>
      <c r="S285" s="78"/>
      <c r="T285" s="77"/>
      <c r="U285" s="78"/>
      <c r="V285" s="77"/>
      <c r="W285" s="7"/>
      <c r="X285" s="27" t="str">
        <f t="shared" si="30"/>
        <v/>
      </c>
      <c r="Y285" s="3" t="s">
        <v>40</v>
      </c>
      <c r="Z285" s="3"/>
      <c r="AA285" s="3" t="s">
        <v>43</v>
      </c>
      <c r="AB285" s="91" t="s">
        <v>162</v>
      </c>
      <c r="AC285" s="92">
        <v>2000</v>
      </c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7"/>
      <c r="AO285" s="38"/>
      <c r="AP285" s="38"/>
      <c r="AQ285" s="38"/>
      <c r="AR285" s="43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</row>
    <row r="286" spans="1:54" s="5" customFormat="1" hidden="1" x14ac:dyDescent="0.25">
      <c r="A286" s="7"/>
      <c r="B286" s="77"/>
      <c r="C286" s="78"/>
      <c r="D286" s="78"/>
      <c r="E286" s="83"/>
      <c r="F286" s="78"/>
      <c r="G286" s="77"/>
      <c r="H286" s="80"/>
      <c r="I286" s="83"/>
      <c r="J286" s="78"/>
      <c r="K286" s="78"/>
      <c r="L286" s="77"/>
      <c r="M286" s="78"/>
      <c r="N286" s="78"/>
      <c r="O286" s="78"/>
      <c r="P286" s="77"/>
      <c r="Q286" s="78"/>
      <c r="R286" s="77"/>
      <c r="S286" s="78"/>
      <c r="T286" s="77"/>
      <c r="U286" s="78"/>
      <c r="V286" s="77"/>
      <c r="W286" s="7"/>
      <c r="X286" s="27" t="str">
        <f t="shared" si="30"/>
        <v/>
      </c>
      <c r="Y286" s="3" t="s">
        <v>42</v>
      </c>
      <c r="Z286" s="3"/>
      <c r="AA286" s="3" t="s">
        <v>10</v>
      </c>
      <c r="AB286" s="91" t="s">
        <v>162</v>
      </c>
      <c r="AC286" s="92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7"/>
      <c r="AO286" s="38"/>
      <c r="AP286" s="38"/>
      <c r="AQ286" s="38"/>
      <c r="AR286" s="43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</row>
    <row r="287" spans="1:54" s="5" customFormat="1" hidden="1" x14ac:dyDescent="0.25">
      <c r="A287" s="7"/>
      <c r="B287" s="77"/>
      <c r="C287" s="78"/>
      <c r="D287" s="78"/>
      <c r="E287" s="83"/>
      <c r="F287" s="78"/>
      <c r="G287" s="77"/>
      <c r="H287" s="80"/>
      <c r="I287" s="83"/>
      <c r="J287" s="78"/>
      <c r="K287" s="78"/>
      <c r="L287" s="77"/>
      <c r="M287" s="78"/>
      <c r="N287" s="78"/>
      <c r="O287" s="78"/>
      <c r="P287" s="77"/>
      <c r="Q287" s="78"/>
      <c r="R287" s="77"/>
      <c r="S287" s="78"/>
      <c r="T287" s="77"/>
      <c r="U287" s="78"/>
      <c r="V287" s="77"/>
      <c r="W287" s="7"/>
      <c r="X287" s="27" t="str">
        <f t="shared" si="30"/>
        <v/>
      </c>
      <c r="Y287" s="3" t="s">
        <v>68</v>
      </c>
      <c r="Z287" s="3"/>
      <c r="AA287" s="3" t="s">
        <v>119</v>
      </c>
      <c r="AB287" s="91" t="s">
        <v>162</v>
      </c>
      <c r="AC287" s="92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7"/>
      <c r="AO287" s="38"/>
      <c r="AP287" s="38"/>
      <c r="AQ287" s="38"/>
      <c r="AR287" s="43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</row>
    <row r="288" spans="1:54" s="5" customFormat="1" hidden="1" x14ac:dyDescent="0.25">
      <c r="A288" s="7"/>
      <c r="B288" s="77"/>
      <c r="C288" s="78"/>
      <c r="D288" s="78"/>
      <c r="E288" s="83"/>
      <c r="F288" s="78"/>
      <c r="G288" s="77"/>
      <c r="H288" s="80"/>
      <c r="I288" s="83"/>
      <c r="J288" s="78"/>
      <c r="K288" s="78"/>
      <c r="L288" s="77"/>
      <c r="M288" s="78"/>
      <c r="N288" s="78"/>
      <c r="O288" s="78"/>
      <c r="P288" s="77"/>
      <c r="Q288" s="78"/>
      <c r="R288" s="77"/>
      <c r="S288" s="78"/>
      <c r="T288" s="77"/>
      <c r="U288" s="78"/>
      <c r="V288" s="77"/>
      <c r="W288" s="7"/>
      <c r="X288" s="27" t="str">
        <f t="shared" si="30"/>
        <v/>
      </c>
      <c r="Y288" s="3" t="s">
        <v>38</v>
      </c>
      <c r="Z288" s="3"/>
      <c r="AA288" s="3" t="s">
        <v>17</v>
      </c>
      <c r="AB288" s="91" t="s">
        <v>162</v>
      </c>
      <c r="AC288" s="92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7"/>
      <c r="AO288" s="38"/>
      <c r="AP288" s="38"/>
      <c r="AQ288" s="38"/>
      <c r="AR288" s="43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</row>
    <row r="289" spans="1:54" s="5" customFormat="1" hidden="1" x14ac:dyDescent="0.25">
      <c r="A289" s="7"/>
      <c r="B289" s="77"/>
      <c r="C289" s="78"/>
      <c r="D289" s="78"/>
      <c r="E289" s="83"/>
      <c r="F289" s="78"/>
      <c r="G289" s="77"/>
      <c r="H289" s="80"/>
      <c r="I289" s="83"/>
      <c r="J289" s="78"/>
      <c r="K289" s="78"/>
      <c r="L289" s="77"/>
      <c r="M289" s="78"/>
      <c r="N289" s="78"/>
      <c r="O289" s="78"/>
      <c r="P289" s="77"/>
      <c r="Q289" s="78"/>
      <c r="R289" s="77"/>
      <c r="S289" s="78"/>
      <c r="T289" s="77"/>
      <c r="U289" s="78"/>
      <c r="V289" s="77"/>
      <c r="W289" s="7"/>
      <c r="X289" s="27" t="str">
        <f t="shared" si="30"/>
        <v/>
      </c>
      <c r="Y289" s="3" t="s">
        <v>44</v>
      </c>
      <c r="Z289" s="3"/>
      <c r="AA289" s="3" t="s">
        <v>17</v>
      </c>
      <c r="AB289" s="91" t="s">
        <v>162</v>
      </c>
      <c r="AC289" s="92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7"/>
      <c r="AO289" s="38"/>
      <c r="AP289" s="38"/>
      <c r="AQ289" s="38"/>
      <c r="AR289" s="43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</row>
    <row r="290" spans="1:54" s="5" customFormat="1" hidden="1" x14ac:dyDescent="0.25">
      <c r="A290" s="7"/>
      <c r="B290" s="77"/>
      <c r="C290" s="78"/>
      <c r="D290" s="78"/>
      <c r="E290" s="83"/>
      <c r="F290" s="78"/>
      <c r="G290" s="77"/>
      <c r="H290" s="80"/>
      <c r="I290" s="83"/>
      <c r="J290" s="78"/>
      <c r="K290" s="78"/>
      <c r="L290" s="77"/>
      <c r="M290" s="78"/>
      <c r="N290" s="78"/>
      <c r="O290" s="78"/>
      <c r="P290" s="77"/>
      <c r="Q290" s="78"/>
      <c r="R290" s="77"/>
      <c r="S290" s="78"/>
      <c r="T290" s="77"/>
      <c r="U290" s="78"/>
      <c r="V290" s="77"/>
      <c r="W290" s="7"/>
      <c r="X290" s="27" t="str">
        <f t="shared" si="30"/>
        <v/>
      </c>
      <c r="Y290" s="3" t="s">
        <v>51</v>
      </c>
      <c r="Z290" s="3"/>
      <c r="AA290" s="3" t="s">
        <v>17</v>
      </c>
      <c r="AB290" s="91" t="s">
        <v>162</v>
      </c>
      <c r="AC290" s="92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7"/>
      <c r="AO290" s="38"/>
      <c r="AP290" s="38"/>
      <c r="AQ290" s="38"/>
      <c r="AR290" s="43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</row>
    <row r="291" spans="1:54" s="5" customFormat="1" hidden="1" x14ac:dyDescent="0.25">
      <c r="A291" s="7"/>
      <c r="B291" s="77"/>
      <c r="C291" s="78"/>
      <c r="D291" s="78"/>
      <c r="E291" s="83"/>
      <c r="F291" s="78"/>
      <c r="G291" s="77"/>
      <c r="H291" s="80"/>
      <c r="I291" s="83"/>
      <c r="J291" s="78"/>
      <c r="K291" s="78"/>
      <c r="L291" s="77"/>
      <c r="M291" s="78"/>
      <c r="N291" s="78"/>
      <c r="O291" s="78"/>
      <c r="P291" s="77"/>
      <c r="Q291" s="78"/>
      <c r="R291" s="77"/>
      <c r="S291" s="78"/>
      <c r="T291" s="77"/>
      <c r="U291" s="78"/>
      <c r="V291" s="77"/>
      <c r="W291" s="7"/>
      <c r="X291" s="27" t="str">
        <f t="shared" si="30"/>
        <v/>
      </c>
      <c r="Y291" s="3" t="s">
        <v>96</v>
      </c>
      <c r="Z291" s="3"/>
      <c r="AA291" s="3" t="s">
        <v>17</v>
      </c>
      <c r="AB291" s="91" t="s">
        <v>162</v>
      </c>
      <c r="AC291" s="93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7"/>
      <c r="AO291" s="38"/>
      <c r="AP291" s="38"/>
      <c r="AQ291" s="38"/>
      <c r="AR291" s="43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</row>
    <row r="292" spans="1:54" s="5" customFormat="1" hidden="1" x14ac:dyDescent="0.25">
      <c r="A292" s="7"/>
      <c r="B292" s="77"/>
      <c r="C292" s="78"/>
      <c r="D292" s="78"/>
      <c r="E292" s="83"/>
      <c r="F292" s="78"/>
      <c r="G292" s="77"/>
      <c r="H292" s="80"/>
      <c r="I292" s="83"/>
      <c r="J292" s="78"/>
      <c r="K292" s="78"/>
      <c r="L292" s="77"/>
      <c r="M292" s="78"/>
      <c r="N292" s="78"/>
      <c r="O292" s="78"/>
      <c r="P292" s="77"/>
      <c r="Q292" s="78"/>
      <c r="R292" s="77"/>
      <c r="S292" s="78"/>
      <c r="T292" s="77"/>
      <c r="U292" s="78"/>
      <c r="V292" s="77"/>
      <c r="W292" s="7"/>
      <c r="X292" s="27" t="str">
        <f t="shared" si="30"/>
        <v/>
      </c>
      <c r="Y292" s="3" t="s">
        <v>152</v>
      </c>
      <c r="Z292" s="3" t="s">
        <v>171</v>
      </c>
      <c r="AA292" s="3"/>
      <c r="AB292" s="91" t="s">
        <v>162</v>
      </c>
      <c r="AC292" s="93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7"/>
      <c r="AO292" s="38"/>
      <c r="AP292" s="38"/>
      <c r="AQ292" s="38"/>
      <c r="AR292" s="43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</row>
    <row r="293" spans="1:54" s="5" customFormat="1" hidden="1" x14ac:dyDescent="0.25">
      <c r="A293" s="7"/>
      <c r="B293" s="77"/>
      <c r="C293" s="78"/>
      <c r="D293" s="78"/>
      <c r="E293" s="83"/>
      <c r="F293" s="78"/>
      <c r="G293" s="77"/>
      <c r="H293" s="80"/>
      <c r="I293" s="83"/>
      <c r="J293" s="78"/>
      <c r="K293" s="78"/>
      <c r="L293" s="77"/>
      <c r="M293" s="78"/>
      <c r="N293" s="78"/>
      <c r="O293" s="78"/>
      <c r="P293" s="77"/>
      <c r="Q293" s="78"/>
      <c r="R293" s="77"/>
      <c r="S293" s="78"/>
      <c r="T293" s="77"/>
      <c r="U293" s="78"/>
      <c r="V293" s="77"/>
      <c r="W293" s="7"/>
      <c r="X293" s="27" t="str">
        <f t="shared" si="30"/>
        <v/>
      </c>
      <c r="Y293" s="3" t="s">
        <v>152</v>
      </c>
      <c r="Z293" s="3" t="s">
        <v>172</v>
      </c>
      <c r="AA293" s="3"/>
      <c r="AB293" s="91" t="s">
        <v>162</v>
      </c>
      <c r="AC293" s="93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7"/>
      <c r="AO293" s="38"/>
      <c r="AP293" s="38"/>
      <c r="AQ293" s="38"/>
      <c r="AR293" s="43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</row>
    <row r="294" spans="1:54" s="5" customFormat="1" hidden="1" x14ac:dyDescent="0.25">
      <c r="A294" s="7"/>
      <c r="B294" s="77"/>
      <c r="C294" s="78"/>
      <c r="D294" s="78"/>
      <c r="E294" s="83"/>
      <c r="F294" s="78"/>
      <c r="G294" s="77"/>
      <c r="H294" s="80"/>
      <c r="I294" s="83"/>
      <c r="J294" s="78"/>
      <c r="K294" s="78"/>
      <c r="L294" s="77"/>
      <c r="M294" s="78"/>
      <c r="N294" s="78"/>
      <c r="O294" s="78"/>
      <c r="P294" s="77"/>
      <c r="Q294" s="78"/>
      <c r="R294" s="77"/>
      <c r="S294" s="78"/>
      <c r="T294" s="77"/>
      <c r="U294" s="78"/>
      <c r="V294" s="77"/>
      <c r="W294" s="7"/>
      <c r="X294" s="27" t="str">
        <f t="shared" si="30"/>
        <v/>
      </c>
      <c r="Y294" s="3" t="s">
        <v>152</v>
      </c>
      <c r="Z294" s="3" t="s">
        <v>170</v>
      </c>
      <c r="AA294" s="3"/>
      <c r="AB294" s="91" t="s">
        <v>162</v>
      </c>
      <c r="AC294" s="93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7"/>
      <c r="AO294" s="38"/>
      <c r="AP294" s="38"/>
      <c r="AQ294" s="38"/>
      <c r="AR294" s="43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</row>
    <row r="295" spans="1:54" s="5" customFormat="1" hidden="1" x14ac:dyDescent="0.25">
      <c r="A295" s="7"/>
      <c r="B295" s="77"/>
      <c r="C295" s="78"/>
      <c r="D295" s="78"/>
      <c r="E295" s="83"/>
      <c r="F295" s="78"/>
      <c r="G295" s="77"/>
      <c r="H295" s="80"/>
      <c r="I295" s="83"/>
      <c r="J295" s="78"/>
      <c r="K295" s="78"/>
      <c r="L295" s="77"/>
      <c r="M295" s="78"/>
      <c r="N295" s="78"/>
      <c r="O295" s="78"/>
      <c r="P295" s="77"/>
      <c r="Q295" s="78"/>
      <c r="R295" s="77"/>
      <c r="S295" s="78"/>
      <c r="T295" s="77"/>
      <c r="U295" s="78"/>
      <c r="V295" s="77"/>
      <c r="W295" s="7"/>
      <c r="X295" s="27" t="str">
        <f t="shared" si="30"/>
        <v/>
      </c>
      <c r="Y295" s="3" t="s">
        <v>47</v>
      </c>
      <c r="Z295" s="3"/>
      <c r="AA295" s="3" t="s">
        <v>119</v>
      </c>
      <c r="AB295" s="91" t="s">
        <v>162</v>
      </c>
      <c r="AC295" s="92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7"/>
      <c r="AO295" s="38"/>
      <c r="AP295" s="38"/>
      <c r="AQ295" s="38"/>
      <c r="AR295" s="43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</row>
    <row r="296" spans="1:54" s="5" customFormat="1" hidden="1" x14ac:dyDescent="0.25">
      <c r="A296" s="7"/>
      <c r="B296" s="77"/>
      <c r="C296" s="78"/>
      <c r="D296" s="78"/>
      <c r="E296" s="83"/>
      <c r="F296" s="78"/>
      <c r="G296" s="77"/>
      <c r="H296" s="80"/>
      <c r="I296" s="83"/>
      <c r="J296" s="78"/>
      <c r="K296" s="78"/>
      <c r="L296" s="77"/>
      <c r="M296" s="78"/>
      <c r="N296" s="78"/>
      <c r="O296" s="78"/>
      <c r="P296" s="77"/>
      <c r="Q296" s="78"/>
      <c r="R296" s="77"/>
      <c r="S296" s="78"/>
      <c r="T296" s="77"/>
      <c r="U296" s="78"/>
      <c r="V296" s="77"/>
      <c r="W296" s="7"/>
      <c r="X296" s="27" t="str">
        <f t="shared" si="30"/>
        <v/>
      </c>
      <c r="Y296" s="3" t="s">
        <v>48</v>
      </c>
      <c r="Z296" s="3"/>
      <c r="AA296" s="3" t="s">
        <v>119</v>
      </c>
      <c r="AB296" s="91" t="s">
        <v>162</v>
      </c>
      <c r="AC296" s="92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7"/>
      <c r="AO296" s="38"/>
      <c r="AP296" s="38"/>
      <c r="AQ296" s="38"/>
      <c r="AR296" s="43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</row>
    <row r="297" spans="1:54" s="5" customFormat="1" hidden="1" x14ac:dyDescent="0.25">
      <c r="A297" s="7"/>
      <c r="B297" s="77"/>
      <c r="C297" s="78"/>
      <c r="D297" s="78"/>
      <c r="E297" s="83"/>
      <c r="F297" s="78"/>
      <c r="G297" s="77"/>
      <c r="H297" s="80"/>
      <c r="I297" s="83"/>
      <c r="J297" s="78"/>
      <c r="K297" s="78"/>
      <c r="L297" s="77"/>
      <c r="M297" s="78"/>
      <c r="N297" s="78"/>
      <c r="O297" s="78"/>
      <c r="P297" s="77"/>
      <c r="Q297" s="78"/>
      <c r="R297" s="77"/>
      <c r="S297" s="78"/>
      <c r="T297" s="77"/>
      <c r="U297" s="78"/>
      <c r="V297" s="77"/>
      <c r="W297" s="7"/>
      <c r="X297" s="27" t="str">
        <f t="shared" si="30"/>
        <v/>
      </c>
      <c r="Y297" s="3" t="s">
        <v>95</v>
      </c>
      <c r="Z297" s="3"/>
      <c r="AA297" s="3" t="s">
        <v>58</v>
      </c>
      <c r="AB297" s="91" t="s">
        <v>162</v>
      </c>
      <c r="AC297" s="92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7"/>
      <c r="AO297" s="38"/>
      <c r="AP297" s="38"/>
      <c r="AQ297" s="38"/>
      <c r="AR297" s="43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</row>
    <row r="298" spans="1:54" s="5" customFormat="1" hidden="1" x14ac:dyDescent="0.25">
      <c r="A298" s="7"/>
      <c r="B298" s="77"/>
      <c r="C298" s="78"/>
      <c r="D298" s="78"/>
      <c r="E298" s="83"/>
      <c r="F298" s="78"/>
      <c r="G298" s="77"/>
      <c r="H298" s="80"/>
      <c r="I298" s="83"/>
      <c r="J298" s="78"/>
      <c r="K298" s="78"/>
      <c r="L298" s="77"/>
      <c r="M298" s="78"/>
      <c r="N298" s="78"/>
      <c r="O298" s="78"/>
      <c r="P298" s="77"/>
      <c r="Q298" s="78"/>
      <c r="R298" s="77"/>
      <c r="S298" s="78"/>
      <c r="T298" s="77"/>
      <c r="U298" s="78"/>
      <c r="V298" s="77"/>
      <c r="W298" s="7"/>
      <c r="X298" s="27" t="str">
        <f t="shared" si="30"/>
        <v/>
      </c>
      <c r="Y298" s="3" t="s">
        <v>92</v>
      </c>
      <c r="Z298" s="3"/>
      <c r="AA298" s="3" t="s">
        <v>119</v>
      </c>
      <c r="AB298" s="91" t="s">
        <v>162</v>
      </c>
      <c r="AC298" s="94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7"/>
      <c r="AO298" s="38"/>
      <c r="AP298" s="38"/>
      <c r="AQ298" s="38"/>
      <c r="AR298" s="43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</row>
    <row r="299" spans="1:54" s="5" customFormat="1" hidden="1" x14ac:dyDescent="0.25">
      <c r="A299" s="7"/>
      <c r="B299" s="77"/>
      <c r="C299" s="78"/>
      <c r="D299" s="78"/>
      <c r="E299" s="83"/>
      <c r="F299" s="78"/>
      <c r="G299" s="77"/>
      <c r="H299" s="80"/>
      <c r="I299" s="83"/>
      <c r="J299" s="78"/>
      <c r="K299" s="78"/>
      <c r="L299" s="77"/>
      <c r="M299" s="78"/>
      <c r="N299" s="78"/>
      <c r="O299" s="78"/>
      <c r="P299" s="77"/>
      <c r="Q299" s="78"/>
      <c r="R299" s="77"/>
      <c r="S299" s="78"/>
      <c r="T299" s="77"/>
      <c r="U299" s="78"/>
      <c r="V299" s="77"/>
      <c r="W299" s="7"/>
      <c r="X299" s="27" t="str">
        <f t="shared" si="30"/>
        <v/>
      </c>
      <c r="Y299" s="3" t="s">
        <v>64</v>
      </c>
      <c r="Z299" s="3"/>
      <c r="AA299" s="3"/>
      <c r="AB299" s="91" t="s">
        <v>161</v>
      </c>
      <c r="AC299" s="92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7"/>
      <c r="AO299" s="38"/>
      <c r="AP299" s="38"/>
      <c r="AQ299" s="38"/>
      <c r="AR299" s="43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</row>
    <row r="300" spans="1:54" s="5" customFormat="1" hidden="1" x14ac:dyDescent="0.25">
      <c r="A300" s="7"/>
      <c r="B300" s="77"/>
      <c r="C300" s="78"/>
      <c r="D300" s="78"/>
      <c r="E300" s="83"/>
      <c r="F300" s="78"/>
      <c r="G300" s="77"/>
      <c r="H300" s="80"/>
      <c r="I300" s="83"/>
      <c r="J300" s="78"/>
      <c r="K300" s="78"/>
      <c r="L300" s="77"/>
      <c r="M300" s="78"/>
      <c r="N300" s="78"/>
      <c r="O300" s="78"/>
      <c r="P300" s="77"/>
      <c r="Q300" s="78"/>
      <c r="R300" s="77"/>
      <c r="S300" s="78"/>
      <c r="T300" s="77"/>
      <c r="U300" s="78"/>
      <c r="V300" s="77"/>
      <c r="W300" s="7"/>
      <c r="X300" s="27" t="str">
        <f t="shared" si="30"/>
        <v/>
      </c>
      <c r="Y300" s="3" t="s">
        <v>41</v>
      </c>
      <c r="Z300" s="3"/>
      <c r="AA300" s="3" t="s">
        <v>43</v>
      </c>
      <c r="AB300" s="91" t="s">
        <v>161</v>
      </c>
      <c r="AC300" s="92">
        <v>2000</v>
      </c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7"/>
      <c r="AO300" s="38"/>
      <c r="AP300" s="38"/>
      <c r="AQ300" s="38"/>
      <c r="AR300" s="43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</row>
    <row r="301" spans="1:54" s="5" customFormat="1" hidden="1" x14ac:dyDescent="0.25">
      <c r="A301" s="7"/>
      <c r="B301" s="77"/>
      <c r="C301" s="78"/>
      <c r="D301" s="78"/>
      <c r="E301" s="83"/>
      <c r="F301" s="78"/>
      <c r="G301" s="77"/>
      <c r="H301" s="80"/>
      <c r="I301" s="83"/>
      <c r="J301" s="78"/>
      <c r="K301" s="78"/>
      <c r="L301" s="77"/>
      <c r="M301" s="78"/>
      <c r="N301" s="78"/>
      <c r="O301" s="78"/>
      <c r="P301" s="77"/>
      <c r="Q301" s="78"/>
      <c r="R301" s="77"/>
      <c r="S301" s="78"/>
      <c r="T301" s="77"/>
      <c r="U301" s="78"/>
      <c r="V301" s="77"/>
      <c r="W301" s="7"/>
      <c r="X301" s="27" t="str">
        <f t="shared" si="30"/>
        <v/>
      </c>
      <c r="Y301" s="3" t="s">
        <v>40</v>
      </c>
      <c r="Z301" s="3"/>
      <c r="AA301" s="3" t="s">
        <v>43</v>
      </c>
      <c r="AB301" s="91" t="s">
        <v>161</v>
      </c>
      <c r="AC301" s="92">
        <v>2020</v>
      </c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7"/>
      <c r="AO301" s="38"/>
      <c r="AP301" s="38"/>
      <c r="AQ301" s="38"/>
      <c r="AR301" s="43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</row>
    <row r="302" spans="1:54" s="5" customFormat="1" hidden="1" x14ac:dyDescent="0.25">
      <c r="A302" s="7"/>
      <c r="B302" s="77"/>
      <c r="C302" s="78"/>
      <c r="D302" s="78"/>
      <c r="E302" s="83"/>
      <c r="F302" s="78"/>
      <c r="G302" s="77"/>
      <c r="H302" s="80"/>
      <c r="I302" s="83"/>
      <c r="J302" s="78"/>
      <c r="K302" s="78"/>
      <c r="L302" s="77"/>
      <c r="M302" s="78"/>
      <c r="N302" s="78"/>
      <c r="O302" s="78"/>
      <c r="P302" s="77"/>
      <c r="Q302" s="78"/>
      <c r="R302" s="77"/>
      <c r="S302" s="78"/>
      <c r="T302" s="77"/>
      <c r="U302" s="78"/>
      <c r="V302" s="77"/>
      <c r="W302" s="7"/>
      <c r="X302" s="27" t="str">
        <f t="shared" si="30"/>
        <v/>
      </c>
      <c r="Y302" s="3" t="s">
        <v>42</v>
      </c>
      <c r="Z302" s="3"/>
      <c r="AA302" s="3" t="s">
        <v>10</v>
      </c>
      <c r="AB302" s="91" t="s">
        <v>161</v>
      </c>
      <c r="AC302" s="92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7"/>
      <c r="AO302" s="38"/>
      <c r="AP302" s="38"/>
      <c r="AQ302" s="38"/>
      <c r="AR302" s="43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</row>
    <row r="303" spans="1:54" s="5" customFormat="1" hidden="1" x14ac:dyDescent="0.25">
      <c r="A303" s="7"/>
      <c r="B303" s="77"/>
      <c r="C303" s="78"/>
      <c r="D303" s="78"/>
      <c r="E303" s="83"/>
      <c r="F303" s="78"/>
      <c r="G303" s="77"/>
      <c r="H303" s="80"/>
      <c r="I303" s="83"/>
      <c r="J303" s="78"/>
      <c r="K303" s="78"/>
      <c r="L303" s="77"/>
      <c r="M303" s="78"/>
      <c r="N303" s="78"/>
      <c r="O303" s="78"/>
      <c r="P303" s="77"/>
      <c r="Q303" s="78"/>
      <c r="R303" s="77"/>
      <c r="S303" s="78"/>
      <c r="T303" s="77"/>
      <c r="U303" s="78"/>
      <c r="V303" s="77"/>
      <c r="W303" s="7"/>
      <c r="X303" s="27" t="str">
        <f t="shared" si="30"/>
        <v/>
      </c>
      <c r="Y303" s="3" t="s">
        <v>68</v>
      </c>
      <c r="Z303" s="3"/>
      <c r="AA303" s="3" t="s">
        <v>119</v>
      </c>
      <c r="AB303" s="91" t="s">
        <v>161</v>
      </c>
      <c r="AC303" s="92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7"/>
      <c r="AO303" s="38"/>
      <c r="AP303" s="38"/>
      <c r="AQ303" s="38"/>
      <c r="AR303" s="43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</row>
    <row r="304" spans="1:54" s="5" customFormat="1" hidden="1" x14ac:dyDescent="0.25">
      <c r="A304" s="7"/>
      <c r="B304" s="77"/>
      <c r="C304" s="78"/>
      <c r="D304" s="78"/>
      <c r="E304" s="83"/>
      <c r="F304" s="78"/>
      <c r="G304" s="77"/>
      <c r="H304" s="80"/>
      <c r="I304" s="83"/>
      <c r="J304" s="78"/>
      <c r="K304" s="78"/>
      <c r="L304" s="77"/>
      <c r="M304" s="78"/>
      <c r="N304" s="78"/>
      <c r="O304" s="78"/>
      <c r="P304" s="77"/>
      <c r="Q304" s="78"/>
      <c r="R304" s="77"/>
      <c r="S304" s="78"/>
      <c r="T304" s="77"/>
      <c r="U304" s="78"/>
      <c r="V304" s="77"/>
      <c r="W304" s="7"/>
      <c r="X304" s="27" t="str">
        <f t="shared" si="30"/>
        <v/>
      </c>
      <c r="Y304" s="3" t="s">
        <v>38</v>
      </c>
      <c r="Z304" s="3"/>
      <c r="AA304" s="3" t="s">
        <v>17</v>
      </c>
      <c r="AB304" s="91" t="s">
        <v>161</v>
      </c>
      <c r="AC304" s="92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7"/>
      <c r="AO304" s="38"/>
      <c r="AP304" s="38"/>
      <c r="AQ304" s="38"/>
      <c r="AR304" s="43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</row>
    <row r="305" spans="1:54" s="5" customFormat="1" hidden="1" x14ac:dyDescent="0.25">
      <c r="A305" s="7"/>
      <c r="B305" s="77"/>
      <c r="C305" s="78"/>
      <c r="D305" s="78"/>
      <c r="E305" s="83"/>
      <c r="F305" s="78"/>
      <c r="G305" s="77"/>
      <c r="H305" s="80"/>
      <c r="I305" s="83"/>
      <c r="J305" s="78"/>
      <c r="K305" s="78"/>
      <c r="L305" s="77"/>
      <c r="M305" s="78"/>
      <c r="N305" s="78"/>
      <c r="O305" s="78"/>
      <c r="P305" s="77"/>
      <c r="Q305" s="78"/>
      <c r="R305" s="77"/>
      <c r="S305" s="78"/>
      <c r="T305" s="77"/>
      <c r="U305" s="78"/>
      <c r="V305" s="77"/>
      <c r="W305" s="7"/>
      <c r="X305" s="27" t="str">
        <f t="shared" si="30"/>
        <v/>
      </c>
      <c r="Y305" s="3" t="s">
        <v>44</v>
      </c>
      <c r="Z305" s="3"/>
      <c r="AA305" s="3" t="s">
        <v>17</v>
      </c>
      <c r="AB305" s="91" t="s">
        <v>161</v>
      </c>
      <c r="AC305" s="92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7"/>
      <c r="AO305" s="38"/>
      <c r="AP305" s="38"/>
      <c r="AQ305" s="38"/>
      <c r="AR305" s="43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</row>
    <row r="306" spans="1:54" s="5" customFormat="1" hidden="1" x14ac:dyDescent="0.25">
      <c r="A306" s="7"/>
      <c r="B306" s="77"/>
      <c r="C306" s="78"/>
      <c r="D306" s="78"/>
      <c r="E306" s="83"/>
      <c r="F306" s="78"/>
      <c r="G306" s="77"/>
      <c r="H306" s="80"/>
      <c r="I306" s="83"/>
      <c r="J306" s="78"/>
      <c r="K306" s="78"/>
      <c r="L306" s="77"/>
      <c r="M306" s="78"/>
      <c r="N306" s="78"/>
      <c r="O306" s="78"/>
      <c r="P306" s="77"/>
      <c r="Q306" s="78"/>
      <c r="R306" s="77"/>
      <c r="S306" s="78"/>
      <c r="T306" s="77"/>
      <c r="U306" s="78"/>
      <c r="V306" s="77"/>
      <c r="W306" s="7"/>
      <c r="X306" s="27" t="str">
        <f t="shared" si="30"/>
        <v/>
      </c>
      <c r="Y306" s="3" t="s">
        <v>51</v>
      </c>
      <c r="Z306" s="3"/>
      <c r="AA306" s="3" t="s">
        <v>17</v>
      </c>
      <c r="AB306" s="91" t="s">
        <v>161</v>
      </c>
      <c r="AC306" s="92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7"/>
      <c r="AO306" s="38"/>
      <c r="AP306" s="38"/>
      <c r="AQ306" s="38"/>
      <c r="AR306" s="43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</row>
    <row r="307" spans="1:54" s="5" customFormat="1" hidden="1" x14ac:dyDescent="0.25">
      <c r="A307" s="7"/>
      <c r="B307" s="77"/>
      <c r="C307" s="78"/>
      <c r="D307" s="78"/>
      <c r="E307" s="83"/>
      <c r="F307" s="78"/>
      <c r="G307" s="77"/>
      <c r="H307" s="80"/>
      <c r="I307" s="83"/>
      <c r="J307" s="78"/>
      <c r="K307" s="78"/>
      <c r="L307" s="77"/>
      <c r="M307" s="78"/>
      <c r="N307" s="78"/>
      <c r="O307" s="78"/>
      <c r="P307" s="77"/>
      <c r="Q307" s="78"/>
      <c r="R307" s="77"/>
      <c r="S307" s="78"/>
      <c r="T307" s="77"/>
      <c r="U307" s="78"/>
      <c r="V307" s="77"/>
      <c r="W307" s="7"/>
      <c r="X307" s="27" t="str">
        <f t="shared" si="30"/>
        <v/>
      </c>
      <c r="Y307" s="3" t="s">
        <v>96</v>
      </c>
      <c r="Z307" s="3"/>
      <c r="AA307" s="3" t="s">
        <v>17</v>
      </c>
      <c r="AB307" s="91" t="s">
        <v>161</v>
      </c>
      <c r="AC307" s="93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7"/>
      <c r="AO307" s="38"/>
      <c r="AP307" s="38"/>
      <c r="AQ307" s="38"/>
      <c r="AR307" s="43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</row>
    <row r="308" spans="1:54" s="5" customFormat="1" hidden="1" x14ac:dyDescent="0.25">
      <c r="A308" s="7"/>
      <c r="B308" s="77"/>
      <c r="C308" s="78"/>
      <c r="D308" s="78"/>
      <c r="E308" s="83"/>
      <c r="F308" s="78"/>
      <c r="G308" s="77"/>
      <c r="H308" s="80"/>
      <c r="I308" s="83"/>
      <c r="J308" s="78"/>
      <c r="K308" s="78"/>
      <c r="L308" s="77"/>
      <c r="M308" s="78"/>
      <c r="N308" s="78"/>
      <c r="O308" s="78"/>
      <c r="P308" s="77"/>
      <c r="Q308" s="78"/>
      <c r="R308" s="77"/>
      <c r="S308" s="78"/>
      <c r="T308" s="77"/>
      <c r="U308" s="78"/>
      <c r="V308" s="77"/>
      <c r="W308" s="7"/>
      <c r="X308" s="27" t="str">
        <f t="shared" si="30"/>
        <v/>
      </c>
      <c r="Y308" s="3" t="s">
        <v>152</v>
      </c>
      <c r="Z308" s="3" t="s">
        <v>171</v>
      </c>
      <c r="AA308" s="3"/>
      <c r="AB308" s="91" t="s">
        <v>161</v>
      </c>
      <c r="AC308" s="93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7"/>
      <c r="AO308" s="38"/>
      <c r="AP308" s="38"/>
      <c r="AQ308" s="38"/>
      <c r="AR308" s="43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</row>
    <row r="309" spans="1:54" s="5" customFormat="1" hidden="1" x14ac:dyDescent="0.25">
      <c r="A309" s="7"/>
      <c r="B309" s="77"/>
      <c r="C309" s="78"/>
      <c r="D309" s="78"/>
      <c r="E309" s="83"/>
      <c r="F309" s="78"/>
      <c r="G309" s="77"/>
      <c r="H309" s="80"/>
      <c r="I309" s="83"/>
      <c r="J309" s="78"/>
      <c r="K309" s="78"/>
      <c r="L309" s="77"/>
      <c r="M309" s="78"/>
      <c r="N309" s="78"/>
      <c r="O309" s="78"/>
      <c r="P309" s="77"/>
      <c r="Q309" s="78"/>
      <c r="R309" s="77"/>
      <c r="S309" s="78"/>
      <c r="T309" s="77"/>
      <c r="U309" s="78"/>
      <c r="V309" s="77"/>
      <c r="W309" s="7"/>
      <c r="X309" s="27" t="str">
        <f t="shared" si="30"/>
        <v/>
      </c>
      <c r="Y309" s="3" t="s">
        <v>152</v>
      </c>
      <c r="Z309" s="3" t="s">
        <v>172</v>
      </c>
      <c r="AA309" s="3"/>
      <c r="AB309" s="91" t="s">
        <v>161</v>
      </c>
      <c r="AC309" s="93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7"/>
      <c r="AO309" s="38"/>
      <c r="AP309" s="38"/>
      <c r="AQ309" s="38"/>
      <c r="AR309" s="43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</row>
    <row r="310" spans="1:54" s="5" customFormat="1" hidden="1" x14ac:dyDescent="0.25">
      <c r="A310" s="7"/>
      <c r="B310" s="77"/>
      <c r="C310" s="78"/>
      <c r="D310" s="78"/>
      <c r="E310" s="83"/>
      <c r="F310" s="78"/>
      <c r="G310" s="77"/>
      <c r="H310" s="80"/>
      <c r="I310" s="83"/>
      <c r="J310" s="78"/>
      <c r="K310" s="78"/>
      <c r="L310" s="77"/>
      <c r="M310" s="78"/>
      <c r="N310" s="78"/>
      <c r="O310" s="78"/>
      <c r="P310" s="77"/>
      <c r="Q310" s="78"/>
      <c r="R310" s="77"/>
      <c r="S310" s="78"/>
      <c r="T310" s="77"/>
      <c r="U310" s="78"/>
      <c r="V310" s="77"/>
      <c r="W310" s="7"/>
      <c r="X310" s="27" t="str">
        <f t="shared" si="30"/>
        <v/>
      </c>
      <c r="Y310" s="3" t="s">
        <v>152</v>
      </c>
      <c r="Z310" s="3" t="s">
        <v>170</v>
      </c>
      <c r="AA310" s="3"/>
      <c r="AB310" s="91" t="s">
        <v>161</v>
      </c>
      <c r="AC310" s="93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7"/>
      <c r="AO310" s="38"/>
      <c r="AP310" s="38"/>
      <c r="AQ310" s="38"/>
      <c r="AR310" s="43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</row>
    <row r="311" spans="1:54" s="5" customFormat="1" hidden="1" x14ac:dyDescent="0.25">
      <c r="A311" s="7"/>
      <c r="B311" s="77"/>
      <c r="C311" s="78"/>
      <c r="D311" s="78"/>
      <c r="E311" s="83"/>
      <c r="F311" s="78"/>
      <c r="G311" s="77"/>
      <c r="H311" s="80"/>
      <c r="I311" s="83"/>
      <c r="J311" s="78"/>
      <c r="K311" s="78"/>
      <c r="L311" s="77"/>
      <c r="M311" s="78"/>
      <c r="N311" s="78"/>
      <c r="O311" s="78"/>
      <c r="P311" s="77"/>
      <c r="Q311" s="78"/>
      <c r="R311" s="77"/>
      <c r="S311" s="78"/>
      <c r="T311" s="77"/>
      <c r="U311" s="78"/>
      <c r="V311" s="77"/>
      <c r="W311" s="7"/>
      <c r="X311" s="27" t="str">
        <f t="shared" si="30"/>
        <v/>
      </c>
      <c r="Y311" s="3" t="s">
        <v>47</v>
      </c>
      <c r="Z311" s="3"/>
      <c r="AA311" s="3" t="s">
        <v>119</v>
      </c>
      <c r="AB311" s="91" t="s">
        <v>161</v>
      </c>
      <c r="AC311" s="92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7"/>
      <c r="AO311" s="38"/>
      <c r="AP311" s="38"/>
      <c r="AQ311" s="38"/>
      <c r="AR311" s="43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</row>
    <row r="312" spans="1:54" s="5" customFormat="1" hidden="1" x14ac:dyDescent="0.25">
      <c r="A312" s="7"/>
      <c r="B312" s="77"/>
      <c r="C312" s="78"/>
      <c r="D312" s="78"/>
      <c r="E312" s="83"/>
      <c r="F312" s="78"/>
      <c r="G312" s="77"/>
      <c r="H312" s="80"/>
      <c r="I312" s="83"/>
      <c r="J312" s="78"/>
      <c r="K312" s="78"/>
      <c r="L312" s="77"/>
      <c r="M312" s="78"/>
      <c r="N312" s="78"/>
      <c r="O312" s="78"/>
      <c r="P312" s="77"/>
      <c r="Q312" s="78"/>
      <c r="R312" s="77"/>
      <c r="S312" s="78"/>
      <c r="T312" s="77"/>
      <c r="U312" s="78"/>
      <c r="V312" s="77"/>
      <c r="W312" s="7"/>
      <c r="X312" s="27" t="str">
        <f t="shared" si="30"/>
        <v/>
      </c>
      <c r="Y312" s="3" t="s">
        <v>48</v>
      </c>
      <c r="Z312" s="3"/>
      <c r="AA312" s="3" t="s">
        <v>119</v>
      </c>
      <c r="AB312" s="91" t="s">
        <v>161</v>
      </c>
      <c r="AC312" s="92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7"/>
      <c r="AO312" s="38"/>
      <c r="AP312" s="38"/>
      <c r="AQ312" s="38"/>
      <c r="AR312" s="43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</row>
    <row r="313" spans="1:54" s="5" customFormat="1" hidden="1" x14ac:dyDescent="0.25">
      <c r="A313" s="7"/>
      <c r="B313" s="77"/>
      <c r="C313" s="78"/>
      <c r="D313" s="78"/>
      <c r="E313" s="83"/>
      <c r="F313" s="78"/>
      <c r="G313" s="77"/>
      <c r="H313" s="80"/>
      <c r="I313" s="83"/>
      <c r="J313" s="78"/>
      <c r="K313" s="78"/>
      <c r="L313" s="77"/>
      <c r="M313" s="78"/>
      <c r="N313" s="78"/>
      <c r="O313" s="78"/>
      <c r="P313" s="77"/>
      <c r="Q313" s="78"/>
      <c r="R313" s="77"/>
      <c r="S313" s="78"/>
      <c r="T313" s="77"/>
      <c r="U313" s="78"/>
      <c r="V313" s="77"/>
      <c r="W313" s="7"/>
      <c r="X313" s="27" t="str">
        <f t="shared" si="30"/>
        <v/>
      </c>
      <c r="Y313" s="3" t="s">
        <v>95</v>
      </c>
      <c r="Z313" s="3"/>
      <c r="AA313" s="3" t="s">
        <v>58</v>
      </c>
      <c r="AB313" s="91" t="s">
        <v>161</v>
      </c>
      <c r="AC313" s="92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7"/>
      <c r="AO313" s="38"/>
      <c r="AP313" s="38"/>
      <c r="AQ313" s="38"/>
      <c r="AR313" s="43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</row>
    <row r="314" spans="1:54" s="5" customFormat="1" hidden="1" x14ac:dyDescent="0.25">
      <c r="A314" s="7"/>
      <c r="B314" s="77"/>
      <c r="C314" s="78"/>
      <c r="D314" s="78"/>
      <c r="E314" s="83"/>
      <c r="F314" s="78"/>
      <c r="G314" s="77"/>
      <c r="H314" s="80"/>
      <c r="I314" s="83"/>
      <c r="J314" s="78"/>
      <c r="K314" s="78"/>
      <c r="L314" s="77"/>
      <c r="M314" s="78"/>
      <c r="N314" s="78"/>
      <c r="O314" s="78"/>
      <c r="P314" s="77"/>
      <c r="Q314" s="78"/>
      <c r="R314" s="77"/>
      <c r="S314" s="78"/>
      <c r="T314" s="77"/>
      <c r="U314" s="78"/>
      <c r="V314" s="77"/>
      <c r="W314" s="7"/>
      <c r="X314" s="27" t="str">
        <f t="shared" si="30"/>
        <v/>
      </c>
      <c r="Y314" s="3" t="s">
        <v>92</v>
      </c>
      <c r="Z314" s="3"/>
      <c r="AA314" s="3" t="s">
        <v>119</v>
      </c>
      <c r="AB314" s="91" t="s">
        <v>161</v>
      </c>
      <c r="AC314" s="94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7"/>
      <c r="AO314" s="38"/>
      <c r="AP314" s="38"/>
      <c r="AQ314" s="38"/>
      <c r="AR314" s="43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</row>
    <row r="315" spans="1:54" s="5" customFormat="1" hidden="1" x14ac:dyDescent="0.25">
      <c r="A315" s="7"/>
      <c r="B315" s="77"/>
      <c r="C315" s="78"/>
      <c r="D315" s="78"/>
      <c r="E315" s="83"/>
      <c r="F315" s="78"/>
      <c r="G315" s="77"/>
      <c r="H315" s="80"/>
      <c r="I315" s="83"/>
      <c r="J315" s="78"/>
      <c r="K315" s="78"/>
      <c r="L315" s="77"/>
      <c r="M315" s="78"/>
      <c r="N315" s="78"/>
      <c r="O315" s="78"/>
      <c r="P315" s="77"/>
      <c r="Q315" s="78"/>
      <c r="R315" s="77"/>
      <c r="S315" s="78"/>
      <c r="T315" s="77"/>
      <c r="U315" s="78"/>
      <c r="V315" s="77"/>
      <c r="W315" s="7"/>
      <c r="X315" s="27" t="str">
        <f t="shared" si="30"/>
        <v/>
      </c>
      <c r="Y315" s="3" t="s">
        <v>64</v>
      </c>
      <c r="Z315" s="3"/>
      <c r="AA315" s="3"/>
      <c r="AB315" s="91" t="s">
        <v>163</v>
      </c>
      <c r="AC315" s="92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7"/>
      <c r="AO315" s="38"/>
      <c r="AP315" s="38"/>
      <c r="AQ315" s="38"/>
      <c r="AR315" s="43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</row>
    <row r="316" spans="1:54" s="5" customFormat="1" hidden="1" x14ac:dyDescent="0.25">
      <c r="A316" s="7"/>
      <c r="B316" s="77"/>
      <c r="C316" s="78"/>
      <c r="D316" s="78"/>
      <c r="E316" s="83"/>
      <c r="F316" s="78"/>
      <c r="G316" s="77"/>
      <c r="H316" s="80"/>
      <c r="I316" s="83"/>
      <c r="J316" s="78"/>
      <c r="K316" s="78"/>
      <c r="L316" s="77"/>
      <c r="M316" s="78"/>
      <c r="N316" s="78"/>
      <c r="O316" s="78"/>
      <c r="P316" s="77"/>
      <c r="Q316" s="78"/>
      <c r="R316" s="77"/>
      <c r="S316" s="78"/>
      <c r="T316" s="77"/>
      <c r="U316" s="78"/>
      <c r="V316" s="77"/>
      <c r="W316" s="7"/>
      <c r="X316" s="27" t="str">
        <f t="shared" si="30"/>
        <v/>
      </c>
      <c r="Y316" s="3" t="s">
        <v>41</v>
      </c>
      <c r="Z316" s="3"/>
      <c r="AA316" s="3" t="s">
        <v>43</v>
      </c>
      <c r="AB316" s="91" t="s">
        <v>163</v>
      </c>
      <c r="AC316" s="92">
        <v>2000</v>
      </c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7"/>
      <c r="AO316" s="38"/>
      <c r="AP316" s="38"/>
      <c r="AQ316" s="38"/>
      <c r="AR316" s="43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</row>
    <row r="317" spans="1:54" s="5" customFormat="1" hidden="1" x14ac:dyDescent="0.25">
      <c r="A317" s="7"/>
      <c r="B317" s="77"/>
      <c r="C317" s="78"/>
      <c r="D317" s="78"/>
      <c r="E317" s="83"/>
      <c r="F317" s="78"/>
      <c r="G317" s="77"/>
      <c r="H317" s="80"/>
      <c r="I317" s="83"/>
      <c r="J317" s="78"/>
      <c r="K317" s="78"/>
      <c r="L317" s="77"/>
      <c r="M317" s="78"/>
      <c r="N317" s="78"/>
      <c r="O317" s="78"/>
      <c r="P317" s="77"/>
      <c r="Q317" s="78"/>
      <c r="R317" s="77"/>
      <c r="S317" s="78"/>
      <c r="T317" s="77"/>
      <c r="U317" s="78"/>
      <c r="V317" s="77"/>
      <c r="W317" s="7"/>
      <c r="X317" s="27" t="str">
        <f t="shared" si="30"/>
        <v/>
      </c>
      <c r="Y317" s="3" t="s">
        <v>40</v>
      </c>
      <c r="Z317" s="3"/>
      <c r="AA317" s="3" t="s">
        <v>43</v>
      </c>
      <c r="AB317" s="91" t="s">
        <v>163</v>
      </c>
      <c r="AC317" s="92">
        <v>2020</v>
      </c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7"/>
      <c r="AO317" s="38"/>
      <c r="AP317" s="38"/>
      <c r="AQ317" s="38"/>
      <c r="AR317" s="43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</row>
    <row r="318" spans="1:54" s="5" customFormat="1" hidden="1" x14ac:dyDescent="0.25">
      <c r="A318" s="7"/>
      <c r="B318" s="77"/>
      <c r="C318" s="78"/>
      <c r="D318" s="78"/>
      <c r="E318" s="83"/>
      <c r="F318" s="78"/>
      <c r="G318" s="77"/>
      <c r="H318" s="80"/>
      <c r="I318" s="83"/>
      <c r="J318" s="78"/>
      <c r="K318" s="78"/>
      <c r="L318" s="77"/>
      <c r="M318" s="78"/>
      <c r="N318" s="78"/>
      <c r="O318" s="78"/>
      <c r="P318" s="77"/>
      <c r="Q318" s="78"/>
      <c r="R318" s="77"/>
      <c r="S318" s="78"/>
      <c r="T318" s="77"/>
      <c r="U318" s="78"/>
      <c r="V318" s="77"/>
      <c r="W318" s="7"/>
      <c r="X318" s="27" t="str">
        <f t="shared" si="30"/>
        <v/>
      </c>
      <c r="Y318" s="3" t="s">
        <v>42</v>
      </c>
      <c r="Z318" s="3"/>
      <c r="AA318" s="3" t="s">
        <v>10</v>
      </c>
      <c r="AB318" s="91" t="s">
        <v>163</v>
      </c>
      <c r="AC318" s="92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7"/>
      <c r="AO318" s="38"/>
      <c r="AP318" s="38"/>
      <c r="AQ318" s="38"/>
      <c r="AR318" s="43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</row>
    <row r="319" spans="1:54" s="5" customFormat="1" hidden="1" x14ac:dyDescent="0.25">
      <c r="A319" s="7"/>
      <c r="B319" s="77"/>
      <c r="C319" s="78"/>
      <c r="D319" s="78"/>
      <c r="E319" s="83"/>
      <c r="F319" s="78"/>
      <c r="G319" s="77"/>
      <c r="H319" s="80"/>
      <c r="I319" s="83"/>
      <c r="J319" s="78"/>
      <c r="K319" s="78"/>
      <c r="L319" s="77"/>
      <c r="M319" s="78"/>
      <c r="N319" s="78"/>
      <c r="O319" s="78"/>
      <c r="P319" s="77"/>
      <c r="Q319" s="78"/>
      <c r="R319" s="77"/>
      <c r="S319" s="78"/>
      <c r="T319" s="77"/>
      <c r="U319" s="78"/>
      <c r="V319" s="77"/>
      <c r="W319" s="7"/>
      <c r="X319" s="27" t="str">
        <f t="shared" si="30"/>
        <v/>
      </c>
      <c r="Y319" s="3" t="s">
        <v>68</v>
      </c>
      <c r="Z319" s="3"/>
      <c r="AA319" s="3" t="s">
        <v>119</v>
      </c>
      <c r="AB319" s="91" t="s">
        <v>163</v>
      </c>
      <c r="AC319" s="92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7"/>
      <c r="AO319" s="38"/>
      <c r="AP319" s="38"/>
      <c r="AQ319" s="38"/>
      <c r="AR319" s="43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</row>
    <row r="320" spans="1:54" s="5" customFormat="1" hidden="1" x14ac:dyDescent="0.25">
      <c r="A320" s="7"/>
      <c r="B320" s="77"/>
      <c r="C320" s="78"/>
      <c r="D320" s="78"/>
      <c r="E320" s="83"/>
      <c r="F320" s="78"/>
      <c r="G320" s="77"/>
      <c r="H320" s="80"/>
      <c r="I320" s="83"/>
      <c r="J320" s="78"/>
      <c r="K320" s="78"/>
      <c r="L320" s="77"/>
      <c r="M320" s="78"/>
      <c r="N320" s="78"/>
      <c r="O320" s="78"/>
      <c r="P320" s="77"/>
      <c r="Q320" s="78"/>
      <c r="R320" s="77"/>
      <c r="S320" s="78"/>
      <c r="T320" s="77"/>
      <c r="U320" s="78"/>
      <c r="V320" s="77"/>
      <c r="W320" s="7"/>
      <c r="X320" s="27" t="str">
        <f t="shared" si="30"/>
        <v/>
      </c>
      <c r="Y320" s="3" t="s">
        <v>38</v>
      </c>
      <c r="Z320" s="3"/>
      <c r="AA320" s="3" t="s">
        <v>17</v>
      </c>
      <c r="AB320" s="91" t="s">
        <v>163</v>
      </c>
      <c r="AC320" s="92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7"/>
      <c r="AO320" s="38"/>
      <c r="AP320" s="38"/>
      <c r="AQ320" s="38"/>
      <c r="AR320" s="43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</row>
    <row r="321" spans="1:54" s="5" customFormat="1" hidden="1" x14ac:dyDescent="0.25">
      <c r="A321" s="7"/>
      <c r="B321" s="77"/>
      <c r="C321" s="78"/>
      <c r="D321" s="78"/>
      <c r="E321" s="83"/>
      <c r="F321" s="78"/>
      <c r="G321" s="77"/>
      <c r="H321" s="80"/>
      <c r="I321" s="83"/>
      <c r="J321" s="78"/>
      <c r="K321" s="78"/>
      <c r="L321" s="77"/>
      <c r="M321" s="78"/>
      <c r="N321" s="78"/>
      <c r="O321" s="78"/>
      <c r="P321" s="77"/>
      <c r="Q321" s="78"/>
      <c r="R321" s="77"/>
      <c r="S321" s="78"/>
      <c r="T321" s="77"/>
      <c r="U321" s="78"/>
      <c r="V321" s="77"/>
      <c r="W321" s="7"/>
      <c r="X321" s="27" t="str">
        <f t="shared" si="30"/>
        <v/>
      </c>
      <c r="Y321" s="3" t="s">
        <v>44</v>
      </c>
      <c r="Z321" s="3"/>
      <c r="AA321" s="3" t="s">
        <v>17</v>
      </c>
      <c r="AB321" s="91" t="s">
        <v>163</v>
      </c>
      <c r="AC321" s="92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7"/>
      <c r="AO321" s="38"/>
      <c r="AP321" s="38"/>
      <c r="AQ321" s="38"/>
      <c r="AR321" s="43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</row>
    <row r="322" spans="1:54" s="5" customFormat="1" hidden="1" x14ac:dyDescent="0.25">
      <c r="A322" s="7"/>
      <c r="B322" s="77"/>
      <c r="C322" s="78"/>
      <c r="D322" s="78"/>
      <c r="E322" s="83"/>
      <c r="F322" s="78"/>
      <c r="G322" s="77"/>
      <c r="H322" s="80"/>
      <c r="I322" s="83"/>
      <c r="J322" s="78"/>
      <c r="K322" s="78"/>
      <c r="L322" s="77"/>
      <c r="M322" s="78"/>
      <c r="N322" s="78"/>
      <c r="O322" s="78"/>
      <c r="P322" s="77"/>
      <c r="Q322" s="78"/>
      <c r="R322" s="77"/>
      <c r="S322" s="78"/>
      <c r="T322" s="77"/>
      <c r="U322" s="78"/>
      <c r="V322" s="77"/>
      <c r="W322" s="7"/>
      <c r="X322" s="27" t="str">
        <f t="shared" si="30"/>
        <v/>
      </c>
      <c r="Y322" s="3" t="s">
        <v>51</v>
      </c>
      <c r="Z322" s="3"/>
      <c r="AA322" s="3" t="s">
        <v>17</v>
      </c>
      <c r="AB322" s="91" t="s">
        <v>163</v>
      </c>
      <c r="AC322" s="92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7"/>
      <c r="AO322" s="38"/>
      <c r="AP322" s="38"/>
      <c r="AQ322" s="38"/>
      <c r="AR322" s="43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</row>
    <row r="323" spans="1:54" s="5" customFormat="1" hidden="1" x14ac:dyDescent="0.25">
      <c r="A323" s="7"/>
      <c r="B323" s="77"/>
      <c r="C323" s="78"/>
      <c r="D323" s="78"/>
      <c r="E323" s="83"/>
      <c r="F323" s="78"/>
      <c r="G323" s="77"/>
      <c r="H323" s="80"/>
      <c r="I323" s="83"/>
      <c r="J323" s="78"/>
      <c r="K323" s="78"/>
      <c r="L323" s="77"/>
      <c r="M323" s="78"/>
      <c r="N323" s="78"/>
      <c r="O323" s="78"/>
      <c r="P323" s="77"/>
      <c r="Q323" s="78"/>
      <c r="R323" s="77"/>
      <c r="S323" s="78"/>
      <c r="T323" s="77"/>
      <c r="U323" s="78"/>
      <c r="V323" s="77"/>
      <c r="W323" s="7"/>
      <c r="X323" s="27" t="str">
        <f t="shared" si="30"/>
        <v/>
      </c>
      <c r="Y323" s="3" t="s">
        <v>96</v>
      </c>
      <c r="Z323" s="3"/>
      <c r="AA323" s="3" t="s">
        <v>17</v>
      </c>
      <c r="AB323" s="91" t="s">
        <v>163</v>
      </c>
      <c r="AC323" s="93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7"/>
      <c r="AO323" s="38"/>
      <c r="AP323" s="38"/>
      <c r="AQ323" s="38"/>
      <c r="AR323" s="43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</row>
    <row r="324" spans="1:54" s="5" customFormat="1" hidden="1" x14ac:dyDescent="0.25">
      <c r="A324" s="7"/>
      <c r="B324" s="77"/>
      <c r="C324" s="78"/>
      <c r="D324" s="78"/>
      <c r="E324" s="83"/>
      <c r="F324" s="78"/>
      <c r="G324" s="77"/>
      <c r="H324" s="80"/>
      <c r="I324" s="83"/>
      <c r="J324" s="78"/>
      <c r="K324" s="78"/>
      <c r="L324" s="77"/>
      <c r="M324" s="78"/>
      <c r="N324" s="78"/>
      <c r="O324" s="78"/>
      <c r="P324" s="77"/>
      <c r="Q324" s="78"/>
      <c r="R324" s="77"/>
      <c r="S324" s="78"/>
      <c r="T324" s="77"/>
      <c r="U324" s="78"/>
      <c r="V324" s="77"/>
      <c r="W324" s="7"/>
      <c r="X324" s="27" t="str">
        <f t="shared" si="30"/>
        <v/>
      </c>
      <c r="Y324" s="3" t="s">
        <v>152</v>
      </c>
      <c r="Z324" s="3" t="s">
        <v>171</v>
      </c>
      <c r="AA324" s="3"/>
      <c r="AB324" s="91" t="s">
        <v>163</v>
      </c>
      <c r="AC324" s="93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7"/>
      <c r="AO324" s="38"/>
      <c r="AP324" s="38"/>
      <c r="AQ324" s="38"/>
      <c r="AR324" s="43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</row>
    <row r="325" spans="1:54" s="5" customFormat="1" hidden="1" x14ac:dyDescent="0.25">
      <c r="A325" s="7"/>
      <c r="B325" s="77"/>
      <c r="C325" s="78"/>
      <c r="D325" s="78"/>
      <c r="E325" s="83"/>
      <c r="F325" s="78"/>
      <c r="G325" s="77"/>
      <c r="H325" s="80"/>
      <c r="I325" s="83"/>
      <c r="J325" s="78"/>
      <c r="K325" s="78"/>
      <c r="L325" s="77"/>
      <c r="M325" s="78"/>
      <c r="N325" s="78"/>
      <c r="O325" s="78"/>
      <c r="P325" s="77"/>
      <c r="Q325" s="78"/>
      <c r="R325" s="77"/>
      <c r="S325" s="78"/>
      <c r="T325" s="77"/>
      <c r="U325" s="78"/>
      <c r="V325" s="77"/>
      <c r="W325" s="7"/>
      <c r="X325" s="27" t="str">
        <f t="shared" si="30"/>
        <v/>
      </c>
      <c r="Y325" s="3" t="s">
        <v>152</v>
      </c>
      <c r="Z325" s="3" t="s">
        <v>172</v>
      </c>
      <c r="AA325" s="3"/>
      <c r="AB325" s="91" t="s">
        <v>163</v>
      </c>
      <c r="AC325" s="93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7"/>
      <c r="AO325" s="38"/>
      <c r="AP325" s="38"/>
      <c r="AQ325" s="38"/>
      <c r="AR325" s="43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</row>
    <row r="326" spans="1:54" s="5" customFormat="1" hidden="1" x14ac:dyDescent="0.25">
      <c r="A326" s="7"/>
      <c r="B326" s="77"/>
      <c r="C326" s="78"/>
      <c r="D326" s="78"/>
      <c r="E326" s="83"/>
      <c r="F326" s="78"/>
      <c r="G326" s="77"/>
      <c r="H326" s="80"/>
      <c r="I326" s="83"/>
      <c r="J326" s="78"/>
      <c r="K326" s="78"/>
      <c r="L326" s="77"/>
      <c r="M326" s="78"/>
      <c r="N326" s="78"/>
      <c r="O326" s="78"/>
      <c r="P326" s="77"/>
      <c r="Q326" s="78"/>
      <c r="R326" s="77"/>
      <c r="S326" s="78"/>
      <c r="T326" s="77"/>
      <c r="U326" s="78"/>
      <c r="V326" s="77"/>
      <c r="W326" s="7"/>
      <c r="X326" s="27" t="str">
        <f t="shared" si="30"/>
        <v/>
      </c>
      <c r="Y326" s="3" t="s">
        <v>152</v>
      </c>
      <c r="Z326" s="3" t="s">
        <v>170</v>
      </c>
      <c r="AA326" s="3"/>
      <c r="AB326" s="91" t="s">
        <v>163</v>
      </c>
      <c r="AC326" s="93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7"/>
      <c r="AO326" s="38"/>
      <c r="AP326" s="38"/>
      <c r="AQ326" s="38"/>
      <c r="AR326" s="43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</row>
    <row r="327" spans="1:54" s="5" customFormat="1" hidden="1" x14ac:dyDescent="0.25">
      <c r="A327" s="7"/>
      <c r="B327" s="77"/>
      <c r="C327" s="78"/>
      <c r="D327" s="78"/>
      <c r="E327" s="83"/>
      <c r="F327" s="78"/>
      <c r="G327" s="77"/>
      <c r="H327" s="80"/>
      <c r="I327" s="83"/>
      <c r="J327" s="78"/>
      <c r="K327" s="78"/>
      <c r="L327" s="77"/>
      <c r="M327" s="78"/>
      <c r="N327" s="78"/>
      <c r="O327" s="78"/>
      <c r="P327" s="77"/>
      <c r="Q327" s="78"/>
      <c r="R327" s="77"/>
      <c r="S327" s="78"/>
      <c r="T327" s="77"/>
      <c r="U327" s="78"/>
      <c r="V327" s="77"/>
      <c r="W327" s="7"/>
      <c r="X327" s="27" t="str">
        <f t="shared" si="30"/>
        <v/>
      </c>
      <c r="Y327" s="3" t="s">
        <v>47</v>
      </c>
      <c r="Z327" s="3"/>
      <c r="AA327" s="3" t="s">
        <v>119</v>
      </c>
      <c r="AB327" s="91" t="s">
        <v>163</v>
      </c>
      <c r="AC327" s="92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7"/>
      <c r="AO327" s="38"/>
      <c r="AP327" s="38"/>
      <c r="AQ327" s="38"/>
      <c r="AR327" s="43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</row>
    <row r="328" spans="1:54" s="5" customFormat="1" hidden="1" x14ac:dyDescent="0.25">
      <c r="A328" s="7"/>
      <c r="B328" s="77"/>
      <c r="C328" s="78"/>
      <c r="D328" s="78"/>
      <c r="E328" s="83"/>
      <c r="F328" s="78"/>
      <c r="G328" s="77"/>
      <c r="H328" s="80"/>
      <c r="I328" s="83"/>
      <c r="J328" s="78"/>
      <c r="K328" s="78"/>
      <c r="L328" s="77"/>
      <c r="M328" s="78"/>
      <c r="N328" s="78"/>
      <c r="O328" s="78"/>
      <c r="P328" s="77"/>
      <c r="Q328" s="78"/>
      <c r="R328" s="77"/>
      <c r="S328" s="78"/>
      <c r="T328" s="77"/>
      <c r="U328" s="78"/>
      <c r="V328" s="77"/>
      <c r="W328" s="7"/>
      <c r="X328" s="27" t="str">
        <f t="shared" si="30"/>
        <v/>
      </c>
      <c r="Y328" s="3" t="s">
        <v>48</v>
      </c>
      <c r="Z328" s="3"/>
      <c r="AA328" s="3" t="s">
        <v>119</v>
      </c>
      <c r="AB328" s="91" t="s">
        <v>163</v>
      </c>
      <c r="AC328" s="92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7"/>
      <c r="AO328" s="38"/>
      <c r="AP328" s="38"/>
      <c r="AQ328" s="38"/>
      <c r="AR328" s="43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</row>
    <row r="329" spans="1:54" s="5" customFormat="1" hidden="1" x14ac:dyDescent="0.25">
      <c r="A329" s="7"/>
      <c r="B329" s="77"/>
      <c r="C329" s="78"/>
      <c r="D329" s="78"/>
      <c r="E329" s="83"/>
      <c r="F329" s="78"/>
      <c r="G329" s="77"/>
      <c r="H329" s="80"/>
      <c r="I329" s="83"/>
      <c r="J329" s="78"/>
      <c r="K329" s="78"/>
      <c r="L329" s="77"/>
      <c r="M329" s="78"/>
      <c r="N329" s="78"/>
      <c r="O329" s="78"/>
      <c r="P329" s="77"/>
      <c r="Q329" s="78"/>
      <c r="R329" s="77"/>
      <c r="S329" s="78"/>
      <c r="T329" s="77"/>
      <c r="U329" s="78"/>
      <c r="V329" s="77"/>
      <c r="W329" s="7"/>
      <c r="X329" s="27" t="str">
        <f t="shared" si="30"/>
        <v/>
      </c>
      <c r="Y329" s="3" t="s">
        <v>95</v>
      </c>
      <c r="Z329" s="3"/>
      <c r="AA329" s="3" t="s">
        <v>58</v>
      </c>
      <c r="AB329" s="91" t="s">
        <v>163</v>
      </c>
      <c r="AC329" s="92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7"/>
      <c r="AO329" s="38"/>
      <c r="AP329" s="38"/>
      <c r="AQ329" s="38"/>
      <c r="AR329" s="43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</row>
    <row r="330" spans="1:54" s="5" customFormat="1" hidden="1" x14ac:dyDescent="0.25">
      <c r="A330" s="7"/>
      <c r="B330" s="77"/>
      <c r="C330" s="78"/>
      <c r="D330" s="78"/>
      <c r="E330" s="83"/>
      <c r="F330" s="78"/>
      <c r="G330" s="77"/>
      <c r="H330" s="80"/>
      <c r="I330" s="83"/>
      <c r="J330" s="78"/>
      <c r="K330" s="78"/>
      <c r="L330" s="77"/>
      <c r="M330" s="78"/>
      <c r="N330" s="78"/>
      <c r="O330" s="78"/>
      <c r="P330" s="77"/>
      <c r="Q330" s="78"/>
      <c r="R330" s="77"/>
      <c r="S330" s="78"/>
      <c r="T330" s="77"/>
      <c r="U330" s="78"/>
      <c r="V330" s="77"/>
      <c r="W330" s="7"/>
      <c r="X330" s="27" t="str">
        <f t="shared" si="30"/>
        <v/>
      </c>
      <c r="Y330" s="3" t="s">
        <v>92</v>
      </c>
      <c r="Z330" s="3"/>
      <c r="AA330" s="3" t="s">
        <v>119</v>
      </c>
      <c r="AB330" s="91" t="s">
        <v>163</v>
      </c>
      <c r="AC330" s="94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7"/>
      <c r="AO330" s="38"/>
      <c r="AP330" s="38"/>
      <c r="AQ330" s="38"/>
      <c r="AR330" s="43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</row>
    <row r="331" spans="1:54" s="5" customFormat="1" x14ac:dyDescent="0.25">
      <c r="A331" s="7"/>
      <c r="B331" s="77"/>
      <c r="C331" s="78"/>
      <c r="D331" s="78"/>
      <c r="E331" s="83"/>
      <c r="F331" s="78"/>
      <c r="G331" s="77"/>
      <c r="H331" s="80"/>
      <c r="I331" s="83"/>
      <c r="J331" s="77"/>
      <c r="K331" s="78"/>
      <c r="L331" s="78"/>
      <c r="M331" s="78"/>
      <c r="N331" s="78"/>
      <c r="O331" s="78"/>
      <c r="P331" s="77"/>
      <c r="Q331" s="78"/>
      <c r="R331" s="77"/>
      <c r="S331" s="78"/>
      <c r="T331" s="77"/>
      <c r="U331" s="78"/>
      <c r="V331" s="77"/>
      <c r="W331" s="7"/>
      <c r="X331" s="27" t="str">
        <f t="shared" si="30"/>
        <v/>
      </c>
      <c r="Y331" s="6"/>
      <c r="Z331" s="6"/>
      <c r="AA331" s="6"/>
      <c r="AB331" s="11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7"/>
      <c r="AO331" s="15"/>
      <c r="AP331" s="15"/>
      <c r="AQ331" s="15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</row>
    <row r="332" spans="1:54" s="5" customFormat="1" x14ac:dyDescent="0.25">
      <c r="A332" s="7"/>
      <c r="B332" s="77"/>
      <c r="C332" s="78"/>
      <c r="D332" s="78"/>
      <c r="E332" s="83"/>
      <c r="F332" s="78"/>
      <c r="G332" s="77"/>
      <c r="H332" s="80"/>
      <c r="I332" s="84"/>
      <c r="J332" s="77"/>
      <c r="K332" s="78"/>
      <c r="L332" s="78"/>
      <c r="M332" s="78"/>
      <c r="N332" s="78"/>
      <c r="O332" s="78"/>
      <c r="P332" s="77"/>
      <c r="Q332" s="78"/>
      <c r="R332" s="77"/>
      <c r="S332" s="78"/>
      <c r="T332" s="77"/>
      <c r="U332" s="78"/>
      <c r="V332" s="77"/>
      <c r="W332" s="7"/>
      <c r="X332" s="27" t="str">
        <f t="shared" si="30"/>
        <v/>
      </c>
      <c r="Y332" s="6"/>
      <c r="Z332" s="6"/>
      <c r="AA332" s="6"/>
      <c r="AB332" s="11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7"/>
      <c r="AO332" s="15"/>
      <c r="AP332" s="15"/>
      <c r="AQ332" s="15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</row>
    <row r="333" spans="1:54" s="5" customFormat="1" x14ac:dyDescent="0.25">
      <c r="A333" s="7"/>
      <c r="B333" s="77"/>
      <c r="C333" s="78"/>
      <c r="D333" s="78"/>
      <c r="E333" s="83"/>
      <c r="F333" s="78"/>
      <c r="G333" s="77"/>
      <c r="H333" s="78"/>
      <c r="I333" s="82"/>
      <c r="J333" s="33" t="s">
        <v>136</v>
      </c>
      <c r="K333" s="83"/>
      <c r="L333" s="77"/>
      <c r="M333" s="78"/>
      <c r="N333" s="77"/>
      <c r="O333" s="78"/>
      <c r="P333" s="77"/>
      <c r="Q333" s="78"/>
      <c r="R333" s="77"/>
      <c r="S333" s="78"/>
      <c r="T333" s="77"/>
      <c r="U333" s="78"/>
      <c r="V333" s="77"/>
      <c r="W333" s="7"/>
      <c r="X333" s="28" t="str">
        <f t="shared" si="30"/>
        <v>Dishwashing</v>
      </c>
      <c r="Y333" s="6"/>
      <c r="Z333" s="6"/>
      <c r="AA333" s="6"/>
      <c r="AB333" s="11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7"/>
      <c r="AO333" s="15"/>
      <c r="AP333" s="15"/>
      <c r="AQ333" s="15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</row>
    <row r="334" spans="1:54" s="5" customFormat="1" hidden="1" x14ac:dyDescent="0.25">
      <c r="A334" s="7"/>
      <c r="B334" s="77"/>
      <c r="C334" s="78"/>
      <c r="D334" s="78"/>
      <c r="E334" s="83"/>
      <c r="F334" s="78"/>
      <c r="G334" s="77"/>
      <c r="H334" s="78"/>
      <c r="I334" s="83"/>
      <c r="J334" s="105"/>
      <c r="K334" s="78"/>
      <c r="L334" s="77"/>
      <c r="M334" s="78"/>
      <c r="N334" s="77"/>
      <c r="O334" s="78"/>
      <c r="P334" s="77"/>
      <c r="Q334" s="78"/>
      <c r="R334" s="77"/>
      <c r="S334" s="78"/>
      <c r="T334" s="77"/>
      <c r="U334" s="78"/>
      <c r="V334" s="77"/>
      <c r="W334" s="7"/>
      <c r="X334" s="28" t="str">
        <f t="shared" si="30"/>
        <v/>
      </c>
      <c r="Y334" s="6" t="s">
        <v>94</v>
      </c>
      <c r="Z334" s="3" t="s">
        <v>164</v>
      </c>
      <c r="AA334" s="3"/>
      <c r="AB334" s="18" t="s">
        <v>36</v>
      </c>
      <c r="AC334" s="3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7"/>
      <c r="AO334" s="15"/>
      <c r="AP334" s="15"/>
      <c r="AQ334" s="15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</row>
    <row r="335" spans="1:54" s="5" customFormat="1" hidden="1" x14ac:dyDescent="0.25">
      <c r="A335" s="7"/>
      <c r="B335" s="77"/>
      <c r="C335" s="78"/>
      <c r="D335" s="78"/>
      <c r="E335" s="83"/>
      <c r="F335" s="78"/>
      <c r="G335" s="77"/>
      <c r="H335" s="78"/>
      <c r="I335" s="83"/>
      <c r="J335" s="105"/>
      <c r="K335" s="78"/>
      <c r="L335" s="77"/>
      <c r="M335" s="78"/>
      <c r="N335" s="77"/>
      <c r="O335" s="78"/>
      <c r="P335" s="77"/>
      <c r="Q335" s="78"/>
      <c r="R335" s="77"/>
      <c r="S335" s="78"/>
      <c r="T335" s="77"/>
      <c r="U335" s="78"/>
      <c r="V335" s="77"/>
      <c r="W335" s="7"/>
      <c r="X335" s="28" t="str">
        <f t="shared" si="30"/>
        <v/>
      </c>
      <c r="Y335" s="3" t="s">
        <v>59</v>
      </c>
      <c r="Z335" s="3"/>
      <c r="AA335" s="3"/>
      <c r="AB335" s="18" t="s">
        <v>23</v>
      </c>
      <c r="AC335" s="3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7"/>
      <c r="AO335" s="15"/>
      <c r="AP335" s="15"/>
      <c r="AQ335" s="15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</row>
    <row r="336" spans="1:54" s="5" customFormat="1" hidden="1" x14ac:dyDescent="0.25">
      <c r="A336" s="7"/>
      <c r="B336" s="77"/>
      <c r="C336" s="78"/>
      <c r="D336" s="78"/>
      <c r="E336" s="83"/>
      <c r="F336" s="78"/>
      <c r="G336" s="77"/>
      <c r="H336" s="78"/>
      <c r="I336" s="83"/>
      <c r="J336" s="105"/>
      <c r="K336" s="78"/>
      <c r="L336" s="77"/>
      <c r="M336" s="78"/>
      <c r="N336" s="77"/>
      <c r="O336" s="78"/>
      <c r="P336" s="77"/>
      <c r="Q336" s="78"/>
      <c r="R336" s="77"/>
      <c r="S336" s="78"/>
      <c r="T336" s="77"/>
      <c r="U336" s="78"/>
      <c r="V336" s="77"/>
      <c r="W336" s="7"/>
      <c r="X336" s="28" t="str">
        <f t="shared" si="30"/>
        <v/>
      </c>
      <c r="Y336" s="3" t="s">
        <v>81</v>
      </c>
      <c r="Z336" s="3"/>
      <c r="AA336" s="3"/>
      <c r="AB336" s="18" t="s">
        <v>37</v>
      </c>
      <c r="AC336" s="3">
        <v>10</v>
      </c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7"/>
      <c r="AO336" s="15"/>
      <c r="AP336" s="15"/>
      <c r="AQ336" s="15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</row>
    <row r="337" spans="1:54" s="5" customFormat="1" hidden="1" x14ac:dyDescent="0.25">
      <c r="A337" s="7"/>
      <c r="B337" s="77"/>
      <c r="C337" s="78"/>
      <c r="D337" s="78"/>
      <c r="E337" s="83"/>
      <c r="F337" s="78"/>
      <c r="G337" s="77"/>
      <c r="H337" s="78"/>
      <c r="I337" s="83"/>
      <c r="J337" s="105"/>
      <c r="K337" s="78"/>
      <c r="L337" s="77"/>
      <c r="M337" s="78"/>
      <c r="N337" s="77"/>
      <c r="O337" s="78"/>
      <c r="P337" s="77"/>
      <c r="Q337" s="78"/>
      <c r="R337" s="77"/>
      <c r="S337" s="78"/>
      <c r="T337" s="77"/>
      <c r="U337" s="78"/>
      <c r="V337" s="77"/>
      <c r="W337" s="7"/>
      <c r="X337" s="28" t="str">
        <f t="shared" si="30"/>
        <v/>
      </c>
      <c r="Y337" s="3" t="s">
        <v>64</v>
      </c>
      <c r="Z337" s="3"/>
      <c r="AA337" s="3"/>
      <c r="AB337" s="18" t="s">
        <v>34</v>
      </c>
      <c r="AC337" s="3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7"/>
      <c r="AO337" s="15"/>
      <c r="AP337" s="15"/>
      <c r="AQ337" s="15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</row>
    <row r="338" spans="1:54" s="5" customFormat="1" hidden="1" x14ac:dyDescent="0.25">
      <c r="A338" s="7"/>
      <c r="B338" s="77"/>
      <c r="C338" s="78"/>
      <c r="D338" s="78"/>
      <c r="E338" s="83"/>
      <c r="F338" s="78"/>
      <c r="G338" s="77"/>
      <c r="H338" s="78"/>
      <c r="I338" s="83"/>
      <c r="J338" s="105"/>
      <c r="K338" s="78"/>
      <c r="L338" s="77"/>
      <c r="M338" s="78"/>
      <c r="N338" s="77"/>
      <c r="O338" s="78"/>
      <c r="P338" s="77"/>
      <c r="Q338" s="78"/>
      <c r="R338" s="77"/>
      <c r="S338" s="78"/>
      <c r="T338" s="77"/>
      <c r="U338" s="78"/>
      <c r="V338" s="77"/>
      <c r="W338" s="7"/>
      <c r="X338" s="28" t="str">
        <f t="shared" si="30"/>
        <v/>
      </c>
      <c r="Y338" s="3" t="s">
        <v>41</v>
      </c>
      <c r="Z338" s="3"/>
      <c r="AA338" s="3" t="s">
        <v>43</v>
      </c>
      <c r="AB338" s="18" t="s">
        <v>34</v>
      </c>
      <c r="AC338" s="3">
        <v>1990</v>
      </c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7"/>
      <c r="AO338" s="15"/>
      <c r="AP338" s="15"/>
      <c r="AQ338" s="15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</row>
    <row r="339" spans="1:54" s="5" customFormat="1" hidden="1" x14ac:dyDescent="0.25">
      <c r="A339" s="7"/>
      <c r="B339" s="77"/>
      <c r="C339" s="78"/>
      <c r="D339" s="78"/>
      <c r="E339" s="83"/>
      <c r="F339" s="78"/>
      <c r="G339" s="77"/>
      <c r="H339" s="78"/>
      <c r="I339" s="83"/>
      <c r="J339" s="105"/>
      <c r="K339" s="78"/>
      <c r="L339" s="77"/>
      <c r="M339" s="78"/>
      <c r="N339" s="77"/>
      <c r="O339" s="78"/>
      <c r="P339" s="77"/>
      <c r="Q339" s="78"/>
      <c r="R339" s="77"/>
      <c r="S339" s="78"/>
      <c r="T339" s="77"/>
      <c r="U339" s="78"/>
      <c r="V339" s="77"/>
      <c r="W339" s="7"/>
      <c r="X339" s="28" t="str">
        <f t="shared" si="30"/>
        <v/>
      </c>
      <c r="Y339" s="3" t="s">
        <v>40</v>
      </c>
      <c r="Z339" s="3"/>
      <c r="AA339" s="3" t="s">
        <v>43</v>
      </c>
      <c r="AB339" s="18" t="s">
        <v>34</v>
      </c>
      <c r="AC339" s="3">
        <v>2100</v>
      </c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7"/>
      <c r="AO339" s="15"/>
      <c r="AP339" s="15"/>
      <c r="AQ339" s="15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</row>
    <row r="340" spans="1:54" s="5" customFormat="1" hidden="1" x14ac:dyDescent="0.25">
      <c r="A340" s="7"/>
      <c r="B340" s="77"/>
      <c r="C340" s="78"/>
      <c r="D340" s="78"/>
      <c r="E340" s="83"/>
      <c r="F340" s="78"/>
      <c r="G340" s="77"/>
      <c r="H340" s="78"/>
      <c r="I340" s="83"/>
      <c r="J340" s="105"/>
      <c r="K340" s="78"/>
      <c r="L340" s="77"/>
      <c r="M340" s="78"/>
      <c r="N340" s="77"/>
      <c r="O340" s="78"/>
      <c r="P340" s="77"/>
      <c r="Q340" s="78"/>
      <c r="R340" s="77"/>
      <c r="S340" s="78"/>
      <c r="T340" s="77"/>
      <c r="U340" s="78"/>
      <c r="V340" s="77"/>
      <c r="W340" s="7"/>
      <c r="X340" s="28" t="str">
        <f t="shared" si="30"/>
        <v/>
      </c>
      <c r="Y340" s="3" t="s">
        <v>42</v>
      </c>
      <c r="Z340" s="3"/>
      <c r="AA340" s="3" t="s">
        <v>10</v>
      </c>
      <c r="AB340" s="18" t="s">
        <v>34</v>
      </c>
      <c r="AC340" s="3">
        <v>25</v>
      </c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7"/>
      <c r="AO340" s="15"/>
      <c r="AP340" s="15"/>
      <c r="AQ340" s="15"/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</row>
    <row r="341" spans="1:54" s="5" customFormat="1" hidden="1" x14ac:dyDescent="0.25">
      <c r="A341" s="7"/>
      <c r="B341" s="77"/>
      <c r="C341" s="78"/>
      <c r="D341" s="78"/>
      <c r="E341" s="83"/>
      <c r="F341" s="78"/>
      <c r="G341" s="77"/>
      <c r="H341" s="78"/>
      <c r="I341" s="83"/>
      <c r="J341" s="105"/>
      <c r="K341" s="78"/>
      <c r="L341" s="77"/>
      <c r="M341" s="78"/>
      <c r="N341" s="77"/>
      <c r="O341" s="78"/>
      <c r="P341" s="77"/>
      <c r="Q341" s="78"/>
      <c r="R341" s="77"/>
      <c r="S341" s="78"/>
      <c r="T341" s="77"/>
      <c r="U341" s="78"/>
      <c r="V341" s="77"/>
      <c r="W341" s="7"/>
      <c r="X341" s="28" t="str">
        <f t="shared" si="30"/>
        <v/>
      </c>
      <c r="Y341" s="3" t="s">
        <v>68</v>
      </c>
      <c r="Z341" s="3"/>
      <c r="AA341" s="3" t="s">
        <v>119</v>
      </c>
      <c r="AB341" s="18" t="s">
        <v>34</v>
      </c>
      <c r="AC341" s="3">
        <v>0.25</v>
      </c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7"/>
      <c r="AO341" s="15"/>
      <c r="AP341" s="15"/>
      <c r="AQ341" s="15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</row>
    <row r="342" spans="1:54" s="5" customFormat="1" hidden="1" x14ac:dyDescent="0.25">
      <c r="A342" s="7"/>
      <c r="B342" s="77"/>
      <c r="C342" s="78"/>
      <c r="D342" s="78"/>
      <c r="E342" s="83"/>
      <c r="F342" s="78"/>
      <c r="G342" s="77"/>
      <c r="H342" s="78"/>
      <c r="I342" s="83"/>
      <c r="J342" s="105"/>
      <c r="K342" s="78"/>
      <c r="L342" s="77"/>
      <c r="M342" s="78"/>
      <c r="N342" s="77"/>
      <c r="O342" s="78"/>
      <c r="P342" s="77"/>
      <c r="Q342" s="78"/>
      <c r="R342" s="77"/>
      <c r="S342" s="78"/>
      <c r="T342" s="77"/>
      <c r="U342" s="78"/>
      <c r="V342" s="77"/>
      <c r="W342" s="7"/>
      <c r="X342" s="28" t="str">
        <f t="shared" si="30"/>
        <v/>
      </c>
      <c r="Y342" s="3" t="s">
        <v>38</v>
      </c>
      <c r="Z342" s="3"/>
      <c r="AA342" s="3" t="s">
        <v>17</v>
      </c>
      <c r="AB342" s="18" t="s">
        <v>34</v>
      </c>
      <c r="AC342" s="3">
        <v>15</v>
      </c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7"/>
      <c r="AO342" s="15"/>
      <c r="AP342" s="15"/>
      <c r="AQ342" s="15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</row>
    <row r="343" spans="1:54" s="5" customFormat="1" hidden="1" x14ac:dyDescent="0.25">
      <c r="A343" s="7"/>
      <c r="B343" s="77"/>
      <c r="C343" s="78"/>
      <c r="D343" s="78"/>
      <c r="E343" s="83"/>
      <c r="F343" s="78"/>
      <c r="G343" s="77"/>
      <c r="H343" s="78"/>
      <c r="I343" s="83"/>
      <c r="J343" s="105"/>
      <c r="K343" s="78"/>
      <c r="L343" s="77"/>
      <c r="M343" s="78"/>
      <c r="N343" s="77"/>
      <c r="O343" s="78"/>
      <c r="P343" s="77"/>
      <c r="Q343" s="78"/>
      <c r="R343" s="77"/>
      <c r="S343" s="78"/>
      <c r="T343" s="77"/>
      <c r="U343" s="78"/>
      <c r="V343" s="77"/>
      <c r="W343" s="7"/>
      <c r="X343" s="28" t="str">
        <f t="shared" si="30"/>
        <v/>
      </c>
      <c r="Y343" s="3" t="s">
        <v>44</v>
      </c>
      <c r="Z343" s="3"/>
      <c r="AA343" s="3" t="s">
        <v>17</v>
      </c>
      <c r="AB343" s="18" t="s">
        <v>34</v>
      </c>
      <c r="AC343" s="3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7"/>
      <c r="AO343" s="15"/>
      <c r="AP343" s="15"/>
      <c r="AQ343" s="15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</row>
    <row r="344" spans="1:54" s="5" customFormat="1" hidden="1" x14ac:dyDescent="0.25">
      <c r="A344" s="7"/>
      <c r="B344" s="77"/>
      <c r="C344" s="78"/>
      <c r="D344" s="78"/>
      <c r="E344" s="83"/>
      <c r="F344" s="78"/>
      <c r="G344" s="77"/>
      <c r="H344" s="78"/>
      <c r="I344" s="83"/>
      <c r="J344" s="105"/>
      <c r="K344" s="78"/>
      <c r="L344" s="77"/>
      <c r="M344" s="78"/>
      <c r="N344" s="77"/>
      <c r="O344" s="78"/>
      <c r="P344" s="77"/>
      <c r="Q344" s="78"/>
      <c r="R344" s="77"/>
      <c r="S344" s="78"/>
      <c r="T344" s="77"/>
      <c r="U344" s="78"/>
      <c r="V344" s="77"/>
      <c r="W344" s="7"/>
      <c r="X344" s="28" t="str">
        <f t="shared" si="30"/>
        <v/>
      </c>
      <c r="Y344" s="3" t="s">
        <v>51</v>
      </c>
      <c r="Z344" s="3"/>
      <c r="AA344" s="3" t="s">
        <v>17</v>
      </c>
      <c r="AB344" s="18" t="s">
        <v>34</v>
      </c>
      <c r="AC344" s="3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7"/>
      <c r="AO344" s="15"/>
      <c r="AP344" s="15"/>
      <c r="AQ344" s="15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</row>
    <row r="345" spans="1:54" s="5" customFormat="1" hidden="1" x14ac:dyDescent="0.25">
      <c r="A345" s="7"/>
      <c r="B345" s="77"/>
      <c r="C345" s="78"/>
      <c r="D345" s="78"/>
      <c r="E345" s="83"/>
      <c r="F345" s="78"/>
      <c r="G345" s="77"/>
      <c r="H345" s="78"/>
      <c r="I345" s="83"/>
      <c r="J345" s="105"/>
      <c r="K345" s="78"/>
      <c r="L345" s="77"/>
      <c r="M345" s="78"/>
      <c r="N345" s="77"/>
      <c r="O345" s="78"/>
      <c r="P345" s="77"/>
      <c r="Q345" s="78"/>
      <c r="R345" s="77"/>
      <c r="S345" s="78"/>
      <c r="T345" s="77"/>
      <c r="U345" s="78"/>
      <c r="V345" s="77"/>
      <c r="W345" s="7"/>
      <c r="X345" s="28" t="str">
        <f t="shared" si="30"/>
        <v/>
      </c>
      <c r="Y345" s="3" t="s">
        <v>96</v>
      </c>
      <c r="Z345" s="3" t="s">
        <v>148</v>
      </c>
      <c r="AA345" s="3" t="s">
        <v>17</v>
      </c>
      <c r="AB345" s="18" t="s">
        <v>34</v>
      </c>
      <c r="AC345" s="23">
        <f>AC350*$AC$23</f>
        <v>22</v>
      </c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7"/>
      <c r="AO345" s="15"/>
      <c r="AP345" s="15"/>
      <c r="AQ345" s="15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</row>
    <row r="346" spans="1:54" s="5" customFormat="1" hidden="1" x14ac:dyDescent="0.25">
      <c r="A346" s="7"/>
      <c r="B346" s="77"/>
      <c r="C346" s="78"/>
      <c r="D346" s="78"/>
      <c r="E346" s="83"/>
      <c r="F346" s="78"/>
      <c r="G346" s="77"/>
      <c r="H346" s="78"/>
      <c r="I346" s="83"/>
      <c r="J346" s="105"/>
      <c r="K346" s="78"/>
      <c r="L346" s="77"/>
      <c r="M346" s="78"/>
      <c r="N346" s="77"/>
      <c r="O346" s="78"/>
      <c r="P346" s="77"/>
      <c r="Q346" s="78"/>
      <c r="R346" s="77"/>
      <c r="S346" s="78"/>
      <c r="T346" s="77"/>
      <c r="U346" s="78"/>
      <c r="V346" s="77"/>
      <c r="W346" s="7"/>
      <c r="X346" s="28" t="str">
        <f t="shared" si="30"/>
        <v/>
      </c>
      <c r="Y346" s="3" t="s">
        <v>47</v>
      </c>
      <c r="Z346" s="3"/>
      <c r="AA346" s="3" t="s">
        <v>119</v>
      </c>
      <c r="AB346" s="18" t="s">
        <v>34</v>
      </c>
      <c r="AC346" s="3">
        <v>1</v>
      </c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7"/>
      <c r="AO346" s="15"/>
      <c r="AP346" s="15"/>
      <c r="AQ346" s="15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</row>
    <row r="347" spans="1:54" s="5" customFormat="1" hidden="1" x14ac:dyDescent="0.25">
      <c r="A347" s="7"/>
      <c r="B347" s="77"/>
      <c r="C347" s="78"/>
      <c r="D347" s="78"/>
      <c r="E347" s="83"/>
      <c r="F347" s="78"/>
      <c r="G347" s="77"/>
      <c r="H347" s="78"/>
      <c r="I347" s="83"/>
      <c r="J347" s="105"/>
      <c r="K347" s="78"/>
      <c r="L347" s="77"/>
      <c r="M347" s="78"/>
      <c r="N347" s="77"/>
      <c r="O347" s="78"/>
      <c r="P347" s="77"/>
      <c r="Q347" s="78"/>
      <c r="R347" s="77"/>
      <c r="S347" s="78"/>
      <c r="T347" s="77"/>
      <c r="U347" s="78"/>
      <c r="V347" s="77"/>
      <c r="W347" s="7"/>
      <c r="X347" s="28" t="str">
        <f t="shared" si="30"/>
        <v/>
      </c>
      <c r="Y347" s="3" t="s">
        <v>48</v>
      </c>
      <c r="Z347" s="3"/>
      <c r="AA347" s="3" t="s">
        <v>119</v>
      </c>
      <c r="AB347" s="18" t="s">
        <v>34</v>
      </c>
      <c r="AC347" s="3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7"/>
      <c r="AO347" s="15"/>
      <c r="AP347" s="15"/>
      <c r="AQ347" s="15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</row>
    <row r="348" spans="1:54" s="5" customFormat="1" hidden="1" x14ac:dyDescent="0.25">
      <c r="A348" s="7"/>
      <c r="B348" s="77"/>
      <c r="C348" s="78"/>
      <c r="D348" s="78"/>
      <c r="E348" s="83"/>
      <c r="F348" s="78"/>
      <c r="G348" s="77"/>
      <c r="H348" s="78"/>
      <c r="I348" s="83"/>
      <c r="J348" s="105"/>
      <c r="K348" s="78"/>
      <c r="L348" s="77"/>
      <c r="M348" s="78"/>
      <c r="N348" s="77"/>
      <c r="O348" s="78"/>
      <c r="P348" s="77"/>
      <c r="Q348" s="78"/>
      <c r="R348" s="77"/>
      <c r="S348" s="78"/>
      <c r="T348" s="77"/>
      <c r="U348" s="78"/>
      <c r="V348" s="77"/>
      <c r="W348" s="7"/>
      <c r="X348" s="28" t="str">
        <f t="shared" si="30"/>
        <v/>
      </c>
      <c r="Y348" s="3" t="s">
        <v>49</v>
      </c>
      <c r="Z348" s="3"/>
      <c r="AA348" s="3" t="s">
        <v>119</v>
      </c>
      <c r="AB348" s="18" t="s">
        <v>34</v>
      </c>
      <c r="AC348" s="3">
        <v>1</v>
      </c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7"/>
      <c r="AO348" s="15"/>
      <c r="AP348" s="15"/>
      <c r="AQ348" s="15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</row>
    <row r="349" spans="1:54" s="5" customFormat="1" hidden="1" x14ac:dyDescent="0.25">
      <c r="A349" s="7"/>
      <c r="B349" s="77"/>
      <c r="C349" s="78"/>
      <c r="D349" s="78"/>
      <c r="E349" s="83"/>
      <c r="F349" s="78"/>
      <c r="G349" s="77"/>
      <c r="H349" s="78"/>
      <c r="I349" s="83"/>
      <c r="J349" s="105"/>
      <c r="K349" s="78"/>
      <c r="L349" s="77"/>
      <c r="M349" s="78"/>
      <c r="N349" s="77"/>
      <c r="O349" s="78"/>
      <c r="P349" s="77"/>
      <c r="Q349" s="78"/>
      <c r="R349" s="77"/>
      <c r="S349" s="78"/>
      <c r="T349" s="77"/>
      <c r="U349" s="78"/>
      <c r="V349" s="77"/>
      <c r="W349" s="7"/>
      <c r="X349" s="28" t="str">
        <f t="shared" si="30"/>
        <v/>
      </c>
      <c r="Y349" s="3" t="s">
        <v>50</v>
      </c>
      <c r="Z349" s="3"/>
      <c r="AA349" s="3" t="s">
        <v>119</v>
      </c>
      <c r="AB349" s="18" t="s">
        <v>34</v>
      </c>
      <c r="AC349" s="3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7"/>
      <c r="AO349" s="15"/>
      <c r="AP349" s="15"/>
      <c r="AQ349" s="15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</row>
    <row r="350" spans="1:54" s="5" customFormat="1" hidden="1" x14ac:dyDescent="0.25">
      <c r="A350" s="7"/>
      <c r="B350" s="77"/>
      <c r="C350" s="78"/>
      <c r="D350" s="78"/>
      <c r="E350" s="83"/>
      <c r="F350" s="78"/>
      <c r="G350" s="77"/>
      <c r="H350" s="78"/>
      <c r="I350" s="83"/>
      <c r="J350" s="105"/>
      <c r="K350" s="78"/>
      <c r="L350" s="77"/>
      <c r="M350" s="78"/>
      <c r="N350" s="77"/>
      <c r="O350" s="78"/>
      <c r="P350" s="77"/>
      <c r="Q350" s="78"/>
      <c r="R350" s="77"/>
      <c r="S350" s="78"/>
      <c r="T350" s="77"/>
      <c r="U350" s="78"/>
      <c r="V350" s="77"/>
      <c r="W350" s="7"/>
      <c r="X350" s="28" t="str">
        <f t="shared" si="30"/>
        <v/>
      </c>
      <c r="Y350" s="3" t="s">
        <v>95</v>
      </c>
      <c r="Z350" s="3" t="s">
        <v>148</v>
      </c>
      <c r="AA350" s="3" t="s">
        <v>58</v>
      </c>
      <c r="AB350" s="18" t="s">
        <v>34</v>
      </c>
      <c r="AC350" s="22">
        <v>1</v>
      </c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7"/>
      <c r="AO350" s="15"/>
      <c r="AP350" s="15"/>
      <c r="AQ350" s="15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</row>
    <row r="351" spans="1:54" s="5" customFormat="1" hidden="1" x14ac:dyDescent="0.25">
      <c r="A351" s="7"/>
      <c r="B351" s="77"/>
      <c r="C351" s="78"/>
      <c r="D351" s="78"/>
      <c r="E351" s="83"/>
      <c r="F351" s="78"/>
      <c r="G351" s="77"/>
      <c r="H351" s="78"/>
      <c r="I351" s="83"/>
      <c r="J351" s="105"/>
      <c r="K351" s="78"/>
      <c r="L351" s="77"/>
      <c r="M351" s="78"/>
      <c r="N351" s="77"/>
      <c r="O351" s="78"/>
      <c r="P351" s="77"/>
      <c r="Q351" s="78"/>
      <c r="R351" s="77"/>
      <c r="S351" s="78"/>
      <c r="T351" s="77"/>
      <c r="U351" s="78"/>
      <c r="V351" s="77"/>
      <c r="W351" s="7"/>
      <c r="X351" s="28" t="str">
        <f t="shared" si="30"/>
        <v/>
      </c>
      <c r="Y351" s="3" t="s">
        <v>92</v>
      </c>
      <c r="Z351" s="3"/>
      <c r="AA351" s="3" t="s">
        <v>119</v>
      </c>
      <c r="AB351" s="18" t="s">
        <v>34</v>
      </c>
      <c r="AC351" s="22">
        <v>5.5303779999999999E-3</v>
      </c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7"/>
      <c r="AO351" s="15"/>
      <c r="AP351" s="15"/>
      <c r="AQ351" s="15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</row>
    <row r="352" spans="1:54" s="5" customFormat="1" hidden="1" x14ac:dyDescent="0.25">
      <c r="A352" s="7"/>
      <c r="B352" s="77"/>
      <c r="C352" s="78"/>
      <c r="D352" s="78"/>
      <c r="E352" s="83"/>
      <c r="F352" s="78"/>
      <c r="G352" s="77"/>
      <c r="H352" s="78"/>
      <c r="I352" s="83"/>
      <c r="J352" s="105"/>
      <c r="K352" s="78"/>
      <c r="L352" s="77"/>
      <c r="M352" s="78"/>
      <c r="N352" s="77"/>
      <c r="O352" s="78"/>
      <c r="P352" s="77"/>
      <c r="Q352" s="78"/>
      <c r="R352" s="77"/>
      <c r="S352" s="78"/>
      <c r="T352" s="77"/>
      <c r="U352" s="78"/>
      <c r="V352" s="77"/>
      <c r="W352" s="7"/>
      <c r="X352" s="28" t="str">
        <f t="shared" si="30"/>
        <v/>
      </c>
      <c r="Y352" s="3" t="s">
        <v>64</v>
      </c>
      <c r="Z352" s="3"/>
      <c r="AA352" s="3"/>
      <c r="AB352" s="18" t="s">
        <v>35</v>
      </c>
      <c r="AC352" s="3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7"/>
      <c r="AO352" s="15"/>
      <c r="AP352" s="15"/>
      <c r="AQ352" s="15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</row>
    <row r="353" spans="1:54" s="5" customFormat="1" hidden="1" x14ac:dyDescent="0.25">
      <c r="A353" s="7"/>
      <c r="B353" s="77"/>
      <c r="C353" s="78"/>
      <c r="D353" s="78"/>
      <c r="E353" s="83"/>
      <c r="F353" s="78"/>
      <c r="G353" s="77"/>
      <c r="H353" s="78"/>
      <c r="I353" s="83"/>
      <c r="J353" s="105"/>
      <c r="K353" s="78"/>
      <c r="L353" s="77"/>
      <c r="M353" s="78"/>
      <c r="N353" s="77"/>
      <c r="O353" s="78"/>
      <c r="P353" s="77"/>
      <c r="Q353" s="78"/>
      <c r="R353" s="77"/>
      <c r="S353" s="78"/>
      <c r="T353" s="77"/>
      <c r="U353" s="78"/>
      <c r="V353" s="77"/>
      <c r="W353" s="7"/>
      <c r="X353" s="28" t="str">
        <f t="shared" si="30"/>
        <v/>
      </c>
      <c r="Y353" s="3" t="s">
        <v>96</v>
      </c>
      <c r="Z353" s="3" t="s">
        <v>158</v>
      </c>
      <c r="AA353" s="3" t="s">
        <v>17</v>
      </c>
      <c r="AB353" s="18" t="s">
        <v>35</v>
      </c>
      <c r="AC353" s="23">
        <f>AC358*SUM(AC360:AC361)*AC366+SUM(AC372:AC375)*AC380+SUM(AC386:AC389)*AC393+SUM(AC399:AC402)*AC406</f>
        <v>0</v>
      </c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7"/>
      <c r="AO353" s="15"/>
      <c r="AP353" s="15"/>
      <c r="AQ353" s="15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</row>
    <row r="354" spans="1:54" s="5" customFormat="1" hidden="1" x14ac:dyDescent="0.25">
      <c r="A354" s="7"/>
      <c r="B354" s="77"/>
      <c r="C354" s="78"/>
      <c r="D354" s="78"/>
      <c r="E354" s="83"/>
      <c r="F354" s="78"/>
      <c r="G354" s="77"/>
      <c r="H354" s="78"/>
      <c r="I354" s="83"/>
      <c r="J354" s="105"/>
      <c r="K354" s="78"/>
      <c r="L354" s="77"/>
      <c r="M354" s="78"/>
      <c r="N354" s="77"/>
      <c r="O354" s="78"/>
      <c r="P354" s="77"/>
      <c r="Q354" s="78"/>
      <c r="R354" s="77"/>
      <c r="S354" s="78"/>
      <c r="T354" s="77"/>
      <c r="U354" s="78"/>
      <c r="V354" s="77"/>
      <c r="W354" s="7"/>
      <c r="X354" s="28" t="str">
        <f t="shared" si="30"/>
        <v/>
      </c>
      <c r="Y354" s="3" t="s">
        <v>47</v>
      </c>
      <c r="Z354" s="3"/>
      <c r="AA354" s="3" t="s">
        <v>119</v>
      </c>
      <c r="AB354" s="18" t="s">
        <v>35</v>
      </c>
      <c r="AC354" s="3">
        <v>1</v>
      </c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7"/>
      <c r="AO354" s="15"/>
      <c r="AP354" s="15"/>
      <c r="AQ354" s="15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</row>
    <row r="355" spans="1:54" s="5" customFormat="1" hidden="1" x14ac:dyDescent="0.25">
      <c r="A355" s="7"/>
      <c r="B355" s="77"/>
      <c r="C355" s="78"/>
      <c r="D355" s="78"/>
      <c r="E355" s="83"/>
      <c r="F355" s="78"/>
      <c r="G355" s="77"/>
      <c r="H355" s="78"/>
      <c r="I355" s="83"/>
      <c r="J355" s="105"/>
      <c r="K355" s="78"/>
      <c r="L355" s="77"/>
      <c r="M355" s="78"/>
      <c r="N355" s="77"/>
      <c r="O355" s="78"/>
      <c r="P355" s="77"/>
      <c r="Q355" s="78"/>
      <c r="R355" s="77"/>
      <c r="S355" s="78"/>
      <c r="T355" s="77"/>
      <c r="U355" s="78"/>
      <c r="V355" s="77"/>
      <c r="W355" s="7"/>
      <c r="X355" s="28" t="str">
        <f t="shared" si="30"/>
        <v/>
      </c>
      <c r="Y355" s="3" t="s">
        <v>48</v>
      </c>
      <c r="Z355" s="3"/>
      <c r="AA355" s="3" t="s">
        <v>119</v>
      </c>
      <c r="AB355" s="18" t="s">
        <v>35</v>
      </c>
      <c r="AC355" s="3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7"/>
      <c r="AO355" s="15"/>
      <c r="AP355" s="15"/>
      <c r="AQ355" s="15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</row>
    <row r="356" spans="1:54" s="5" customFormat="1" hidden="1" x14ac:dyDescent="0.25">
      <c r="A356" s="7"/>
      <c r="B356" s="77"/>
      <c r="C356" s="78"/>
      <c r="D356" s="78"/>
      <c r="E356" s="83"/>
      <c r="F356" s="78"/>
      <c r="G356" s="77"/>
      <c r="H356" s="78"/>
      <c r="I356" s="83"/>
      <c r="J356" s="105"/>
      <c r="K356" s="78"/>
      <c r="L356" s="77"/>
      <c r="M356" s="78"/>
      <c r="N356" s="77"/>
      <c r="O356" s="78"/>
      <c r="P356" s="77"/>
      <c r="Q356" s="78"/>
      <c r="R356" s="77"/>
      <c r="S356" s="78"/>
      <c r="T356" s="77"/>
      <c r="U356" s="78"/>
      <c r="V356" s="77"/>
      <c r="W356" s="7"/>
      <c r="X356" s="28" t="str">
        <f t="shared" si="30"/>
        <v/>
      </c>
      <c r="Y356" s="3" t="s">
        <v>49</v>
      </c>
      <c r="Z356" s="3"/>
      <c r="AA356" s="3" t="s">
        <v>119</v>
      </c>
      <c r="AB356" s="18" t="s">
        <v>35</v>
      </c>
      <c r="AC356" s="3">
        <v>1</v>
      </c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7"/>
      <c r="AO356" s="15"/>
      <c r="AP356" s="15"/>
      <c r="AQ356" s="15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</row>
    <row r="357" spans="1:54" s="5" customFormat="1" hidden="1" x14ac:dyDescent="0.25">
      <c r="A357" s="7"/>
      <c r="B357" s="77"/>
      <c r="C357" s="78"/>
      <c r="D357" s="78"/>
      <c r="E357" s="83"/>
      <c r="F357" s="78"/>
      <c r="G357" s="77"/>
      <c r="H357" s="78"/>
      <c r="I357" s="83"/>
      <c r="J357" s="105"/>
      <c r="K357" s="78"/>
      <c r="L357" s="77"/>
      <c r="M357" s="78"/>
      <c r="N357" s="77"/>
      <c r="O357" s="78"/>
      <c r="P357" s="77"/>
      <c r="Q357" s="78"/>
      <c r="R357" s="77"/>
      <c r="S357" s="78"/>
      <c r="T357" s="77"/>
      <c r="U357" s="78"/>
      <c r="V357" s="77"/>
      <c r="W357" s="7"/>
      <c r="X357" s="28" t="str">
        <f t="shared" si="30"/>
        <v/>
      </c>
      <c r="Y357" s="3" t="s">
        <v>50</v>
      </c>
      <c r="Z357" s="3"/>
      <c r="AA357" s="3" t="s">
        <v>119</v>
      </c>
      <c r="AB357" s="18" t="s">
        <v>35</v>
      </c>
      <c r="AC357" s="3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7"/>
      <c r="AO357" s="15"/>
      <c r="AP357" s="15"/>
      <c r="AQ357" s="15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</row>
    <row r="358" spans="1:54" s="5" customFormat="1" hidden="1" x14ac:dyDescent="0.25">
      <c r="A358" s="7"/>
      <c r="B358" s="77"/>
      <c r="C358" s="78"/>
      <c r="D358" s="78"/>
      <c r="E358" s="83"/>
      <c r="F358" s="78"/>
      <c r="G358" s="77"/>
      <c r="H358" s="78"/>
      <c r="I358" s="83"/>
      <c r="J358" s="105"/>
      <c r="K358" s="78"/>
      <c r="L358" s="77"/>
      <c r="M358" s="78"/>
      <c r="N358" s="77"/>
      <c r="O358" s="78"/>
      <c r="P358" s="77"/>
      <c r="Q358" s="78"/>
      <c r="R358" s="77"/>
      <c r="S358" s="78"/>
      <c r="T358" s="77"/>
      <c r="U358" s="78"/>
      <c r="V358" s="77"/>
      <c r="W358" s="7"/>
      <c r="X358" s="28" t="str">
        <f t="shared" si="30"/>
        <v/>
      </c>
      <c r="Y358" s="3" t="s">
        <v>95</v>
      </c>
      <c r="Z358" s="3" t="s">
        <v>158</v>
      </c>
      <c r="AA358" s="3" t="s">
        <v>58</v>
      </c>
      <c r="AB358" s="18" t="s">
        <v>35</v>
      </c>
      <c r="AC358" s="22">
        <v>1</v>
      </c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7"/>
      <c r="AO358" s="15"/>
      <c r="AP358" s="15"/>
      <c r="AQ358" s="15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</row>
    <row r="359" spans="1:54" s="5" customFormat="1" hidden="1" x14ac:dyDescent="0.25">
      <c r="A359" s="7"/>
      <c r="B359" s="77"/>
      <c r="C359" s="78"/>
      <c r="D359" s="78"/>
      <c r="E359" s="83"/>
      <c r="F359" s="78"/>
      <c r="G359" s="77"/>
      <c r="H359" s="78"/>
      <c r="I359" s="83"/>
      <c r="J359" s="105"/>
      <c r="K359" s="78"/>
      <c r="L359" s="77"/>
      <c r="M359" s="78"/>
      <c r="N359" s="77"/>
      <c r="O359" s="78"/>
      <c r="P359" s="77"/>
      <c r="Q359" s="78"/>
      <c r="R359" s="77"/>
      <c r="S359" s="78"/>
      <c r="T359" s="77"/>
      <c r="U359" s="78"/>
      <c r="V359" s="77"/>
      <c r="W359" s="7"/>
      <c r="X359" s="28" t="str">
        <f t="shared" si="30"/>
        <v/>
      </c>
      <c r="Y359" s="3" t="s">
        <v>92</v>
      </c>
      <c r="Z359" s="3"/>
      <c r="AA359" s="3" t="s">
        <v>119</v>
      </c>
      <c r="AB359" s="18" t="s">
        <v>35</v>
      </c>
      <c r="AC359" s="22">
        <f>1-AC351</f>
        <v>0.994469622</v>
      </c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7"/>
      <c r="AO359" s="15"/>
      <c r="AP359" s="15"/>
      <c r="AQ359" s="15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</row>
    <row r="360" spans="1:54" s="5" customFormat="1" x14ac:dyDescent="0.25">
      <c r="A360" s="7"/>
      <c r="B360" s="77"/>
      <c r="C360" s="78"/>
      <c r="D360" s="78"/>
      <c r="E360" s="83"/>
      <c r="F360" s="78"/>
      <c r="G360" s="77"/>
      <c r="H360" s="80"/>
      <c r="I360" s="83"/>
      <c r="J360" s="78"/>
      <c r="K360" s="78"/>
      <c r="L360" s="77"/>
      <c r="M360" s="78"/>
      <c r="N360" s="77"/>
      <c r="O360" s="78"/>
      <c r="P360" s="77"/>
      <c r="Q360" s="78"/>
      <c r="R360" s="77"/>
      <c r="S360" s="78"/>
      <c r="T360" s="77"/>
      <c r="U360" s="78"/>
      <c r="V360" s="77"/>
      <c r="W360" s="7"/>
      <c r="X360" s="27" t="str">
        <f t="shared" si="30"/>
        <v/>
      </c>
      <c r="Y360" s="6"/>
      <c r="Z360" s="6"/>
      <c r="AA360" s="6"/>
      <c r="AB360" s="11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7"/>
      <c r="AO360" s="15"/>
      <c r="AP360" s="15"/>
      <c r="AQ360" s="15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</row>
    <row r="361" spans="1:54" s="5" customFormat="1" x14ac:dyDescent="0.25">
      <c r="A361" s="7"/>
      <c r="B361" s="77"/>
      <c r="C361" s="78"/>
      <c r="D361" s="78"/>
      <c r="E361" s="83"/>
      <c r="F361" s="78"/>
      <c r="G361" s="77"/>
      <c r="H361" s="78"/>
      <c r="I361" s="81"/>
      <c r="J361" s="32" t="s">
        <v>85</v>
      </c>
      <c r="K361" s="78"/>
      <c r="L361" s="77"/>
      <c r="M361" s="78"/>
      <c r="N361" s="77"/>
      <c r="O361" s="78"/>
      <c r="P361" s="77"/>
      <c r="Q361" s="78"/>
      <c r="R361" s="77"/>
      <c r="S361" s="78"/>
      <c r="T361" s="77"/>
      <c r="U361" s="78"/>
      <c r="V361" s="77"/>
      <c r="W361" s="7"/>
      <c r="X361" s="34" t="str">
        <f t="shared" si="30"/>
        <v>Clothes washing</v>
      </c>
      <c r="AB361" s="11"/>
      <c r="AN361" s="7"/>
      <c r="AO361" s="15"/>
      <c r="AP361" s="15"/>
      <c r="AQ361" s="15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</row>
    <row r="362" spans="1:54" s="5" customFormat="1" x14ac:dyDescent="0.25">
      <c r="A362" s="7"/>
      <c r="B362" s="77"/>
      <c r="C362" s="78"/>
      <c r="D362" s="78"/>
      <c r="E362" s="83"/>
      <c r="F362" s="78"/>
      <c r="G362" s="77"/>
      <c r="H362" s="78"/>
      <c r="I362" s="77"/>
      <c r="J362" s="77"/>
      <c r="K362" s="78"/>
      <c r="L362" s="78"/>
      <c r="M362" s="78"/>
      <c r="N362" s="77"/>
      <c r="O362" s="78"/>
      <c r="P362" s="77"/>
      <c r="Q362" s="78"/>
      <c r="R362" s="77"/>
      <c r="S362" s="78"/>
      <c r="T362" s="77"/>
      <c r="U362" s="78"/>
      <c r="V362" s="77"/>
      <c r="W362" s="7"/>
      <c r="X362" s="29" t="str">
        <f t="shared" si="30"/>
        <v/>
      </c>
      <c r="AB362" s="11"/>
      <c r="AN362" s="7"/>
      <c r="AO362" s="15"/>
      <c r="AP362" s="15"/>
      <c r="AQ362" s="15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</row>
    <row r="363" spans="1:54" s="5" customFormat="1" x14ac:dyDescent="0.25">
      <c r="A363" s="7"/>
      <c r="B363" s="77"/>
      <c r="C363" s="78"/>
      <c r="D363" s="78"/>
      <c r="E363" s="84"/>
      <c r="F363" s="78"/>
      <c r="G363" s="77"/>
      <c r="H363" s="77"/>
      <c r="I363" s="77"/>
      <c r="J363" s="77"/>
      <c r="K363" s="78"/>
      <c r="L363" s="78"/>
      <c r="M363" s="78"/>
      <c r="N363" s="77"/>
      <c r="O363" s="78"/>
      <c r="P363" s="77"/>
      <c r="Q363" s="78"/>
      <c r="R363" s="77"/>
      <c r="S363" s="78"/>
      <c r="T363" s="77"/>
      <c r="U363" s="78"/>
      <c r="V363" s="77"/>
      <c r="W363" s="7"/>
      <c r="X363" s="29" t="str">
        <f t="shared" si="30"/>
        <v/>
      </c>
      <c r="AB363" s="11"/>
      <c r="AN363" s="7"/>
      <c r="AO363" s="15"/>
      <c r="AP363" s="15"/>
      <c r="AQ363" s="15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</row>
    <row r="364" spans="1:54" s="5" customFormat="1" x14ac:dyDescent="0.25">
      <c r="A364" s="7"/>
      <c r="B364" s="77"/>
      <c r="C364" s="78"/>
      <c r="D364" s="78"/>
      <c r="E364" s="81"/>
      <c r="F364" s="32" t="s">
        <v>2</v>
      </c>
      <c r="G364" s="79"/>
      <c r="H364" s="78"/>
      <c r="I364" s="80"/>
      <c r="J364" s="77"/>
      <c r="K364" s="80"/>
      <c r="L364" s="77"/>
      <c r="M364" s="80"/>
      <c r="N364" s="77"/>
      <c r="O364" s="80"/>
      <c r="P364" s="77"/>
      <c r="Q364" s="80"/>
      <c r="R364" s="77"/>
      <c r="S364" s="80"/>
      <c r="T364" s="77"/>
      <c r="U364" s="80"/>
      <c r="V364" s="77"/>
      <c r="W364" s="7"/>
      <c r="X364" s="34" t="str">
        <f t="shared" ref="X364:X388" si="33">IFERROR(INDEX($B364:$V364,MATCH(TRUE,INDEX(($B364:$V364&lt;&gt;0),0),0)),"")</f>
        <v>Electricity</v>
      </c>
      <c r="AB364" s="11"/>
      <c r="AN364" s="7"/>
      <c r="AO364" s="15"/>
      <c r="AP364" s="15"/>
      <c r="AQ364" s="15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</row>
    <row r="365" spans="1:54" s="5" customFormat="1" x14ac:dyDescent="0.25">
      <c r="A365" s="7"/>
      <c r="B365" s="77"/>
      <c r="C365" s="78"/>
      <c r="D365" s="78"/>
      <c r="E365" s="77"/>
      <c r="F365" s="78"/>
      <c r="G365" s="79"/>
      <c r="H365" s="78"/>
      <c r="I365" s="80"/>
      <c r="J365" s="77"/>
      <c r="K365" s="80"/>
      <c r="L365" s="77"/>
      <c r="M365" s="80"/>
      <c r="N365" s="77"/>
      <c r="O365" s="80"/>
      <c r="P365" s="77"/>
      <c r="Q365" s="80"/>
      <c r="R365" s="77"/>
      <c r="S365" s="80"/>
      <c r="T365" s="77"/>
      <c r="U365" s="80"/>
      <c r="V365" s="77"/>
      <c r="W365" s="7"/>
      <c r="X365" s="27" t="str">
        <f t="shared" si="33"/>
        <v/>
      </c>
      <c r="Y365" t="s">
        <v>94</v>
      </c>
      <c r="Z365"/>
      <c r="AA365"/>
      <c r="AB365" s="30" t="s">
        <v>36</v>
      </c>
      <c r="AC365"/>
      <c r="AD365"/>
      <c r="AE365"/>
      <c r="AF365"/>
      <c r="AG365"/>
      <c r="AH365"/>
      <c r="AI365"/>
      <c r="AJ365"/>
      <c r="AK365"/>
      <c r="AL365"/>
      <c r="AM365"/>
      <c r="AN365" s="7"/>
      <c r="AO365" s="15"/>
      <c r="AP365" s="15"/>
      <c r="AQ365" s="15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</row>
    <row r="366" spans="1:54" s="5" customFormat="1" x14ac:dyDescent="0.25">
      <c r="A366" s="7"/>
      <c r="B366" s="77"/>
      <c r="C366" s="78"/>
      <c r="D366" s="78"/>
      <c r="E366" s="77"/>
      <c r="F366" s="78"/>
      <c r="G366" s="79"/>
      <c r="H366" s="78"/>
      <c r="I366" s="80"/>
      <c r="J366" s="77"/>
      <c r="K366" s="80"/>
      <c r="L366" s="77"/>
      <c r="M366" s="80"/>
      <c r="N366" s="77"/>
      <c r="O366" s="80"/>
      <c r="P366" s="77"/>
      <c r="Q366" s="80"/>
      <c r="R366" s="77"/>
      <c r="S366" s="80"/>
      <c r="T366" s="77"/>
      <c r="U366" s="80"/>
      <c r="V366" s="77"/>
      <c r="W366" s="7"/>
      <c r="X366" s="27" t="str">
        <f t="shared" si="33"/>
        <v/>
      </c>
      <c r="Y366" t="s">
        <v>7</v>
      </c>
      <c r="Z366"/>
      <c r="AA366"/>
      <c r="AB366" s="30" t="s">
        <v>37</v>
      </c>
      <c r="AC366" s="2">
        <v>0.4</v>
      </c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7"/>
      <c r="AO366" s="15"/>
      <c r="AP366" s="15"/>
      <c r="AQ366" s="15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</row>
    <row r="367" spans="1:54" s="5" customFormat="1" x14ac:dyDescent="0.25">
      <c r="A367" s="7"/>
      <c r="B367" s="77"/>
      <c r="C367" s="78"/>
      <c r="D367" s="78"/>
      <c r="E367" s="77"/>
      <c r="F367" s="78"/>
      <c r="G367" s="79"/>
      <c r="H367" s="78"/>
      <c r="I367" s="80"/>
      <c r="J367" s="77"/>
      <c r="K367" s="80"/>
      <c r="L367" s="77"/>
      <c r="M367" s="80"/>
      <c r="N367" s="77"/>
      <c r="O367" s="80"/>
      <c r="P367" s="77"/>
      <c r="Q367" s="80"/>
      <c r="R367" s="77"/>
      <c r="S367" s="80"/>
      <c r="T367" s="77"/>
      <c r="U367" s="80"/>
      <c r="V367" s="77"/>
      <c r="W367" s="7"/>
      <c r="X367" s="27" t="str">
        <f t="shared" si="33"/>
        <v/>
      </c>
      <c r="Y367" t="s">
        <v>62</v>
      </c>
      <c r="Z367"/>
      <c r="AA367" t="s">
        <v>119</v>
      </c>
      <c r="AB367" s="30" t="s">
        <v>45</v>
      </c>
      <c r="AC367" s="2">
        <v>0.1</v>
      </c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7"/>
      <c r="AO367" s="15"/>
      <c r="AP367" s="15"/>
      <c r="AQ367" s="15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</row>
    <row r="368" spans="1:54" s="5" customFormat="1" x14ac:dyDescent="0.25">
      <c r="A368" s="7"/>
      <c r="B368" s="77"/>
      <c r="C368" s="78"/>
      <c r="D368" s="78"/>
      <c r="E368" s="77"/>
      <c r="F368" s="78"/>
      <c r="G368" s="79"/>
      <c r="H368" s="78"/>
      <c r="I368" s="80"/>
      <c r="J368" s="77"/>
      <c r="K368" s="80"/>
      <c r="L368" s="77"/>
      <c r="M368" s="80"/>
      <c r="N368" s="77"/>
      <c r="O368" s="80"/>
      <c r="P368" s="77"/>
      <c r="Q368" s="80"/>
      <c r="R368" s="77"/>
      <c r="S368" s="80"/>
      <c r="T368" s="77"/>
      <c r="U368" s="80"/>
      <c r="V368" s="77"/>
      <c r="W368" s="7"/>
      <c r="X368" s="27" t="str">
        <f t="shared" si="33"/>
        <v/>
      </c>
      <c r="Y368" t="s">
        <v>63</v>
      </c>
      <c r="Z368"/>
      <c r="AA368" t="s">
        <v>119</v>
      </c>
      <c r="AB368" s="30"/>
      <c r="AC368" s="2">
        <v>0.1</v>
      </c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7"/>
      <c r="AO368" s="15"/>
      <c r="AP368" s="15"/>
      <c r="AQ368" s="15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</row>
    <row r="369" spans="1:54" s="5" customFormat="1" x14ac:dyDescent="0.25">
      <c r="A369" s="7"/>
      <c r="B369" s="77"/>
      <c r="C369" s="78"/>
      <c r="D369" s="78"/>
      <c r="E369" s="77"/>
      <c r="F369" s="78"/>
      <c r="G369" s="79"/>
      <c r="H369" s="78"/>
      <c r="I369" s="80"/>
      <c r="J369" s="77"/>
      <c r="K369" s="80"/>
      <c r="L369" s="77"/>
      <c r="M369" s="80"/>
      <c r="N369" s="77"/>
      <c r="O369" s="80"/>
      <c r="P369" s="77"/>
      <c r="Q369" s="80"/>
      <c r="R369" s="77"/>
      <c r="S369" s="80"/>
      <c r="T369" s="77"/>
      <c r="U369" s="80"/>
      <c r="V369" s="77"/>
      <c r="W369" s="7"/>
      <c r="X369" s="27" t="str">
        <f t="shared" si="33"/>
        <v/>
      </c>
      <c r="Y369" t="s">
        <v>22</v>
      </c>
      <c r="Z369"/>
      <c r="AA369"/>
      <c r="AB369" s="30" t="s">
        <v>46</v>
      </c>
      <c r="AC369" s="2">
        <v>1</v>
      </c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7"/>
      <c r="AO369" s="15"/>
      <c r="AP369" s="15"/>
      <c r="AQ369" s="15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</row>
    <row r="370" spans="1:54" s="5" customFormat="1" x14ac:dyDescent="0.25">
      <c r="A370" s="7"/>
      <c r="B370" s="77"/>
      <c r="C370" s="78"/>
      <c r="D370" s="78"/>
      <c r="E370" s="77"/>
      <c r="F370" s="78"/>
      <c r="G370" s="79"/>
      <c r="H370" s="78"/>
      <c r="I370" s="80"/>
      <c r="J370" s="77"/>
      <c r="K370" s="80"/>
      <c r="L370" s="77"/>
      <c r="M370" s="80"/>
      <c r="N370" s="77"/>
      <c r="O370" s="80"/>
      <c r="P370" s="77"/>
      <c r="Q370" s="80"/>
      <c r="R370" s="77"/>
      <c r="S370" s="80"/>
      <c r="T370" s="77"/>
      <c r="U370" s="80"/>
      <c r="V370" s="77"/>
      <c r="W370" s="7"/>
      <c r="X370" s="27" t="str">
        <f t="shared" si="33"/>
        <v/>
      </c>
      <c r="Y370" t="s">
        <v>11</v>
      </c>
      <c r="Z370"/>
      <c r="AA370" t="s">
        <v>17</v>
      </c>
      <c r="AB370" s="31" t="s">
        <v>12</v>
      </c>
      <c r="AC370" s="2">
        <v>19</v>
      </c>
      <c r="AD370" s="2">
        <v>25</v>
      </c>
      <c r="AE370" s="2">
        <v>29</v>
      </c>
      <c r="AF370" s="2">
        <v>32</v>
      </c>
      <c r="AG370" s="2">
        <v>32.64</v>
      </c>
      <c r="AH370" s="2">
        <v>33.2928</v>
      </c>
      <c r="AI370" s="2">
        <v>33.958655999999998</v>
      </c>
      <c r="AJ370" s="2">
        <v>34.637829119999999</v>
      </c>
      <c r="AK370" s="2">
        <v>35.330585702400001</v>
      </c>
      <c r="AL370" s="2">
        <v>36.037197416448002</v>
      </c>
      <c r="AM370" s="2">
        <v>36.757941364776961</v>
      </c>
      <c r="AN370" s="7"/>
      <c r="AO370" s="15"/>
      <c r="AP370" s="15"/>
      <c r="AQ370" s="15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</row>
    <row r="371" spans="1:54" s="5" customFormat="1" x14ac:dyDescent="0.25">
      <c r="A371" s="7"/>
      <c r="B371" s="77"/>
      <c r="C371" s="78"/>
      <c r="D371" s="78"/>
      <c r="E371" s="77"/>
      <c r="F371" s="78"/>
      <c r="G371" s="79"/>
      <c r="H371" s="78"/>
      <c r="I371" s="80"/>
      <c r="J371" s="77"/>
      <c r="K371" s="80"/>
      <c r="L371" s="77"/>
      <c r="M371" s="80"/>
      <c r="N371" s="77"/>
      <c r="O371" s="80"/>
      <c r="P371" s="77"/>
      <c r="Q371" s="80"/>
      <c r="R371" s="77"/>
      <c r="S371" s="80"/>
      <c r="T371" s="77"/>
      <c r="U371" s="80"/>
      <c r="V371" s="77"/>
      <c r="W371" s="7"/>
      <c r="X371" s="27" t="str">
        <f t="shared" si="33"/>
        <v/>
      </c>
      <c r="Y371" t="s">
        <v>11</v>
      </c>
      <c r="Z371"/>
      <c r="AA371" t="s">
        <v>17</v>
      </c>
      <c r="AB371" s="31" t="s">
        <v>13</v>
      </c>
      <c r="AC371" s="2">
        <v>20</v>
      </c>
      <c r="AD371" s="2">
        <v>26</v>
      </c>
      <c r="AE371" s="2">
        <v>30</v>
      </c>
      <c r="AF371" s="2">
        <v>33</v>
      </c>
      <c r="AG371" s="2">
        <v>33.660000000000004</v>
      </c>
      <c r="AH371" s="2">
        <v>34.333200000000005</v>
      </c>
      <c r="AI371" s="2">
        <v>35.019864000000005</v>
      </c>
      <c r="AJ371" s="2">
        <v>35.72026128000001</v>
      </c>
      <c r="AK371" s="2">
        <v>36.434666505600013</v>
      </c>
      <c r="AL371" s="2">
        <v>37.163359835712015</v>
      </c>
      <c r="AM371" s="2">
        <v>37.906627032426258</v>
      </c>
      <c r="AN371" s="7"/>
      <c r="AO371" s="15"/>
      <c r="AP371" s="15"/>
      <c r="AQ371" s="15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</row>
    <row r="372" spans="1:54" s="5" customFormat="1" x14ac:dyDescent="0.25">
      <c r="A372" s="7"/>
      <c r="B372" s="77"/>
      <c r="C372" s="78"/>
      <c r="D372" s="78"/>
      <c r="E372" s="77"/>
      <c r="F372" s="78"/>
      <c r="G372" s="79"/>
      <c r="H372" s="78"/>
      <c r="I372" s="80"/>
      <c r="J372" s="77"/>
      <c r="K372" s="80"/>
      <c r="L372" s="77"/>
      <c r="M372" s="80"/>
      <c r="N372" s="77"/>
      <c r="O372" s="80"/>
      <c r="P372" s="77"/>
      <c r="Q372" s="80"/>
      <c r="R372" s="77"/>
      <c r="S372" s="80"/>
      <c r="T372" s="77"/>
      <c r="U372" s="80"/>
      <c r="V372" s="77"/>
      <c r="W372" s="7"/>
      <c r="X372" s="27" t="str">
        <f t="shared" si="33"/>
        <v/>
      </c>
      <c r="Y372" t="s">
        <v>11</v>
      </c>
      <c r="Z372"/>
      <c r="AA372" t="s">
        <v>17</v>
      </c>
      <c r="AB372" s="31" t="s">
        <v>14</v>
      </c>
      <c r="AC372" s="2">
        <v>11</v>
      </c>
      <c r="AD372" s="2">
        <v>7</v>
      </c>
      <c r="AE372" s="2">
        <v>4</v>
      </c>
      <c r="AF372" s="2">
        <v>6</v>
      </c>
      <c r="AG372" s="2">
        <v>6.12</v>
      </c>
      <c r="AH372" s="2">
        <v>6.2423999999999999</v>
      </c>
      <c r="AI372" s="2">
        <v>6.367248</v>
      </c>
      <c r="AJ372" s="2">
        <v>6.4945929600000003</v>
      </c>
      <c r="AK372" s="2">
        <v>6.6244848192000001</v>
      </c>
      <c r="AL372" s="2">
        <v>6.756974515584</v>
      </c>
      <c r="AM372" s="2">
        <v>6.8921140058956798</v>
      </c>
      <c r="AN372" s="7"/>
      <c r="AO372" s="15"/>
      <c r="AP372" s="15"/>
      <c r="AQ372" s="15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</row>
    <row r="373" spans="1:54" s="5" customFormat="1" x14ac:dyDescent="0.25">
      <c r="A373" s="7"/>
      <c r="B373" s="77"/>
      <c r="C373" s="78"/>
      <c r="D373" s="78"/>
      <c r="E373" s="77"/>
      <c r="F373" s="78"/>
      <c r="G373" s="79"/>
      <c r="H373" s="78"/>
      <c r="I373" s="80"/>
      <c r="J373" s="77"/>
      <c r="K373" s="80"/>
      <c r="L373" s="77"/>
      <c r="M373" s="80"/>
      <c r="N373" s="77"/>
      <c r="O373" s="80"/>
      <c r="P373" s="77"/>
      <c r="Q373" s="80"/>
      <c r="R373" s="77"/>
      <c r="S373" s="80"/>
      <c r="T373" s="77"/>
      <c r="U373" s="80"/>
      <c r="V373" s="77"/>
      <c r="W373" s="7"/>
      <c r="X373" s="27" t="str">
        <f t="shared" si="33"/>
        <v/>
      </c>
      <c r="Y373" t="s">
        <v>11</v>
      </c>
      <c r="Z373"/>
      <c r="AA373" t="s">
        <v>17</v>
      </c>
      <c r="AB373" s="31" t="s">
        <v>2</v>
      </c>
      <c r="AC373" s="2">
        <v>22</v>
      </c>
      <c r="AD373" s="2">
        <v>26</v>
      </c>
      <c r="AE373" s="2">
        <v>34</v>
      </c>
      <c r="AF373" s="2">
        <v>31</v>
      </c>
      <c r="AG373" s="2">
        <v>31.62</v>
      </c>
      <c r="AH373" s="2">
        <v>32.252400000000002</v>
      </c>
      <c r="AI373" s="2">
        <v>32.897448000000004</v>
      </c>
      <c r="AJ373" s="2">
        <v>33.555396960000003</v>
      </c>
      <c r="AK373" s="2">
        <v>34.226504899200002</v>
      </c>
      <c r="AL373" s="2">
        <v>34.911034997184004</v>
      </c>
      <c r="AM373" s="2">
        <v>35.609255697127686</v>
      </c>
      <c r="AN373" s="7"/>
      <c r="AO373" s="15"/>
      <c r="AP373" s="15"/>
      <c r="AQ373" s="15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</row>
    <row r="374" spans="1:54" s="5" customFormat="1" x14ac:dyDescent="0.25">
      <c r="A374" s="7"/>
      <c r="B374" s="77"/>
      <c r="C374" s="78"/>
      <c r="D374" s="78"/>
      <c r="E374" s="77"/>
      <c r="F374" s="78"/>
      <c r="G374" s="79"/>
      <c r="H374" s="78"/>
      <c r="I374" s="80"/>
      <c r="J374" s="77"/>
      <c r="K374" s="80"/>
      <c r="L374" s="77"/>
      <c r="M374" s="80"/>
      <c r="N374" s="77"/>
      <c r="O374" s="80"/>
      <c r="P374" s="77"/>
      <c r="Q374" s="80"/>
      <c r="R374" s="77"/>
      <c r="S374" s="80"/>
      <c r="T374" s="77"/>
      <c r="U374" s="80"/>
      <c r="V374" s="77"/>
      <c r="W374" s="7"/>
      <c r="X374" s="27" t="str">
        <f t="shared" si="33"/>
        <v/>
      </c>
      <c r="Y374" t="s">
        <v>11</v>
      </c>
      <c r="Z374"/>
      <c r="AA374" t="s">
        <v>17</v>
      </c>
      <c r="AB374" s="31" t="s">
        <v>15</v>
      </c>
      <c r="AC374" s="2">
        <v>12</v>
      </c>
      <c r="AD374" s="2">
        <v>12</v>
      </c>
      <c r="AE374" s="2">
        <v>12</v>
      </c>
      <c r="AF374" s="2">
        <v>12</v>
      </c>
      <c r="AG374" s="2">
        <v>12.24</v>
      </c>
      <c r="AH374" s="2">
        <v>12.4848</v>
      </c>
      <c r="AI374" s="2">
        <v>12.734496</v>
      </c>
      <c r="AJ374" s="2">
        <v>12.989185920000001</v>
      </c>
      <c r="AK374" s="2">
        <v>13.2489696384</v>
      </c>
      <c r="AL374" s="2">
        <v>13.513949031168</v>
      </c>
      <c r="AM374" s="2">
        <v>13.78422801179136</v>
      </c>
      <c r="AN374" s="7"/>
      <c r="AO374" s="15"/>
      <c r="AP374" s="15"/>
      <c r="AQ374" s="15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</row>
    <row r="375" spans="1:54" s="5" customFormat="1" x14ac:dyDescent="0.25">
      <c r="A375" s="7"/>
      <c r="B375" s="77"/>
      <c r="C375" s="78"/>
      <c r="D375" s="78"/>
      <c r="E375" s="77"/>
      <c r="F375" s="78"/>
      <c r="G375" s="79"/>
      <c r="H375" s="78"/>
      <c r="I375" s="80"/>
      <c r="J375" s="77"/>
      <c r="K375" s="80"/>
      <c r="L375" s="77"/>
      <c r="M375" s="80"/>
      <c r="N375" s="77"/>
      <c r="O375" s="80"/>
      <c r="P375" s="77"/>
      <c r="Q375" s="80"/>
      <c r="R375" s="77"/>
      <c r="S375" s="80"/>
      <c r="T375" s="77"/>
      <c r="U375" s="80"/>
      <c r="V375" s="77"/>
      <c r="W375" s="7"/>
      <c r="X375" s="27" t="str">
        <f t="shared" si="33"/>
        <v/>
      </c>
      <c r="Y375" t="s">
        <v>11</v>
      </c>
      <c r="Z375"/>
      <c r="AA375" t="s">
        <v>18</v>
      </c>
      <c r="AB375" s="31" t="s">
        <v>19</v>
      </c>
      <c r="AC375" s="2">
        <v>0</v>
      </c>
      <c r="AD375" s="2">
        <v>0</v>
      </c>
      <c r="AE375" s="2">
        <v>0</v>
      </c>
      <c r="AF375" s="2">
        <v>0</v>
      </c>
      <c r="AG375" s="2">
        <v>20</v>
      </c>
      <c r="AH375" s="2">
        <v>50</v>
      </c>
      <c r="AI375" s="2">
        <v>70</v>
      </c>
      <c r="AJ375" s="2">
        <v>70</v>
      </c>
      <c r="AK375" s="2">
        <v>70</v>
      </c>
      <c r="AL375" s="2">
        <v>70</v>
      </c>
      <c r="AM375" s="2">
        <v>70</v>
      </c>
      <c r="AN375" s="7"/>
      <c r="AO375" s="15"/>
      <c r="AP375" s="15"/>
      <c r="AQ375" s="15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</row>
    <row r="376" spans="1:54" s="5" customFormat="1" x14ac:dyDescent="0.25">
      <c r="A376" s="7"/>
      <c r="B376" s="77"/>
      <c r="C376" s="78"/>
      <c r="D376" s="78"/>
      <c r="E376" s="77"/>
      <c r="F376" s="78"/>
      <c r="G376" s="79"/>
      <c r="H376" s="78"/>
      <c r="I376" s="80"/>
      <c r="J376" s="77"/>
      <c r="K376" s="80"/>
      <c r="L376" s="77"/>
      <c r="M376" s="80"/>
      <c r="N376" s="77"/>
      <c r="O376" s="80"/>
      <c r="P376" s="77"/>
      <c r="Q376" s="80"/>
      <c r="R376" s="77"/>
      <c r="S376" s="80"/>
      <c r="T376" s="77"/>
      <c r="U376" s="80"/>
      <c r="V376" s="77"/>
      <c r="W376" s="7"/>
      <c r="X376" s="27" t="str">
        <f t="shared" si="33"/>
        <v/>
      </c>
      <c r="Y376" t="s">
        <v>11</v>
      </c>
      <c r="Z376"/>
      <c r="AA376" t="s">
        <v>18</v>
      </c>
      <c r="AB376" s="31" t="s">
        <v>20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0</v>
      </c>
      <c r="AL376" s="2">
        <v>0</v>
      </c>
      <c r="AM376" s="2">
        <v>0</v>
      </c>
      <c r="AN376" s="7"/>
      <c r="AO376" s="15"/>
      <c r="AP376" s="15"/>
      <c r="AQ376" s="15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</row>
    <row r="377" spans="1:54" s="5" customFormat="1" x14ac:dyDescent="0.25">
      <c r="A377" s="7"/>
      <c r="B377" s="77"/>
      <c r="C377" s="78"/>
      <c r="D377" s="78"/>
      <c r="E377" s="77"/>
      <c r="F377" s="78"/>
      <c r="G377" s="79"/>
      <c r="H377" s="78"/>
      <c r="I377" s="80"/>
      <c r="J377" s="77"/>
      <c r="K377" s="80"/>
      <c r="L377" s="77"/>
      <c r="M377" s="80"/>
      <c r="N377" s="77"/>
      <c r="O377" s="80"/>
      <c r="P377" s="77"/>
      <c r="Q377" s="80"/>
      <c r="R377" s="77"/>
      <c r="S377" s="80"/>
      <c r="T377" s="77"/>
      <c r="U377" s="80"/>
      <c r="V377" s="77"/>
      <c r="W377" s="7"/>
      <c r="X377" s="27" t="str">
        <f t="shared" si="33"/>
        <v/>
      </c>
      <c r="Y377" t="s">
        <v>11</v>
      </c>
      <c r="Z377"/>
      <c r="AA377" t="s">
        <v>18</v>
      </c>
      <c r="AB377" s="31" t="s">
        <v>21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7"/>
      <c r="AO377" s="15"/>
      <c r="AP377" s="15"/>
      <c r="AQ377" s="15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</row>
    <row r="378" spans="1:54" s="5" customFormat="1" x14ac:dyDescent="0.25">
      <c r="A378" s="7"/>
      <c r="B378" s="77"/>
      <c r="C378" s="78"/>
      <c r="D378" s="78"/>
      <c r="E378" s="77"/>
      <c r="F378" s="78"/>
      <c r="G378" s="79"/>
      <c r="H378" s="78"/>
      <c r="I378" s="80"/>
      <c r="J378" s="77"/>
      <c r="K378" s="80"/>
      <c r="L378" s="77"/>
      <c r="M378" s="80"/>
      <c r="N378" s="77"/>
      <c r="O378" s="80"/>
      <c r="P378" s="77"/>
      <c r="Q378" s="80"/>
      <c r="R378" s="77"/>
      <c r="S378" s="80"/>
      <c r="T378" s="77"/>
      <c r="U378" s="80"/>
      <c r="V378" s="77"/>
      <c r="W378" s="7"/>
      <c r="X378" s="27" t="str">
        <f t="shared" si="33"/>
        <v/>
      </c>
      <c r="Y378" t="s">
        <v>59</v>
      </c>
      <c r="Z378"/>
      <c r="AA378"/>
      <c r="AB378" s="30" t="s">
        <v>24</v>
      </c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7"/>
      <c r="AO378" s="15"/>
      <c r="AP378" s="15"/>
      <c r="AQ378" s="15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</row>
    <row r="379" spans="1:54" s="5" customFormat="1" x14ac:dyDescent="0.25">
      <c r="A379" s="7"/>
      <c r="B379" s="77"/>
      <c r="C379" s="78"/>
      <c r="D379" s="78"/>
      <c r="E379" s="77"/>
      <c r="F379" s="78"/>
      <c r="G379" s="79"/>
      <c r="H379" s="78"/>
      <c r="I379" s="80"/>
      <c r="J379" s="77"/>
      <c r="K379" s="80"/>
      <c r="L379" s="77"/>
      <c r="M379" s="80"/>
      <c r="N379" s="77"/>
      <c r="O379" s="80"/>
      <c r="P379" s="77"/>
      <c r="Q379" s="80"/>
      <c r="R379" s="77"/>
      <c r="S379" s="80"/>
      <c r="T379" s="77"/>
      <c r="U379" s="80"/>
      <c r="V379" s="77"/>
      <c r="W379" s="7"/>
      <c r="X379" s="27" t="str">
        <f t="shared" si="33"/>
        <v/>
      </c>
      <c r="Y379" t="s">
        <v>95</v>
      </c>
      <c r="Z379" t="s">
        <v>151</v>
      </c>
      <c r="AA379" s="3" t="s">
        <v>58</v>
      </c>
      <c r="AB379" s="30"/>
      <c r="AC379" s="2">
        <v>1</v>
      </c>
      <c r="AD379" s="2">
        <v>1</v>
      </c>
      <c r="AE379" s="2">
        <v>1</v>
      </c>
      <c r="AF379" s="2">
        <v>1</v>
      </c>
      <c r="AG379" s="2">
        <v>1</v>
      </c>
      <c r="AH379" s="2">
        <v>1</v>
      </c>
      <c r="AI379" s="2">
        <v>1</v>
      </c>
      <c r="AJ379" s="2">
        <v>1</v>
      </c>
      <c r="AK379" s="2">
        <v>1</v>
      </c>
      <c r="AL379" s="2">
        <v>1</v>
      </c>
      <c r="AM379" s="2">
        <v>1</v>
      </c>
      <c r="AN379" s="7"/>
      <c r="AO379" s="15"/>
      <c r="AP379" s="15"/>
      <c r="AQ379" s="15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</row>
    <row r="380" spans="1:54" s="5" customFormat="1" x14ac:dyDescent="0.25">
      <c r="A380" s="7"/>
      <c r="B380" s="77"/>
      <c r="C380" s="78"/>
      <c r="D380" s="78"/>
      <c r="E380" s="77"/>
      <c r="F380" s="80"/>
      <c r="G380" s="86"/>
      <c r="H380" s="87"/>
      <c r="I380" s="80"/>
      <c r="J380" s="77"/>
      <c r="K380" s="80"/>
      <c r="L380" s="77"/>
      <c r="M380" s="80"/>
      <c r="N380" s="77"/>
      <c r="O380" s="80"/>
      <c r="P380" s="77"/>
      <c r="Q380" s="80"/>
      <c r="R380" s="77"/>
      <c r="S380" s="80"/>
      <c r="T380" s="77"/>
      <c r="U380" s="80"/>
      <c r="V380" s="77"/>
      <c r="W380" s="7"/>
      <c r="X380" s="27" t="str">
        <f t="shared" si="33"/>
        <v/>
      </c>
      <c r="AB380" s="11"/>
      <c r="AN380" s="7"/>
      <c r="AO380" s="15"/>
      <c r="AP380" s="15"/>
      <c r="AQ380" s="15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</row>
    <row r="381" spans="1:54" s="5" customFormat="1" x14ac:dyDescent="0.25">
      <c r="A381" s="7"/>
      <c r="B381" s="77"/>
      <c r="C381" s="78"/>
      <c r="D381" s="78"/>
      <c r="E381" s="77"/>
      <c r="F381" s="78"/>
      <c r="G381" s="80"/>
      <c r="H381" s="32" t="s">
        <v>4</v>
      </c>
      <c r="I381" s="78"/>
      <c r="J381" s="78"/>
      <c r="K381" s="78"/>
      <c r="L381" s="77"/>
      <c r="M381" s="78"/>
      <c r="N381" s="77"/>
      <c r="O381" s="78"/>
      <c r="P381" s="77"/>
      <c r="Q381" s="78"/>
      <c r="R381" s="77"/>
      <c r="S381" s="78"/>
      <c r="T381" s="77"/>
      <c r="U381" s="78"/>
      <c r="V381" s="77"/>
      <c r="W381" s="7"/>
      <c r="X381" s="28" t="str">
        <f t="shared" si="33"/>
        <v>Generation</v>
      </c>
      <c r="AB381" s="11"/>
      <c r="AN381" s="7"/>
      <c r="AO381" s="15"/>
      <c r="AP381" s="15"/>
      <c r="AQ381" s="15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</row>
    <row r="382" spans="1:54" s="5" customFormat="1" x14ac:dyDescent="0.25">
      <c r="A382" s="7"/>
      <c r="B382" s="77"/>
      <c r="C382" s="78"/>
      <c r="D382" s="78"/>
      <c r="E382" s="77"/>
      <c r="F382" s="78"/>
      <c r="G382" s="80"/>
      <c r="H382" s="88"/>
      <c r="I382" s="84"/>
      <c r="J382" s="78"/>
      <c r="K382" s="78"/>
      <c r="L382" s="77"/>
      <c r="M382" s="78"/>
      <c r="N382" s="77"/>
      <c r="O382" s="78"/>
      <c r="P382" s="77"/>
      <c r="Q382" s="78"/>
      <c r="R382" s="77"/>
      <c r="S382" s="78"/>
      <c r="T382" s="77"/>
      <c r="U382" s="78"/>
      <c r="V382" s="77"/>
      <c r="W382" s="7"/>
      <c r="X382" s="27" t="str">
        <f t="shared" si="33"/>
        <v/>
      </c>
      <c r="AB382" s="11"/>
      <c r="AN382" s="7"/>
      <c r="AO382" s="15"/>
      <c r="AP382" s="15"/>
      <c r="AQ382" s="15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</row>
    <row r="383" spans="1:54" s="5" customFormat="1" x14ac:dyDescent="0.25">
      <c r="A383" s="7"/>
      <c r="B383" s="77"/>
      <c r="C383" s="78"/>
      <c r="D383" s="78"/>
      <c r="E383" s="77"/>
      <c r="F383" s="78"/>
      <c r="G383" s="80"/>
      <c r="H383" s="78"/>
      <c r="I383" s="80"/>
      <c r="J383" s="32" t="s">
        <v>3</v>
      </c>
      <c r="K383" s="78"/>
      <c r="L383" s="77"/>
      <c r="M383" s="78"/>
      <c r="N383" s="77"/>
      <c r="O383" s="78"/>
      <c r="P383" s="77"/>
      <c r="Q383" s="78"/>
      <c r="R383" s="77"/>
      <c r="S383" s="78"/>
      <c r="T383" s="77"/>
      <c r="U383" s="78"/>
      <c r="V383" s="77"/>
      <c r="W383" s="7"/>
      <c r="X383" s="28" t="str">
        <f t="shared" si="33"/>
        <v>Base load</v>
      </c>
      <c r="AB383" s="11"/>
      <c r="AN383" s="7"/>
      <c r="AO383" s="15"/>
      <c r="AP383" s="15"/>
      <c r="AQ383" s="15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</row>
    <row r="384" spans="1:54" s="5" customFormat="1" x14ac:dyDescent="0.25">
      <c r="A384" s="7"/>
      <c r="B384" s="77"/>
      <c r="C384" s="78"/>
      <c r="D384" s="78"/>
      <c r="E384" s="77"/>
      <c r="F384" s="78"/>
      <c r="G384" s="80"/>
      <c r="H384" s="78"/>
      <c r="I384" s="80"/>
      <c r="J384" s="78"/>
      <c r="K384" s="84"/>
      <c r="L384" s="78"/>
      <c r="M384" s="78"/>
      <c r="N384" s="77"/>
      <c r="O384" s="78"/>
      <c r="P384" s="77"/>
      <c r="Q384" s="78"/>
      <c r="R384" s="77"/>
      <c r="S384" s="78"/>
      <c r="T384" s="77"/>
      <c r="U384" s="78"/>
      <c r="V384" s="77"/>
      <c r="W384" s="7"/>
      <c r="X384" s="27" t="str">
        <f t="shared" si="33"/>
        <v/>
      </c>
      <c r="AB384" s="11"/>
      <c r="AN384" s="7"/>
      <c r="AO384" s="15"/>
      <c r="AP384" s="15"/>
      <c r="AQ384" s="15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</row>
    <row r="385" spans="1:54" s="5" customFormat="1" x14ac:dyDescent="0.25">
      <c r="A385" s="7"/>
      <c r="B385" s="77"/>
      <c r="C385" s="78"/>
      <c r="D385" s="78"/>
      <c r="E385" s="77"/>
      <c r="F385" s="78"/>
      <c r="G385" s="80"/>
      <c r="H385" s="78"/>
      <c r="I385" s="80"/>
      <c r="J385" s="78"/>
      <c r="K385" s="85"/>
      <c r="L385" s="32" t="s">
        <v>88</v>
      </c>
      <c r="M385" s="78"/>
      <c r="N385" s="77"/>
      <c r="O385" s="78"/>
      <c r="P385" s="77"/>
      <c r="Q385" s="78"/>
      <c r="R385" s="77"/>
      <c r="S385" s="78"/>
      <c r="T385" s="77"/>
      <c r="U385" s="78"/>
      <c r="V385" s="77"/>
      <c r="W385" s="7"/>
      <c r="X385" s="28" t="str">
        <f t="shared" si="33"/>
        <v>Conventional</v>
      </c>
      <c r="AB385" s="11"/>
      <c r="AN385" s="7"/>
      <c r="AO385" s="15"/>
      <c r="AP385" s="15"/>
      <c r="AQ385" s="15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</row>
    <row r="386" spans="1:54" s="5" customFormat="1" x14ac:dyDescent="0.25">
      <c r="A386" s="7"/>
      <c r="B386" s="77"/>
      <c r="C386" s="78"/>
      <c r="D386" s="78"/>
      <c r="E386" s="77"/>
      <c r="F386" s="78"/>
      <c r="G386" s="80"/>
      <c r="H386" s="78"/>
      <c r="I386" s="80"/>
      <c r="J386" s="78"/>
      <c r="K386" s="84"/>
      <c r="L386" s="77"/>
      <c r="M386" s="78"/>
      <c r="N386" s="77"/>
      <c r="O386" s="78"/>
      <c r="P386" s="77"/>
      <c r="Q386" s="78"/>
      <c r="R386" s="77"/>
      <c r="S386" s="78"/>
      <c r="T386" s="77"/>
      <c r="U386" s="78"/>
      <c r="V386" s="77"/>
      <c r="W386" s="7"/>
      <c r="X386" s="27" t="str">
        <f t="shared" si="33"/>
        <v/>
      </c>
      <c r="AB386" s="11"/>
      <c r="AN386" s="7"/>
      <c r="AO386" s="15"/>
      <c r="AP386" s="15"/>
      <c r="AQ386" s="15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</row>
    <row r="387" spans="1:54" s="5" customFormat="1" x14ac:dyDescent="0.25">
      <c r="A387" s="7"/>
      <c r="B387" s="77"/>
      <c r="C387" s="78"/>
      <c r="D387" s="78"/>
      <c r="E387" s="77"/>
      <c r="F387" s="78"/>
      <c r="G387" s="80"/>
      <c r="H387" s="78"/>
      <c r="I387" s="80"/>
      <c r="J387" s="78"/>
      <c r="K387" s="78"/>
      <c r="L387" s="32" t="s">
        <v>89</v>
      </c>
      <c r="M387" s="78"/>
      <c r="N387" s="77"/>
      <c r="O387" s="78"/>
      <c r="P387" s="77"/>
      <c r="Q387" s="78"/>
      <c r="R387" s="77"/>
      <c r="S387" s="78"/>
      <c r="T387" s="77"/>
      <c r="U387" s="78"/>
      <c r="V387" s="77"/>
      <c r="W387" s="7"/>
      <c r="X387" s="28" t="str">
        <f t="shared" si="33"/>
        <v>Renewables</v>
      </c>
      <c r="AB387" s="11"/>
      <c r="AN387" s="7"/>
      <c r="AO387" s="15"/>
      <c r="AP387" s="15"/>
      <c r="AQ387" s="15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</row>
    <row r="388" spans="1:54" s="5" customFormat="1" x14ac:dyDescent="0.25">
      <c r="A388" s="7"/>
      <c r="B388" s="77"/>
      <c r="C388" s="78"/>
      <c r="D388" s="78"/>
      <c r="E388" s="77"/>
      <c r="F388" s="78"/>
      <c r="G388" s="80"/>
      <c r="H388" s="78"/>
      <c r="I388" s="80"/>
      <c r="J388" s="78"/>
      <c r="K388" s="78"/>
      <c r="L388" s="77"/>
      <c r="M388" s="78"/>
      <c r="N388" s="77"/>
      <c r="O388" s="78"/>
      <c r="P388" s="77"/>
      <c r="Q388" s="78"/>
      <c r="R388" s="77"/>
      <c r="S388" s="78"/>
      <c r="T388" s="77"/>
      <c r="U388" s="78"/>
      <c r="V388" s="77"/>
      <c r="W388" s="7"/>
      <c r="X388" s="27" t="str">
        <f t="shared" si="33"/>
        <v/>
      </c>
      <c r="AB388" s="11"/>
      <c r="AN388" s="7"/>
      <c r="AO388" s="15"/>
      <c r="AP388" s="15"/>
      <c r="AQ388" s="15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</row>
    <row r="389" spans="1:54" x14ac:dyDescent="0.25">
      <c r="A389" s="7"/>
      <c r="I389" s="78"/>
      <c r="K389" s="78"/>
      <c r="M389" s="78"/>
      <c r="O389" s="78"/>
      <c r="Q389" s="78"/>
      <c r="S389" s="78"/>
      <c r="U389" s="78"/>
      <c r="W389" s="7"/>
      <c r="Y389" s="5"/>
      <c r="Z389" s="5"/>
      <c r="AA389" s="5"/>
      <c r="AB389" s="11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7"/>
      <c r="AO389" s="15"/>
      <c r="AP389" s="15"/>
      <c r="AQ389" s="15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</row>
  </sheetData>
  <conditionalFormatting sqref="B3:D57 B64:D70 B77:D99987">
    <cfRule type="cellIs" dxfId="18" priority="104" stopIfTrue="1" operator="notEqual">
      <formula>0</formula>
    </cfRule>
  </conditionalFormatting>
  <conditionalFormatting sqref="H3:V57 H64:V70 H77:V99987">
    <cfRule type="cellIs" dxfId="17" priority="107" stopIfTrue="1" operator="notEqual">
      <formula>0</formula>
    </cfRule>
  </conditionalFormatting>
  <conditionalFormatting sqref="F3:F57 F64:F70 F77:F99987">
    <cfRule type="expression" dxfId="16" priority="15" stopIfTrue="1">
      <formula>AND(F3&lt;&gt;0,INDEX(DemandSupply,MATCH(F3,Sectors,0))="Demand")</formula>
    </cfRule>
    <cfRule type="expression" dxfId="15" priority="16" stopIfTrue="1">
      <formula>AND(F3&lt;&gt;0,INDEX(DemandSupply,MATCH(F3,Sectors,0))="Supply")</formula>
    </cfRule>
  </conditionalFormatting>
  <conditionalFormatting sqref="X3:BB57 X64:BB70 AB70:AB76 X77:BB99987">
    <cfRule type="expression" dxfId="14" priority="18" stopIfTrue="1">
      <formula>$X3&lt;&gt;""</formula>
    </cfRule>
  </conditionalFormatting>
  <conditionalFormatting sqref="Y3:Y57 Y64:Y70 Y77:Y99987">
    <cfRule type="expression" dxfId="13" priority="19" stopIfTrue="1">
      <formula>$Y3="Technology"</formula>
    </cfRule>
  </conditionalFormatting>
  <conditionalFormatting sqref="B58:D63">
    <cfRule type="cellIs" dxfId="12" priority="12" stopIfTrue="1" operator="notEqual">
      <formula>0</formula>
    </cfRule>
  </conditionalFormatting>
  <conditionalFormatting sqref="H58:V63">
    <cfRule type="cellIs" dxfId="11" priority="13" stopIfTrue="1" operator="notEqual">
      <formula>0</formula>
    </cfRule>
  </conditionalFormatting>
  <conditionalFormatting sqref="F58:F63">
    <cfRule type="expression" dxfId="10" priority="8" stopIfTrue="1">
      <formula>AND(F58&lt;&gt;0,INDEX(DemandSupply,MATCH(F58,Sectors,0))="Demand")</formula>
    </cfRule>
    <cfRule type="expression" dxfId="9" priority="9" stopIfTrue="1">
      <formula>AND(F58&lt;&gt;0,INDEX(DemandSupply,MATCH(F58,Sectors,0))="Supply")</formula>
    </cfRule>
  </conditionalFormatting>
  <conditionalFormatting sqref="X58:AA63 AC58:BB63">
    <cfRule type="expression" dxfId="8" priority="10" stopIfTrue="1">
      <formula>$X58&lt;&gt;""</formula>
    </cfRule>
  </conditionalFormatting>
  <conditionalFormatting sqref="Y58:Y63">
    <cfRule type="expression" dxfId="7" priority="11" stopIfTrue="1">
      <formula>$Y58="Technology"</formula>
    </cfRule>
  </conditionalFormatting>
  <conditionalFormatting sqref="B71:D76">
    <cfRule type="cellIs" dxfId="6" priority="6" stopIfTrue="1" operator="notEqual">
      <formula>0</formula>
    </cfRule>
  </conditionalFormatting>
  <conditionalFormatting sqref="H71:V76">
    <cfRule type="cellIs" dxfId="5" priority="7" stopIfTrue="1" operator="notEqual">
      <formula>0</formula>
    </cfRule>
  </conditionalFormatting>
  <conditionalFormatting sqref="F71:F76">
    <cfRule type="expression" dxfId="4" priority="2" stopIfTrue="1">
      <formula>AND(F71&lt;&gt;0,INDEX(DemandSupply,MATCH(F71,Sectors,0))="Demand")</formula>
    </cfRule>
    <cfRule type="expression" dxfId="3" priority="3" stopIfTrue="1">
      <formula>AND(F71&lt;&gt;0,INDEX(DemandSupply,MATCH(F71,Sectors,0))="Supply")</formula>
    </cfRule>
  </conditionalFormatting>
  <conditionalFormatting sqref="X71:BB76">
    <cfRule type="expression" dxfId="2" priority="4" stopIfTrue="1">
      <formula>$X71&lt;&gt;""</formula>
    </cfRule>
  </conditionalFormatting>
  <conditionalFormatting sqref="Y71:Y76">
    <cfRule type="expression" dxfId="1" priority="5" stopIfTrue="1">
      <formula>$Y71="Technology"</formula>
    </cfRule>
  </conditionalFormatting>
  <conditionalFormatting sqref="AB58:AB63">
    <cfRule type="expression" dxfId="0" priority="1" stopIfTrue="1">
      <formula>$X58&lt;&gt;""</formula>
    </cfRule>
  </conditionalFormatting>
  <dataValidations count="1">
    <dataValidation type="list" allowBlank="1" showInputMessage="1" showErrorMessage="1" sqref="AB152 AB16 AB32 AB52 AB122 AB10 AB378 AB209 AB335" xr:uid="{87A47A8D-0106-47D3-8FB9-F6C03FC86F58}">
      <formula1>Competition</formula1>
    </dataValidation>
  </dataValidations>
  <hyperlinks>
    <hyperlink ref="Z11" location="AB" display="Alberta" xr:uid="{24F8C709-4339-4746-9C1A-A47F5E46601D}"/>
    <hyperlink ref="X7" location="$X$7" display="$X$7" xr:uid="{8B0137A1-CA11-4DB8-94B3-5FB9D46EB984}"/>
    <hyperlink ref="D13" location="$D$13" display="$D$13" xr:uid="{A00539EB-ED69-4CA0-A8CD-598F0C3C77B8}"/>
    <hyperlink ref="F19" location="$F$19" display="$F$19" xr:uid="{FECE9C28-985C-4770-A3AB-1C5B4367721C}"/>
    <hyperlink ref="B7" location="$B$7" display="$B$7" xr:uid="{068FF690-A95B-4670-8352-B1A6F60F9726}"/>
    <hyperlink ref="X19" location="$X$19" display="$X$19" xr:uid="{E06909DB-D24A-4118-83D3-60582514D8A3}"/>
    <hyperlink ref="H30" location="$H$31" display="$H$31" xr:uid="{0BFE3CE2-7126-46B8-92BE-DBE7F508C1AF}"/>
    <hyperlink ref="J50" location="$J$39" display="$J$39" xr:uid="{AC69F5FC-BE6E-447D-B37F-2EECDBF336F0}"/>
    <hyperlink ref="L120" location="$L$107" display="$L$107" xr:uid="{57FF1B97-B486-4669-A583-8AAE15A2953E}"/>
    <hyperlink ref="N150" location="$N$135" display="$N$135" xr:uid="{0FDF796E-DEDC-4726-AB67-DDB70E21A1BE}"/>
    <hyperlink ref="L207" location="$L$193" display="$L$193" xr:uid="{2448D2C5-F46C-4376-BAD5-03F930F537CC}"/>
    <hyperlink ref="F364" location="$F$263" display="$F$263" xr:uid="{E4A648B1-BAFE-44B6-AC8B-AE36B8C874EC}"/>
    <hyperlink ref="H381" location="$H$280" display="$H$280" xr:uid="{8467D7B9-11E3-4726-9EDB-EB364E824B5A}"/>
    <hyperlink ref="J383" location="$J$282" display="$J$282" xr:uid="{F1ADEA5E-B258-46C5-96EB-80715123B904}"/>
    <hyperlink ref="L385" location="$L$284" display="$L$284" xr:uid="{C9A1F272-69D9-4603-8288-681167745538}"/>
    <hyperlink ref="L387" location="$L$286" display="$L$286" xr:uid="{40D92029-ECF7-40B5-A6EF-3D49DA49D975}"/>
    <hyperlink ref="X4" location="$X$4" display="$X$4" xr:uid="{366EBB12-6F4B-44FE-A51E-DBFCACBC76A2}"/>
    <hyperlink ref="X30" location="$X$31" display="$X$31" xr:uid="{3D816F71-A7DC-4A4E-B125-C7504FF63D71}"/>
    <hyperlink ref="X50" location="$X$39" display="$X$39" xr:uid="{BFDD0A66-017C-4184-9FC2-6373C8CAC8D3}"/>
    <hyperlink ref="X120" location="$X$107" display="$X$107" xr:uid="{D8975DE9-AC0D-418F-8D7A-5337F56BC691}"/>
    <hyperlink ref="X150" location="$X$135" display="$X$135" xr:uid="{020A9474-219A-45E7-A3D4-38BC109224DB}"/>
    <hyperlink ref="X207" location="$X$195" display="$X$195" xr:uid="{3E825E99-B7DD-4CBF-B35E-50C53FBB1149}"/>
    <hyperlink ref="X333" location="$X$321" display="$X$321" xr:uid="{95E196CB-86D6-4CC4-BD04-9A0CCB954F7D}"/>
    <hyperlink ref="X361" location="$X$362" display="$X$362" xr:uid="{71102C35-E152-4777-9A45-BF64866B41FB}"/>
    <hyperlink ref="X364" location="$X$365" display="$X$365" xr:uid="{ACC3267B-B827-42D1-A596-28B2DF27DF55}"/>
    <hyperlink ref="X13" location="$X$13" display="$X$13" xr:uid="{E3A996F2-126A-46A0-B32B-B8FE40E721A0}"/>
    <hyperlink ref="Y1" location="Model!Y1" display="Close all nodes" xr:uid="{339D1C2E-EA68-424B-A8A1-E79C2944C3DB}"/>
    <hyperlink ref="AB106" location="$AB$43" display="$AB$43" xr:uid="{982300C2-7CEC-4D11-9028-12C2CCED18DD}"/>
    <hyperlink ref="B4" location="$B$4" display="$B$4" xr:uid="{A68818D1-30D7-4E6D-B58E-C1AA2FEF3E36}"/>
    <hyperlink ref="X381" location="$X$382" display="$X$382" xr:uid="{B3565607-E0F5-4D21-B7E9-0D144420D02D}"/>
    <hyperlink ref="X383" location="$X$384" display="$X$384" xr:uid="{8349BD98-F01B-4325-A752-09883CEB6AC3}"/>
    <hyperlink ref="X385" location="$X$386" display="$X$386" xr:uid="{E2236E69-B8C6-4450-BCC2-72B129F226DE}"/>
    <hyperlink ref="X387" location="$X$388" display="$X$388" xr:uid="{E81EDCEB-36CC-4B5B-84BC-CABBEAC65DE8}"/>
    <hyperlink ref="J333" location="$F$263" display="$F$263" xr:uid="{78109602-7692-4866-8DE9-5A1A8234B7E1}"/>
    <hyperlink ref="J361" location="$H$280" display="$H$280" xr:uid="{2573A400-3FCC-4490-8045-4B18801A8FA3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EAFB0-7A93-4D90-AF18-F0D4729F4AD5}">
  <sheetPr codeName="Sheet3">
    <tabColor rgb="FFFFFF00"/>
  </sheetPr>
  <dimension ref="A1:AO104"/>
  <sheetViews>
    <sheetView tabSelected="1" workbookViewId="0"/>
  </sheetViews>
  <sheetFormatPr defaultRowHeight="15" x14ac:dyDescent="0.25"/>
  <cols>
    <col min="1" max="1" width="35.85546875" bestFit="1" customWidth="1"/>
    <col min="2" max="2" width="4.42578125" customWidth="1"/>
    <col min="3" max="3" width="11.7109375" style="117" bestFit="1" customWidth="1"/>
    <col min="4" max="4" width="12.140625" customWidth="1"/>
    <col min="5" max="5" width="11.7109375" style="117" bestFit="1" customWidth="1"/>
    <col min="6" max="6" width="10.140625" customWidth="1"/>
    <col min="7" max="7" width="11.7109375" style="117" bestFit="1" customWidth="1"/>
    <col min="8" max="8" width="11.85546875" style="107" bestFit="1" customWidth="1"/>
    <col min="9" max="9" width="10.140625" style="107" bestFit="1" customWidth="1"/>
    <col min="10" max="10" width="28.42578125" bestFit="1" customWidth="1"/>
    <col min="11" max="11" width="11.28515625" customWidth="1"/>
    <col min="12" max="12" width="13.85546875" style="117" bestFit="1" customWidth="1"/>
    <col min="13" max="13" width="13.85546875" style="107" customWidth="1"/>
    <col min="14" max="14" width="13.140625" style="107" bestFit="1" customWidth="1"/>
    <col min="15" max="15" width="9.5703125" style="107" customWidth="1"/>
    <col min="16" max="16" width="16.42578125" bestFit="1" customWidth="1"/>
    <col min="17" max="17" width="13.42578125" style="117" bestFit="1" customWidth="1"/>
    <col min="18" max="18" width="13.28515625" bestFit="1" customWidth="1"/>
    <col min="19" max="19" width="12.7109375" bestFit="1" customWidth="1"/>
    <col min="20" max="20" width="17.42578125" bestFit="1" customWidth="1"/>
    <col min="21" max="21" width="17.7109375" bestFit="1" customWidth="1"/>
    <col min="22" max="22" width="15.42578125" bestFit="1" customWidth="1"/>
    <col min="23" max="23" width="12.7109375" style="117" bestFit="1" customWidth="1"/>
    <col min="24" max="24" width="13.28515625" bestFit="1" customWidth="1"/>
    <col min="25" max="25" width="12.7109375" bestFit="1" customWidth="1"/>
    <col min="26" max="26" width="25.7109375" style="104" bestFit="1" customWidth="1"/>
    <col min="27" max="27" width="8.28515625" style="104" bestFit="1" customWidth="1"/>
    <col min="28" max="28" width="13.140625" bestFit="1" customWidth="1"/>
    <col min="29" max="29" width="12.7109375" style="117" bestFit="1" customWidth="1"/>
    <col min="30" max="30" width="13.140625" style="104" bestFit="1" customWidth="1"/>
    <col min="33" max="33" width="25.7109375" bestFit="1" customWidth="1"/>
    <col min="34" max="34" width="16.7109375" bestFit="1" customWidth="1"/>
    <col min="39" max="39" width="9.85546875" customWidth="1"/>
    <col min="40" max="40" width="10" customWidth="1"/>
  </cols>
  <sheetData>
    <row r="1" spans="1:41" s="101" customFormat="1" x14ac:dyDescent="0.25">
      <c r="C1" s="115"/>
      <c r="E1" s="115"/>
      <c r="G1" s="115"/>
      <c r="I1" s="106"/>
      <c r="L1" s="115"/>
      <c r="M1" s="106"/>
      <c r="N1" s="106"/>
      <c r="O1" s="106"/>
      <c r="Q1" s="115"/>
      <c r="R1" s="101" t="s">
        <v>198</v>
      </c>
      <c r="W1" s="115"/>
      <c r="X1" s="101" t="s">
        <v>199</v>
      </c>
      <c r="Z1" s="109"/>
      <c r="AA1" s="109"/>
      <c r="AC1" s="115"/>
      <c r="AD1" s="109"/>
      <c r="AE1" s="103"/>
      <c r="AF1" s="103"/>
    </row>
    <row r="2" spans="1:41" s="1" customFormat="1" x14ac:dyDescent="0.25">
      <c r="C2" s="116" t="s">
        <v>5</v>
      </c>
      <c r="E2" s="116" t="s">
        <v>0</v>
      </c>
      <c r="G2" s="116" t="s">
        <v>131</v>
      </c>
      <c r="L2" s="116" t="s">
        <v>1</v>
      </c>
      <c r="M2" s="108"/>
      <c r="N2" s="108"/>
      <c r="O2" s="108"/>
      <c r="Q2" s="116" t="s">
        <v>87</v>
      </c>
      <c r="W2" s="116" t="s">
        <v>35</v>
      </c>
      <c r="Z2" s="110"/>
      <c r="AA2" s="110"/>
      <c r="AC2" s="116" t="s">
        <v>72</v>
      </c>
      <c r="AD2" s="110"/>
    </row>
    <row r="3" spans="1:41" x14ac:dyDescent="0.25">
      <c r="C3" s="116" t="s">
        <v>187</v>
      </c>
      <c r="D3" s="1" t="s">
        <v>188</v>
      </c>
      <c r="E3" s="116" t="s">
        <v>187</v>
      </c>
      <c r="F3" s="120" t="s">
        <v>188</v>
      </c>
      <c r="G3" s="116" t="s">
        <v>187</v>
      </c>
      <c r="H3" s="120" t="s">
        <v>189</v>
      </c>
      <c r="I3" s="120" t="s">
        <v>187</v>
      </c>
      <c r="J3" s="1"/>
      <c r="K3" s="1" t="s">
        <v>188</v>
      </c>
      <c r="L3" s="116" t="s">
        <v>187</v>
      </c>
      <c r="M3" s="108" t="s">
        <v>196</v>
      </c>
      <c r="N3" s="108" t="s">
        <v>196</v>
      </c>
      <c r="O3" s="108"/>
      <c r="P3" s="120" t="s">
        <v>188</v>
      </c>
      <c r="Q3" s="121" t="s">
        <v>187</v>
      </c>
      <c r="R3" s="108" t="s">
        <v>196</v>
      </c>
      <c r="S3" s="108" t="s">
        <v>196</v>
      </c>
      <c r="T3" s="1"/>
      <c r="U3" s="1" t="s">
        <v>188</v>
      </c>
      <c r="V3" s="1" t="s">
        <v>188</v>
      </c>
      <c r="W3" s="116" t="s">
        <v>187</v>
      </c>
      <c r="X3" s="108" t="s">
        <v>196</v>
      </c>
      <c r="Y3" s="108" t="s">
        <v>196</v>
      </c>
      <c r="Z3" s="110"/>
      <c r="AA3" s="110" t="s">
        <v>188</v>
      </c>
      <c r="AB3" s="1" t="s">
        <v>188</v>
      </c>
      <c r="AC3" s="116" t="s">
        <v>188</v>
      </c>
      <c r="AD3" s="110" t="s">
        <v>188</v>
      </c>
    </row>
    <row r="4" spans="1:41" s="147" customFormat="1" ht="60" x14ac:dyDescent="0.25">
      <c r="A4" s="158" t="s">
        <v>215</v>
      </c>
      <c r="C4" s="124" t="s">
        <v>52</v>
      </c>
      <c r="D4" s="125" t="s">
        <v>184</v>
      </c>
      <c r="E4" s="124" t="s">
        <v>102</v>
      </c>
      <c r="F4" s="125" t="s">
        <v>185</v>
      </c>
      <c r="G4" s="124" t="s">
        <v>186</v>
      </c>
      <c r="H4" s="126" t="s">
        <v>174</v>
      </c>
      <c r="I4" s="127" t="s">
        <v>105</v>
      </c>
      <c r="J4" s="125"/>
      <c r="K4" s="125" t="s">
        <v>182</v>
      </c>
      <c r="L4" s="124" t="s">
        <v>39</v>
      </c>
      <c r="M4" s="126" t="s">
        <v>197</v>
      </c>
      <c r="N4" s="127" t="s">
        <v>105</v>
      </c>
      <c r="O4" s="126"/>
      <c r="P4" s="127" t="s">
        <v>54</v>
      </c>
      <c r="Q4" s="128" t="s">
        <v>36</v>
      </c>
      <c r="R4" s="126" t="s">
        <v>197</v>
      </c>
      <c r="S4" s="127" t="s">
        <v>105</v>
      </c>
      <c r="T4" s="125"/>
      <c r="U4" s="125" t="s">
        <v>193</v>
      </c>
      <c r="V4" s="125" t="s">
        <v>194</v>
      </c>
      <c r="W4" s="124" t="s">
        <v>36</v>
      </c>
      <c r="X4" s="126" t="s">
        <v>197</v>
      </c>
      <c r="Y4" s="127" t="s">
        <v>105</v>
      </c>
      <c r="Z4" s="129"/>
      <c r="AA4" s="129" t="s">
        <v>191</v>
      </c>
      <c r="AB4" s="125" t="s">
        <v>192</v>
      </c>
      <c r="AC4" s="124" t="s">
        <v>191</v>
      </c>
      <c r="AD4" s="129" t="s">
        <v>192</v>
      </c>
      <c r="AG4" s="168" t="s">
        <v>218</v>
      </c>
      <c r="AH4" s="148" t="s">
        <v>190</v>
      </c>
      <c r="AI4" s="147" t="s">
        <v>37</v>
      </c>
      <c r="AJ4" s="147" t="s">
        <v>206</v>
      </c>
      <c r="AK4" s="147" t="s">
        <v>45</v>
      </c>
      <c r="AL4" s="147" t="s">
        <v>207</v>
      </c>
      <c r="AM4" s="147" t="s">
        <v>208</v>
      </c>
      <c r="AN4" s="147" t="s">
        <v>209</v>
      </c>
      <c r="AO4" s="147" t="s">
        <v>210</v>
      </c>
    </row>
    <row r="5" spans="1:41" x14ac:dyDescent="0.25">
      <c r="A5" s="130" t="s">
        <v>204</v>
      </c>
      <c r="C5" s="154">
        <f>Model!$AC$14</f>
        <v>3004198</v>
      </c>
      <c r="D5" s="55">
        <f>Model!$AC$17</f>
        <v>0.38461538461538458</v>
      </c>
      <c r="E5" s="155">
        <f>D5*C5</f>
        <v>1155460.769230769</v>
      </c>
      <c r="F5" s="55">
        <f>Model!$AC$28</f>
        <v>1</v>
      </c>
      <c r="G5" s="155">
        <f>F5*E5</f>
        <v>1155460.769230769</v>
      </c>
      <c r="H5" s="111">
        <f>INDEX(Model!$AC$33:$AC$36,MATCH($J5,Model!$AB$33:$AB$36,0))</f>
        <v>0.14000000000000001</v>
      </c>
      <c r="I5" s="132">
        <f>G5*H5</f>
        <v>161764.50769230767</v>
      </c>
      <c r="J5" s="55" t="s">
        <v>27</v>
      </c>
      <c r="K5" s="111">
        <f>INDEX(Model!$AC$37:$AC$40,MATCH($J5,Model!$AB$33:$AB$36,0))</f>
        <v>84.759907824534466</v>
      </c>
      <c r="L5" s="131">
        <f>K5*I5</f>
        <v>13711144.761281194</v>
      </c>
      <c r="M5" s="111">
        <f>Model!$AC$118</f>
        <v>0</v>
      </c>
      <c r="N5" s="132">
        <f t="shared" ref="N5:N9" si="0">L5*M5</f>
        <v>0</v>
      </c>
      <c r="O5" s="111" t="s">
        <v>33</v>
      </c>
      <c r="P5" s="111">
        <f>INDEX(Model!$AC$54:$AC$118,MATCH($O5,Model!$AB$54:$AB$118,0)+MATCH(Model!$Z$116,Model!$Z$54:$Z$118,0)-1)</f>
        <v>0.309</v>
      </c>
      <c r="Q5" s="131">
        <f>N5*P5</f>
        <v>0</v>
      </c>
      <c r="R5" s="150">
        <f>Model!$AC$138</f>
        <v>5.5303779999999999E-3</v>
      </c>
      <c r="S5" s="132">
        <f t="shared" ref="S5" si="1">Q5*R5</f>
        <v>0</v>
      </c>
      <c r="T5" s="55" t="s">
        <v>34</v>
      </c>
      <c r="U5" s="55"/>
      <c r="V5" s="55">
        <f>Model!$AC$137</f>
        <v>1</v>
      </c>
      <c r="W5" s="131"/>
      <c r="X5" s="150"/>
      <c r="Y5" s="132">
        <f t="shared" ref="Y5:Y68" si="2">W5*X5</f>
        <v>0</v>
      </c>
      <c r="Z5" s="112"/>
      <c r="AA5" s="112"/>
      <c r="AB5" s="55"/>
      <c r="AC5" s="118">
        <f>V5*S5+AA5*Y5</f>
        <v>0</v>
      </c>
      <c r="AD5" s="112">
        <f>AB5*Y5</f>
        <v>0</v>
      </c>
      <c r="AG5" s="1" t="s">
        <v>33</v>
      </c>
      <c r="AH5" s="140">
        <f t="shared" ref="AH5:AH7" si="3">(AJ5*AK5/(1-(1+AK5)^(-AL5))+SUM(AM5:AO5))^-AI5</f>
        <v>2.3644047760233659E-37</v>
      </c>
      <c r="AI5">
        <f>Model!$AC$53</f>
        <v>10</v>
      </c>
      <c r="AJ5">
        <f>Model!AC111</f>
        <v>18325</v>
      </c>
      <c r="AK5">
        <f>Model!AC110</f>
        <v>0.25</v>
      </c>
      <c r="AL5">
        <f>Model!AC109</f>
        <v>25</v>
      </c>
      <c r="AM5">
        <f>Model!AC112</f>
        <v>0</v>
      </c>
      <c r="AN5">
        <f>Model!AC113</f>
        <v>0</v>
      </c>
    </row>
    <row r="6" spans="1:41" x14ac:dyDescent="0.25">
      <c r="C6" s="170">
        <f>Model!$AC$14</f>
        <v>3004198</v>
      </c>
      <c r="D6" s="113">
        <f>Model!$AC$17</f>
        <v>0.38461538461538458</v>
      </c>
      <c r="E6" s="171">
        <f t="shared" ref="E6:E69" si="4">D6*C6</f>
        <v>1155460.769230769</v>
      </c>
      <c r="F6" s="113">
        <f>Model!$AC$28</f>
        <v>1</v>
      </c>
      <c r="G6" s="171">
        <f t="shared" ref="G6:G69" si="5">F6*E6</f>
        <v>1155460.769230769</v>
      </c>
      <c r="H6" s="114">
        <f>INDEX(Model!$AC$33:$AC$36,MATCH($J6,Model!$AB$33:$AB$36,0))</f>
        <v>0.14000000000000001</v>
      </c>
      <c r="I6" s="133">
        <f t="shared" ref="I6:I69" si="6">G6*H6</f>
        <v>161764.50769230767</v>
      </c>
      <c r="J6" s="113" t="s">
        <v>27</v>
      </c>
      <c r="K6" s="114">
        <f>INDEX(Model!$AC$37:$AC$40,MATCH($J6,Model!$AB$33:$AB$36,0))</f>
        <v>84.759907824534466</v>
      </c>
      <c r="L6" s="135">
        <f>K6*I6</f>
        <v>13711144.761281194</v>
      </c>
      <c r="M6" s="114">
        <f>Model!$AC$118</f>
        <v>0</v>
      </c>
      <c r="N6" s="133">
        <f t="shared" si="0"/>
        <v>0</v>
      </c>
      <c r="O6" s="114" t="s">
        <v>33</v>
      </c>
      <c r="P6" s="114">
        <f>INDEX(Model!$AC$54:$AC$118,MATCH($O6,Model!$AB$54:$AB$118,0)+MATCH(Model!$Z$116,Model!$Z$54:$Z$118,0)-1)</f>
        <v>0.309</v>
      </c>
      <c r="Q6" s="135">
        <f t="shared" ref="Q6:Q69" si="7">N6*P6</f>
        <v>0</v>
      </c>
      <c r="R6" s="151">
        <f>Model!$AC$148</f>
        <v>0.994469622</v>
      </c>
      <c r="S6" s="133">
        <f t="shared" ref="S6:S69" si="8">Q6*R6</f>
        <v>0</v>
      </c>
      <c r="T6" s="113" t="s">
        <v>35</v>
      </c>
      <c r="U6" s="113">
        <f>Model!$AC$147</f>
        <v>1</v>
      </c>
      <c r="V6" s="113"/>
      <c r="W6" s="135">
        <f>S6*U6</f>
        <v>0</v>
      </c>
      <c r="X6" s="153"/>
      <c r="Y6" s="133">
        <f t="shared" si="2"/>
        <v>0</v>
      </c>
      <c r="Z6" s="113" t="s">
        <v>67</v>
      </c>
      <c r="AA6" s="113">
        <f>Model!$AC$178</f>
        <v>0.52600000000000002</v>
      </c>
      <c r="AB6" s="113"/>
      <c r="AC6" s="119">
        <f t="shared" ref="AC6:AC69" si="9">V6*S6+AA6*Y6</f>
        <v>0</v>
      </c>
      <c r="AD6" s="113">
        <f t="shared" ref="AD6:AD69" si="10">AB6*Y6</f>
        <v>0</v>
      </c>
      <c r="AG6" s="1" t="s">
        <v>32</v>
      </c>
      <c r="AH6" s="140">
        <f t="shared" si="3"/>
        <v>5.9218915519278998E-35</v>
      </c>
      <c r="AI6">
        <f>Model!$AC$53</f>
        <v>10</v>
      </c>
      <c r="AJ6">
        <f>Model!AC98</f>
        <v>10548</v>
      </c>
      <c r="AK6">
        <f>Model!AC97</f>
        <v>0.25</v>
      </c>
      <c r="AL6">
        <f>Model!AC96</f>
        <v>25</v>
      </c>
      <c r="AM6">
        <f>Model!AC99</f>
        <v>0</v>
      </c>
      <c r="AN6">
        <f>Model!AC100</f>
        <v>0</v>
      </c>
    </row>
    <row r="7" spans="1:41" x14ac:dyDescent="0.25">
      <c r="C7" s="154">
        <f>Model!$AC$14</f>
        <v>3004198</v>
      </c>
      <c r="D7" s="55">
        <f>Model!$AC$17</f>
        <v>0.38461538461538458</v>
      </c>
      <c r="E7" s="155">
        <f t="shared" si="4"/>
        <v>1155460.769230769</v>
      </c>
      <c r="F7" s="55">
        <f>Model!$AC$28</f>
        <v>1</v>
      </c>
      <c r="G7" s="155">
        <f t="shared" si="5"/>
        <v>1155460.769230769</v>
      </c>
      <c r="H7" s="111">
        <f>INDEX(Model!$AC$33:$AC$36,MATCH($J7,Model!$AB$33:$AB$36,0))</f>
        <v>0.14000000000000001</v>
      </c>
      <c r="I7" s="132">
        <f t="shared" si="6"/>
        <v>161764.50769230767</v>
      </c>
      <c r="J7" s="55" t="s">
        <v>27</v>
      </c>
      <c r="K7" s="111">
        <f>INDEX(Model!$AC$37:$AC$40,MATCH($J7,Model!$AB$33:$AB$36,0))</f>
        <v>84.759907824534466</v>
      </c>
      <c r="L7" s="131">
        <f>K7*I7</f>
        <v>13711144.761281194</v>
      </c>
      <c r="M7" s="111">
        <f>Model!$AC$118</f>
        <v>0</v>
      </c>
      <c r="N7" s="132">
        <f t="shared" si="0"/>
        <v>0</v>
      </c>
      <c r="O7" s="111" t="s">
        <v>33</v>
      </c>
      <c r="P7" s="111">
        <f>INDEX(Model!$AC$54:$AC$118,MATCH($O7,Model!$AB$54:$AB$118,0)+MATCH(Model!$Z$116,Model!$Z$54:$Z$118,0)-1)</f>
        <v>0.309</v>
      </c>
      <c r="Q7" s="131">
        <f t="shared" si="7"/>
        <v>0</v>
      </c>
      <c r="R7" s="150">
        <f>Model!$AC$148</f>
        <v>0.994469622</v>
      </c>
      <c r="S7" s="132">
        <f t="shared" si="8"/>
        <v>0</v>
      </c>
      <c r="T7" s="55" t="s">
        <v>35</v>
      </c>
      <c r="U7" s="55">
        <f>Model!$AC$147</f>
        <v>1</v>
      </c>
      <c r="V7" s="55"/>
      <c r="W7" s="131">
        <f>S7*U7</f>
        <v>0</v>
      </c>
      <c r="X7" s="137">
        <f>Model!$AC$192/SUM(Model!$AC$192,Model!$AC$165,Model!$AC$205)</f>
        <v>0</v>
      </c>
      <c r="Y7" s="132">
        <f t="shared" si="2"/>
        <v>0</v>
      </c>
      <c r="Z7" s="112" t="s">
        <v>144</v>
      </c>
      <c r="AA7" s="112">
        <f>Model!$AC$191</f>
        <v>0.4</v>
      </c>
      <c r="AB7" s="55"/>
      <c r="AC7" s="118">
        <f t="shared" si="9"/>
        <v>0</v>
      </c>
      <c r="AD7" s="112">
        <f t="shared" si="10"/>
        <v>0</v>
      </c>
      <c r="AG7" s="1" t="s">
        <v>31</v>
      </c>
      <c r="AH7" s="140">
        <f t="shared" si="3"/>
        <v>5.8011808796853376E-29</v>
      </c>
      <c r="AI7">
        <f>Model!$AC$53</f>
        <v>10</v>
      </c>
      <c r="AJ7">
        <f>Model!AC85</f>
        <v>2655</v>
      </c>
      <c r="AK7">
        <f>Model!AC84</f>
        <v>0.25</v>
      </c>
      <c r="AL7">
        <f>Model!AC83</f>
        <v>25</v>
      </c>
      <c r="AM7">
        <f>Model!AC86</f>
        <v>0</v>
      </c>
      <c r="AN7">
        <f>Model!AC87</f>
        <v>0</v>
      </c>
    </row>
    <row r="8" spans="1:41" x14ac:dyDescent="0.25">
      <c r="A8" s="138" t="s">
        <v>145</v>
      </c>
      <c r="C8" s="154">
        <f>Model!$AC$14</f>
        <v>3004198</v>
      </c>
      <c r="D8" s="55">
        <f>Model!$AC$17</f>
        <v>0.38461538461538458</v>
      </c>
      <c r="E8" s="155">
        <f t="shared" si="4"/>
        <v>1155460.769230769</v>
      </c>
      <c r="F8" s="55">
        <f>Model!$AC$28</f>
        <v>1</v>
      </c>
      <c r="G8" s="155">
        <f t="shared" si="5"/>
        <v>1155460.769230769</v>
      </c>
      <c r="H8" s="111">
        <f>INDEX(Model!$AC$33:$AC$36,MATCH($J8,Model!$AB$33:$AB$36,0))</f>
        <v>0.14000000000000001</v>
      </c>
      <c r="I8" s="132">
        <f t="shared" si="6"/>
        <v>161764.50769230767</v>
      </c>
      <c r="J8" s="55" t="s">
        <v>27</v>
      </c>
      <c r="K8" s="111">
        <f>INDEX(Model!$AC$37:$AC$40,MATCH($J8,Model!$AB$33:$AB$36,0))</f>
        <v>84.759907824534466</v>
      </c>
      <c r="L8" s="131">
        <f>K8*I8</f>
        <v>13711144.761281194</v>
      </c>
      <c r="M8" s="111">
        <f>Model!$AC$118</f>
        <v>0</v>
      </c>
      <c r="N8" s="132">
        <f t="shared" si="0"/>
        <v>0</v>
      </c>
      <c r="O8" s="111" t="s">
        <v>33</v>
      </c>
      <c r="P8" s="111">
        <f>INDEX(Model!$AC$54:$AC$118,MATCH($O8,Model!$AB$54:$AB$118,0)+MATCH(Model!$Z$116,Model!$Z$54:$Z$118,0)-1)</f>
        <v>0.309</v>
      </c>
      <c r="Q8" s="131">
        <f t="shared" si="7"/>
        <v>0</v>
      </c>
      <c r="R8" s="150">
        <f>Model!$AC$148</f>
        <v>0.994469622</v>
      </c>
      <c r="S8" s="132">
        <f t="shared" si="8"/>
        <v>0</v>
      </c>
      <c r="T8" s="55" t="s">
        <v>35</v>
      </c>
      <c r="U8" s="55">
        <f>Model!$AC$147</f>
        <v>1</v>
      </c>
      <c r="V8" s="55"/>
      <c r="W8" s="131">
        <f>S8*U8</f>
        <v>0</v>
      </c>
      <c r="X8" s="137">
        <f>Model!$AC$165/SUM(Model!$AC$192,Model!$AC$165,Model!$AC$205)</f>
        <v>0.9494949494949495</v>
      </c>
      <c r="Y8" s="132">
        <f t="shared" si="2"/>
        <v>0</v>
      </c>
      <c r="Z8" s="112" t="s">
        <v>65</v>
      </c>
      <c r="AA8" s="112"/>
      <c r="AB8" s="55">
        <f>Model!$AC$164</f>
        <v>1.613</v>
      </c>
      <c r="AC8" s="118">
        <f t="shared" si="9"/>
        <v>0</v>
      </c>
      <c r="AD8" s="112">
        <f t="shared" si="10"/>
        <v>0</v>
      </c>
      <c r="AG8" s="1"/>
      <c r="AH8" s="140"/>
    </row>
    <row r="9" spans="1:41" x14ac:dyDescent="0.25">
      <c r="A9" s="102" t="s">
        <v>195</v>
      </c>
      <c r="C9" s="154">
        <f>Model!$AC$14</f>
        <v>3004198</v>
      </c>
      <c r="D9" s="55">
        <f>Model!$AC$17</f>
        <v>0.38461538461538458</v>
      </c>
      <c r="E9" s="155">
        <f t="shared" si="4"/>
        <v>1155460.769230769</v>
      </c>
      <c r="F9" s="55">
        <f>Model!$AC$28</f>
        <v>1</v>
      </c>
      <c r="G9" s="155">
        <f t="shared" si="5"/>
        <v>1155460.769230769</v>
      </c>
      <c r="H9" s="111">
        <f>INDEX(Model!$AC$33:$AC$36,MATCH($J9,Model!$AB$33:$AB$36,0))</f>
        <v>0.14000000000000001</v>
      </c>
      <c r="I9" s="132">
        <f t="shared" si="6"/>
        <v>161764.50769230767</v>
      </c>
      <c r="J9" s="55" t="s">
        <v>27</v>
      </c>
      <c r="K9" s="111">
        <f>INDEX(Model!$AC$37:$AC$40,MATCH($J9,Model!$AB$33:$AB$36,0))</f>
        <v>84.759907824534466</v>
      </c>
      <c r="L9" s="131">
        <f>K9*I9</f>
        <v>13711144.761281194</v>
      </c>
      <c r="M9" s="111">
        <f>Model!$AC$118</f>
        <v>0</v>
      </c>
      <c r="N9" s="132">
        <f t="shared" si="0"/>
        <v>0</v>
      </c>
      <c r="O9" s="111" t="s">
        <v>33</v>
      </c>
      <c r="P9" s="111">
        <f>INDEX(Model!$AC$54:$AC$118,MATCH($O9,Model!$AB$54:$AB$118,0)+MATCH(Model!$Z$116,Model!$Z$54:$Z$118,0)-1)</f>
        <v>0.309</v>
      </c>
      <c r="Q9" s="131">
        <f t="shared" si="7"/>
        <v>0</v>
      </c>
      <c r="R9" s="150">
        <f>Model!$AC$148</f>
        <v>0.994469622</v>
      </c>
      <c r="S9" s="132">
        <f t="shared" si="8"/>
        <v>0</v>
      </c>
      <c r="T9" s="55" t="s">
        <v>35</v>
      </c>
      <c r="U9" s="55">
        <f>Model!$AC$147</f>
        <v>1</v>
      </c>
      <c r="V9" s="55"/>
      <c r="W9" s="131">
        <f>S9*U9</f>
        <v>0</v>
      </c>
      <c r="X9" s="137">
        <f>Model!$AC$205/SUM(Model!$AC$192,Model!$AC$165,Model!$AC$205)</f>
        <v>5.0505050505050511E-2</v>
      </c>
      <c r="Y9" s="132">
        <f t="shared" si="2"/>
        <v>0</v>
      </c>
      <c r="Z9" s="112" t="s">
        <v>66</v>
      </c>
      <c r="AA9" s="112"/>
      <c r="AB9" s="55">
        <f>Model!$AC$204</f>
        <v>1.111</v>
      </c>
      <c r="AC9" s="118">
        <f t="shared" si="9"/>
        <v>0</v>
      </c>
      <c r="AD9" s="112">
        <f t="shared" si="10"/>
        <v>0</v>
      </c>
      <c r="AG9" s="1" t="s">
        <v>34</v>
      </c>
      <c r="AH9" s="140">
        <f>(AJ9*AK9/(1-(1+AK9)^(-AL9))+SUM(AM9:AO9))^-AI9</f>
        <v>4.1920840987895374E-29</v>
      </c>
      <c r="AI9">
        <f>Model!$AC$123</f>
        <v>10</v>
      </c>
      <c r="AJ9">
        <f>Model!AC129</f>
        <v>2655</v>
      </c>
      <c r="AK9">
        <f>Model!AC128</f>
        <v>0.25</v>
      </c>
      <c r="AL9">
        <f>Model!AC127</f>
        <v>25</v>
      </c>
      <c r="AM9">
        <f>Model!AC130</f>
        <v>0</v>
      </c>
      <c r="AN9">
        <f>Model!AC131</f>
        <v>0</v>
      </c>
      <c r="AO9" s="149">
        <f>Model!AC132</f>
        <v>22</v>
      </c>
    </row>
    <row r="10" spans="1:41" x14ac:dyDescent="0.25">
      <c r="C10" s="154">
        <f>Model!$AC$14</f>
        <v>3004198</v>
      </c>
      <c r="D10" s="55">
        <f>Model!$AC$17</f>
        <v>0.38461538461538458</v>
      </c>
      <c r="E10" s="155">
        <f t="shared" si="4"/>
        <v>1155460.769230769</v>
      </c>
      <c r="F10" s="55">
        <f>Model!$AC$28</f>
        <v>1</v>
      </c>
      <c r="G10" s="155">
        <f t="shared" si="5"/>
        <v>1155460.769230769</v>
      </c>
      <c r="H10" s="111">
        <f>INDEX(Model!$AC$33:$AC$36,MATCH($J10,Model!$AB$33:$AB$36,0))</f>
        <v>0.14000000000000001</v>
      </c>
      <c r="I10" s="132">
        <f t="shared" si="6"/>
        <v>161764.50769230767</v>
      </c>
      <c r="J10" s="55" t="s">
        <v>27</v>
      </c>
      <c r="K10" s="111">
        <f>INDEX(Model!$AC$37:$AC$40,MATCH($J10,Model!$AB$33:$AB$36,0))</f>
        <v>84.759907824534466</v>
      </c>
      <c r="L10" s="131">
        <f>K10*I10</f>
        <v>13711144.761281194</v>
      </c>
      <c r="M10" s="111">
        <f>Model!$AC$79</f>
        <v>0.83299999999999996</v>
      </c>
      <c r="N10" s="132">
        <f>L10*M10</f>
        <v>11421383.586147234</v>
      </c>
      <c r="O10" s="111" t="s">
        <v>29</v>
      </c>
      <c r="P10" s="111">
        <f>INDEX(Model!$AC$54:$AC$118,MATCH($O10,Model!$AB$54:$AB$118,0)+MATCH(Model!$Z$116,Model!$Z$54:$Z$118,0)-1)</f>
        <v>0.63300000000000001</v>
      </c>
      <c r="Q10" s="131">
        <f t="shared" si="7"/>
        <v>7229735.8100311989</v>
      </c>
      <c r="R10" s="150">
        <f>Model!$AC$138</f>
        <v>5.5303779999999999E-3</v>
      </c>
      <c r="S10" s="132">
        <f t="shared" si="8"/>
        <v>39983.171869608719</v>
      </c>
      <c r="T10" s="55" t="s">
        <v>34</v>
      </c>
      <c r="U10" s="55"/>
      <c r="V10" s="55">
        <f>Model!$AC$137</f>
        <v>1</v>
      </c>
      <c r="W10" s="131"/>
      <c r="X10" s="150"/>
      <c r="Y10" s="132">
        <f t="shared" si="2"/>
        <v>0</v>
      </c>
      <c r="Z10" s="112"/>
      <c r="AA10" s="112"/>
      <c r="AB10" s="55"/>
      <c r="AC10" s="118">
        <f t="shared" si="9"/>
        <v>39983.171869608719</v>
      </c>
      <c r="AD10" s="112">
        <f t="shared" si="10"/>
        <v>0</v>
      </c>
      <c r="AG10" s="1" t="s">
        <v>35</v>
      </c>
      <c r="AH10" s="140">
        <f>Model!AC142^-AI10</f>
        <v>9.5898138380678763E-28</v>
      </c>
      <c r="AI10">
        <f>Model!$AC$123</f>
        <v>10</v>
      </c>
    </row>
    <row r="11" spans="1:41" x14ac:dyDescent="0.25">
      <c r="A11" s="139" t="s">
        <v>205</v>
      </c>
      <c r="C11" s="170">
        <f>Model!$AC$14</f>
        <v>3004198</v>
      </c>
      <c r="D11" s="113">
        <f>Model!$AC$17</f>
        <v>0.38461538461538458</v>
      </c>
      <c r="E11" s="171">
        <f t="shared" si="4"/>
        <v>1155460.769230769</v>
      </c>
      <c r="F11" s="113">
        <f>Model!$AC$28</f>
        <v>1</v>
      </c>
      <c r="G11" s="171">
        <f t="shared" si="5"/>
        <v>1155460.769230769</v>
      </c>
      <c r="H11" s="114">
        <f>INDEX(Model!$AC$33:$AC$36,MATCH($J11,Model!$AB$33:$AB$36,0))</f>
        <v>0.14000000000000001</v>
      </c>
      <c r="I11" s="133">
        <f t="shared" si="6"/>
        <v>161764.50769230767</v>
      </c>
      <c r="J11" s="113" t="s">
        <v>27</v>
      </c>
      <c r="K11" s="114">
        <f>INDEX(Model!$AC$37:$AC$40,MATCH($J11,Model!$AB$33:$AB$36,0))</f>
        <v>84.759907824534466</v>
      </c>
      <c r="L11" s="135">
        <f>K11*I11</f>
        <v>13711144.761281194</v>
      </c>
      <c r="M11" s="114">
        <f>Model!$AC$79</f>
        <v>0.83299999999999996</v>
      </c>
      <c r="N11" s="133">
        <f t="shared" ref="N11:N74" si="11">L11*M11</f>
        <v>11421383.586147234</v>
      </c>
      <c r="O11" s="114" t="s">
        <v>29</v>
      </c>
      <c r="P11" s="114">
        <f>INDEX(Model!$AC$54:$AC$118,MATCH($O11,Model!$AB$54:$AB$118,0)+MATCH(Model!$Z$116,Model!$Z$54:$Z$118,0)-1)</f>
        <v>0.63300000000000001</v>
      </c>
      <c r="Q11" s="135">
        <f t="shared" si="7"/>
        <v>7229735.8100311989</v>
      </c>
      <c r="R11" s="151">
        <f>Model!$AC$148</f>
        <v>0.994469622</v>
      </c>
      <c r="S11" s="133">
        <f t="shared" si="8"/>
        <v>7189752.6381615903</v>
      </c>
      <c r="T11" s="113" t="s">
        <v>35</v>
      </c>
      <c r="U11" s="113">
        <f>Model!$AC$147</f>
        <v>1</v>
      </c>
      <c r="V11" s="113"/>
      <c r="W11" s="135">
        <f>S11*U11</f>
        <v>7189752.6381615903</v>
      </c>
      <c r="X11" s="153"/>
      <c r="Y11" s="133">
        <f t="shared" si="2"/>
        <v>0</v>
      </c>
      <c r="Z11" s="113" t="s">
        <v>67</v>
      </c>
      <c r="AA11" s="113">
        <f>Model!$AC$178</f>
        <v>0.52600000000000002</v>
      </c>
      <c r="AB11" s="113"/>
      <c r="AC11" s="119">
        <f t="shared" si="9"/>
        <v>0</v>
      </c>
      <c r="AD11" s="113">
        <f t="shared" si="10"/>
        <v>0</v>
      </c>
      <c r="AG11" s="1"/>
      <c r="AH11" s="140"/>
    </row>
    <row r="12" spans="1:41" x14ac:dyDescent="0.25">
      <c r="C12" s="154">
        <f>Model!$AC$14</f>
        <v>3004198</v>
      </c>
      <c r="D12" s="55">
        <f>Model!$AC$17</f>
        <v>0.38461538461538458</v>
      </c>
      <c r="E12" s="155">
        <f t="shared" si="4"/>
        <v>1155460.769230769</v>
      </c>
      <c r="F12" s="55">
        <f>Model!$AC$28</f>
        <v>1</v>
      </c>
      <c r="G12" s="155">
        <f t="shared" si="5"/>
        <v>1155460.769230769</v>
      </c>
      <c r="H12" s="111">
        <f>INDEX(Model!$AC$33:$AC$36,MATCH($J12,Model!$AB$33:$AB$36,0))</f>
        <v>0.14000000000000001</v>
      </c>
      <c r="I12" s="132">
        <f t="shared" si="6"/>
        <v>161764.50769230767</v>
      </c>
      <c r="J12" s="55" t="s">
        <v>27</v>
      </c>
      <c r="K12" s="111">
        <f>INDEX(Model!$AC$37:$AC$40,MATCH($J12,Model!$AB$33:$AB$36,0))</f>
        <v>84.759907824534466</v>
      </c>
      <c r="L12" s="131">
        <f>K12*I12</f>
        <v>13711144.761281194</v>
      </c>
      <c r="M12" s="111">
        <f>Model!$AC$79</f>
        <v>0.83299999999999996</v>
      </c>
      <c r="N12" s="132">
        <f t="shared" si="11"/>
        <v>11421383.586147234</v>
      </c>
      <c r="O12" s="111" t="s">
        <v>29</v>
      </c>
      <c r="P12" s="111">
        <f>INDEX(Model!$AC$54:$AC$118,MATCH($O12,Model!$AB$54:$AB$118,0)+MATCH(Model!$Z$116,Model!$Z$54:$Z$118,0)-1)</f>
        <v>0.63300000000000001</v>
      </c>
      <c r="Q12" s="131">
        <f t="shared" si="7"/>
        <v>7229735.8100311989</v>
      </c>
      <c r="R12" s="150">
        <f>Model!$AC$148</f>
        <v>0.994469622</v>
      </c>
      <c r="S12" s="132">
        <f t="shared" si="8"/>
        <v>7189752.6381615903</v>
      </c>
      <c r="T12" s="55" t="s">
        <v>35</v>
      </c>
      <c r="U12" s="55">
        <f>Model!$AC$147</f>
        <v>1</v>
      </c>
      <c r="V12" s="55"/>
      <c r="W12" s="131">
        <f>S12*U12</f>
        <v>7189752.6381615903</v>
      </c>
      <c r="X12" s="137">
        <f>Model!$AC$192/SUM(Model!$AC$192,Model!$AC$165,Model!$AC$205)</f>
        <v>0</v>
      </c>
      <c r="Y12" s="132">
        <f t="shared" si="2"/>
        <v>0</v>
      </c>
      <c r="Z12" s="112" t="s">
        <v>144</v>
      </c>
      <c r="AA12" s="112">
        <f>Model!$AC$191</f>
        <v>0.4</v>
      </c>
      <c r="AB12" s="113"/>
      <c r="AC12" s="118">
        <f t="shared" si="9"/>
        <v>0</v>
      </c>
      <c r="AD12" s="112">
        <f t="shared" si="10"/>
        <v>0</v>
      </c>
      <c r="AG12" s="1" t="s">
        <v>144</v>
      </c>
      <c r="AH12" s="140">
        <f>(AJ12*AK12/(1-(1+AK12)^(-AL12))+SUM(AM12:AO12))^-AI12</f>
        <v>1.2632895040547378E-36</v>
      </c>
      <c r="AI12">
        <f>Model!$AC$153</f>
        <v>10</v>
      </c>
      <c r="AJ12">
        <f>Model!AC185</f>
        <v>15521</v>
      </c>
      <c r="AK12">
        <f>Model!AC184</f>
        <v>0.25</v>
      </c>
      <c r="AL12">
        <f>Model!AC183</f>
        <v>50</v>
      </c>
      <c r="AM12">
        <f>Model!AC186</f>
        <v>0</v>
      </c>
      <c r="AN12">
        <f>Model!AC187</f>
        <v>0</v>
      </c>
      <c r="AO12" s="149">
        <f>Model!AC188</f>
        <v>8.8000000000000007</v>
      </c>
    </row>
    <row r="13" spans="1:41" x14ac:dyDescent="0.25">
      <c r="C13" s="154">
        <f>Model!$AC$14</f>
        <v>3004198</v>
      </c>
      <c r="D13" s="55">
        <f>Model!$AC$17</f>
        <v>0.38461538461538458</v>
      </c>
      <c r="E13" s="155">
        <f t="shared" si="4"/>
        <v>1155460.769230769</v>
      </c>
      <c r="F13" s="55">
        <f>Model!$AC$28</f>
        <v>1</v>
      </c>
      <c r="G13" s="155">
        <f t="shared" si="5"/>
        <v>1155460.769230769</v>
      </c>
      <c r="H13" s="111">
        <f>INDEX(Model!$AC$33:$AC$36,MATCH($J13,Model!$AB$33:$AB$36,0))</f>
        <v>0.14000000000000001</v>
      </c>
      <c r="I13" s="132">
        <f t="shared" si="6"/>
        <v>161764.50769230767</v>
      </c>
      <c r="J13" s="55" t="s">
        <v>27</v>
      </c>
      <c r="K13" s="111">
        <f>INDEX(Model!$AC$37:$AC$40,MATCH($J13,Model!$AB$33:$AB$36,0))</f>
        <v>84.759907824534466</v>
      </c>
      <c r="L13" s="131">
        <f>K13*I13</f>
        <v>13711144.761281194</v>
      </c>
      <c r="M13" s="111">
        <f>Model!$AC$79</f>
        <v>0.83299999999999996</v>
      </c>
      <c r="N13" s="132">
        <f t="shared" si="11"/>
        <v>11421383.586147234</v>
      </c>
      <c r="O13" s="111" t="s">
        <v>29</v>
      </c>
      <c r="P13" s="111">
        <f>INDEX(Model!$AC$54:$AC$118,MATCH($O13,Model!$AB$54:$AB$118,0)+MATCH(Model!$Z$116,Model!$Z$54:$Z$118,0)-1)</f>
        <v>0.63300000000000001</v>
      </c>
      <c r="Q13" s="131">
        <f t="shared" si="7"/>
        <v>7229735.8100311989</v>
      </c>
      <c r="R13" s="150">
        <f>Model!$AC$148</f>
        <v>0.994469622</v>
      </c>
      <c r="S13" s="132">
        <f t="shared" si="8"/>
        <v>7189752.6381615903</v>
      </c>
      <c r="T13" s="55" t="s">
        <v>35</v>
      </c>
      <c r="U13" s="55">
        <f>Model!$AC$147</f>
        <v>1</v>
      </c>
      <c r="V13" s="55"/>
      <c r="W13" s="131">
        <f>S13*U13</f>
        <v>7189752.6381615903</v>
      </c>
      <c r="X13" s="137">
        <f>Model!$AC$165/SUM(Model!$AC$192,Model!$AC$165,Model!$AC$205)</f>
        <v>0.9494949494949495</v>
      </c>
      <c r="Y13" s="132">
        <f t="shared" si="2"/>
        <v>6826633.8180524195</v>
      </c>
      <c r="Z13" s="112" t="s">
        <v>65</v>
      </c>
      <c r="AA13" s="112"/>
      <c r="AB13" s="55">
        <f>Model!$AC$164</f>
        <v>1.613</v>
      </c>
      <c r="AC13" s="118">
        <f t="shared" si="9"/>
        <v>0</v>
      </c>
      <c r="AD13" s="112">
        <f t="shared" si="10"/>
        <v>11011360.348518552</v>
      </c>
      <c r="AG13" s="1" t="s">
        <v>66</v>
      </c>
      <c r="AH13" s="140">
        <f>(AJ13*AK13/(1-(1+AK13)^(-AL13))+SUM(AM13:AO13))^-AI13</f>
        <v>2.292137010387118E-30</v>
      </c>
      <c r="AI13">
        <f>Model!$AC$153</f>
        <v>10</v>
      </c>
      <c r="AJ13">
        <f>Model!AC198</f>
        <v>3565</v>
      </c>
      <c r="AK13">
        <f>Model!AC197</f>
        <v>0.25</v>
      </c>
      <c r="AL13">
        <f>Model!AC196</f>
        <v>18</v>
      </c>
      <c r="AM13">
        <f>Model!AC199</f>
        <v>0</v>
      </c>
      <c r="AN13">
        <f>Model!AC200</f>
        <v>0</v>
      </c>
      <c r="AO13" s="149">
        <f>Model!AC201</f>
        <v>12.798719999999999</v>
      </c>
    </row>
    <row r="14" spans="1:41" x14ac:dyDescent="0.25">
      <c r="C14" s="154">
        <f>Model!$AC$14</f>
        <v>3004198</v>
      </c>
      <c r="D14" s="55">
        <f>Model!$AC$17</f>
        <v>0.38461538461538458</v>
      </c>
      <c r="E14" s="155">
        <f t="shared" si="4"/>
        <v>1155460.769230769</v>
      </c>
      <c r="F14" s="55">
        <f>Model!$AC$28</f>
        <v>1</v>
      </c>
      <c r="G14" s="155">
        <f t="shared" si="5"/>
        <v>1155460.769230769</v>
      </c>
      <c r="H14" s="111">
        <f>INDEX(Model!$AC$33:$AC$36,MATCH($J14,Model!$AB$33:$AB$36,0))</f>
        <v>0.14000000000000001</v>
      </c>
      <c r="I14" s="132">
        <f t="shared" si="6"/>
        <v>161764.50769230767</v>
      </c>
      <c r="J14" s="55" t="s">
        <v>27</v>
      </c>
      <c r="K14" s="111">
        <f>INDEX(Model!$AC$37:$AC$40,MATCH($J14,Model!$AB$33:$AB$36,0))</f>
        <v>84.759907824534466</v>
      </c>
      <c r="L14" s="131">
        <f>K14*I14</f>
        <v>13711144.761281194</v>
      </c>
      <c r="M14" s="111">
        <f>Model!$AC$79</f>
        <v>0.83299999999999996</v>
      </c>
      <c r="N14" s="132">
        <f t="shared" si="11"/>
        <v>11421383.586147234</v>
      </c>
      <c r="O14" s="111" t="s">
        <v>29</v>
      </c>
      <c r="P14" s="111">
        <f>INDEX(Model!$AC$54:$AC$118,MATCH($O14,Model!$AB$54:$AB$118,0)+MATCH(Model!$Z$116,Model!$Z$54:$Z$118,0)-1)</f>
        <v>0.63300000000000001</v>
      </c>
      <c r="Q14" s="131">
        <f t="shared" si="7"/>
        <v>7229735.8100311989</v>
      </c>
      <c r="R14" s="150">
        <f>Model!$AC$148</f>
        <v>0.994469622</v>
      </c>
      <c r="S14" s="132">
        <f t="shared" si="8"/>
        <v>7189752.6381615903</v>
      </c>
      <c r="T14" s="55" t="s">
        <v>35</v>
      </c>
      <c r="U14" s="55">
        <f>Model!$AC$147</f>
        <v>1</v>
      </c>
      <c r="V14" s="55"/>
      <c r="W14" s="131">
        <f>S14*U14</f>
        <v>7189752.6381615903</v>
      </c>
      <c r="X14" s="137">
        <f>Model!$AC$205/SUM(Model!$AC$192,Model!$AC$165,Model!$AC$205)</f>
        <v>5.0505050505050511E-2</v>
      </c>
      <c r="Y14" s="132">
        <f t="shared" si="2"/>
        <v>363118.82010917127</v>
      </c>
      <c r="Z14" s="112" t="s">
        <v>66</v>
      </c>
      <c r="AA14" s="112"/>
      <c r="AB14" s="55">
        <f>Model!$AC$204</f>
        <v>1.111</v>
      </c>
      <c r="AC14" s="118">
        <f t="shared" si="9"/>
        <v>0</v>
      </c>
      <c r="AD14" s="112">
        <f t="shared" si="10"/>
        <v>403425.00914128928</v>
      </c>
      <c r="AG14" s="1" t="s">
        <v>67</v>
      </c>
      <c r="AH14" s="140">
        <f t="shared" ref="AH14" si="12">(AJ14*AK14/(1-(1+AK14)^(-AL14))+SUM(AM14:AO14))^-AI14</f>
        <v>6.0774662815168554E-32</v>
      </c>
      <c r="AI14">
        <f>Model!$AC$153</f>
        <v>10</v>
      </c>
      <c r="AJ14">
        <f>Model!AC171</f>
        <v>4886</v>
      </c>
      <c r="AK14">
        <f>Model!AC170</f>
        <v>0.25</v>
      </c>
      <c r="AL14">
        <f>Model!AC169</f>
        <v>12</v>
      </c>
      <c r="AM14">
        <f>Model!AC172</f>
        <v>0</v>
      </c>
      <c r="AN14">
        <f>Model!AC173</f>
        <v>0</v>
      </c>
      <c r="AO14" s="149">
        <f>Model!AC174</f>
        <v>11.572000000000001</v>
      </c>
    </row>
    <row r="15" spans="1:41" x14ac:dyDescent="0.25">
      <c r="C15" s="154">
        <f>Model!$AC$14</f>
        <v>3004198</v>
      </c>
      <c r="D15" s="55">
        <f>Model!$AC$17</f>
        <v>0.38461538461538458</v>
      </c>
      <c r="E15" s="155">
        <f t="shared" si="4"/>
        <v>1155460.769230769</v>
      </c>
      <c r="F15" s="55">
        <f>Model!$AC$28</f>
        <v>1</v>
      </c>
      <c r="G15" s="155">
        <f t="shared" si="5"/>
        <v>1155460.769230769</v>
      </c>
      <c r="H15" s="111">
        <f>INDEX(Model!$AC$33:$AC$36,MATCH($J15,Model!$AB$33:$AB$36,0))</f>
        <v>0.14000000000000001</v>
      </c>
      <c r="I15" s="132">
        <f t="shared" si="6"/>
        <v>161764.50769230767</v>
      </c>
      <c r="J15" s="55" t="s">
        <v>27</v>
      </c>
      <c r="K15" s="111">
        <f>INDEX(Model!$AC$37:$AC$40,MATCH($J15,Model!$AB$33:$AB$36,0))</f>
        <v>84.759907824534466</v>
      </c>
      <c r="L15" s="131">
        <f>K15*I15</f>
        <v>13711144.761281194</v>
      </c>
      <c r="M15" s="111">
        <f>Model!$AC$66</f>
        <v>0.16700000000000001</v>
      </c>
      <c r="N15" s="132">
        <f t="shared" si="11"/>
        <v>2289761.1751339594</v>
      </c>
      <c r="O15" s="111" t="s">
        <v>30</v>
      </c>
      <c r="P15" s="111">
        <f>INDEX(Model!$AC$54:$AC$118,MATCH($O15,Model!$AB$54:$AB$118,0)+MATCH(Model!$Z$116,Model!$Z$54:$Z$118,0)-1)</f>
        <v>0.997</v>
      </c>
      <c r="Q15" s="131">
        <f t="shared" si="7"/>
        <v>2282891.8916085577</v>
      </c>
      <c r="R15" s="150">
        <f>Model!$AC$138</f>
        <v>5.5303779999999999E-3</v>
      </c>
      <c r="S15" s="132">
        <f t="shared" si="8"/>
        <v>12625.255093730351</v>
      </c>
      <c r="T15" s="55" t="s">
        <v>34</v>
      </c>
      <c r="U15" s="55"/>
      <c r="V15" s="55">
        <f>Model!$AC$137</f>
        <v>1</v>
      </c>
      <c r="W15" s="131"/>
      <c r="X15" s="150"/>
      <c r="Y15" s="132">
        <f t="shared" si="2"/>
        <v>0</v>
      </c>
      <c r="Z15" s="112"/>
      <c r="AA15" s="112"/>
      <c r="AB15" s="55"/>
      <c r="AC15" s="118">
        <f t="shared" si="9"/>
        <v>12625.255093730351</v>
      </c>
      <c r="AD15" s="112">
        <f t="shared" si="10"/>
        <v>0</v>
      </c>
    </row>
    <row r="16" spans="1:41" x14ac:dyDescent="0.25">
      <c r="C16" s="170">
        <f>Model!$AC$14</f>
        <v>3004198</v>
      </c>
      <c r="D16" s="113">
        <f>Model!$AC$17</f>
        <v>0.38461538461538458</v>
      </c>
      <c r="E16" s="171">
        <f t="shared" si="4"/>
        <v>1155460.769230769</v>
      </c>
      <c r="F16" s="113">
        <f>Model!$AC$28</f>
        <v>1</v>
      </c>
      <c r="G16" s="171">
        <f t="shared" si="5"/>
        <v>1155460.769230769</v>
      </c>
      <c r="H16" s="114">
        <f>INDEX(Model!$AC$33:$AC$36,MATCH($J16,Model!$AB$33:$AB$36,0))</f>
        <v>0.14000000000000001</v>
      </c>
      <c r="I16" s="133">
        <f t="shared" si="6"/>
        <v>161764.50769230767</v>
      </c>
      <c r="J16" s="113" t="s">
        <v>27</v>
      </c>
      <c r="K16" s="114">
        <f>INDEX(Model!$AC$37:$AC$40,MATCH($J16,Model!$AB$33:$AB$36,0))</f>
        <v>84.759907824534466</v>
      </c>
      <c r="L16" s="135">
        <f>K16*I16</f>
        <v>13711144.761281194</v>
      </c>
      <c r="M16" s="114">
        <f>Model!$AC$66</f>
        <v>0.16700000000000001</v>
      </c>
      <c r="N16" s="133">
        <f t="shared" si="11"/>
        <v>2289761.1751339594</v>
      </c>
      <c r="O16" s="114" t="s">
        <v>30</v>
      </c>
      <c r="P16" s="114">
        <f>INDEX(Model!$AC$54:$AC$118,MATCH($O16,Model!$AB$54:$AB$118,0)+MATCH(Model!$Z$116,Model!$Z$54:$Z$118,0)-1)</f>
        <v>0.997</v>
      </c>
      <c r="Q16" s="135">
        <f t="shared" si="7"/>
        <v>2282891.8916085577</v>
      </c>
      <c r="R16" s="151">
        <f>Model!$AC$148</f>
        <v>0.994469622</v>
      </c>
      <c r="S16" s="133">
        <f t="shared" si="8"/>
        <v>2270266.6365148271</v>
      </c>
      <c r="T16" s="113" t="s">
        <v>35</v>
      </c>
      <c r="U16" s="113">
        <f>Model!$AC$147</f>
        <v>1</v>
      </c>
      <c r="V16" s="113"/>
      <c r="W16" s="135">
        <f>S16*U16</f>
        <v>2270266.6365148271</v>
      </c>
      <c r="X16" s="153"/>
      <c r="Y16" s="133">
        <f t="shared" si="2"/>
        <v>0</v>
      </c>
      <c r="Z16" s="113" t="s">
        <v>67</v>
      </c>
      <c r="AA16" s="113">
        <f>Model!$AC$178</f>
        <v>0.52600000000000002</v>
      </c>
      <c r="AB16" s="113"/>
      <c r="AC16" s="119">
        <f t="shared" si="9"/>
        <v>0</v>
      </c>
      <c r="AD16" s="113">
        <f t="shared" si="10"/>
        <v>0</v>
      </c>
      <c r="AG16" s="1"/>
    </row>
    <row r="17" spans="3:41" x14ac:dyDescent="0.25">
      <c r="C17" s="154">
        <f>Model!$AC$14</f>
        <v>3004198</v>
      </c>
      <c r="D17" s="55">
        <f>Model!$AC$17</f>
        <v>0.38461538461538458</v>
      </c>
      <c r="E17" s="155">
        <f t="shared" si="4"/>
        <v>1155460.769230769</v>
      </c>
      <c r="F17" s="55">
        <f>Model!$AC$28</f>
        <v>1</v>
      </c>
      <c r="G17" s="155">
        <f t="shared" si="5"/>
        <v>1155460.769230769</v>
      </c>
      <c r="H17" s="111">
        <f>INDEX(Model!$AC$33:$AC$36,MATCH($J17,Model!$AB$33:$AB$36,0))</f>
        <v>0.14000000000000001</v>
      </c>
      <c r="I17" s="132">
        <f t="shared" si="6"/>
        <v>161764.50769230767</v>
      </c>
      <c r="J17" s="55" t="s">
        <v>27</v>
      </c>
      <c r="K17" s="111">
        <f>INDEX(Model!$AC$37:$AC$40,MATCH($J17,Model!$AB$33:$AB$36,0))</f>
        <v>84.759907824534466</v>
      </c>
      <c r="L17" s="131">
        <f>K17*I17</f>
        <v>13711144.761281194</v>
      </c>
      <c r="M17" s="111">
        <f>Model!$AC$66</f>
        <v>0.16700000000000001</v>
      </c>
      <c r="N17" s="132">
        <f t="shared" si="11"/>
        <v>2289761.1751339594</v>
      </c>
      <c r="O17" s="111" t="s">
        <v>30</v>
      </c>
      <c r="P17" s="111">
        <f>INDEX(Model!$AC$54:$AC$118,MATCH($O17,Model!$AB$54:$AB$118,0)+MATCH(Model!$Z$116,Model!$Z$54:$Z$118,0)-1)</f>
        <v>0.997</v>
      </c>
      <c r="Q17" s="131">
        <f t="shared" si="7"/>
        <v>2282891.8916085577</v>
      </c>
      <c r="R17" s="150">
        <f>Model!$AC$148</f>
        <v>0.994469622</v>
      </c>
      <c r="S17" s="132">
        <f t="shared" si="8"/>
        <v>2270266.6365148271</v>
      </c>
      <c r="T17" s="55" t="s">
        <v>35</v>
      </c>
      <c r="U17" s="55">
        <f>Model!$AC$147</f>
        <v>1</v>
      </c>
      <c r="V17" s="55"/>
      <c r="W17" s="131">
        <f>S17*U17</f>
        <v>2270266.6365148271</v>
      </c>
      <c r="X17" s="137">
        <f>Model!$AC$192/SUM(Model!$AC$192,Model!$AC$165,Model!$AC$205)</f>
        <v>0</v>
      </c>
      <c r="Y17" s="132">
        <f t="shared" si="2"/>
        <v>0</v>
      </c>
      <c r="Z17" s="112" t="s">
        <v>144</v>
      </c>
      <c r="AA17" s="112">
        <f>Model!$AC$191</f>
        <v>0.4</v>
      </c>
      <c r="AB17" s="55"/>
      <c r="AC17" s="118">
        <f t="shared" si="9"/>
        <v>0</v>
      </c>
      <c r="AD17" s="112">
        <f t="shared" si="10"/>
        <v>0</v>
      </c>
      <c r="AG17" s="1"/>
    </row>
    <row r="18" spans="3:41" x14ac:dyDescent="0.25">
      <c r="C18" s="154">
        <f>Model!$AC$14</f>
        <v>3004198</v>
      </c>
      <c r="D18" s="55">
        <f>Model!$AC$17</f>
        <v>0.38461538461538458</v>
      </c>
      <c r="E18" s="155">
        <f t="shared" si="4"/>
        <v>1155460.769230769</v>
      </c>
      <c r="F18" s="55">
        <f>Model!$AC$28</f>
        <v>1</v>
      </c>
      <c r="G18" s="155">
        <f t="shared" si="5"/>
        <v>1155460.769230769</v>
      </c>
      <c r="H18" s="111">
        <f>INDEX(Model!$AC$33:$AC$36,MATCH($J18,Model!$AB$33:$AB$36,0))</f>
        <v>0.14000000000000001</v>
      </c>
      <c r="I18" s="132">
        <f t="shared" si="6"/>
        <v>161764.50769230767</v>
      </c>
      <c r="J18" s="55" t="s">
        <v>27</v>
      </c>
      <c r="K18" s="111">
        <f>INDEX(Model!$AC$37:$AC$40,MATCH($J18,Model!$AB$33:$AB$36,0))</f>
        <v>84.759907824534466</v>
      </c>
      <c r="L18" s="131">
        <f>K18*I18</f>
        <v>13711144.761281194</v>
      </c>
      <c r="M18" s="111">
        <f>Model!$AC$66</f>
        <v>0.16700000000000001</v>
      </c>
      <c r="N18" s="132">
        <f t="shared" si="11"/>
        <v>2289761.1751339594</v>
      </c>
      <c r="O18" s="111" t="s">
        <v>30</v>
      </c>
      <c r="P18" s="111">
        <f>INDEX(Model!$AC$54:$AC$118,MATCH($O18,Model!$AB$54:$AB$118,0)+MATCH(Model!$Z$116,Model!$Z$54:$Z$118,0)-1)</f>
        <v>0.997</v>
      </c>
      <c r="Q18" s="131">
        <f t="shared" si="7"/>
        <v>2282891.8916085577</v>
      </c>
      <c r="R18" s="150">
        <f>Model!$AC$148</f>
        <v>0.994469622</v>
      </c>
      <c r="S18" s="132">
        <f t="shared" si="8"/>
        <v>2270266.6365148271</v>
      </c>
      <c r="T18" s="55" t="s">
        <v>35</v>
      </c>
      <c r="U18" s="55">
        <f>Model!$AC$147</f>
        <v>1</v>
      </c>
      <c r="V18" s="55"/>
      <c r="W18" s="131">
        <f>S18*U18</f>
        <v>2270266.6365148271</v>
      </c>
      <c r="X18" s="137">
        <f>Model!$AC$165/SUM(Model!$AC$192,Model!$AC$165,Model!$AC$205)</f>
        <v>0.9494949494949495</v>
      </c>
      <c r="Y18" s="132">
        <f t="shared" si="2"/>
        <v>2155606.7053777147</v>
      </c>
      <c r="Z18" s="112" t="s">
        <v>65</v>
      </c>
      <c r="AA18" s="112"/>
      <c r="AB18" s="112">
        <f>Model!$AC$164</f>
        <v>1.613</v>
      </c>
      <c r="AC18" s="118">
        <f t="shared" si="9"/>
        <v>0</v>
      </c>
      <c r="AD18" s="112">
        <f t="shared" si="10"/>
        <v>3476993.6157742538</v>
      </c>
      <c r="AG18" s="1"/>
    </row>
    <row r="19" spans="3:41" x14ac:dyDescent="0.25">
      <c r="C19" s="154">
        <f>Model!$AC$14</f>
        <v>3004198</v>
      </c>
      <c r="D19" s="55">
        <f>Model!$AC$17</f>
        <v>0.38461538461538458</v>
      </c>
      <c r="E19" s="155">
        <f t="shared" si="4"/>
        <v>1155460.769230769</v>
      </c>
      <c r="F19" s="55">
        <f>Model!$AC$28</f>
        <v>1</v>
      </c>
      <c r="G19" s="155">
        <f t="shared" si="5"/>
        <v>1155460.769230769</v>
      </c>
      <c r="H19" s="111">
        <f>INDEX(Model!$AC$33:$AC$36,MATCH($J19,Model!$AB$33:$AB$36,0))</f>
        <v>0.14000000000000001</v>
      </c>
      <c r="I19" s="132">
        <f t="shared" si="6"/>
        <v>161764.50769230767</v>
      </c>
      <c r="J19" s="55" t="s">
        <v>27</v>
      </c>
      <c r="K19" s="111">
        <f>INDEX(Model!$AC$37:$AC$40,MATCH($J19,Model!$AB$33:$AB$36,0))</f>
        <v>84.759907824534466</v>
      </c>
      <c r="L19" s="131">
        <f>K19*I19</f>
        <v>13711144.761281194</v>
      </c>
      <c r="M19" s="111">
        <f>Model!$AC$66</f>
        <v>0.16700000000000001</v>
      </c>
      <c r="N19" s="132">
        <f t="shared" si="11"/>
        <v>2289761.1751339594</v>
      </c>
      <c r="O19" s="111" t="s">
        <v>30</v>
      </c>
      <c r="P19" s="111">
        <f>INDEX(Model!$AC$54:$AC$118,MATCH($O19,Model!$AB$54:$AB$118,0)+MATCH(Model!$Z$116,Model!$Z$54:$Z$118,0)-1)</f>
        <v>0.997</v>
      </c>
      <c r="Q19" s="131">
        <f t="shared" si="7"/>
        <v>2282891.8916085577</v>
      </c>
      <c r="R19" s="150">
        <f>Model!$AC$148</f>
        <v>0.994469622</v>
      </c>
      <c r="S19" s="132">
        <f t="shared" si="8"/>
        <v>2270266.6365148271</v>
      </c>
      <c r="T19" s="55" t="s">
        <v>35</v>
      </c>
      <c r="U19" s="55">
        <f>Model!$AC$147</f>
        <v>1</v>
      </c>
      <c r="V19" s="55"/>
      <c r="W19" s="131">
        <f>S19*U19</f>
        <v>2270266.6365148271</v>
      </c>
      <c r="X19" s="137">
        <f>Model!$AC$205/SUM(Model!$AC$192,Model!$AC$165,Model!$AC$205)</f>
        <v>5.0505050505050511E-2</v>
      </c>
      <c r="Y19" s="132">
        <f t="shared" si="2"/>
        <v>114659.93113711249</v>
      </c>
      <c r="Z19" s="112" t="s">
        <v>66</v>
      </c>
      <c r="AA19" s="112"/>
      <c r="AB19" s="112">
        <f>Model!$AC$204</f>
        <v>1.111</v>
      </c>
      <c r="AC19" s="118">
        <f t="shared" si="9"/>
        <v>0</v>
      </c>
      <c r="AD19" s="112">
        <f t="shared" si="10"/>
        <v>127387.18349333198</v>
      </c>
      <c r="AG19" s="1"/>
    </row>
    <row r="20" spans="3:41" x14ac:dyDescent="0.25">
      <c r="C20" s="154">
        <f>Model!$AC$14</f>
        <v>3004198</v>
      </c>
      <c r="D20" s="55">
        <f>Model!$AC$17</f>
        <v>0.38461538461538458</v>
      </c>
      <c r="E20" s="155">
        <f t="shared" si="4"/>
        <v>1155460.769230769</v>
      </c>
      <c r="F20" s="55">
        <f>Model!$AC$28</f>
        <v>1</v>
      </c>
      <c r="G20" s="155">
        <f t="shared" si="5"/>
        <v>1155460.769230769</v>
      </c>
      <c r="H20" s="111">
        <f>INDEX(Model!$AC$33:$AC$36,MATCH($J20,Model!$AB$33:$AB$36,0))</f>
        <v>0.14000000000000001</v>
      </c>
      <c r="I20" s="132">
        <f t="shared" si="6"/>
        <v>161764.50769230767</v>
      </c>
      <c r="J20" s="55" t="s">
        <v>27</v>
      </c>
      <c r="K20" s="111">
        <f>INDEX(Model!$AC$37:$AC$40,MATCH($J20,Model!$AB$33:$AB$36,0))</f>
        <v>84.759907824534466</v>
      </c>
      <c r="L20" s="131">
        <f>K20*I20</f>
        <v>13711144.761281194</v>
      </c>
      <c r="M20" s="111">
        <f>Model!$AC$105</f>
        <v>0</v>
      </c>
      <c r="N20" s="132">
        <f t="shared" si="11"/>
        <v>0</v>
      </c>
      <c r="O20" s="111" t="s">
        <v>32</v>
      </c>
      <c r="P20" s="111">
        <f>INDEX(Model!$AC$54:$AC$118,MATCH($O20,Model!$AB$54:$AB$118,0)+MATCH(Model!$Z$116,Model!$Z$54:$Z$118,0)-1)</f>
        <v>0.36</v>
      </c>
      <c r="Q20" s="131">
        <f t="shared" si="7"/>
        <v>0</v>
      </c>
      <c r="R20" s="150">
        <f>Model!$AC$138</f>
        <v>5.5303779999999999E-3</v>
      </c>
      <c r="S20" s="132">
        <f t="shared" si="8"/>
        <v>0</v>
      </c>
      <c r="T20" s="55" t="s">
        <v>34</v>
      </c>
      <c r="U20" s="55"/>
      <c r="V20" s="55">
        <f>Model!$AC$137</f>
        <v>1</v>
      </c>
      <c r="W20" s="131"/>
      <c r="X20" s="150"/>
      <c r="Y20" s="132">
        <f t="shared" si="2"/>
        <v>0</v>
      </c>
      <c r="Z20" s="112"/>
      <c r="AA20" s="112"/>
      <c r="AB20" s="112"/>
      <c r="AC20" s="118">
        <f t="shared" si="9"/>
        <v>0</v>
      </c>
      <c r="AD20" s="112">
        <f t="shared" si="10"/>
        <v>0</v>
      </c>
      <c r="AO20" s="149"/>
    </row>
    <row r="21" spans="3:41" x14ac:dyDescent="0.25">
      <c r="C21" s="170">
        <f>Model!$AC$14</f>
        <v>3004198</v>
      </c>
      <c r="D21" s="113">
        <f>Model!$AC$17</f>
        <v>0.38461538461538458</v>
      </c>
      <c r="E21" s="171">
        <f t="shared" si="4"/>
        <v>1155460.769230769</v>
      </c>
      <c r="F21" s="113">
        <f>Model!$AC$28</f>
        <v>1</v>
      </c>
      <c r="G21" s="171">
        <f t="shared" si="5"/>
        <v>1155460.769230769</v>
      </c>
      <c r="H21" s="114">
        <f>INDEX(Model!$AC$33:$AC$36,MATCH($J21,Model!$AB$33:$AB$36,0))</f>
        <v>0.14000000000000001</v>
      </c>
      <c r="I21" s="133">
        <f t="shared" si="6"/>
        <v>161764.50769230767</v>
      </c>
      <c r="J21" s="113" t="s">
        <v>27</v>
      </c>
      <c r="K21" s="114">
        <f>INDEX(Model!$AC$37:$AC$40,MATCH($J21,Model!$AB$33:$AB$36,0))</f>
        <v>84.759907824534466</v>
      </c>
      <c r="L21" s="135">
        <f>K21*I21</f>
        <v>13711144.761281194</v>
      </c>
      <c r="M21" s="114">
        <f>Model!$AC$105</f>
        <v>0</v>
      </c>
      <c r="N21" s="133">
        <f t="shared" si="11"/>
        <v>0</v>
      </c>
      <c r="O21" s="114" t="s">
        <v>32</v>
      </c>
      <c r="P21" s="114">
        <f>INDEX(Model!$AC$54:$AC$118,MATCH($O21,Model!$AB$54:$AB$118,0)+MATCH(Model!$Z$116,Model!$Z$54:$Z$118,0)-1)</f>
        <v>0.36</v>
      </c>
      <c r="Q21" s="135">
        <f t="shared" si="7"/>
        <v>0</v>
      </c>
      <c r="R21" s="151">
        <f>Model!$AC$148</f>
        <v>0.994469622</v>
      </c>
      <c r="S21" s="133">
        <f t="shared" si="8"/>
        <v>0</v>
      </c>
      <c r="T21" s="113" t="s">
        <v>35</v>
      </c>
      <c r="U21" s="113">
        <f>Model!$AC$147</f>
        <v>1</v>
      </c>
      <c r="V21" s="113"/>
      <c r="W21" s="135">
        <f>S21*U21</f>
        <v>0</v>
      </c>
      <c r="X21" s="153"/>
      <c r="Y21" s="133">
        <f t="shared" si="2"/>
        <v>0</v>
      </c>
      <c r="Z21" s="113" t="s">
        <v>67</v>
      </c>
      <c r="AA21" s="113">
        <f>Model!$AC$178</f>
        <v>0.52600000000000002</v>
      </c>
      <c r="AB21" s="113"/>
      <c r="AC21" s="119">
        <f t="shared" si="9"/>
        <v>0</v>
      </c>
      <c r="AD21" s="113">
        <f t="shared" si="10"/>
        <v>0</v>
      </c>
    </row>
    <row r="22" spans="3:41" x14ac:dyDescent="0.25">
      <c r="C22" s="154">
        <f>Model!$AC$14</f>
        <v>3004198</v>
      </c>
      <c r="D22" s="55">
        <f>Model!$AC$17</f>
        <v>0.38461538461538458</v>
      </c>
      <c r="E22" s="155">
        <f t="shared" si="4"/>
        <v>1155460.769230769</v>
      </c>
      <c r="F22" s="55">
        <f>Model!$AC$28</f>
        <v>1</v>
      </c>
      <c r="G22" s="155">
        <f t="shared" si="5"/>
        <v>1155460.769230769</v>
      </c>
      <c r="H22" s="111">
        <f>INDEX(Model!$AC$33:$AC$36,MATCH($J22,Model!$AB$33:$AB$36,0))</f>
        <v>0.14000000000000001</v>
      </c>
      <c r="I22" s="132">
        <f t="shared" si="6"/>
        <v>161764.50769230767</v>
      </c>
      <c r="J22" s="55" t="s">
        <v>27</v>
      </c>
      <c r="K22" s="111">
        <f>INDEX(Model!$AC$37:$AC$40,MATCH($J22,Model!$AB$33:$AB$36,0))</f>
        <v>84.759907824534466</v>
      </c>
      <c r="L22" s="131">
        <f>K22*I22</f>
        <v>13711144.761281194</v>
      </c>
      <c r="M22" s="111">
        <f>Model!$AC$105</f>
        <v>0</v>
      </c>
      <c r="N22" s="132">
        <f t="shared" si="11"/>
        <v>0</v>
      </c>
      <c r="O22" s="111" t="s">
        <v>32</v>
      </c>
      <c r="P22" s="111">
        <f>INDEX(Model!$AC$54:$AC$118,MATCH($O22,Model!$AB$54:$AB$118,0)+MATCH(Model!$Z$116,Model!$Z$54:$Z$118,0)-1)</f>
        <v>0.36</v>
      </c>
      <c r="Q22" s="131">
        <f t="shared" si="7"/>
        <v>0</v>
      </c>
      <c r="R22" s="150">
        <f>Model!$AC$148</f>
        <v>0.994469622</v>
      </c>
      <c r="S22" s="132">
        <f t="shared" si="8"/>
        <v>0</v>
      </c>
      <c r="T22" s="55" t="s">
        <v>35</v>
      </c>
      <c r="U22" s="55">
        <f>Model!$AC$147</f>
        <v>1</v>
      </c>
      <c r="V22" s="55"/>
      <c r="W22" s="131">
        <f>S22*U22</f>
        <v>0</v>
      </c>
      <c r="X22" s="137">
        <f>Model!$AC$192/SUM(Model!$AC$192,Model!$AC$165,Model!$AC$205)</f>
        <v>0</v>
      </c>
      <c r="Y22" s="132">
        <f t="shared" si="2"/>
        <v>0</v>
      </c>
      <c r="Z22" s="112" t="s">
        <v>144</v>
      </c>
      <c r="AA22" s="112">
        <f>Model!$AC$191</f>
        <v>0.4</v>
      </c>
      <c r="AB22" s="112"/>
      <c r="AC22" s="118">
        <f t="shared" si="9"/>
        <v>0</v>
      </c>
      <c r="AD22" s="112">
        <f t="shared" si="10"/>
        <v>0</v>
      </c>
    </row>
    <row r="23" spans="3:41" x14ac:dyDescent="0.25">
      <c r="C23" s="154">
        <f>Model!$AC$14</f>
        <v>3004198</v>
      </c>
      <c r="D23" s="55">
        <f>Model!$AC$17</f>
        <v>0.38461538461538458</v>
      </c>
      <c r="E23" s="155">
        <f t="shared" si="4"/>
        <v>1155460.769230769</v>
      </c>
      <c r="F23" s="55">
        <f>Model!$AC$28</f>
        <v>1</v>
      </c>
      <c r="G23" s="155">
        <f t="shared" si="5"/>
        <v>1155460.769230769</v>
      </c>
      <c r="H23" s="111">
        <f>INDEX(Model!$AC$33:$AC$36,MATCH($J23,Model!$AB$33:$AB$36,0))</f>
        <v>0.14000000000000001</v>
      </c>
      <c r="I23" s="132">
        <f t="shared" si="6"/>
        <v>161764.50769230767</v>
      </c>
      <c r="J23" s="55" t="s">
        <v>27</v>
      </c>
      <c r="K23" s="111">
        <f>INDEX(Model!$AC$37:$AC$40,MATCH($J23,Model!$AB$33:$AB$36,0))</f>
        <v>84.759907824534466</v>
      </c>
      <c r="L23" s="131">
        <f>K23*I23</f>
        <v>13711144.761281194</v>
      </c>
      <c r="M23" s="111">
        <f>Model!$AC$105</f>
        <v>0</v>
      </c>
      <c r="N23" s="132">
        <f t="shared" si="11"/>
        <v>0</v>
      </c>
      <c r="O23" s="111" t="s">
        <v>32</v>
      </c>
      <c r="P23" s="111">
        <f>INDEX(Model!$AC$54:$AC$118,MATCH($O23,Model!$AB$54:$AB$118,0)+MATCH(Model!$Z$116,Model!$Z$54:$Z$118,0)-1)</f>
        <v>0.36</v>
      </c>
      <c r="Q23" s="131">
        <f t="shared" si="7"/>
        <v>0</v>
      </c>
      <c r="R23" s="150">
        <f>Model!$AC$148</f>
        <v>0.994469622</v>
      </c>
      <c r="S23" s="132">
        <f t="shared" si="8"/>
        <v>0</v>
      </c>
      <c r="T23" s="55" t="s">
        <v>35</v>
      </c>
      <c r="U23" s="55">
        <f>Model!$AC$147</f>
        <v>1</v>
      </c>
      <c r="V23" s="55"/>
      <c r="W23" s="131">
        <f>S23*U23</f>
        <v>0</v>
      </c>
      <c r="X23" s="137">
        <f>Model!$AC$165/SUM(Model!$AC$192,Model!$AC$165,Model!$AC$205)</f>
        <v>0.9494949494949495</v>
      </c>
      <c r="Y23" s="132">
        <f t="shared" si="2"/>
        <v>0</v>
      </c>
      <c r="Z23" s="112" t="s">
        <v>65</v>
      </c>
      <c r="AA23" s="112"/>
      <c r="AB23" s="112">
        <f>Model!$AC$164</f>
        <v>1.613</v>
      </c>
      <c r="AC23" s="118">
        <f t="shared" si="9"/>
        <v>0</v>
      </c>
      <c r="AD23" s="112">
        <f t="shared" si="10"/>
        <v>0</v>
      </c>
    </row>
    <row r="24" spans="3:41" x14ac:dyDescent="0.25">
      <c r="C24" s="154">
        <f>Model!$AC$14</f>
        <v>3004198</v>
      </c>
      <c r="D24" s="55">
        <f>Model!$AC$17</f>
        <v>0.38461538461538458</v>
      </c>
      <c r="E24" s="155">
        <f t="shared" si="4"/>
        <v>1155460.769230769</v>
      </c>
      <c r="F24" s="55">
        <f>Model!$AC$28</f>
        <v>1</v>
      </c>
      <c r="G24" s="155">
        <f t="shared" si="5"/>
        <v>1155460.769230769</v>
      </c>
      <c r="H24" s="111">
        <f>INDEX(Model!$AC$33:$AC$36,MATCH($J24,Model!$AB$33:$AB$36,0))</f>
        <v>0.14000000000000001</v>
      </c>
      <c r="I24" s="132">
        <f t="shared" si="6"/>
        <v>161764.50769230767</v>
      </c>
      <c r="J24" s="55" t="s">
        <v>27</v>
      </c>
      <c r="K24" s="111">
        <f>INDEX(Model!$AC$37:$AC$40,MATCH($J24,Model!$AB$33:$AB$36,0))</f>
        <v>84.759907824534466</v>
      </c>
      <c r="L24" s="131">
        <f>K24*I24</f>
        <v>13711144.761281194</v>
      </c>
      <c r="M24" s="111">
        <f>Model!$AC$105</f>
        <v>0</v>
      </c>
      <c r="N24" s="132">
        <f t="shared" si="11"/>
        <v>0</v>
      </c>
      <c r="O24" s="111" t="s">
        <v>32</v>
      </c>
      <c r="P24" s="111">
        <f>INDEX(Model!$AC$54:$AC$118,MATCH($O24,Model!$AB$54:$AB$118,0)+MATCH(Model!$Z$116,Model!$Z$54:$Z$118,0)-1)</f>
        <v>0.36</v>
      </c>
      <c r="Q24" s="131">
        <f t="shared" si="7"/>
        <v>0</v>
      </c>
      <c r="R24" s="150">
        <f>Model!$AC$148</f>
        <v>0.994469622</v>
      </c>
      <c r="S24" s="132">
        <f t="shared" si="8"/>
        <v>0</v>
      </c>
      <c r="T24" s="55" t="s">
        <v>35</v>
      </c>
      <c r="U24" s="55">
        <f>Model!$AC$147</f>
        <v>1</v>
      </c>
      <c r="V24" s="55"/>
      <c r="W24" s="131">
        <f>S24*U24</f>
        <v>0</v>
      </c>
      <c r="X24" s="137">
        <f>Model!$AC$205/SUM(Model!$AC$192,Model!$AC$165,Model!$AC$205)</f>
        <v>5.0505050505050511E-2</v>
      </c>
      <c r="Y24" s="132">
        <f t="shared" si="2"/>
        <v>0</v>
      </c>
      <c r="Z24" s="112" t="s">
        <v>66</v>
      </c>
      <c r="AA24" s="112"/>
      <c r="AB24" s="112">
        <f>Model!$AC$204</f>
        <v>1.111</v>
      </c>
      <c r="AC24" s="118">
        <f t="shared" si="9"/>
        <v>0</v>
      </c>
      <c r="AD24" s="112">
        <f t="shared" si="10"/>
        <v>0</v>
      </c>
      <c r="AO24" s="149"/>
    </row>
    <row r="25" spans="3:41" x14ac:dyDescent="0.25">
      <c r="C25" s="154">
        <f>Model!$AC$14</f>
        <v>3004198</v>
      </c>
      <c r="D25" s="55">
        <f>Model!$AC$17</f>
        <v>0.38461538461538458</v>
      </c>
      <c r="E25" s="155">
        <f t="shared" si="4"/>
        <v>1155460.769230769</v>
      </c>
      <c r="F25" s="55">
        <f>Model!$AC$28</f>
        <v>1</v>
      </c>
      <c r="G25" s="155">
        <f t="shared" si="5"/>
        <v>1155460.769230769</v>
      </c>
      <c r="H25" s="111">
        <f>INDEX(Model!$AC$33:$AC$36,MATCH($J25,Model!$AB$33:$AB$36,0))</f>
        <v>0.14000000000000001</v>
      </c>
      <c r="I25" s="132">
        <f t="shared" si="6"/>
        <v>161764.50769230767</v>
      </c>
      <c r="J25" s="55" t="s">
        <v>27</v>
      </c>
      <c r="K25" s="111">
        <f>INDEX(Model!$AC$37:$AC$40,MATCH($J25,Model!$AB$33:$AB$36,0))</f>
        <v>84.759907824534466</v>
      </c>
      <c r="L25" s="131">
        <f>K25*I25</f>
        <v>13711144.761281194</v>
      </c>
      <c r="M25" s="111">
        <f>Model!$AC$92</f>
        <v>0</v>
      </c>
      <c r="N25" s="132">
        <f t="shared" si="11"/>
        <v>0</v>
      </c>
      <c r="O25" s="111" t="s">
        <v>31</v>
      </c>
      <c r="P25" s="111">
        <f>INDEX(Model!$AC$54:$AC$118,MATCH($O25,Model!$AB$54:$AB$118,0)+MATCH(Model!$Z$116,Model!$Z$54:$Z$118,0)-1)</f>
        <v>0.51500000000000001</v>
      </c>
      <c r="Q25" s="131">
        <f t="shared" si="7"/>
        <v>0</v>
      </c>
      <c r="R25" s="150">
        <f>Model!$AC$138</f>
        <v>5.5303779999999999E-3</v>
      </c>
      <c r="S25" s="132">
        <f t="shared" si="8"/>
        <v>0</v>
      </c>
      <c r="T25" s="55" t="s">
        <v>34</v>
      </c>
      <c r="U25" s="55"/>
      <c r="V25" s="55">
        <f>Model!$AC$137</f>
        <v>1</v>
      </c>
      <c r="W25" s="131"/>
      <c r="X25" s="150"/>
      <c r="Y25" s="132">
        <f t="shared" si="2"/>
        <v>0</v>
      </c>
      <c r="Z25" s="112"/>
      <c r="AA25" s="112"/>
      <c r="AB25" s="55"/>
      <c r="AC25" s="118">
        <f t="shared" si="9"/>
        <v>0</v>
      </c>
      <c r="AD25" s="112">
        <f t="shared" si="10"/>
        <v>0</v>
      </c>
      <c r="AO25" s="149"/>
    </row>
    <row r="26" spans="3:41" x14ac:dyDescent="0.25">
      <c r="C26" s="170">
        <f>Model!$AC$14</f>
        <v>3004198</v>
      </c>
      <c r="D26" s="113">
        <f>Model!$AC$17</f>
        <v>0.38461538461538458</v>
      </c>
      <c r="E26" s="171">
        <f t="shared" si="4"/>
        <v>1155460.769230769</v>
      </c>
      <c r="F26" s="113">
        <f>Model!$AC$28</f>
        <v>1</v>
      </c>
      <c r="G26" s="171">
        <f t="shared" si="5"/>
        <v>1155460.769230769</v>
      </c>
      <c r="H26" s="114">
        <f>INDEX(Model!$AC$33:$AC$36,MATCH($J26,Model!$AB$33:$AB$36,0))</f>
        <v>0.14000000000000001</v>
      </c>
      <c r="I26" s="133">
        <f t="shared" si="6"/>
        <v>161764.50769230767</v>
      </c>
      <c r="J26" s="113" t="s">
        <v>27</v>
      </c>
      <c r="K26" s="114">
        <f>INDEX(Model!$AC$37:$AC$40,MATCH($J26,Model!$AB$33:$AB$36,0))</f>
        <v>84.759907824534466</v>
      </c>
      <c r="L26" s="135">
        <f>K26*I26</f>
        <v>13711144.761281194</v>
      </c>
      <c r="M26" s="114">
        <f>Model!$AC$92</f>
        <v>0</v>
      </c>
      <c r="N26" s="133">
        <f t="shared" si="11"/>
        <v>0</v>
      </c>
      <c r="O26" s="114" t="s">
        <v>31</v>
      </c>
      <c r="P26" s="114">
        <f>INDEX(Model!$AC$54:$AC$118,MATCH($O26,Model!$AB$54:$AB$118,0)+MATCH(Model!$Z$116,Model!$Z$54:$Z$118,0)-1)</f>
        <v>0.51500000000000001</v>
      </c>
      <c r="Q26" s="135">
        <f t="shared" si="7"/>
        <v>0</v>
      </c>
      <c r="R26" s="151">
        <f>Model!$AC$148</f>
        <v>0.994469622</v>
      </c>
      <c r="S26" s="133">
        <f t="shared" si="8"/>
        <v>0</v>
      </c>
      <c r="T26" s="113" t="s">
        <v>35</v>
      </c>
      <c r="U26" s="113">
        <f>Model!$AC$147</f>
        <v>1</v>
      </c>
      <c r="V26" s="113"/>
      <c r="W26" s="135">
        <f>S26*U26</f>
        <v>0</v>
      </c>
      <c r="X26" s="153"/>
      <c r="Y26" s="133">
        <f t="shared" si="2"/>
        <v>0</v>
      </c>
      <c r="Z26" s="113" t="s">
        <v>67</v>
      </c>
      <c r="AA26" s="113">
        <f>Model!$AC$178</f>
        <v>0.52600000000000002</v>
      </c>
      <c r="AB26" s="113"/>
      <c r="AC26" s="119">
        <f t="shared" si="9"/>
        <v>0</v>
      </c>
      <c r="AD26" s="113">
        <f t="shared" si="10"/>
        <v>0</v>
      </c>
      <c r="AO26" s="149"/>
    </row>
    <row r="27" spans="3:41" x14ac:dyDescent="0.25">
      <c r="C27" s="154">
        <f>Model!$AC$14</f>
        <v>3004198</v>
      </c>
      <c r="D27" s="55">
        <f>Model!$AC$17</f>
        <v>0.38461538461538458</v>
      </c>
      <c r="E27" s="155">
        <f t="shared" si="4"/>
        <v>1155460.769230769</v>
      </c>
      <c r="F27" s="55">
        <f>Model!$AC$28</f>
        <v>1</v>
      </c>
      <c r="G27" s="155">
        <f t="shared" si="5"/>
        <v>1155460.769230769</v>
      </c>
      <c r="H27" s="111">
        <f>INDEX(Model!$AC$33:$AC$36,MATCH($J27,Model!$AB$33:$AB$36,0))</f>
        <v>0.14000000000000001</v>
      </c>
      <c r="I27" s="132">
        <f t="shared" si="6"/>
        <v>161764.50769230767</v>
      </c>
      <c r="J27" s="55" t="s">
        <v>27</v>
      </c>
      <c r="K27" s="111">
        <f>INDEX(Model!$AC$37:$AC$40,MATCH($J27,Model!$AB$33:$AB$36,0))</f>
        <v>84.759907824534466</v>
      </c>
      <c r="L27" s="131">
        <f>K27*I27</f>
        <v>13711144.761281194</v>
      </c>
      <c r="M27" s="111">
        <f>Model!$AC$92</f>
        <v>0</v>
      </c>
      <c r="N27" s="132">
        <f t="shared" si="11"/>
        <v>0</v>
      </c>
      <c r="O27" s="111" t="s">
        <v>31</v>
      </c>
      <c r="P27" s="111">
        <f>INDEX(Model!$AC$54:$AC$118,MATCH($O27,Model!$AB$54:$AB$118,0)+MATCH(Model!$Z$116,Model!$Z$54:$Z$118,0)-1)</f>
        <v>0.51500000000000001</v>
      </c>
      <c r="Q27" s="131">
        <f t="shared" si="7"/>
        <v>0</v>
      </c>
      <c r="R27" s="150">
        <f>Model!$AC$148</f>
        <v>0.994469622</v>
      </c>
      <c r="S27" s="132">
        <f t="shared" si="8"/>
        <v>0</v>
      </c>
      <c r="T27" s="55" t="s">
        <v>35</v>
      </c>
      <c r="U27" s="55">
        <f>Model!$AC$147</f>
        <v>1</v>
      </c>
      <c r="V27" s="55"/>
      <c r="W27" s="131">
        <f>S27*U27</f>
        <v>0</v>
      </c>
      <c r="X27" s="137">
        <f>Model!$AC$192/SUM(Model!$AC$192,Model!$AC$165,Model!$AC$205)</f>
        <v>0</v>
      </c>
      <c r="Y27" s="132">
        <f t="shared" si="2"/>
        <v>0</v>
      </c>
      <c r="Z27" s="112" t="s">
        <v>144</v>
      </c>
      <c r="AA27" s="112">
        <f>Model!$AC$191</f>
        <v>0.4</v>
      </c>
      <c r="AB27" s="55"/>
      <c r="AC27" s="118">
        <f t="shared" si="9"/>
        <v>0</v>
      </c>
      <c r="AD27" s="112">
        <f t="shared" si="10"/>
        <v>0</v>
      </c>
      <c r="AO27" s="149"/>
    </row>
    <row r="28" spans="3:41" x14ac:dyDescent="0.25">
      <c r="C28" s="154">
        <f>Model!$AC$14</f>
        <v>3004198</v>
      </c>
      <c r="D28" s="55">
        <f>Model!$AC$17</f>
        <v>0.38461538461538458</v>
      </c>
      <c r="E28" s="155">
        <f t="shared" si="4"/>
        <v>1155460.769230769</v>
      </c>
      <c r="F28" s="55">
        <f>Model!$AC$28</f>
        <v>1</v>
      </c>
      <c r="G28" s="155">
        <f t="shared" si="5"/>
        <v>1155460.769230769</v>
      </c>
      <c r="H28" s="111">
        <f>INDEX(Model!$AC$33:$AC$36,MATCH($J28,Model!$AB$33:$AB$36,0))</f>
        <v>0.14000000000000001</v>
      </c>
      <c r="I28" s="132">
        <f t="shared" si="6"/>
        <v>161764.50769230767</v>
      </c>
      <c r="J28" s="55" t="s">
        <v>27</v>
      </c>
      <c r="K28" s="111">
        <f>INDEX(Model!$AC$37:$AC$40,MATCH($J28,Model!$AB$33:$AB$36,0))</f>
        <v>84.759907824534466</v>
      </c>
      <c r="L28" s="131">
        <f>K28*I28</f>
        <v>13711144.761281194</v>
      </c>
      <c r="M28" s="111">
        <f>Model!$AC$92</f>
        <v>0</v>
      </c>
      <c r="N28" s="132">
        <f t="shared" si="11"/>
        <v>0</v>
      </c>
      <c r="O28" s="111" t="s">
        <v>31</v>
      </c>
      <c r="P28" s="111">
        <f>INDEX(Model!$AC$54:$AC$118,MATCH($O28,Model!$AB$54:$AB$118,0)+MATCH(Model!$Z$116,Model!$Z$54:$Z$118,0)-1)</f>
        <v>0.51500000000000001</v>
      </c>
      <c r="Q28" s="131">
        <f t="shared" si="7"/>
        <v>0</v>
      </c>
      <c r="R28" s="150">
        <f>Model!$AC$148</f>
        <v>0.994469622</v>
      </c>
      <c r="S28" s="132">
        <f t="shared" si="8"/>
        <v>0</v>
      </c>
      <c r="T28" s="55" t="s">
        <v>35</v>
      </c>
      <c r="U28" s="55">
        <f>Model!$AC$147</f>
        <v>1</v>
      </c>
      <c r="V28" s="55"/>
      <c r="W28" s="131">
        <f>S28*U28</f>
        <v>0</v>
      </c>
      <c r="X28" s="137">
        <f>Model!$AC$165/SUM(Model!$AC$192,Model!$AC$165,Model!$AC$205)</f>
        <v>0.9494949494949495</v>
      </c>
      <c r="Y28" s="132">
        <f t="shared" si="2"/>
        <v>0</v>
      </c>
      <c r="Z28" s="112" t="s">
        <v>65</v>
      </c>
      <c r="AA28" s="112"/>
      <c r="AB28" s="55">
        <f>Model!$AC$164</f>
        <v>1.613</v>
      </c>
      <c r="AC28" s="118">
        <f t="shared" si="9"/>
        <v>0</v>
      </c>
      <c r="AD28" s="112">
        <f t="shared" si="10"/>
        <v>0</v>
      </c>
      <c r="AO28" s="149"/>
    </row>
    <row r="29" spans="3:41" x14ac:dyDescent="0.25">
      <c r="C29" s="154">
        <f>Model!$AC$14</f>
        <v>3004198</v>
      </c>
      <c r="D29" s="55">
        <f>Model!$AC$17</f>
        <v>0.38461538461538458</v>
      </c>
      <c r="E29" s="155">
        <f t="shared" si="4"/>
        <v>1155460.769230769</v>
      </c>
      <c r="F29" s="55">
        <f>Model!$AC$28</f>
        <v>1</v>
      </c>
      <c r="G29" s="155">
        <f t="shared" si="5"/>
        <v>1155460.769230769</v>
      </c>
      <c r="H29" s="111">
        <f>INDEX(Model!$AC$33:$AC$36,MATCH($J29,Model!$AB$33:$AB$36,0))</f>
        <v>0.14000000000000001</v>
      </c>
      <c r="I29" s="132">
        <f t="shared" si="6"/>
        <v>161764.50769230767</v>
      </c>
      <c r="J29" s="112" t="s">
        <v>27</v>
      </c>
      <c r="K29" s="122">
        <f>INDEX(Model!$AC$37:$AC$40,MATCH($J29,Model!$AB$33:$AB$36,0))</f>
        <v>84.759907824534466</v>
      </c>
      <c r="L29" s="136">
        <f>K29*I29</f>
        <v>13711144.761281194</v>
      </c>
      <c r="M29" s="122">
        <f>Model!$AC$92</f>
        <v>0</v>
      </c>
      <c r="N29" s="134">
        <f t="shared" si="11"/>
        <v>0</v>
      </c>
      <c r="O29" s="122" t="s">
        <v>31</v>
      </c>
      <c r="P29" s="122">
        <f>INDEX(Model!$AC$54:$AC$118,MATCH($O29,Model!$AB$54:$AB$118,0)+MATCH(Model!$Z$116,Model!$Z$54:$Z$118,0)-1)</f>
        <v>0.51500000000000001</v>
      </c>
      <c r="Q29" s="136">
        <f t="shared" si="7"/>
        <v>0</v>
      </c>
      <c r="R29" s="152">
        <f>Model!$AC$148</f>
        <v>0.994469622</v>
      </c>
      <c r="S29" s="134">
        <f t="shared" si="8"/>
        <v>0</v>
      </c>
      <c r="T29" s="112" t="s">
        <v>35</v>
      </c>
      <c r="U29" s="112">
        <f>Model!$AC$147</f>
        <v>1</v>
      </c>
      <c r="V29" s="112"/>
      <c r="W29" s="136">
        <f>S29*U29</f>
        <v>0</v>
      </c>
      <c r="X29" s="137">
        <f>Model!$AC$205/SUM(Model!$AC$192,Model!$AC$165,Model!$AC$205)</f>
        <v>5.0505050505050511E-2</v>
      </c>
      <c r="Y29" s="134">
        <f t="shared" si="2"/>
        <v>0</v>
      </c>
      <c r="Z29" s="112" t="s">
        <v>66</v>
      </c>
      <c r="AA29" s="112"/>
      <c r="AB29" s="112">
        <f>Model!$AC$204</f>
        <v>1.111</v>
      </c>
      <c r="AC29" s="123">
        <f t="shared" si="9"/>
        <v>0</v>
      </c>
      <c r="AD29" s="112">
        <f t="shared" si="10"/>
        <v>0</v>
      </c>
      <c r="AO29" s="149"/>
    </row>
    <row r="30" spans="3:41" x14ac:dyDescent="0.25">
      <c r="C30" s="154">
        <f>Model!$AC$14</f>
        <v>3004198</v>
      </c>
      <c r="D30" s="55">
        <f>Model!$AC$17</f>
        <v>0.38461538461538458</v>
      </c>
      <c r="E30" s="155">
        <f t="shared" si="4"/>
        <v>1155460.769230769</v>
      </c>
      <c r="F30" s="55">
        <f>Model!$AC$28</f>
        <v>1</v>
      </c>
      <c r="G30" s="155">
        <f t="shared" si="5"/>
        <v>1155460.769230769</v>
      </c>
      <c r="H30" s="111">
        <f>INDEX(Model!$AC$33:$AC$36,MATCH($J30,Model!$AB$33:$AB$36,0))</f>
        <v>4.0590758000000005E-2</v>
      </c>
      <c r="I30" s="132">
        <f t="shared" si="6"/>
        <v>46901.028462339993</v>
      </c>
      <c r="J30" s="112" t="s">
        <v>28</v>
      </c>
      <c r="K30" s="122">
        <f>INDEX(Model!$AC$37:$AC$40,MATCH($J30,Model!$AB$33:$AB$36,0))</f>
        <v>91.721414046613475</v>
      </c>
      <c r="L30" s="136">
        <f>K30*I30</f>
        <v>4301828.6508062901</v>
      </c>
      <c r="M30" s="122">
        <f>Model!$AC$118</f>
        <v>0</v>
      </c>
      <c r="N30" s="134">
        <f t="shared" si="11"/>
        <v>0</v>
      </c>
      <c r="O30" s="122" t="s">
        <v>33</v>
      </c>
      <c r="P30" s="122">
        <f>INDEX(Model!$AC$54:$AC$118,MATCH($O30,Model!$AB$54:$AB$118,0)+MATCH(Model!$Z$116,Model!$Z$54:$Z$118,0)-1)</f>
        <v>0.309</v>
      </c>
      <c r="Q30" s="136">
        <f t="shared" si="7"/>
        <v>0</v>
      </c>
      <c r="R30" s="152">
        <f>Model!$AC$138</f>
        <v>5.5303779999999999E-3</v>
      </c>
      <c r="S30" s="134">
        <f t="shared" si="8"/>
        <v>0</v>
      </c>
      <c r="T30" s="112" t="s">
        <v>34</v>
      </c>
      <c r="U30" s="112"/>
      <c r="V30" s="112">
        <f>Model!$AC$137</f>
        <v>1</v>
      </c>
      <c r="W30" s="136"/>
      <c r="X30" s="152"/>
      <c r="Y30" s="134">
        <f t="shared" si="2"/>
        <v>0</v>
      </c>
      <c r="Z30" s="112"/>
      <c r="AA30" s="112"/>
      <c r="AB30" s="112"/>
      <c r="AC30" s="123">
        <f t="shared" si="9"/>
        <v>0</v>
      </c>
      <c r="AD30" s="112">
        <f t="shared" si="10"/>
        <v>0</v>
      </c>
      <c r="AO30" s="149"/>
    </row>
    <row r="31" spans="3:41" x14ac:dyDescent="0.25">
      <c r="C31" s="154">
        <f>Model!$AC$14</f>
        <v>3004198</v>
      </c>
      <c r="D31" s="55">
        <f>Model!$AC$17</f>
        <v>0.38461538461538458</v>
      </c>
      <c r="E31" s="155">
        <f t="shared" si="4"/>
        <v>1155460.769230769</v>
      </c>
      <c r="F31" s="55">
        <f>Model!$AC$28</f>
        <v>1</v>
      </c>
      <c r="G31" s="155">
        <f t="shared" si="5"/>
        <v>1155460.769230769</v>
      </c>
      <c r="H31" s="111">
        <f>INDEX(Model!$AC$33:$AC$36,MATCH($J31,Model!$AB$33:$AB$36,0))</f>
        <v>4.0590758000000005E-2</v>
      </c>
      <c r="I31" s="132">
        <f t="shared" si="6"/>
        <v>46901.028462339993</v>
      </c>
      <c r="J31" s="112" t="s">
        <v>28</v>
      </c>
      <c r="K31" s="122">
        <f>INDEX(Model!$AC$37:$AC$40,MATCH($J31,Model!$AB$33:$AB$36,0))</f>
        <v>91.721414046613475</v>
      </c>
      <c r="L31" s="136">
        <f>K31*I31</f>
        <v>4301828.6508062901</v>
      </c>
      <c r="M31" s="122">
        <f>Model!$AC$118</f>
        <v>0</v>
      </c>
      <c r="N31" s="134">
        <f t="shared" si="11"/>
        <v>0</v>
      </c>
      <c r="O31" s="122" t="s">
        <v>33</v>
      </c>
      <c r="P31" s="122">
        <f>INDEX(Model!$AC$54:$AC$118,MATCH($O31,Model!$AB$54:$AB$118,0)+MATCH(Model!$Z$116,Model!$Z$54:$Z$118,0)-1)</f>
        <v>0.309</v>
      </c>
      <c r="Q31" s="136">
        <f t="shared" si="7"/>
        <v>0</v>
      </c>
      <c r="R31" s="152">
        <f>Model!$AC$148</f>
        <v>0.994469622</v>
      </c>
      <c r="S31" s="134">
        <f t="shared" si="8"/>
        <v>0</v>
      </c>
      <c r="T31" s="112" t="s">
        <v>35</v>
      </c>
      <c r="U31" s="112">
        <f>Model!$AC$147</f>
        <v>1</v>
      </c>
      <c r="V31" s="112"/>
      <c r="W31" s="136">
        <f>S31*U31</f>
        <v>0</v>
      </c>
      <c r="X31" s="152">
        <f>Model!$AC$179</f>
        <v>0.01</v>
      </c>
      <c r="Y31" s="134">
        <f t="shared" si="2"/>
        <v>0</v>
      </c>
      <c r="Z31" s="112" t="s">
        <v>67</v>
      </c>
      <c r="AA31" s="112">
        <f>Model!$AC$178</f>
        <v>0.52600000000000002</v>
      </c>
      <c r="AB31" s="112"/>
      <c r="AC31" s="123">
        <f t="shared" si="9"/>
        <v>0</v>
      </c>
      <c r="AD31" s="112">
        <f t="shared" si="10"/>
        <v>0</v>
      </c>
      <c r="AO31" s="149"/>
    </row>
    <row r="32" spans="3:41" x14ac:dyDescent="0.25">
      <c r="C32" s="154">
        <f>Model!$AC$14</f>
        <v>3004198</v>
      </c>
      <c r="D32" s="55">
        <f>Model!$AC$17</f>
        <v>0.38461538461538458</v>
      </c>
      <c r="E32" s="155">
        <f t="shared" si="4"/>
        <v>1155460.769230769</v>
      </c>
      <c r="F32" s="55">
        <f>Model!$AC$28</f>
        <v>1</v>
      </c>
      <c r="G32" s="155">
        <f t="shared" si="5"/>
        <v>1155460.769230769</v>
      </c>
      <c r="H32" s="111">
        <f>INDEX(Model!$AC$33:$AC$36,MATCH($J32,Model!$AB$33:$AB$36,0))</f>
        <v>4.0590758000000005E-2</v>
      </c>
      <c r="I32" s="132">
        <f t="shared" si="6"/>
        <v>46901.028462339993</v>
      </c>
      <c r="J32" s="112" t="s">
        <v>28</v>
      </c>
      <c r="K32" s="122">
        <f>INDEX(Model!$AC$37:$AC$40,MATCH($J32,Model!$AB$33:$AB$36,0))</f>
        <v>91.721414046613475</v>
      </c>
      <c r="L32" s="136">
        <f>K32*I32</f>
        <v>4301828.6508062901</v>
      </c>
      <c r="M32" s="122">
        <f>Model!$AC$118</f>
        <v>0</v>
      </c>
      <c r="N32" s="134">
        <f t="shared" si="11"/>
        <v>0</v>
      </c>
      <c r="O32" s="122" t="s">
        <v>33</v>
      </c>
      <c r="P32" s="122">
        <f>INDEX(Model!$AC$54:$AC$118,MATCH($O32,Model!$AB$54:$AB$118,0)+MATCH(Model!$Z$116,Model!$Z$54:$Z$118,0)-1)</f>
        <v>0.309</v>
      </c>
      <c r="Q32" s="136">
        <f t="shared" si="7"/>
        <v>0</v>
      </c>
      <c r="R32" s="152">
        <f>Model!$AC$148</f>
        <v>0.994469622</v>
      </c>
      <c r="S32" s="134">
        <f t="shared" si="8"/>
        <v>0</v>
      </c>
      <c r="T32" s="112" t="s">
        <v>35</v>
      </c>
      <c r="U32" s="112">
        <f>Model!$AC$147</f>
        <v>1</v>
      </c>
      <c r="V32" s="112"/>
      <c r="W32" s="136">
        <f>S32*U32</f>
        <v>0</v>
      </c>
      <c r="X32" s="152">
        <f>Model!$AC$192</f>
        <v>0</v>
      </c>
      <c r="Y32" s="134">
        <f t="shared" si="2"/>
        <v>0</v>
      </c>
      <c r="Z32" s="112" t="s">
        <v>144</v>
      </c>
      <c r="AA32" s="112">
        <f>Model!$AC$191</f>
        <v>0.4</v>
      </c>
      <c r="AB32" s="112"/>
      <c r="AC32" s="123">
        <f t="shared" si="9"/>
        <v>0</v>
      </c>
      <c r="AD32" s="112">
        <f t="shared" si="10"/>
        <v>0</v>
      </c>
      <c r="AO32" s="149"/>
    </row>
    <row r="33" spans="3:41" x14ac:dyDescent="0.25">
      <c r="C33" s="154">
        <f>Model!$AC$14</f>
        <v>3004198</v>
      </c>
      <c r="D33" s="55">
        <f>Model!$AC$17</f>
        <v>0.38461538461538458</v>
      </c>
      <c r="E33" s="155">
        <f t="shared" si="4"/>
        <v>1155460.769230769</v>
      </c>
      <c r="F33" s="55">
        <f>Model!$AC$28</f>
        <v>1</v>
      </c>
      <c r="G33" s="155">
        <f t="shared" si="5"/>
        <v>1155460.769230769</v>
      </c>
      <c r="H33" s="111">
        <f>INDEX(Model!$AC$33:$AC$36,MATCH($J33,Model!$AB$33:$AB$36,0))</f>
        <v>4.0590758000000005E-2</v>
      </c>
      <c r="I33" s="132">
        <f t="shared" si="6"/>
        <v>46901.028462339993</v>
      </c>
      <c r="J33" s="112" t="s">
        <v>28</v>
      </c>
      <c r="K33" s="122">
        <f>INDEX(Model!$AC$37:$AC$40,MATCH($J33,Model!$AB$33:$AB$36,0))</f>
        <v>91.721414046613475</v>
      </c>
      <c r="L33" s="136">
        <f>K33*I33</f>
        <v>4301828.6508062901</v>
      </c>
      <c r="M33" s="122">
        <f>Model!$AC$118</f>
        <v>0</v>
      </c>
      <c r="N33" s="134">
        <f t="shared" si="11"/>
        <v>0</v>
      </c>
      <c r="O33" s="122" t="s">
        <v>33</v>
      </c>
      <c r="P33" s="122">
        <f>INDEX(Model!$AC$54:$AC$118,MATCH($O33,Model!$AB$54:$AB$118,0)+MATCH(Model!$Z$116,Model!$Z$54:$Z$118,0)-1)</f>
        <v>0.309</v>
      </c>
      <c r="Q33" s="136">
        <f t="shared" si="7"/>
        <v>0</v>
      </c>
      <c r="R33" s="152">
        <f>Model!$AC$148</f>
        <v>0.994469622</v>
      </c>
      <c r="S33" s="134">
        <f t="shared" si="8"/>
        <v>0</v>
      </c>
      <c r="T33" s="112" t="s">
        <v>35</v>
      </c>
      <c r="U33" s="112">
        <f>Model!$AC$147</f>
        <v>1</v>
      </c>
      <c r="V33" s="112"/>
      <c r="W33" s="136">
        <f>S33*U33</f>
        <v>0</v>
      </c>
      <c r="X33" s="152">
        <f>Model!$AC$165</f>
        <v>0.94</v>
      </c>
      <c r="Y33" s="134">
        <f t="shared" si="2"/>
        <v>0</v>
      </c>
      <c r="Z33" s="112" t="s">
        <v>65</v>
      </c>
      <c r="AA33" s="112"/>
      <c r="AB33" s="112">
        <f>Model!$AC$164</f>
        <v>1.613</v>
      </c>
      <c r="AC33" s="123">
        <f t="shared" si="9"/>
        <v>0</v>
      </c>
      <c r="AD33" s="112">
        <f t="shared" si="10"/>
        <v>0</v>
      </c>
      <c r="AO33" s="149"/>
    </row>
    <row r="34" spans="3:41" x14ac:dyDescent="0.25">
      <c r="C34" s="154">
        <f>Model!$AC$14</f>
        <v>3004198</v>
      </c>
      <c r="D34" s="55">
        <f>Model!$AC$17</f>
        <v>0.38461538461538458</v>
      </c>
      <c r="E34" s="155">
        <f t="shared" si="4"/>
        <v>1155460.769230769</v>
      </c>
      <c r="F34" s="55">
        <f>Model!$AC$28</f>
        <v>1</v>
      </c>
      <c r="G34" s="155">
        <f t="shared" si="5"/>
        <v>1155460.769230769</v>
      </c>
      <c r="H34" s="111">
        <f>INDEX(Model!$AC$33:$AC$36,MATCH($J34,Model!$AB$33:$AB$36,0))</f>
        <v>4.0590758000000005E-2</v>
      </c>
      <c r="I34" s="132">
        <f t="shared" si="6"/>
        <v>46901.028462339993</v>
      </c>
      <c r="J34" s="112" t="s">
        <v>28</v>
      </c>
      <c r="K34" s="122">
        <f>INDEX(Model!$AC$37:$AC$40,MATCH($J34,Model!$AB$33:$AB$36,0))</f>
        <v>91.721414046613475</v>
      </c>
      <c r="L34" s="136">
        <f>K34*I34</f>
        <v>4301828.6508062901</v>
      </c>
      <c r="M34" s="122">
        <f>Model!$AC$118</f>
        <v>0</v>
      </c>
      <c r="N34" s="134">
        <f t="shared" si="11"/>
        <v>0</v>
      </c>
      <c r="O34" s="122" t="s">
        <v>33</v>
      </c>
      <c r="P34" s="122">
        <f>INDEX(Model!$AC$54:$AC$118,MATCH($O34,Model!$AB$54:$AB$118,0)+MATCH(Model!$Z$116,Model!$Z$54:$Z$118,0)-1)</f>
        <v>0.309</v>
      </c>
      <c r="Q34" s="136">
        <f t="shared" si="7"/>
        <v>0</v>
      </c>
      <c r="R34" s="152">
        <f>Model!$AC$148</f>
        <v>0.994469622</v>
      </c>
      <c r="S34" s="134">
        <f t="shared" si="8"/>
        <v>0</v>
      </c>
      <c r="T34" s="112" t="s">
        <v>35</v>
      </c>
      <c r="U34" s="112">
        <f>Model!$AC$147</f>
        <v>1</v>
      </c>
      <c r="V34" s="112"/>
      <c r="W34" s="136">
        <f>S34*U34</f>
        <v>0</v>
      </c>
      <c r="X34" s="152">
        <f>Model!$AC$205</f>
        <v>0.05</v>
      </c>
      <c r="Y34" s="134">
        <f t="shared" si="2"/>
        <v>0</v>
      </c>
      <c r="Z34" s="112" t="s">
        <v>66</v>
      </c>
      <c r="AA34" s="112"/>
      <c r="AB34" s="112">
        <f>Model!$AC$204</f>
        <v>1.111</v>
      </c>
      <c r="AC34" s="123">
        <f t="shared" si="9"/>
        <v>0</v>
      </c>
      <c r="AD34" s="112">
        <f t="shared" si="10"/>
        <v>0</v>
      </c>
      <c r="AO34" s="149"/>
    </row>
    <row r="35" spans="3:41" x14ac:dyDescent="0.25">
      <c r="C35" s="154">
        <f>Model!$AC$14</f>
        <v>3004198</v>
      </c>
      <c r="D35" s="55">
        <f>Model!$AC$17</f>
        <v>0.38461538461538458</v>
      </c>
      <c r="E35" s="155">
        <f t="shared" si="4"/>
        <v>1155460.769230769</v>
      </c>
      <c r="F35" s="55">
        <f>Model!$AC$28</f>
        <v>1</v>
      </c>
      <c r="G35" s="155">
        <f t="shared" si="5"/>
        <v>1155460.769230769</v>
      </c>
      <c r="H35" s="111">
        <f>INDEX(Model!$AC$33:$AC$36,MATCH($J35,Model!$AB$33:$AB$36,0))</f>
        <v>4.0590758000000005E-2</v>
      </c>
      <c r="I35" s="132">
        <f t="shared" si="6"/>
        <v>46901.028462339993</v>
      </c>
      <c r="J35" s="112" t="s">
        <v>28</v>
      </c>
      <c r="K35" s="122">
        <f>INDEX(Model!$AC$37:$AC$40,MATCH($J35,Model!$AB$33:$AB$36,0))</f>
        <v>91.721414046613475</v>
      </c>
      <c r="L35" s="136">
        <f>K35*I35</f>
        <v>4301828.6508062901</v>
      </c>
      <c r="M35" s="122">
        <f>Model!$AC$79</f>
        <v>0.83299999999999996</v>
      </c>
      <c r="N35" s="134">
        <f t="shared" si="11"/>
        <v>3583423.2661216394</v>
      </c>
      <c r="O35" s="122" t="s">
        <v>29</v>
      </c>
      <c r="P35" s="122">
        <f>INDEX(Model!$AC$54:$AC$118,MATCH($O35,Model!$AB$54:$AB$118,0)+MATCH(Model!$Z$116,Model!$Z$54:$Z$118,0)-1)</f>
        <v>0.63300000000000001</v>
      </c>
      <c r="Q35" s="136">
        <f t="shared" si="7"/>
        <v>2268306.9274549978</v>
      </c>
      <c r="R35" s="152">
        <f>Model!$AC$138</f>
        <v>5.5303779999999999E-3</v>
      </c>
      <c r="S35" s="134">
        <f t="shared" si="8"/>
        <v>12544.594728844715</v>
      </c>
      <c r="T35" s="112" t="s">
        <v>34</v>
      </c>
      <c r="U35" s="112"/>
      <c r="V35" s="112">
        <f>Model!$AC$137</f>
        <v>1</v>
      </c>
      <c r="W35" s="136"/>
      <c r="X35" s="152"/>
      <c r="Y35" s="134">
        <f t="shared" si="2"/>
        <v>0</v>
      </c>
      <c r="Z35" s="112"/>
      <c r="AA35" s="112"/>
      <c r="AB35" s="112"/>
      <c r="AC35" s="123">
        <f t="shared" si="9"/>
        <v>12544.594728844715</v>
      </c>
      <c r="AD35" s="112">
        <f t="shared" si="10"/>
        <v>0</v>
      </c>
      <c r="AO35" s="149"/>
    </row>
    <row r="36" spans="3:41" x14ac:dyDescent="0.25">
      <c r="C36" s="154">
        <f>Model!$AC$14</f>
        <v>3004198</v>
      </c>
      <c r="D36" s="55">
        <f>Model!$AC$17</f>
        <v>0.38461538461538458</v>
      </c>
      <c r="E36" s="155">
        <f t="shared" si="4"/>
        <v>1155460.769230769</v>
      </c>
      <c r="F36" s="55">
        <f>Model!$AC$28</f>
        <v>1</v>
      </c>
      <c r="G36" s="155">
        <f t="shared" si="5"/>
        <v>1155460.769230769</v>
      </c>
      <c r="H36" s="111">
        <f>INDEX(Model!$AC$33:$AC$36,MATCH($J36,Model!$AB$33:$AB$36,0))</f>
        <v>4.0590758000000005E-2</v>
      </c>
      <c r="I36" s="132">
        <f t="shared" si="6"/>
        <v>46901.028462339993</v>
      </c>
      <c r="J36" s="112" t="s">
        <v>28</v>
      </c>
      <c r="K36" s="122">
        <f>INDEX(Model!$AC$37:$AC$40,MATCH($J36,Model!$AB$33:$AB$36,0))</f>
        <v>91.721414046613475</v>
      </c>
      <c r="L36" s="136">
        <f>K36*I36</f>
        <v>4301828.6508062901</v>
      </c>
      <c r="M36" s="122">
        <f>Model!$AC$79</f>
        <v>0.83299999999999996</v>
      </c>
      <c r="N36" s="134">
        <f t="shared" si="11"/>
        <v>3583423.2661216394</v>
      </c>
      <c r="O36" s="122" t="s">
        <v>29</v>
      </c>
      <c r="P36" s="122">
        <f>INDEX(Model!$AC$54:$AC$118,MATCH($O36,Model!$AB$54:$AB$118,0)+MATCH(Model!$Z$116,Model!$Z$54:$Z$118,0)-1)</f>
        <v>0.63300000000000001</v>
      </c>
      <c r="Q36" s="136">
        <f t="shared" si="7"/>
        <v>2268306.9274549978</v>
      </c>
      <c r="R36" s="152">
        <f>Model!$AC$148</f>
        <v>0.994469622</v>
      </c>
      <c r="S36" s="134">
        <f t="shared" si="8"/>
        <v>2255762.3327261531</v>
      </c>
      <c r="T36" s="112" t="s">
        <v>35</v>
      </c>
      <c r="U36" s="112">
        <f>Model!$AC$147</f>
        <v>1</v>
      </c>
      <c r="V36" s="112"/>
      <c r="W36" s="136">
        <f>S36*U36</f>
        <v>2255762.3327261531</v>
      </c>
      <c r="X36" s="152">
        <f>Model!$AC$179</f>
        <v>0.01</v>
      </c>
      <c r="Y36" s="134">
        <f t="shared" si="2"/>
        <v>22557.623327261532</v>
      </c>
      <c r="Z36" s="112" t="s">
        <v>67</v>
      </c>
      <c r="AA36" s="112">
        <f>Model!$AC$178</f>
        <v>0.52600000000000002</v>
      </c>
      <c r="AB36" s="112"/>
      <c r="AC36" s="123">
        <f t="shared" si="9"/>
        <v>11865.309870139567</v>
      </c>
      <c r="AD36" s="112">
        <f t="shared" si="10"/>
        <v>0</v>
      </c>
    </row>
    <row r="37" spans="3:41" x14ac:dyDescent="0.25">
      <c r="C37" s="154">
        <f>Model!$AC$14</f>
        <v>3004198</v>
      </c>
      <c r="D37" s="55">
        <f>Model!$AC$17</f>
        <v>0.38461538461538458</v>
      </c>
      <c r="E37" s="155">
        <f t="shared" si="4"/>
        <v>1155460.769230769</v>
      </c>
      <c r="F37" s="55">
        <f>Model!$AC$28</f>
        <v>1</v>
      </c>
      <c r="G37" s="155">
        <f t="shared" si="5"/>
        <v>1155460.769230769</v>
      </c>
      <c r="H37" s="111">
        <f>INDEX(Model!$AC$33:$AC$36,MATCH($J37,Model!$AB$33:$AB$36,0))</f>
        <v>4.0590758000000005E-2</v>
      </c>
      <c r="I37" s="132">
        <f t="shared" si="6"/>
        <v>46901.028462339993</v>
      </c>
      <c r="J37" s="112" t="s">
        <v>28</v>
      </c>
      <c r="K37" s="122">
        <f>INDEX(Model!$AC$37:$AC$40,MATCH($J37,Model!$AB$33:$AB$36,0))</f>
        <v>91.721414046613475</v>
      </c>
      <c r="L37" s="136">
        <f>K37*I37</f>
        <v>4301828.6508062901</v>
      </c>
      <c r="M37" s="122">
        <f>Model!$AC$79</f>
        <v>0.83299999999999996</v>
      </c>
      <c r="N37" s="134">
        <f t="shared" si="11"/>
        <v>3583423.2661216394</v>
      </c>
      <c r="O37" s="122" t="s">
        <v>29</v>
      </c>
      <c r="P37" s="122">
        <f>INDEX(Model!$AC$54:$AC$118,MATCH($O37,Model!$AB$54:$AB$118,0)+MATCH(Model!$Z$116,Model!$Z$54:$Z$118,0)-1)</f>
        <v>0.63300000000000001</v>
      </c>
      <c r="Q37" s="136">
        <f t="shared" si="7"/>
        <v>2268306.9274549978</v>
      </c>
      <c r="R37" s="152">
        <f>Model!$AC$148</f>
        <v>0.994469622</v>
      </c>
      <c r="S37" s="134">
        <f t="shared" si="8"/>
        <v>2255762.3327261531</v>
      </c>
      <c r="T37" s="112" t="s">
        <v>35</v>
      </c>
      <c r="U37" s="112">
        <f>Model!$AC$147</f>
        <v>1</v>
      </c>
      <c r="V37" s="112"/>
      <c r="W37" s="136">
        <f>S37*U37</f>
        <v>2255762.3327261531</v>
      </c>
      <c r="X37" s="152">
        <f>Model!$AC$192</f>
        <v>0</v>
      </c>
      <c r="Y37" s="134">
        <f t="shared" si="2"/>
        <v>0</v>
      </c>
      <c r="Z37" s="112" t="s">
        <v>144</v>
      </c>
      <c r="AA37" s="112">
        <f>Model!$AC$191</f>
        <v>0.4</v>
      </c>
      <c r="AB37" s="112"/>
      <c r="AC37" s="123">
        <f t="shared" si="9"/>
        <v>0</v>
      </c>
      <c r="AD37" s="112">
        <f t="shared" si="10"/>
        <v>0</v>
      </c>
      <c r="AO37" s="149"/>
    </row>
    <row r="38" spans="3:41" x14ac:dyDescent="0.25">
      <c r="C38" s="154">
        <f>Model!$AC$14</f>
        <v>3004198</v>
      </c>
      <c r="D38" s="55">
        <f>Model!$AC$17</f>
        <v>0.38461538461538458</v>
      </c>
      <c r="E38" s="155">
        <f t="shared" si="4"/>
        <v>1155460.769230769</v>
      </c>
      <c r="F38" s="55">
        <f>Model!$AC$28</f>
        <v>1</v>
      </c>
      <c r="G38" s="155">
        <f t="shared" si="5"/>
        <v>1155460.769230769</v>
      </c>
      <c r="H38" s="111">
        <f>INDEX(Model!$AC$33:$AC$36,MATCH($J38,Model!$AB$33:$AB$36,0))</f>
        <v>4.0590758000000005E-2</v>
      </c>
      <c r="I38" s="132">
        <f t="shared" si="6"/>
        <v>46901.028462339993</v>
      </c>
      <c r="J38" s="112" t="s">
        <v>28</v>
      </c>
      <c r="K38" s="122">
        <f>INDEX(Model!$AC$37:$AC$40,MATCH($J38,Model!$AB$33:$AB$36,0))</f>
        <v>91.721414046613475</v>
      </c>
      <c r="L38" s="136">
        <f>K38*I38</f>
        <v>4301828.6508062901</v>
      </c>
      <c r="M38" s="122">
        <f>Model!$AC$79</f>
        <v>0.83299999999999996</v>
      </c>
      <c r="N38" s="134">
        <f t="shared" si="11"/>
        <v>3583423.2661216394</v>
      </c>
      <c r="O38" s="122" t="s">
        <v>29</v>
      </c>
      <c r="P38" s="122">
        <f>INDEX(Model!$AC$54:$AC$118,MATCH($O38,Model!$AB$54:$AB$118,0)+MATCH(Model!$Z$116,Model!$Z$54:$Z$118,0)-1)</f>
        <v>0.63300000000000001</v>
      </c>
      <c r="Q38" s="136">
        <f t="shared" si="7"/>
        <v>2268306.9274549978</v>
      </c>
      <c r="R38" s="152">
        <f>Model!$AC$148</f>
        <v>0.994469622</v>
      </c>
      <c r="S38" s="134">
        <f t="shared" si="8"/>
        <v>2255762.3327261531</v>
      </c>
      <c r="T38" s="112" t="s">
        <v>35</v>
      </c>
      <c r="U38" s="112">
        <f>Model!$AC$147</f>
        <v>1</v>
      </c>
      <c r="V38" s="112"/>
      <c r="W38" s="136">
        <f>S38*U38</f>
        <v>2255762.3327261531</v>
      </c>
      <c r="X38" s="152">
        <f>Model!$AC$165</f>
        <v>0.94</v>
      </c>
      <c r="Y38" s="134">
        <f t="shared" si="2"/>
        <v>2120416.5927625839</v>
      </c>
      <c r="Z38" s="112" t="s">
        <v>65</v>
      </c>
      <c r="AA38" s="112"/>
      <c r="AB38" s="112">
        <f>Model!$AC$164</f>
        <v>1.613</v>
      </c>
      <c r="AC38" s="123">
        <f t="shared" si="9"/>
        <v>0</v>
      </c>
      <c r="AD38" s="112">
        <f t="shared" si="10"/>
        <v>3420231.9641260477</v>
      </c>
      <c r="AO38" s="149"/>
    </row>
    <row r="39" spans="3:41" x14ac:dyDescent="0.25">
      <c r="C39" s="154">
        <f>Model!$AC$14</f>
        <v>3004198</v>
      </c>
      <c r="D39" s="55">
        <f>Model!$AC$17</f>
        <v>0.38461538461538458</v>
      </c>
      <c r="E39" s="155">
        <f t="shared" si="4"/>
        <v>1155460.769230769</v>
      </c>
      <c r="F39" s="55">
        <f>Model!$AC$28</f>
        <v>1</v>
      </c>
      <c r="G39" s="155">
        <f t="shared" si="5"/>
        <v>1155460.769230769</v>
      </c>
      <c r="H39" s="111">
        <f>INDEX(Model!$AC$33:$AC$36,MATCH($J39,Model!$AB$33:$AB$36,0))</f>
        <v>4.0590758000000005E-2</v>
      </c>
      <c r="I39" s="132">
        <f t="shared" si="6"/>
        <v>46901.028462339993</v>
      </c>
      <c r="J39" s="112" t="s">
        <v>28</v>
      </c>
      <c r="K39" s="122">
        <f>INDEX(Model!$AC$37:$AC$40,MATCH($J39,Model!$AB$33:$AB$36,0))</f>
        <v>91.721414046613475</v>
      </c>
      <c r="L39" s="136">
        <f>K39*I39</f>
        <v>4301828.6508062901</v>
      </c>
      <c r="M39" s="122">
        <f>Model!$AC$79</f>
        <v>0.83299999999999996</v>
      </c>
      <c r="N39" s="134">
        <f t="shared" si="11"/>
        <v>3583423.2661216394</v>
      </c>
      <c r="O39" s="122" t="s">
        <v>29</v>
      </c>
      <c r="P39" s="122">
        <f>INDEX(Model!$AC$54:$AC$118,MATCH($O39,Model!$AB$54:$AB$118,0)+MATCH(Model!$Z$116,Model!$Z$54:$Z$118,0)-1)</f>
        <v>0.63300000000000001</v>
      </c>
      <c r="Q39" s="136">
        <f t="shared" si="7"/>
        <v>2268306.9274549978</v>
      </c>
      <c r="R39" s="152">
        <f>Model!$AC$148</f>
        <v>0.994469622</v>
      </c>
      <c r="S39" s="134">
        <f t="shared" si="8"/>
        <v>2255762.3327261531</v>
      </c>
      <c r="T39" s="112" t="s">
        <v>35</v>
      </c>
      <c r="U39" s="112">
        <f>Model!$AC$147</f>
        <v>1</v>
      </c>
      <c r="V39" s="112"/>
      <c r="W39" s="136">
        <f>S39*U39</f>
        <v>2255762.3327261531</v>
      </c>
      <c r="X39" s="152">
        <f>Model!$AC$205</f>
        <v>0.05</v>
      </c>
      <c r="Y39" s="134">
        <f t="shared" si="2"/>
        <v>112788.11663630766</v>
      </c>
      <c r="Z39" s="112" t="s">
        <v>66</v>
      </c>
      <c r="AA39" s="112"/>
      <c r="AB39" s="112">
        <f>Model!$AC$204</f>
        <v>1.111</v>
      </c>
      <c r="AC39" s="123">
        <f t="shared" si="9"/>
        <v>0</v>
      </c>
      <c r="AD39" s="112">
        <f t="shared" si="10"/>
        <v>125307.59758293781</v>
      </c>
      <c r="AO39" s="149"/>
    </row>
    <row r="40" spans="3:41" x14ac:dyDescent="0.25">
      <c r="C40" s="154">
        <f>Model!$AC$14</f>
        <v>3004198</v>
      </c>
      <c r="D40" s="55">
        <f>Model!$AC$17</f>
        <v>0.38461538461538458</v>
      </c>
      <c r="E40" s="155">
        <f t="shared" si="4"/>
        <v>1155460.769230769</v>
      </c>
      <c r="F40" s="55">
        <f>Model!$AC$28</f>
        <v>1</v>
      </c>
      <c r="G40" s="155">
        <f t="shared" si="5"/>
        <v>1155460.769230769</v>
      </c>
      <c r="H40" s="111">
        <f>INDEX(Model!$AC$33:$AC$36,MATCH($J40,Model!$AB$33:$AB$36,0))</f>
        <v>4.0590758000000005E-2</v>
      </c>
      <c r="I40" s="132">
        <f t="shared" si="6"/>
        <v>46901.028462339993</v>
      </c>
      <c r="J40" s="112" t="s">
        <v>28</v>
      </c>
      <c r="K40" s="122">
        <f>INDEX(Model!$AC$37:$AC$40,MATCH($J40,Model!$AB$33:$AB$36,0))</f>
        <v>91.721414046613475</v>
      </c>
      <c r="L40" s="136">
        <f>K40*I40</f>
        <v>4301828.6508062901</v>
      </c>
      <c r="M40" s="122">
        <f>Model!$AC$66</f>
        <v>0.16700000000000001</v>
      </c>
      <c r="N40" s="134">
        <f t="shared" si="11"/>
        <v>718405.38468465046</v>
      </c>
      <c r="O40" s="122" t="s">
        <v>30</v>
      </c>
      <c r="P40" s="122">
        <f>INDEX(Model!$AC$54:$AC$118,MATCH($O40,Model!$AB$54:$AB$118,0)+MATCH(Model!$Z$116,Model!$Z$54:$Z$118,0)-1)</f>
        <v>0.997</v>
      </c>
      <c r="Q40" s="136">
        <f t="shared" si="7"/>
        <v>716250.16853059654</v>
      </c>
      <c r="R40" s="152">
        <f>Model!$AC$138</f>
        <v>5.5303779999999999E-3</v>
      </c>
      <c r="S40" s="134">
        <f t="shared" si="8"/>
        <v>3961.1341745379032</v>
      </c>
      <c r="T40" s="112" t="s">
        <v>34</v>
      </c>
      <c r="U40" s="112"/>
      <c r="V40" s="112">
        <f>Model!$AC$137</f>
        <v>1</v>
      </c>
      <c r="W40" s="136"/>
      <c r="X40" s="152"/>
      <c r="Y40" s="134">
        <f t="shared" si="2"/>
        <v>0</v>
      </c>
      <c r="Z40" s="112"/>
      <c r="AA40" s="112"/>
      <c r="AB40" s="112"/>
      <c r="AC40" s="123">
        <f t="shared" si="9"/>
        <v>3961.1341745379032</v>
      </c>
      <c r="AD40" s="112">
        <f t="shared" si="10"/>
        <v>0</v>
      </c>
      <c r="AO40" s="149"/>
    </row>
    <row r="41" spans="3:41" x14ac:dyDescent="0.25">
      <c r="C41" s="154">
        <f>Model!$AC$14</f>
        <v>3004198</v>
      </c>
      <c r="D41" s="55">
        <f>Model!$AC$17</f>
        <v>0.38461538461538458</v>
      </c>
      <c r="E41" s="155">
        <f t="shared" si="4"/>
        <v>1155460.769230769</v>
      </c>
      <c r="F41" s="55">
        <f>Model!$AC$28</f>
        <v>1</v>
      </c>
      <c r="G41" s="155">
        <f t="shared" si="5"/>
        <v>1155460.769230769</v>
      </c>
      <c r="H41" s="111">
        <f>INDEX(Model!$AC$33:$AC$36,MATCH($J41,Model!$AB$33:$AB$36,0))</f>
        <v>4.0590758000000005E-2</v>
      </c>
      <c r="I41" s="132">
        <f t="shared" si="6"/>
        <v>46901.028462339993</v>
      </c>
      <c r="J41" s="112" t="s">
        <v>28</v>
      </c>
      <c r="K41" s="122">
        <f>INDEX(Model!$AC$37:$AC$40,MATCH($J41,Model!$AB$33:$AB$36,0))</f>
        <v>91.721414046613475</v>
      </c>
      <c r="L41" s="136">
        <f>K41*I41</f>
        <v>4301828.6508062901</v>
      </c>
      <c r="M41" s="122">
        <f>Model!$AC$66</f>
        <v>0.16700000000000001</v>
      </c>
      <c r="N41" s="134">
        <f t="shared" si="11"/>
        <v>718405.38468465046</v>
      </c>
      <c r="O41" s="122" t="s">
        <v>30</v>
      </c>
      <c r="P41" s="122">
        <f>INDEX(Model!$AC$54:$AC$118,MATCH($O41,Model!$AB$54:$AB$118,0)+MATCH(Model!$Z$116,Model!$Z$54:$Z$118,0)-1)</f>
        <v>0.997</v>
      </c>
      <c r="Q41" s="136">
        <f t="shared" si="7"/>
        <v>716250.16853059654</v>
      </c>
      <c r="R41" s="152">
        <f>Model!$AC$148</f>
        <v>0.994469622</v>
      </c>
      <c r="S41" s="134">
        <f t="shared" si="8"/>
        <v>712289.03435605858</v>
      </c>
      <c r="T41" s="112" t="s">
        <v>35</v>
      </c>
      <c r="U41" s="112">
        <f>Model!$AC$147</f>
        <v>1</v>
      </c>
      <c r="V41" s="112"/>
      <c r="W41" s="136">
        <f>S41*U41</f>
        <v>712289.03435605858</v>
      </c>
      <c r="X41" s="152">
        <f>Model!$AC$179</f>
        <v>0.01</v>
      </c>
      <c r="Y41" s="134">
        <f t="shared" si="2"/>
        <v>7122.8903435605862</v>
      </c>
      <c r="Z41" s="112" t="s">
        <v>67</v>
      </c>
      <c r="AA41" s="112">
        <f>Model!$AC$178</f>
        <v>0.52600000000000002</v>
      </c>
      <c r="AB41" s="112"/>
      <c r="AC41" s="123">
        <f t="shared" si="9"/>
        <v>3746.6403207128683</v>
      </c>
      <c r="AD41" s="112">
        <f t="shared" si="10"/>
        <v>0</v>
      </c>
      <c r="AO41" s="149"/>
    </row>
    <row r="42" spans="3:41" x14ac:dyDescent="0.25">
      <c r="C42" s="154">
        <f>Model!$AC$14</f>
        <v>3004198</v>
      </c>
      <c r="D42" s="55">
        <f>Model!$AC$17</f>
        <v>0.38461538461538458</v>
      </c>
      <c r="E42" s="155">
        <f t="shared" si="4"/>
        <v>1155460.769230769</v>
      </c>
      <c r="F42" s="55">
        <f>Model!$AC$28</f>
        <v>1</v>
      </c>
      <c r="G42" s="155">
        <f t="shared" si="5"/>
        <v>1155460.769230769</v>
      </c>
      <c r="H42" s="111">
        <f>INDEX(Model!$AC$33:$AC$36,MATCH($J42,Model!$AB$33:$AB$36,0))</f>
        <v>4.0590758000000005E-2</v>
      </c>
      <c r="I42" s="132">
        <f t="shared" si="6"/>
        <v>46901.028462339993</v>
      </c>
      <c r="J42" s="112" t="s">
        <v>28</v>
      </c>
      <c r="K42" s="122">
        <f>INDEX(Model!$AC$37:$AC$40,MATCH($J42,Model!$AB$33:$AB$36,0))</f>
        <v>91.721414046613475</v>
      </c>
      <c r="L42" s="136">
        <f>K42*I42</f>
        <v>4301828.6508062901</v>
      </c>
      <c r="M42" s="122">
        <f>Model!$AC$66</f>
        <v>0.16700000000000001</v>
      </c>
      <c r="N42" s="134">
        <f t="shared" si="11"/>
        <v>718405.38468465046</v>
      </c>
      <c r="O42" s="122" t="s">
        <v>30</v>
      </c>
      <c r="P42" s="122">
        <f>INDEX(Model!$AC$54:$AC$118,MATCH($O42,Model!$AB$54:$AB$118,0)+MATCH(Model!$Z$116,Model!$Z$54:$Z$118,0)-1)</f>
        <v>0.997</v>
      </c>
      <c r="Q42" s="136">
        <f t="shared" si="7"/>
        <v>716250.16853059654</v>
      </c>
      <c r="R42" s="152">
        <f>Model!$AC$148</f>
        <v>0.994469622</v>
      </c>
      <c r="S42" s="134">
        <f t="shared" si="8"/>
        <v>712289.03435605858</v>
      </c>
      <c r="T42" s="112" t="s">
        <v>35</v>
      </c>
      <c r="U42" s="112">
        <f>Model!$AC$147</f>
        <v>1</v>
      </c>
      <c r="V42" s="112"/>
      <c r="W42" s="136">
        <f>S42*U42</f>
        <v>712289.03435605858</v>
      </c>
      <c r="X42" s="152">
        <f>Model!$AC$192</f>
        <v>0</v>
      </c>
      <c r="Y42" s="134">
        <f t="shared" si="2"/>
        <v>0</v>
      </c>
      <c r="Z42" s="112" t="s">
        <v>144</v>
      </c>
      <c r="AA42" s="112">
        <f>Model!$AC$191</f>
        <v>0.4</v>
      </c>
      <c r="AB42" s="112"/>
      <c r="AC42" s="123">
        <f t="shared" si="9"/>
        <v>0</v>
      </c>
      <c r="AD42" s="112">
        <f t="shared" si="10"/>
        <v>0</v>
      </c>
      <c r="AO42" s="149"/>
    </row>
    <row r="43" spans="3:41" x14ac:dyDescent="0.25">
      <c r="C43" s="154">
        <f>Model!$AC$14</f>
        <v>3004198</v>
      </c>
      <c r="D43" s="55">
        <f>Model!$AC$17</f>
        <v>0.38461538461538458</v>
      </c>
      <c r="E43" s="155">
        <f t="shared" si="4"/>
        <v>1155460.769230769</v>
      </c>
      <c r="F43" s="55">
        <f>Model!$AC$28</f>
        <v>1</v>
      </c>
      <c r="G43" s="155">
        <f t="shared" si="5"/>
        <v>1155460.769230769</v>
      </c>
      <c r="H43" s="111">
        <f>INDEX(Model!$AC$33:$AC$36,MATCH($J43,Model!$AB$33:$AB$36,0))</f>
        <v>4.0590758000000005E-2</v>
      </c>
      <c r="I43" s="132">
        <f t="shared" si="6"/>
        <v>46901.028462339993</v>
      </c>
      <c r="J43" s="112" t="s">
        <v>28</v>
      </c>
      <c r="K43" s="122">
        <f>INDEX(Model!$AC$37:$AC$40,MATCH($J43,Model!$AB$33:$AB$36,0))</f>
        <v>91.721414046613475</v>
      </c>
      <c r="L43" s="136">
        <f>K43*I43</f>
        <v>4301828.6508062901</v>
      </c>
      <c r="M43" s="122">
        <f>Model!$AC$66</f>
        <v>0.16700000000000001</v>
      </c>
      <c r="N43" s="134">
        <f t="shared" si="11"/>
        <v>718405.38468465046</v>
      </c>
      <c r="O43" s="122" t="s">
        <v>30</v>
      </c>
      <c r="P43" s="122">
        <f>INDEX(Model!$AC$54:$AC$118,MATCH($O43,Model!$AB$54:$AB$118,0)+MATCH(Model!$Z$116,Model!$Z$54:$Z$118,0)-1)</f>
        <v>0.997</v>
      </c>
      <c r="Q43" s="136">
        <f t="shared" si="7"/>
        <v>716250.16853059654</v>
      </c>
      <c r="R43" s="152">
        <f>Model!$AC$148</f>
        <v>0.994469622</v>
      </c>
      <c r="S43" s="134">
        <f t="shared" si="8"/>
        <v>712289.03435605858</v>
      </c>
      <c r="T43" s="112" t="s">
        <v>35</v>
      </c>
      <c r="U43" s="112">
        <f>Model!$AC$147</f>
        <v>1</v>
      </c>
      <c r="V43" s="112"/>
      <c r="W43" s="136">
        <f>S43*U43</f>
        <v>712289.03435605858</v>
      </c>
      <c r="X43" s="152">
        <f>Model!$AC$165</f>
        <v>0.94</v>
      </c>
      <c r="Y43" s="134">
        <f t="shared" si="2"/>
        <v>669551.69229469507</v>
      </c>
      <c r="Z43" s="112" t="s">
        <v>65</v>
      </c>
      <c r="AA43" s="112"/>
      <c r="AB43" s="112">
        <f>Model!$AC$164</f>
        <v>1.613</v>
      </c>
      <c r="AC43" s="123">
        <f t="shared" si="9"/>
        <v>0</v>
      </c>
      <c r="AD43" s="112">
        <f t="shared" si="10"/>
        <v>1079986.8796713431</v>
      </c>
      <c r="AO43" s="149"/>
    </row>
    <row r="44" spans="3:41" x14ac:dyDescent="0.25">
      <c r="C44" s="154">
        <f>Model!$AC$14</f>
        <v>3004198</v>
      </c>
      <c r="D44" s="55">
        <f>Model!$AC$17</f>
        <v>0.38461538461538458</v>
      </c>
      <c r="E44" s="155">
        <f t="shared" si="4"/>
        <v>1155460.769230769</v>
      </c>
      <c r="F44" s="55">
        <f>Model!$AC$28</f>
        <v>1</v>
      </c>
      <c r="G44" s="155">
        <f t="shared" si="5"/>
        <v>1155460.769230769</v>
      </c>
      <c r="H44" s="111">
        <f>INDEX(Model!$AC$33:$AC$36,MATCH($J44,Model!$AB$33:$AB$36,0))</f>
        <v>4.0590758000000005E-2</v>
      </c>
      <c r="I44" s="132">
        <f t="shared" si="6"/>
        <v>46901.028462339993</v>
      </c>
      <c r="J44" s="112" t="s">
        <v>28</v>
      </c>
      <c r="K44" s="122">
        <f>INDEX(Model!$AC$37:$AC$40,MATCH($J44,Model!$AB$33:$AB$36,0))</f>
        <v>91.721414046613475</v>
      </c>
      <c r="L44" s="136">
        <f>K44*I44</f>
        <v>4301828.6508062901</v>
      </c>
      <c r="M44" s="122">
        <f>Model!$AC$66</f>
        <v>0.16700000000000001</v>
      </c>
      <c r="N44" s="134">
        <f t="shared" si="11"/>
        <v>718405.38468465046</v>
      </c>
      <c r="O44" s="122" t="s">
        <v>30</v>
      </c>
      <c r="P44" s="122">
        <f>INDEX(Model!$AC$54:$AC$118,MATCH($O44,Model!$AB$54:$AB$118,0)+MATCH(Model!$Z$116,Model!$Z$54:$Z$118,0)-1)</f>
        <v>0.997</v>
      </c>
      <c r="Q44" s="136">
        <f t="shared" si="7"/>
        <v>716250.16853059654</v>
      </c>
      <c r="R44" s="152">
        <f>Model!$AC$148</f>
        <v>0.994469622</v>
      </c>
      <c r="S44" s="134">
        <f t="shared" si="8"/>
        <v>712289.03435605858</v>
      </c>
      <c r="T44" s="112" t="s">
        <v>35</v>
      </c>
      <c r="U44" s="112">
        <f>Model!$AC$147</f>
        <v>1</v>
      </c>
      <c r="V44" s="112"/>
      <c r="W44" s="136">
        <f>S44*U44</f>
        <v>712289.03435605858</v>
      </c>
      <c r="X44" s="152">
        <f>Model!$AC$205</f>
        <v>0.05</v>
      </c>
      <c r="Y44" s="134">
        <f t="shared" si="2"/>
        <v>35614.451717802927</v>
      </c>
      <c r="Z44" s="112" t="s">
        <v>66</v>
      </c>
      <c r="AA44" s="112"/>
      <c r="AB44" s="112">
        <f>Model!$AC$204</f>
        <v>1.111</v>
      </c>
      <c r="AC44" s="123">
        <f t="shared" si="9"/>
        <v>0</v>
      </c>
      <c r="AD44" s="112">
        <f t="shared" si="10"/>
        <v>39567.655858479055</v>
      </c>
      <c r="AO44" s="149"/>
    </row>
    <row r="45" spans="3:41" x14ac:dyDescent="0.25">
      <c r="C45" s="154">
        <f>Model!$AC$14</f>
        <v>3004198</v>
      </c>
      <c r="D45" s="55">
        <f>Model!$AC$17</f>
        <v>0.38461538461538458</v>
      </c>
      <c r="E45" s="155">
        <f t="shared" si="4"/>
        <v>1155460.769230769</v>
      </c>
      <c r="F45" s="55">
        <f>Model!$AC$28</f>
        <v>1</v>
      </c>
      <c r="G45" s="155">
        <f t="shared" si="5"/>
        <v>1155460.769230769</v>
      </c>
      <c r="H45" s="111">
        <f>INDEX(Model!$AC$33:$AC$36,MATCH($J45,Model!$AB$33:$AB$36,0))</f>
        <v>4.0590758000000005E-2</v>
      </c>
      <c r="I45" s="132">
        <f t="shared" si="6"/>
        <v>46901.028462339993</v>
      </c>
      <c r="J45" s="112" t="s">
        <v>28</v>
      </c>
      <c r="K45" s="122">
        <f>INDEX(Model!$AC$37:$AC$40,MATCH($J45,Model!$AB$33:$AB$36,0))</f>
        <v>91.721414046613475</v>
      </c>
      <c r="L45" s="136">
        <f>K45*I45</f>
        <v>4301828.6508062901</v>
      </c>
      <c r="M45" s="122">
        <f>Model!$AC$105</f>
        <v>0</v>
      </c>
      <c r="N45" s="134">
        <f t="shared" si="11"/>
        <v>0</v>
      </c>
      <c r="O45" s="122" t="s">
        <v>32</v>
      </c>
      <c r="P45" s="122">
        <f>INDEX(Model!$AC$54:$AC$118,MATCH($O45,Model!$AB$54:$AB$118,0)+MATCH(Model!$Z$116,Model!$Z$54:$Z$118,0)-1)</f>
        <v>0.36</v>
      </c>
      <c r="Q45" s="136">
        <f t="shared" si="7"/>
        <v>0</v>
      </c>
      <c r="R45" s="152">
        <f>Model!$AC$138</f>
        <v>5.5303779999999999E-3</v>
      </c>
      <c r="S45" s="134">
        <f t="shared" si="8"/>
        <v>0</v>
      </c>
      <c r="T45" s="112" t="s">
        <v>34</v>
      </c>
      <c r="U45" s="112"/>
      <c r="V45" s="112">
        <f>Model!$AC$137</f>
        <v>1</v>
      </c>
      <c r="W45" s="136"/>
      <c r="X45" s="152"/>
      <c r="Y45" s="134">
        <f t="shared" si="2"/>
        <v>0</v>
      </c>
      <c r="Z45" s="112"/>
      <c r="AA45" s="112"/>
      <c r="AB45" s="112"/>
      <c r="AC45" s="123">
        <f t="shared" si="9"/>
        <v>0</v>
      </c>
      <c r="AD45" s="112">
        <f t="shared" si="10"/>
        <v>0</v>
      </c>
      <c r="AO45" s="149"/>
    </row>
    <row r="46" spans="3:41" x14ac:dyDescent="0.25">
      <c r="C46" s="154">
        <f>Model!$AC$14</f>
        <v>3004198</v>
      </c>
      <c r="D46" s="55">
        <f>Model!$AC$17</f>
        <v>0.38461538461538458</v>
      </c>
      <c r="E46" s="155">
        <f t="shared" si="4"/>
        <v>1155460.769230769</v>
      </c>
      <c r="F46" s="55">
        <f>Model!$AC$28</f>
        <v>1</v>
      </c>
      <c r="G46" s="155">
        <f t="shared" si="5"/>
        <v>1155460.769230769</v>
      </c>
      <c r="H46" s="111">
        <f>INDEX(Model!$AC$33:$AC$36,MATCH($J46,Model!$AB$33:$AB$36,0))</f>
        <v>4.0590758000000005E-2</v>
      </c>
      <c r="I46" s="132">
        <f t="shared" si="6"/>
        <v>46901.028462339993</v>
      </c>
      <c r="J46" s="112" t="s">
        <v>28</v>
      </c>
      <c r="K46" s="122">
        <f>INDEX(Model!$AC$37:$AC$40,MATCH($J46,Model!$AB$33:$AB$36,0))</f>
        <v>91.721414046613475</v>
      </c>
      <c r="L46" s="136">
        <f>K46*I46</f>
        <v>4301828.6508062901</v>
      </c>
      <c r="M46" s="122">
        <f>Model!$AC$105</f>
        <v>0</v>
      </c>
      <c r="N46" s="134">
        <f t="shared" si="11"/>
        <v>0</v>
      </c>
      <c r="O46" s="122" t="s">
        <v>32</v>
      </c>
      <c r="P46" s="122">
        <f>INDEX(Model!$AC$54:$AC$118,MATCH($O46,Model!$AB$54:$AB$118,0)+MATCH(Model!$Z$116,Model!$Z$54:$Z$118,0)-1)</f>
        <v>0.36</v>
      </c>
      <c r="Q46" s="136">
        <f t="shared" si="7"/>
        <v>0</v>
      </c>
      <c r="R46" s="152">
        <f>Model!$AC$148</f>
        <v>0.994469622</v>
      </c>
      <c r="S46" s="134">
        <f t="shared" si="8"/>
        <v>0</v>
      </c>
      <c r="T46" s="112" t="s">
        <v>35</v>
      </c>
      <c r="U46" s="112">
        <f>Model!$AC$147</f>
        <v>1</v>
      </c>
      <c r="V46" s="112"/>
      <c r="W46" s="136">
        <f>S46*U46</f>
        <v>0</v>
      </c>
      <c r="X46" s="152">
        <f>Model!$AC$179</f>
        <v>0.01</v>
      </c>
      <c r="Y46" s="134">
        <f t="shared" si="2"/>
        <v>0</v>
      </c>
      <c r="Z46" s="112" t="s">
        <v>67</v>
      </c>
      <c r="AA46" s="112">
        <f>Model!$AC$178</f>
        <v>0.52600000000000002</v>
      </c>
      <c r="AB46" s="112"/>
      <c r="AC46" s="123">
        <f t="shared" si="9"/>
        <v>0</v>
      </c>
      <c r="AD46" s="112">
        <f t="shared" si="10"/>
        <v>0</v>
      </c>
      <c r="AO46" s="149"/>
    </row>
    <row r="47" spans="3:41" x14ac:dyDescent="0.25">
      <c r="C47" s="154">
        <f>Model!$AC$14</f>
        <v>3004198</v>
      </c>
      <c r="D47" s="55">
        <f>Model!$AC$17</f>
        <v>0.38461538461538458</v>
      </c>
      <c r="E47" s="155">
        <f t="shared" si="4"/>
        <v>1155460.769230769</v>
      </c>
      <c r="F47" s="55">
        <f>Model!$AC$28</f>
        <v>1</v>
      </c>
      <c r="G47" s="155">
        <f t="shared" si="5"/>
        <v>1155460.769230769</v>
      </c>
      <c r="H47" s="111">
        <f>INDEX(Model!$AC$33:$AC$36,MATCH($J47,Model!$AB$33:$AB$36,0))</f>
        <v>4.0590758000000005E-2</v>
      </c>
      <c r="I47" s="132">
        <f t="shared" si="6"/>
        <v>46901.028462339993</v>
      </c>
      <c r="J47" s="112" t="s">
        <v>28</v>
      </c>
      <c r="K47" s="122">
        <f>INDEX(Model!$AC$37:$AC$40,MATCH($J47,Model!$AB$33:$AB$36,0))</f>
        <v>91.721414046613475</v>
      </c>
      <c r="L47" s="136">
        <f>K47*I47</f>
        <v>4301828.6508062901</v>
      </c>
      <c r="M47" s="122">
        <f>Model!$AC$105</f>
        <v>0</v>
      </c>
      <c r="N47" s="134">
        <f t="shared" si="11"/>
        <v>0</v>
      </c>
      <c r="O47" s="122" t="s">
        <v>32</v>
      </c>
      <c r="P47" s="122">
        <f>INDEX(Model!$AC$54:$AC$118,MATCH($O47,Model!$AB$54:$AB$118,0)+MATCH(Model!$Z$116,Model!$Z$54:$Z$118,0)-1)</f>
        <v>0.36</v>
      </c>
      <c r="Q47" s="136">
        <f t="shared" si="7"/>
        <v>0</v>
      </c>
      <c r="R47" s="152">
        <f>Model!$AC$148</f>
        <v>0.994469622</v>
      </c>
      <c r="S47" s="134">
        <f t="shared" si="8"/>
        <v>0</v>
      </c>
      <c r="T47" s="112" t="s">
        <v>35</v>
      </c>
      <c r="U47" s="112">
        <f>Model!$AC$147</f>
        <v>1</v>
      </c>
      <c r="V47" s="112"/>
      <c r="W47" s="136">
        <f>S47*U47</f>
        <v>0</v>
      </c>
      <c r="X47" s="152">
        <f>Model!$AC$192</f>
        <v>0</v>
      </c>
      <c r="Y47" s="134">
        <f t="shared" si="2"/>
        <v>0</v>
      </c>
      <c r="Z47" s="112" t="s">
        <v>144</v>
      </c>
      <c r="AA47" s="112">
        <f>Model!$AC$191</f>
        <v>0.4</v>
      </c>
      <c r="AB47" s="112"/>
      <c r="AC47" s="123">
        <f t="shared" si="9"/>
        <v>0</v>
      </c>
      <c r="AD47" s="112">
        <f t="shared" si="10"/>
        <v>0</v>
      </c>
      <c r="AO47" s="149"/>
    </row>
    <row r="48" spans="3:41" x14ac:dyDescent="0.25">
      <c r="C48" s="154">
        <f>Model!$AC$14</f>
        <v>3004198</v>
      </c>
      <c r="D48" s="55">
        <f>Model!$AC$17</f>
        <v>0.38461538461538458</v>
      </c>
      <c r="E48" s="155">
        <f t="shared" si="4"/>
        <v>1155460.769230769</v>
      </c>
      <c r="F48" s="55">
        <f>Model!$AC$28</f>
        <v>1</v>
      </c>
      <c r="G48" s="155">
        <f t="shared" si="5"/>
        <v>1155460.769230769</v>
      </c>
      <c r="H48" s="111">
        <f>INDEX(Model!$AC$33:$AC$36,MATCH($J48,Model!$AB$33:$AB$36,0))</f>
        <v>4.0590758000000005E-2</v>
      </c>
      <c r="I48" s="132">
        <f t="shared" si="6"/>
        <v>46901.028462339993</v>
      </c>
      <c r="J48" s="112" t="s">
        <v>28</v>
      </c>
      <c r="K48" s="122">
        <f>INDEX(Model!$AC$37:$AC$40,MATCH($J48,Model!$AB$33:$AB$36,0))</f>
        <v>91.721414046613475</v>
      </c>
      <c r="L48" s="136">
        <f>K48*I48</f>
        <v>4301828.6508062901</v>
      </c>
      <c r="M48" s="122">
        <f>Model!$AC$105</f>
        <v>0</v>
      </c>
      <c r="N48" s="134">
        <f t="shared" si="11"/>
        <v>0</v>
      </c>
      <c r="O48" s="122" t="s">
        <v>32</v>
      </c>
      <c r="P48" s="122">
        <f>INDEX(Model!$AC$54:$AC$118,MATCH($O48,Model!$AB$54:$AB$118,0)+MATCH(Model!$Z$116,Model!$Z$54:$Z$118,0)-1)</f>
        <v>0.36</v>
      </c>
      <c r="Q48" s="136">
        <f t="shared" si="7"/>
        <v>0</v>
      </c>
      <c r="R48" s="152">
        <f>Model!$AC$148</f>
        <v>0.994469622</v>
      </c>
      <c r="S48" s="134">
        <f t="shared" si="8"/>
        <v>0</v>
      </c>
      <c r="T48" s="112" t="s">
        <v>35</v>
      </c>
      <c r="U48" s="112">
        <f>Model!$AC$147</f>
        <v>1</v>
      </c>
      <c r="V48" s="112"/>
      <c r="W48" s="136">
        <f>S48*U48</f>
        <v>0</v>
      </c>
      <c r="X48" s="152">
        <f>Model!$AC$165</f>
        <v>0.94</v>
      </c>
      <c r="Y48" s="134">
        <f t="shared" si="2"/>
        <v>0</v>
      </c>
      <c r="Z48" s="112" t="s">
        <v>65</v>
      </c>
      <c r="AA48" s="112"/>
      <c r="AB48" s="112">
        <f>Model!$AC$164</f>
        <v>1.613</v>
      </c>
      <c r="AC48" s="123">
        <f t="shared" si="9"/>
        <v>0</v>
      </c>
      <c r="AD48" s="112">
        <f t="shared" si="10"/>
        <v>0</v>
      </c>
      <c r="AO48" s="149"/>
    </row>
    <row r="49" spans="3:41" x14ac:dyDescent="0.25">
      <c r="C49" s="154">
        <f>Model!$AC$14</f>
        <v>3004198</v>
      </c>
      <c r="D49" s="55">
        <f>Model!$AC$17</f>
        <v>0.38461538461538458</v>
      </c>
      <c r="E49" s="155">
        <f t="shared" si="4"/>
        <v>1155460.769230769</v>
      </c>
      <c r="F49" s="55">
        <f>Model!$AC$28</f>
        <v>1</v>
      </c>
      <c r="G49" s="155">
        <f t="shared" si="5"/>
        <v>1155460.769230769</v>
      </c>
      <c r="H49" s="111">
        <f>INDEX(Model!$AC$33:$AC$36,MATCH($J49,Model!$AB$33:$AB$36,0))</f>
        <v>4.0590758000000005E-2</v>
      </c>
      <c r="I49" s="132">
        <f t="shared" si="6"/>
        <v>46901.028462339993</v>
      </c>
      <c r="J49" s="112" t="s">
        <v>28</v>
      </c>
      <c r="K49" s="122">
        <f>INDEX(Model!$AC$37:$AC$40,MATCH($J49,Model!$AB$33:$AB$36,0))</f>
        <v>91.721414046613475</v>
      </c>
      <c r="L49" s="136">
        <f>K49*I49</f>
        <v>4301828.6508062901</v>
      </c>
      <c r="M49" s="122">
        <f>Model!$AC$105</f>
        <v>0</v>
      </c>
      <c r="N49" s="134">
        <f t="shared" si="11"/>
        <v>0</v>
      </c>
      <c r="O49" s="122" t="s">
        <v>32</v>
      </c>
      <c r="P49" s="122">
        <f>INDEX(Model!$AC$54:$AC$118,MATCH($O49,Model!$AB$54:$AB$118,0)+MATCH(Model!$Z$116,Model!$Z$54:$Z$118,0)-1)</f>
        <v>0.36</v>
      </c>
      <c r="Q49" s="136">
        <f t="shared" si="7"/>
        <v>0</v>
      </c>
      <c r="R49" s="152">
        <f>Model!$AC$148</f>
        <v>0.994469622</v>
      </c>
      <c r="S49" s="134">
        <f t="shared" si="8"/>
        <v>0</v>
      </c>
      <c r="T49" s="112" t="s">
        <v>35</v>
      </c>
      <c r="U49" s="112">
        <f>Model!$AC$147</f>
        <v>1</v>
      </c>
      <c r="V49" s="112"/>
      <c r="W49" s="136">
        <f>S49*U49</f>
        <v>0</v>
      </c>
      <c r="X49" s="152">
        <f>Model!$AC$205</f>
        <v>0.05</v>
      </c>
      <c r="Y49" s="134">
        <f t="shared" si="2"/>
        <v>0</v>
      </c>
      <c r="Z49" s="112" t="s">
        <v>66</v>
      </c>
      <c r="AA49" s="112"/>
      <c r="AB49" s="112">
        <f>Model!$AC$204</f>
        <v>1.111</v>
      </c>
      <c r="AC49" s="123">
        <f t="shared" si="9"/>
        <v>0</v>
      </c>
      <c r="AD49" s="112">
        <f t="shared" si="10"/>
        <v>0</v>
      </c>
    </row>
    <row r="50" spans="3:41" x14ac:dyDescent="0.25">
      <c r="C50" s="154">
        <f>Model!$AC$14</f>
        <v>3004198</v>
      </c>
      <c r="D50" s="55">
        <f>Model!$AC$17</f>
        <v>0.38461538461538458</v>
      </c>
      <c r="E50" s="155">
        <f t="shared" si="4"/>
        <v>1155460.769230769</v>
      </c>
      <c r="F50" s="55">
        <f>Model!$AC$28</f>
        <v>1</v>
      </c>
      <c r="G50" s="155">
        <f t="shared" si="5"/>
        <v>1155460.769230769</v>
      </c>
      <c r="H50" s="111">
        <f>INDEX(Model!$AC$33:$AC$36,MATCH($J50,Model!$AB$33:$AB$36,0))</f>
        <v>4.0590758000000005E-2</v>
      </c>
      <c r="I50" s="132">
        <f t="shared" si="6"/>
        <v>46901.028462339993</v>
      </c>
      <c r="J50" s="112" t="s">
        <v>28</v>
      </c>
      <c r="K50" s="122">
        <f>INDEX(Model!$AC$37:$AC$40,MATCH($J50,Model!$AB$33:$AB$36,0))</f>
        <v>91.721414046613475</v>
      </c>
      <c r="L50" s="136">
        <f>K50*I50</f>
        <v>4301828.6508062901</v>
      </c>
      <c r="M50" s="122">
        <f>Model!$AC$92</f>
        <v>0</v>
      </c>
      <c r="N50" s="134">
        <f t="shared" si="11"/>
        <v>0</v>
      </c>
      <c r="O50" s="122" t="s">
        <v>31</v>
      </c>
      <c r="P50" s="122">
        <f>INDEX(Model!$AC$54:$AC$118,MATCH($O50,Model!$AB$54:$AB$118,0)+MATCH(Model!$Z$116,Model!$Z$54:$Z$118,0)-1)</f>
        <v>0.51500000000000001</v>
      </c>
      <c r="Q50" s="136">
        <f t="shared" si="7"/>
        <v>0</v>
      </c>
      <c r="R50" s="152">
        <f>Model!$AC$138</f>
        <v>5.5303779999999999E-3</v>
      </c>
      <c r="S50" s="134">
        <f t="shared" si="8"/>
        <v>0</v>
      </c>
      <c r="T50" s="112" t="s">
        <v>34</v>
      </c>
      <c r="U50" s="112"/>
      <c r="V50" s="112">
        <f>Model!$AC$137</f>
        <v>1</v>
      </c>
      <c r="W50" s="136"/>
      <c r="X50" s="152"/>
      <c r="Y50" s="134">
        <f t="shared" si="2"/>
        <v>0</v>
      </c>
      <c r="Z50" s="112"/>
      <c r="AA50" s="112"/>
      <c r="AB50" s="112"/>
      <c r="AC50" s="123">
        <f t="shared" si="9"/>
        <v>0</v>
      </c>
      <c r="AD50" s="112">
        <f t="shared" si="10"/>
        <v>0</v>
      </c>
      <c r="AO50" s="149"/>
    </row>
    <row r="51" spans="3:41" x14ac:dyDescent="0.25">
      <c r="C51" s="154">
        <f>Model!$AC$14</f>
        <v>3004198</v>
      </c>
      <c r="D51" s="55">
        <f>Model!$AC$17</f>
        <v>0.38461538461538458</v>
      </c>
      <c r="E51" s="155">
        <f t="shared" si="4"/>
        <v>1155460.769230769</v>
      </c>
      <c r="F51" s="55">
        <f>Model!$AC$28</f>
        <v>1</v>
      </c>
      <c r="G51" s="155">
        <f t="shared" si="5"/>
        <v>1155460.769230769</v>
      </c>
      <c r="H51" s="111">
        <f>INDEX(Model!$AC$33:$AC$36,MATCH($J51,Model!$AB$33:$AB$36,0))</f>
        <v>4.0590758000000005E-2</v>
      </c>
      <c r="I51" s="132">
        <f t="shared" si="6"/>
        <v>46901.028462339993</v>
      </c>
      <c r="J51" s="112" t="s">
        <v>28</v>
      </c>
      <c r="K51" s="122">
        <f>INDEX(Model!$AC$37:$AC$40,MATCH($J51,Model!$AB$33:$AB$36,0))</f>
        <v>91.721414046613475</v>
      </c>
      <c r="L51" s="136">
        <f>K51*I51</f>
        <v>4301828.6508062901</v>
      </c>
      <c r="M51" s="122">
        <f>Model!$AC$92</f>
        <v>0</v>
      </c>
      <c r="N51" s="134">
        <f t="shared" si="11"/>
        <v>0</v>
      </c>
      <c r="O51" s="122" t="s">
        <v>31</v>
      </c>
      <c r="P51" s="122">
        <f>INDEX(Model!$AC$54:$AC$118,MATCH($O51,Model!$AB$54:$AB$118,0)+MATCH(Model!$Z$116,Model!$Z$54:$Z$118,0)-1)</f>
        <v>0.51500000000000001</v>
      </c>
      <c r="Q51" s="136">
        <f t="shared" si="7"/>
        <v>0</v>
      </c>
      <c r="R51" s="152">
        <f>Model!$AC$148</f>
        <v>0.994469622</v>
      </c>
      <c r="S51" s="134">
        <f t="shared" si="8"/>
        <v>0</v>
      </c>
      <c r="T51" s="112" t="s">
        <v>35</v>
      </c>
      <c r="U51" s="112">
        <f>Model!$AC$147</f>
        <v>1</v>
      </c>
      <c r="V51" s="112"/>
      <c r="W51" s="136">
        <f>S51*U51</f>
        <v>0</v>
      </c>
      <c r="X51" s="152">
        <f>Model!$AC$179</f>
        <v>0.01</v>
      </c>
      <c r="Y51" s="134">
        <f t="shared" si="2"/>
        <v>0</v>
      </c>
      <c r="Z51" s="112" t="s">
        <v>67</v>
      </c>
      <c r="AA51" s="112">
        <f>Model!$AC$178</f>
        <v>0.52600000000000002</v>
      </c>
      <c r="AB51" s="112"/>
      <c r="AC51" s="123">
        <f t="shared" si="9"/>
        <v>0</v>
      </c>
      <c r="AD51" s="112">
        <f t="shared" si="10"/>
        <v>0</v>
      </c>
      <c r="AO51" s="149"/>
    </row>
    <row r="52" spans="3:41" x14ac:dyDescent="0.25">
      <c r="C52" s="154">
        <f>Model!$AC$14</f>
        <v>3004198</v>
      </c>
      <c r="D52" s="55">
        <f>Model!$AC$17</f>
        <v>0.38461538461538458</v>
      </c>
      <c r="E52" s="155">
        <f t="shared" si="4"/>
        <v>1155460.769230769</v>
      </c>
      <c r="F52" s="55">
        <f>Model!$AC$28</f>
        <v>1</v>
      </c>
      <c r="G52" s="155">
        <f t="shared" si="5"/>
        <v>1155460.769230769</v>
      </c>
      <c r="H52" s="111">
        <f>INDEX(Model!$AC$33:$AC$36,MATCH($J52,Model!$AB$33:$AB$36,0))</f>
        <v>4.0590758000000005E-2</v>
      </c>
      <c r="I52" s="132">
        <f t="shared" si="6"/>
        <v>46901.028462339993</v>
      </c>
      <c r="J52" s="112" t="s">
        <v>28</v>
      </c>
      <c r="K52" s="122">
        <f>INDEX(Model!$AC$37:$AC$40,MATCH($J52,Model!$AB$33:$AB$36,0))</f>
        <v>91.721414046613475</v>
      </c>
      <c r="L52" s="136">
        <f>K52*I52</f>
        <v>4301828.6508062901</v>
      </c>
      <c r="M52" s="122">
        <f>Model!$AC$92</f>
        <v>0</v>
      </c>
      <c r="N52" s="134">
        <f t="shared" si="11"/>
        <v>0</v>
      </c>
      <c r="O52" s="122" t="s">
        <v>31</v>
      </c>
      <c r="P52" s="122">
        <f>INDEX(Model!$AC$54:$AC$118,MATCH($O52,Model!$AB$54:$AB$118,0)+MATCH(Model!$Z$116,Model!$Z$54:$Z$118,0)-1)</f>
        <v>0.51500000000000001</v>
      </c>
      <c r="Q52" s="136">
        <f t="shared" si="7"/>
        <v>0</v>
      </c>
      <c r="R52" s="152">
        <f>Model!$AC$148</f>
        <v>0.994469622</v>
      </c>
      <c r="S52" s="134">
        <f t="shared" si="8"/>
        <v>0</v>
      </c>
      <c r="T52" s="112" t="s">
        <v>35</v>
      </c>
      <c r="U52" s="112">
        <f>Model!$AC$147</f>
        <v>1</v>
      </c>
      <c r="V52" s="112"/>
      <c r="W52" s="136">
        <f>S52*U52</f>
        <v>0</v>
      </c>
      <c r="X52" s="152">
        <f>Model!$AC$192</f>
        <v>0</v>
      </c>
      <c r="Y52" s="134">
        <f t="shared" si="2"/>
        <v>0</v>
      </c>
      <c r="Z52" s="112" t="s">
        <v>144</v>
      </c>
      <c r="AA52" s="112">
        <f>Model!$AC$191</f>
        <v>0.4</v>
      </c>
      <c r="AB52" s="112"/>
      <c r="AC52" s="123">
        <f t="shared" si="9"/>
        <v>0</v>
      </c>
      <c r="AD52" s="112">
        <f t="shared" si="10"/>
        <v>0</v>
      </c>
      <c r="AO52" s="149"/>
    </row>
    <row r="53" spans="3:41" x14ac:dyDescent="0.25">
      <c r="C53" s="154">
        <f>Model!$AC$14</f>
        <v>3004198</v>
      </c>
      <c r="D53" s="55">
        <f>Model!$AC$17</f>
        <v>0.38461538461538458</v>
      </c>
      <c r="E53" s="155">
        <f t="shared" si="4"/>
        <v>1155460.769230769</v>
      </c>
      <c r="F53" s="55">
        <f>Model!$AC$28</f>
        <v>1</v>
      </c>
      <c r="G53" s="155">
        <f t="shared" si="5"/>
        <v>1155460.769230769</v>
      </c>
      <c r="H53" s="111">
        <f>INDEX(Model!$AC$33:$AC$36,MATCH($J53,Model!$AB$33:$AB$36,0))</f>
        <v>4.0590758000000005E-2</v>
      </c>
      <c r="I53" s="132">
        <f t="shared" si="6"/>
        <v>46901.028462339993</v>
      </c>
      <c r="J53" s="112" t="s">
        <v>28</v>
      </c>
      <c r="K53" s="122">
        <f>INDEX(Model!$AC$37:$AC$40,MATCH($J53,Model!$AB$33:$AB$36,0))</f>
        <v>91.721414046613475</v>
      </c>
      <c r="L53" s="136">
        <f>K53*I53</f>
        <v>4301828.6508062901</v>
      </c>
      <c r="M53" s="122">
        <f>Model!$AC$92</f>
        <v>0</v>
      </c>
      <c r="N53" s="134">
        <f t="shared" si="11"/>
        <v>0</v>
      </c>
      <c r="O53" s="122" t="s">
        <v>31</v>
      </c>
      <c r="P53" s="122">
        <f>INDEX(Model!$AC$54:$AC$118,MATCH($O53,Model!$AB$54:$AB$118,0)+MATCH(Model!$Z$116,Model!$Z$54:$Z$118,0)-1)</f>
        <v>0.51500000000000001</v>
      </c>
      <c r="Q53" s="136">
        <f t="shared" si="7"/>
        <v>0</v>
      </c>
      <c r="R53" s="152">
        <f>Model!$AC$148</f>
        <v>0.994469622</v>
      </c>
      <c r="S53" s="134">
        <f t="shared" si="8"/>
        <v>0</v>
      </c>
      <c r="T53" s="112" t="s">
        <v>35</v>
      </c>
      <c r="U53" s="112">
        <f>Model!$AC$147</f>
        <v>1</v>
      </c>
      <c r="V53" s="112"/>
      <c r="W53" s="136">
        <f>S53*U53</f>
        <v>0</v>
      </c>
      <c r="X53" s="152">
        <f>Model!$AC$165</f>
        <v>0.94</v>
      </c>
      <c r="Y53" s="134">
        <f t="shared" si="2"/>
        <v>0</v>
      </c>
      <c r="Z53" s="112" t="s">
        <v>65</v>
      </c>
      <c r="AA53" s="112"/>
      <c r="AB53" s="112">
        <f>Model!$AC$164</f>
        <v>1.613</v>
      </c>
      <c r="AC53" s="123">
        <f t="shared" si="9"/>
        <v>0</v>
      </c>
      <c r="AD53" s="112">
        <f t="shared" si="10"/>
        <v>0</v>
      </c>
      <c r="AO53" s="149"/>
    </row>
    <row r="54" spans="3:41" x14ac:dyDescent="0.25">
      <c r="C54" s="154">
        <f>Model!$AC$14</f>
        <v>3004198</v>
      </c>
      <c r="D54" s="55">
        <f>Model!$AC$17</f>
        <v>0.38461538461538458</v>
      </c>
      <c r="E54" s="155">
        <f t="shared" si="4"/>
        <v>1155460.769230769</v>
      </c>
      <c r="F54" s="55">
        <f>Model!$AC$28</f>
        <v>1</v>
      </c>
      <c r="G54" s="155">
        <f t="shared" si="5"/>
        <v>1155460.769230769</v>
      </c>
      <c r="H54" s="111">
        <f>INDEX(Model!$AC$33:$AC$36,MATCH($J54,Model!$AB$33:$AB$36,0))</f>
        <v>4.0590758000000005E-2</v>
      </c>
      <c r="I54" s="132">
        <f t="shared" si="6"/>
        <v>46901.028462339993</v>
      </c>
      <c r="J54" s="112" t="s">
        <v>28</v>
      </c>
      <c r="K54" s="122">
        <f>INDEX(Model!$AC$37:$AC$40,MATCH($J54,Model!$AB$33:$AB$36,0))</f>
        <v>91.721414046613475</v>
      </c>
      <c r="L54" s="136">
        <f>K54*I54</f>
        <v>4301828.6508062901</v>
      </c>
      <c r="M54" s="122">
        <f>Model!$AC$92</f>
        <v>0</v>
      </c>
      <c r="N54" s="134">
        <f t="shared" si="11"/>
        <v>0</v>
      </c>
      <c r="O54" s="122" t="s">
        <v>31</v>
      </c>
      <c r="P54" s="122">
        <f>INDEX(Model!$AC$54:$AC$118,MATCH($O54,Model!$AB$54:$AB$118,0)+MATCH(Model!$Z$116,Model!$Z$54:$Z$118,0)-1)</f>
        <v>0.51500000000000001</v>
      </c>
      <c r="Q54" s="136">
        <f t="shared" si="7"/>
        <v>0</v>
      </c>
      <c r="R54" s="152">
        <f>Model!$AC$148</f>
        <v>0.994469622</v>
      </c>
      <c r="S54" s="134">
        <f t="shared" si="8"/>
        <v>0</v>
      </c>
      <c r="T54" s="112" t="s">
        <v>35</v>
      </c>
      <c r="U54" s="112">
        <f>Model!$AC$147</f>
        <v>1</v>
      </c>
      <c r="V54" s="112"/>
      <c r="W54" s="136">
        <f>S54*U54</f>
        <v>0</v>
      </c>
      <c r="X54" s="152">
        <f>Model!$AC$205</f>
        <v>0.05</v>
      </c>
      <c r="Y54" s="134">
        <f t="shared" si="2"/>
        <v>0</v>
      </c>
      <c r="Z54" s="112" t="s">
        <v>66</v>
      </c>
      <c r="AA54" s="112"/>
      <c r="AB54" s="112">
        <f>Model!$AC$204</f>
        <v>1.111</v>
      </c>
      <c r="AC54" s="123">
        <f t="shared" si="9"/>
        <v>0</v>
      </c>
      <c r="AD54" s="112">
        <f t="shared" si="10"/>
        <v>0</v>
      </c>
      <c r="AO54" s="149"/>
    </row>
    <row r="55" spans="3:41" x14ac:dyDescent="0.25">
      <c r="C55" s="154">
        <f>Model!$AC$14</f>
        <v>3004198</v>
      </c>
      <c r="D55" s="55">
        <f>Model!$AC$17</f>
        <v>0.38461538461538458</v>
      </c>
      <c r="E55" s="155">
        <f t="shared" si="4"/>
        <v>1155460.769230769</v>
      </c>
      <c r="F55" s="55">
        <f>Model!$AC$28</f>
        <v>1</v>
      </c>
      <c r="G55" s="155">
        <f t="shared" si="5"/>
        <v>1155460.769230769</v>
      </c>
      <c r="H55" s="111">
        <f>INDEX(Model!$AC$33:$AC$36,MATCH($J55,Model!$AB$33:$AB$36,0))</f>
        <v>0.1</v>
      </c>
      <c r="I55" s="132">
        <f t="shared" si="6"/>
        <v>115546.07692307691</v>
      </c>
      <c r="J55" s="112" t="s">
        <v>26</v>
      </c>
      <c r="K55" s="122">
        <f>INDEX(Model!$AC$37:$AC$40,MATCH($J55,Model!$AB$33:$AB$36,0))</f>
        <v>107.36595424145357</v>
      </c>
      <c r="L55" s="136">
        <f>K55*I55</f>
        <v>12405714.807702549</v>
      </c>
      <c r="M55" s="122">
        <f>Model!$AC$118</f>
        <v>0</v>
      </c>
      <c r="N55" s="134">
        <f t="shared" si="11"/>
        <v>0</v>
      </c>
      <c r="O55" s="122" t="s">
        <v>33</v>
      </c>
      <c r="P55" s="122">
        <f>INDEX(Model!$AC$54:$AC$118,MATCH($O55,Model!$AB$54:$AB$118,0)+MATCH(Model!$Z$116,Model!$Z$54:$Z$118,0)-1)</f>
        <v>0.309</v>
      </c>
      <c r="Q55" s="136">
        <f t="shared" si="7"/>
        <v>0</v>
      </c>
      <c r="R55" s="152">
        <f>Model!$AC$138</f>
        <v>5.5303779999999999E-3</v>
      </c>
      <c r="S55" s="134">
        <f t="shared" si="8"/>
        <v>0</v>
      </c>
      <c r="T55" s="112" t="s">
        <v>34</v>
      </c>
      <c r="U55" s="112"/>
      <c r="V55" s="112">
        <f>Model!$AC$137</f>
        <v>1</v>
      </c>
      <c r="W55" s="136"/>
      <c r="X55" s="152"/>
      <c r="Y55" s="134">
        <f t="shared" si="2"/>
        <v>0</v>
      </c>
      <c r="Z55" s="112"/>
      <c r="AA55" s="112"/>
      <c r="AB55" s="112"/>
      <c r="AC55" s="123">
        <f t="shared" si="9"/>
        <v>0</v>
      </c>
      <c r="AD55" s="112">
        <f t="shared" si="10"/>
        <v>0</v>
      </c>
      <c r="AO55" s="149"/>
    </row>
    <row r="56" spans="3:41" x14ac:dyDescent="0.25">
      <c r="C56" s="154">
        <f>Model!$AC$14</f>
        <v>3004198</v>
      </c>
      <c r="D56" s="55">
        <f>Model!$AC$17</f>
        <v>0.38461538461538458</v>
      </c>
      <c r="E56" s="155">
        <f t="shared" si="4"/>
        <v>1155460.769230769</v>
      </c>
      <c r="F56" s="55">
        <f>Model!$AC$28</f>
        <v>1</v>
      </c>
      <c r="G56" s="155">
        <f t="shared" si="5"/>
        <v>1155460.769230769</v>
      </c>
      <c r="H56" s="111">
        <f>INDEX(Model!$AC$33:$AC$36,MATCH($J56,Model!$AB$33:$AB$36,0))</f>
        <v>0.1</v>
      </c>
      <c r="I56" s="132">
        <f t="shared" si="6"/>
        <v>115546.07692307691</v>
      </c>
      <c r="J56" s="112" t="s">
        <v>26</v>
      </c>
      <c r="K56" s="122">
        <f>INDEX(Model!$AC$37:$AC$40,MATCH($J56,Model!$AB$33:$AB$36,0))</f>
        <v>107.36595424145357</v>
      </c>
      <c r="L56" s="136">
        <f>K56*I56</f>
        <v>12405714.807702549</v>
      </c>
      <c r="M56" s="122">
        <f>Model!$AC$118</f>
        <v>0</v>
      </c>
      <c r="N56" s="134">
        <f t="shared" si="11"/>
        <v>0</v>
      </c>
      <c r="O56" s="122" t="s">
        <v>33</v>
      </c>
      <c r="P56" s="122">
        <f>INDEX(Model!$AC$54:$AC$118,MATCH($O56,Model!$AB$54:$AB$118,0)+MATCH(Model!$Z$116,Model!$Z$54:$Z$118,0)-1)</f>
        <v>0.309</v>
      </c>
      <c r="Q56" s="136">
        <f t="shared" si="7"/>
        <v>0</v>
      </c>
      <c r="R56" s="152">
        <f>Model!$AC$148</f>
        <v>0.994469622</v>
      </c>
      <c r="S56" s="134">
        <f t="shared" si="8"/>
        <v>0</v>
      </c>
      <c r="T56" s="112" t="s">
        <v>35</v>
      </c>
      <c r="U56" s="112">
        <f>Model!$AC$147</f>
        <v>1</v>
      </c>
      <c r="V56" s="112"/>
      <c r="W56" s="136">
        <f>S56*U56</f>
        <v>0</v>
      </c>
      <c r="X56" s="152">
        <f>Model!$AC$179</f>
        <v>0.01</v>
      </c>
      <c r="Y56" s="134">
        <f t="shared" si="2"/>
        <v>0</v>
      </c>
      <c r="Z56" s="112" t="s">
        <v>67</v>
      </c>
      <c r="AA56" s="112">
        <f>Model!$AC$178</f>
        <v>0.52600000000000002</v>
      </c>
      <c r="AB56" s="112"/>
      <c r="AC56" s="123">
        <f t="shared" si="9"/>
        <v>0</v>
      </c>
      <c r="AD56" s="112">
        <f t="shared" si="10"/>
        <v>0</v>
      </c>
      <c r="AO56" s="149"/>
    </row>
    <row r="57" spans="3:41" x14ac:dyDescent="0.25">
      <c r="C57" s="154">
        <f>Model!$AC$14</f>
        <v>3004198</v>
      </c>
      <c r="D57" s="55">
        <f>Model!$AC$17</f>
        <v>0.38461538461538458</v>
      </c>
      <c r="E57" s="155">
        <f t="shared" si="4"/>
        <v>1155460.769230769</v>
      </c>
      <c r="F57" s="55">
        <f>Model!$AC$28</f>
        <v>1</v>
      </c>
      <c r="G57" s="155">
        <f t="shared" si="5"/>
        <v>1155460.769230769</v>
      </c>
      <c r="H57" s="111">
        <f>INDEX(Model!$AC$33:$AC$36,MATCH($J57,Model!$AB$33:$AB$36,0))</f>
        <v>0.1</v>
      </c>
      <c r="I57" s="132">
        <f t="shared" si="6"/>
        <v>115546.07692307691</v>
      </c>
      <c r="J57" s="112" t="s">
        <v>26</v>
      </c>
      <c r="K57" s="122">
        <f>INDEX(Model!$AC$37:$AC$40,MATCH($J57,Model!$AB$33:$AB$36,0))</f>
        <v>107.36595424145357</v>
      </c>
      <c r="L57" s="136">
        <f>K57*I57</f>
        <v>12405714.807702549</v>
      </c>
      <c r="M57" s="122">
        <f>Model!$AC$118</f>
        <v>0</v>
      </c>
      <c r="N57" s="134">
        <f t="shared" si="11"/>
        <v>0</v>
      </c>
      <c r="O57" s="122" t="s">
        <v>33</v>
      </c>
      <c r="P57" s="122">
        <f>INDEX(Model!$AC$54:$AC$118,MATCH($O57,Model!$AB$54:$AB$118,0)+MATCH(Model!$Z$116,Model!$Z$54:$Z$118,0)-1)</f>
        <v>0.309</v>
      </c>
      <c r="Q57" s="136">
        <f t="shared" si="7"/>
        <v>0</v>
      </c>
      <c r="R57" s="152">
        <f>Model!$AC$148</f>
        <v>0.994469622</v>
      </c>
      <c r="S57" s="134">
        <f t="shared" si="8"/>
        <v>0</v>
      </c>
      <c r="T57" s="112" t="s">
        <v>35</v>
      </c>
      <c r="U57" s="112">
        <f>Model!$AC$147</f>
        <v>1</v>
      </c>
      <c r="V57" s="112"/>
      <c r="W57" s="136">
        <f>S57*U57</f>
        <v>0</v>
      </c>
      <c r="X57" s="152">
        <f>Model!$AC$192</f>
        <v>0</v>
      </c>
      <c r="Y57" s="134">
        <f t="shared" si="2"/>
        <v>0</v>
      </c>
      <c r="Z57" s="112" t="s">
        <v>144</v>
      </c>
      <c r="AA57" s="112">
        <f>Model!$AC$191</f>
        <v>0.4</v>
      </c>
      <c r="AB57" s="112"/>
      <c r="AC57" s="123">
        <f t="shared" si="9"/>
        <v>0</v>
      </c>
      <c r="AD57" s="112">
        <f t="shared" si="10"/>
        <v>0</v>
      </c>
      <c r="AO57" s="149"/>
    </row>
    <row r="58" spans="3:41" x14ac:dyDescent="0.25">
      <c r="C58" s="154">
        <f>Model!$AC$14</f>
        <v>3004198</v>
      </c>
      <c r="D58" s="55">
        <f>Model!$AC$17</f>
        <v>0.38461538461538458</v>
      </c>
      <c r="E58" s="155">
        <f t="shared" si="4"/>
        <v>1155460.769230769</v>
      </c>
      <c r="F58" s="55">
        <f>Model!$AC$28</f>
        <v>1</v>
      </c>
      <c r="G58" s="155">
        <f t="shared" si="5"/>
        <v>1155460.769230769</v>
      </c>
      <c r="H58" s="111">
        <f>INDEX(Model!$AC$33:$AC$36,MATCH($J58,Model!$AB$33:$AB$36,0))</f>
        <v>0.1</v>
      </c>
      <c r="I58" s="132">
        <f t="shared" si="6"/>
        <v>115546.07692307691</v>
      </c>
      <c r="J58" s="112" t="s">
        <v>26</v>
      </c>
      <c r="K58" s="122">
        <f>INDEX(Model!$AC$37:$AC$40,MATCH($J58,Model!$AB$33:$AB$36,0))</f>
        <v>107.36595424145357</v>
      </c>
      <c r="L58" s="136">
        <f>K58*I58</f>
        <v>12405714.807702549</v>
      </c>
      <c r="M58" s="122">
        <f>Model!$AC$118</f>
        <v>0</v>
      </c>
      <c r="N58" s="134">
        <f t="shared" si="11"/>
        <v>0</v>
      </c>
      <c r="O58" s="122" t="s">
        <v>33</v>
      </c>
      <c r="P58" s="122">
        <f>INDEX(Model!$AC$54:$AC$118,MATCH($O58,Model!$AB$54:$AB$118,0)+MATCH(Model!$Z$116,Model!$Z$54:$Z$118,0)-1)</f>
        <v>0.309</v>
      </c>
      <c r="Q58" s="136">
        <f t="shared" si="7"/>
        <v>0</v>
      </c>
      <c r="R58" s="152">
        <f>Model!$AC$148</f>
        <v>0.994469622</v>
      </c>
      <c r="S58" s="134">
        <f t="shared" si="8"/>
        <v>0</v>
      </c>
      <c r="T58" s="112" t="s">
        <v>35</v>
      </c>
      <c r="U58" s="112">
        <f>Model!$AC$147</f>
        <v>1</v>
      </c>
      <c r="V58" s="112"/>
      <c r="W58" s="136">
        <f>S58*U58</f>
        <v>0</v>
      </c>
      <c r="X58" s="152">
        <f>Model!$AC$165</f>
        <v>0.94</v>
      </c>
      <c r="Y58" s="134">
        <f t="shared" si="2"/>
        <v>0</v>
      </c>
      <c r="Z58" s="112" t="s">
        <v>65</v>
      </c>
      <c r="AA58" s="112"/>
      <c r="AB58" s="112">
        <f>Model!$AC$164</f>
        <v>1.613</v>
      </c>
      <c r="AC58" s="123">
        <f t="shared" si="9"/>
        <v>0</v>
      </c>
      <c r="AD58" s="112">
        <f t="shared" si="10"/>
        <v>0</v>
      </c>
      <c r="AO58" s="149"/>
    </row>
    <row r="59" spans="3:41" x14ac:dyDescent="0.25">
      <c r="C59" s="154">
        <f>Model!$AC$14</f>
        <v>3004198</v>
      </c>
      <c r="D59" s="55">
        <f>Model!$AC$17</f>
        <v>0.38461538461538458</v>
      </c>
      <c r="E59" s="155">
        <f t="shared" si="4"/>
        <v>1155460.769230769</v>
      </c>
      <c r="F59" s="55">
        <f>Model!$AC$28</f>
        <v>1</v>
      </c>
      <c r="G59" s="155">
        <f t="shared" si="5"/>
        <v>1155460.769230769</v>
      </c>
      <c r="H59" s="111">
        <f>INDEX(Model!$AC$33:$AC$36,MATCH($J59,Model!$AB$33:$AB$36,0))</f>
        <v>0.1</v>
      </c>
      <c r="I59" s="132">
        <f t="shared" si="6"/>
        <v>115546.07692307691</v>
      </c>
      <c r="J59" s="112" t="s">
        <v>26</v>
      </c>
      <c r="K59" s="122">
        <f>INDEX(Model!$AC$37:$AC$40,MATCH($J59,Model!$AB$33:$AB$36,0))</f>
        <v>107.36595424145357</v>
      </c>
      <c r="L59" s="136">
        <f>K59*I59</f>
        <v>12405714.807702549</v>
      </c>
      <c r="M59" s="122">
        <f>Model!$AC$118</f>
        <v>0</v>
      </c>
      <c r="N59" s="134">
        <f t="shared" si="11"/>
        <v>0</v>
      </c>
      <c r="O59" s="122" t="s">
        <v>33</v>
      </c>
      <c r="P59" s="122">
        <f>INDEX(Model!$AC$54:$AC$118,MATCH($O59,Model!$AB$54:$AB$118,0)+MATCH(Model!$Z$116,Model!$Z$54:$Z$118,0)-1)</f>
        <v>0.309</v>
      </c>
      <c r="Q59" s="136">
        <f t="shared" si="7"/>
        <v>0</v>
      </c>
      <c r="R59" s="152">
        <f>Model!$AC$148</f>
        <v>0.994469622</v>
      </c>
      <c r="S59" s="134">
        <f t="shared" si="8"/>
        <v>0</v>
      </c>
      <c r="T59" s="112" t="s">
        <v>35</v>
      </c>
      <c r="U59" s="112">
        <f>Model!$AC$147</f>
        <v>1</v>
      </c>
      <c r="V59" s="112"/>
      <c r="W59" s="136">
        <f>S59*U59</f>
        <v>0</v>
      </c>
      <c r="X59" s="152">
        <f>Model!$AC$205</f>
        <v>0.05</v>
      </c>
      <c r="Y59" s="134">
        <f t="shared" si="2"/>
        <v>0</v>
      </c>
      <c r="Z59" s="112" t="s">
        <v>66</v>
      </c>
      <c r="AA59" s="112"/>
      <c r="AB59" s="112">
        <f>Model!$AC$204</f>
        <v>1.111</v>
      </c>
      <c r="AC59" s="123">
        <f t="shared" si="9"/>
        <v>0</v>
      </c>
      <c r="AD59" s="112">
        <f t="shared" si="10"/>
        <v>0</v>
      </c>
    </row>
    <row r="60" spans="3:41" x14ac:dyDescent="0.25">
      <c r="C60" s="154">
        <f>Model!$AC$14</f>
        <v>3004198</v>
      </c>
      <c r="D60" s="55">
        <f>Model!$AC$17</f>
        <v>0.38461538461538458</v>
      </c>
      <c r="E60" s="155">
        <f t="shared" si="4"/>
        <v>1155460.769230769</v>
      </c>
      <c r="F60" s="55">
        <f>Model!$AC$28</f>
        <v>1</v>
      </c>
      <c r="G60" s="155">
        <f t="shared" si="5"/>
        <v>1155460.769230769</v>
      </c>
      <c r="H60" s="111">
        <f>INDEX(Model!$AC$33:$AC$36,MATCH($J60,Model!$AB$33:$AB$36,0))</f>
        <v>0.1</v>
      </c>
      <c r="I60" s="132">
        <f t="shared" si="6"/>
        <v>115546.07692307691</v>
      </c>
      <c r="J60" s="112" t="s">
        <v>26</v>
      </c>
      <c r="K60" s="122">
        <f>INDEX(Model!$AC$37:$AC$40,MATCH($J60,Model!$AB$33:$AB$36,0))</f>
        <v>107.36595424145357</v>
      </c>
      <c r="L60" s="136">
        <f>K60*I60</f>
        <v>12405714.807702549</v>
      </c>
      <c r="M60" s="122">
        <f>Model!$AC$79</f>
        <v>0.83299999999999996</v>
      </c>
      <c r="N60" s="134">
        <f t="shared" si="11"/>
        <v>10333960.434816223</v>
      </c>
      <c r="O60" s="122" t="s">
        <v>29</v>
      </c>
      <c r="P60" s="122">
        <f>INDEX(Model!$AC$54:$AC$118,MATCH($O60,Model!$AB$54:$AB$118,0)+MATCH(Model!$Z$116,Model!$Z$54:$Z$118,0)-1)</f>
        <v>0.63300000000000001</v>
      </c>
      <c r="Q60" s="136">
        <f t="shared" si="7"/>
        <v>6541396.9552386692</v>
      </c>
      <c r="R60" s="152">
        <f>Model!$AC$138</f>
        <v>5.5303779999999999E-3</v>
      </c>
      <c r="S60" s="134">
        <f t="shared" si="8"/>
        <v>36176.397810518916</v>
      </c>
      <c r="T60" s="112" t="s">
        <v>34</v>
      </c>
      <c r="U60" s="112"/>
      <c r="V60" s="112">
        <f>Model!$AC$137</f>
        <v>1</v>
      </c>
      <c r="W60" s="136"/>
      <c r="X60" s="152"/>
      <c r="Y60" s="134">
        <f t="shared" si="2"/>
        <v>0</v>
      </c>
      <c r="Z60" s="112"/>
      <c r="AA60" s="112"/>
      <c r="AB60" s="112"/>
      <c r="AC60" s="123">
        <f t="shared" si="9"/>
        <v>36176.397810518916</v>
      </c>
      <c r="AD60" s="112">
        <f t="shared" si="10"/>
        <v>0</v>
      </c>
    </row>
    <row r="61" spans="3:41" x14ac:dyDescent="0.25">
      <c r="C61" s="154">
        <f>Model!$AC$14</f>
        <v>3004198</v>
      </c>
      <c r="D61" s="55">
        <f>Model!$AC$17</f>
        <v>0.38461538461538458</v>
      </c>
      <c r="E61" s="155">
        <f t="shared" si="4"/>
        <v>1155460.769230769</v>
      </c>
      <c r="F61" s="55">
        <f>Model!$AC$28</f>
        <v>1</v>
      </c>
      <c r="G61" s="155">
        <f t="shared" si="5"/>
        <v>1155460.769230769</v>
      </c>
      <c r="H61" s="111">
        <f>INDEX(Model!$AC$33:$AC$36,MATCH($J61,Model!$AB$33:$AB$36,0))</f>
        <v>0.1</v>
      </c>
      <c r="I61" s="132">
        <f t="shared" si="6"/>
        <v>115546.07692307691</v>
      </c>
      <c r="J61" s="112" t="s">
        <v>26</v>
      </c>
      <c r="K61" s="122">
        <f>INDEX(Model!$AC$37:$AC$40,MATCH($J61,Model!$AB$33:$AB$36,0))</f>
        <v>107.36595424145357</v>
      </c>
      <c r="L61" s="136">
        <f>K61*I61</f>
        <v>12405714.807702549</v>
      </c>
      <c r="M61" s="122">
        <f>Model!$AC$79</f>
        <v>0.83299999999999996</v>
      </c>
      <c r="N61" s="134">
        <f t="shared" si="11"/>
        <v>10333960.434816223</v>
      </c>
      <c r="O61" s="122" t="s">
        <v>29</v>
      </c>
      <c r="P61" s="122">
        <f>INDEX(Model!$AC$54:$AC$118,MATCH($O61,Model!$AB$54:$AB$118,0)+MATCH(Model!$Z$116,Model!$Z$54:$Z$118,0)-1)</f>
        <v>0.63300000000000001</v>
      </c>
      <c r="Q61" s="136">
        <f t="shared" si="7"/>
        <v>6541396.9552386692</v>
      </c>
      <c r="R61" s="152">
        <f>Model!$AC$148</f>
        <v>0.994469622</v>
      </c>
      <c r="S61" s="134">
        <f t="shared" si="8"/>
        <v>6505220.5574281504</v>
      </c>
      <c r="T61" s="112" t="s">
        <v>35</v>
      </c>
      <c r="U61" s="112">
        <f>Model!$AC$147</f>
        <v>1</v>
      </c>
      <c r="V61" s="112"/>
      <c r="W61" s="136">
        <f>S61*U61</f>
        <v>6505220.5574281504</v>
      </c>
      <c r="X61" s="152">
        <f>Model!$AC$179</f>
        <v>0.01</v>
      </c>
      <c r="Y61" s="134">
        <f t="shared" si="2"/>
        <v>65052.205574281506</v>
      </c>
      <c r="Z61" s="112" t="s">
        <v>67</v>
      </c>
      <c r="AA61" s="112">
        <f>Model!$AC$178</f>
        <v>0.52600000000000002</v>
      </c>
      <c r="AB61" s="112"/>
      <c r="AC61" s="123">
        <f t="shared" si="9"/>
        <v>34217.460132072076</v>
      </c>
      <c r="AD61" s="112">
        <f t="shared" si="10"/>
        <v>0</v>
      </c>
    </row>
    <row r="62" spans="3:41" x14ac:dyDescent="0.25">
      <c r="C62" s="154">
        <f>Model!$AC$14</f>
        <v>3004198</v>
      </c>
      <c r="D62" s="55">
        <f>Model!$AC$17</f>
        <v>0.38461538461538458</v>
      </c>
      <c r="E62" s="155">
        <f t="shared" si="4"/>
        <v>1155460.769230769</v>
      </c>
      <c r="F62" s="55">
        <f>Model!$AC$28</f>
        <v>1</v>
      </c>
      <c r="G62" s="155">
        <f t="shared" si="5"/>
        <v>1155460.769230769</v>
      </c>
      <c r="H62" s="111">
        <f>INDEX(Model!$AC$33:$AC$36,MATCH($J62,Model!$AB$33:$AB$36,0))</f>
        <v>0.1</v>
      </c>
      <c r="I62" s="132">
        <f t="shared" si="6"/>
        <v>115546.07692307691</v>
      </c>
      <c r="J62" s="112" t="s">
        <v>26</v>
      </c>
      <c r="K62" s="122">
        <f>INDEX(Model!$AC$37:$AC$40,MATCH($J62,Model!$AB$33:$AB$36,0))</f>
        <v>107.36595424145357</v>
      </c>
      <c r="L62" s="136">
        <f>K62*I62</f>
        <v>12405714.807702549</v>
      </c>
      <c r="M62" s="122">
        <f>Model!$AC$79</f>
        <v>0.83299999999999996</v>
      </c>
      <c r="N62" s="134">
        <f t="shared" si="11"/>
        <v>10333960.434816223</v>
      </c>
      <c r="O62" s="122" t="s">
        <v>29</v>
      </c>
      <c r="P62" s="122">
        <f>INDEX(Model!$AC$54:$AC$118,MATCH($O62,Model!$AB$54:$AB$118,0)+MATCH(Model!$Z$116,Model!$Z$54:$Z$118,0)-1)</f>
        <v>0.63300000000000001</v>
      </c>
      <c r="Q62" s="136">
        <f t="shared" si="7"/>
        <v>6541396.9552386692</v>
      </c>
      <c r="R62" s="152">
        <f>Model!$AC$148</f>
        <v>0.994469622</v>
      </c>
      <c r="S62" s="134">
        <f t="shared" si="8"/>
        <v>6505220.5574281504</v>
      </c>
      <c r="T62" s="112" t="s">
        <v>35</v>
      </c>
      <c r="U62" s="112">
        <f>Model!$AC$147</f>
        <v>1</v>
      </c>
      <c r="V62" s="112"/>
      <c r="W62" s="136">
        <f>S62*U62</f>
        <v>6505220.5574281504</v>
      </c>
      <c r="X62" s="152">
        <f>Model!$AC$192</f>
        <v>0</v>
      </c>
      <c r="Y62" s="134">
        <f t="shared" si="2"/>
        <v>0</v>
      </c>
      <c r="Z62" s="112" t="s">
        <v>144</v>
      </c>
      <c r="AA62" s="112">
        <f>Model!$AC$191</f>
        <v>0.4</v>
      </c>
      <c r="AB62" s="112"/>
      <c r="AC62" s="123">
        <f t="shared" si="9"/>
        <v>0</v>
      </c>
      <c r="AD62" s="112">
        <f t="shared" si="10"/>
        <v>0</v>
      </c>
    </row>
    <row r="63" spans="3:41" x14ac:dyDescent="0.25">
      <c r="C63" s="154">
        <f>Model!$AC$14</f>
        <v>3004198</v>
      </c>
      <c r="D63" s="55">
        <f>Model!$AC$17</f>
        <v>0.38461538461538458</v>
      </c>
      <c r="E63" s="155">
        <f t="shared" si="4"/>
        <v>1155460.769230769</v>
      </c>
      <c r="F63" s="55">
        <f>Model!$AC$28</f>
        <v>1</v>
      </c>
      <c r="G63" s="155">
        <f t="shared" si="5"/>
        <v>1155460.769230769</v>
      </c>
      <c r="H63" s="111">
        <f>INDEX(Model!$AC$33:$AC$36,MATCH($J63,Model!$AB$33:$AB$36,0))</f>
        <v>0.1</v>
      </c>
      <c r="I63" s="132">
        <f t="shared" si="6"/>
        <v>115546.07692307691</v>
      </c>
      <c r="J63" s="112" t="s">
        <v>26</v>
      </c>
      <c r="K63" s="122">
        <f>INDEX(Model!$AC$37:$AC$40,MATCH($J63,Model!$AB$33:$AB$36,0))</f>
        <v>107.36595424145357</v>
      </c>
      <c r="L63" s="136">
        <f>K63*I63</f>
        <v>12405714.807702549</v>
      </c>
      <c r="M63" s="122">
        <f>Model!$AC$79</f>
        <v>0.83299999999999996</v>
      </c>
      <c r="N63" s="134">
        <f t="shared" si="11"/>
        <v>10333960.434816223</v>
      </c>
      <c r="O63" s="122" t="s">
        <v>29</v>
      </c>
      <c r="P63" s="122">
        <f>INDEX(Model!$AC$54:$AC$118,MATCH($O63,Model!$AB$54:$AB$118,0)+MATCH(Model!$Z$116,Model!$Z$54:$Z$118,0)-1)</f>
        <v>0.63300000000000001</v>
      </c>
      <c r="Q63" s="136">
        <f t="shared" si="7"/>
        <v>6541396.9552386692</v>
      </c>
      <c r="R63" s="152">
        <f>Model!$AC$148</f>
        <v>0.994469622</v>
      </c>
      <c r="S63" s="134">
        <f t="shared" si="8"/>
        <v>6505220.5574281504</v>
      </c>
      <c r="T63" s="112" t="s">
        <v>35</v>
      </c>
      <c r="U63" s="112">
        <f>Model!$AC$147</f>
        <v>1</v>
      </c>
      <c r="V63" s="112"/>
      <c r="W63" s="136">
        <f>S63*U63</f>
        <v>6505220.5574281504</v>
      </c>
      <c r="X63" s="152">
        <f>Model!$AC$165</f>
        <v>0.94</v>
      </c>
      <c r="Y63" s="134">
        <f t="shared" si="2"/>
        <v>6114907.3239824614</v>
      </c>
      <c r="Z63" s="112" t="s">
        <v>65</v>
      </c>
      <c r="AA63" s="112"/>
      <c r="AB63" s="112">
        <f>Model!$AC$164</f>
        <v>1.613</v>
      </c>
      <c r="AC63" s="123">
        <f t="shared" si="9"/>
        <v>0</v>
      </c>
      <c r="AD63" s="112">
        <f t="shared" si="10"/>
        <v>9863345.5135837104</v>
      </c>
    </row>
    <row r="64" spans="3:41" x14ac:dyDescent="0.25">
      <c r="C64" s="154">
        <f>Model!$AC$14</f>
        <v>3004198</v>
      </c>
      <c r="D64" s="55">
        <f>Model!$AC$17</f>
        <v>0.38461538461538458</v>
      </c>
      <c r="E64" s="155">
        <f t="shared" si="4"/>
        <v>1155460.769230769</v>
      </c>
      <c r="F64" s="55">
        <f>Model!$AC$28</f>
        <v>1</v>
      </c>
      <c r="G64" s="155">
        <f t="shared" si="5"/>
        <v>1155460.769230769</v>
      </c>
      <c r="H64" s="111">
        <f>INDEX(Model!$AC$33:$AC$36,MATCH($J64,Model!$AB$33:$AB$36,0))</f>
        <v>0.1</v>
      </c>
      <c r="I64" s="132">
        <f t="shared" si="6"/>
        <v>115546.07692307691</v>
      </c>
      <c r="J64" s="112" t="s">
        <v>26</v>
      </c>
      <c r="K64" s="122">
        <f>INDEX(Model!$AC$37:$AC$40,MATCH($J64,Model!$AB$33:$AB$36,0))</f>
        <v>107.36595424145357</v>
      </c>
      <c r="L64" s="136">
        <f>K64*I64</f>
        <v>12405714.807702549</v>
      </c>
      <c r="M64" s="122">
        <f>Model!$AC$79</f>
        <v>0.83299999999999996</v>
      </c>
      <c r="N64" s="134">
        <f t="shared" si="11"/>
        <v>10333960.434816223</v>
      </c>
      <c r="O64" s="122" t="s">
        <v>29</v>
      </c>
      <c r="P64" s="122">
        <f>INDEX(Model!$AC$54:$AC$118,MATCH($O64,Model!$AB$54:$AB$118,0)+MATCH(Model!$Z$116,Model!$Z$54:$Z$118,0)-1)</f>
        <v>0.63300000000000001</v>
      </c>
      <c r="Q64" s="136">
        <f t="shared" si="7"/>
        <v>6541396.9552386692</v>
      </c>
      <c r="R64" s="152">
        <f>Model!$AC$148</f>
        <v>0.994469622</v>
      </c>
      <c r="S64" s="134">
        <f t="shared" si="8"/>
        <v>6505220.5574281504</v>
      </c>
      <c r="T64" s="112" t="s">
        <v>35</v>
      </c>
      <c r="U64" s="112">
        <f>Model!$AC$147</f>
        <v>1</v>
      </c>
      <c r="V64" s="112"/>
      <c r="W64" s="136">
        <f>S64*U64</f>
        <v>6505220.5574281504</v>
      </c>
      <c r="X64" s="152">
        <f>Model!$AC$205</f>
        <v>0.05</v>
      </c>
      <c r="Y64" s="134">
        <f t="shared" si="2"/>
        <v>325261.02787140757</v>
      </c>
      <c r="Z64" s="112" t="s">
        <v>66</v>
      </c>
      <c r="AA64" s="112"/>
      <c r="AB64" s="112">
        <f>Model!$AC$204</f>
        <v>1.111</v>
      </c>
      <c r="AC64" s="123">
        <f t="shared" si="9"/>
        <v>0</v>
      </c>
      <c r="AD64" s="112">
        <f t="shared" si="10"/>
        <v>361365.00196513382</v>
      </c>
    </row>
    <row r="65" spans="3:30" x14ac:dyDescent="0.25">
      <c r="C65" s="154">
        <f>Model!$AC$14</f>
        <v>3004198</v>
      </c>
      <c r="D65" s="55">
        <f>Model!$AC$17</f>
        <v>0.38461538461538458</v>
      </c>
      <c r="E65" s="155">
        <f t="shared" si="4"/>
        <v>1155460.769230769</v>
      </c>
      <c r="F65" s="55">
        <f>Model!$AC$28</f>
        <v>1</v>
      </c>
      <c r="G65" s="155">
        <f t="shared" si="5"/>
        <v>1155460.769230769</v>
      </c>
      <c r="H65" s="111">
        <f>INDEX(Model!$AC$33:$AC$36,MATCH($J65,Model!$AB$33:$AB$36,0))</f>
        <v>0.1</v>
      </c>
      <c r="I65" s="132">
        <f t="shared" si="6"/>
        <v>115546.07692307691</v>
      </c>
      <c r="J65" s="112" t="s">
        <v>26</v>
      </c>
      <c r="K65" s="122">
        <f>INDEX(Model!$AC$37:$AC$40,MATCH($J65,Model!$AB$33:$AB$36,0))</f>
        <v>107.36595424145357</v>
      </c>
      <c r="L65" s="136">
        <f>K65*I65</f>
        <v>12405714.807702549</v>
      </c>
      <c r="M65" s="122">
        <f>Model!$AC$66</f>
        <v>0.16700000000000001</v>
      </c>
      <c r="N65" s="134">
        <f t="shared" si="11"/>
        <v>2071754.3728863257</v>
      </c>
      <c r="O65" s="122" t="s">
        <v>30</v>
      </c>
      <c r="P65" s="122">
        <f>INDEX(Model!$AC$54:$AC$118,MATCH($O65,Model!$AB$54:$AB$118,0)+MATCH(Model!$Z$116,Model!$Z$54:$Z$118,0)-1)</f>
        <v>0.997</v>
      </c>
      <c r="Q65" s="136">
        <f t="shared" si="7"/>
        <v>2065539.1097676668</v>
      </c>
      <c r="R65" s="152">
        <f>Model!$AC$138</f>
        <v>5.5303779999999999E-3</v>
      </c>
      <c r="S65" s="134">
        <f t="shared" si="8"/>
        <v>11423.212050798689</v>
      </c>
      <c r="T65" s="112" t="s">
        <v>34</v>
      </c>
      <c r="U65" s="112"/>
      <c r="V65" s="112">
        <f>Model!$AC$137</f>
        <v>1</v>
      </c>
      <c r="W65" s="136"/>
      <c r="X65" s="152"/>
      <c r="Y65" s="134">
        <f t="shared" si="2"/>
        <v>0</v>
      </c>
      <c r="Z65" s="112"/>
      <c r="AA65" s="112"/>
      <c r="AB65" s="112"/>
      <c r="AC65" s="123">
        <f t="shared" si="9"/>
        <v>11423.212050798689</v>
      </c>
      <c r="AD65" s="112">
        <f t="shared" si="10"/>
        <v>0</v>
      </c>
    </row>
    <row r="66" spans="3:30" x14ac:dyDescent="0.25">
      <c r="C66" s="154">
        <f>Model!$AC$14</f>
        <v>3004198</v>
      </c>
      <c r="D66" s="55">
        <f>Model!$AC$17</f>
        <v>0.38461538461538458</v>
      </c>
      <c r="E66" s="155">
        <f t="shared" si="4"/>
        <v>1155460.769230769</v>
      </c>
      <c r="F66" s="55">
        <f>Model!$AC$28</f>
        <v>1</v>
      </c>
      <c r="G66" s="155">
        <f t="shared" si="5"/>
        <v>1155460.769230769</v>
      </c>
      <c r="H66" s="111">
        <f>INDEX(Model!$AC$33:$AC$36,MATCH($J66,Model!$AB$33:$AB$36,0))</f>
        <v>0.1</v>
      </c>
      <c r="I66" s="132">
        <f t="shared" si="6"/>
        <v>115546.07692307691</v>
      </c>
      <c r="J66" s="112" t="s">
        <v>26</v>
      </c>
      <c r="K66" s="122">
        <f>INDEX(Model!$AC$37:$AC$40,MATCH($J66,Model!$AB$33:$AB$36,0))</f>
        <v>107.36595424145357</v>
      </c>
      <c r="L66" s="136">
        <f>K66*I66</f>
        <v>12405714.807702549</v>
      </c>
      <c r="M66" s="122">
        <f>Model!$AC$66</f>
        <v>0.16700000000000001</v>
      </c>
      <c r="N66" s="134">
        <f t="shared" si="11"/>
        <v>2071754.3728863257</v>
      </c>
      <c r="O66" s="122" t="s">
        <v>30</v>
      </c>
      <c r="P66" s="122">
        <f>INDEX(Model!$AC$54:$AC$118,MATCH($O66,Model!$AB$54:$AB$118,0)+MATCH(Model!$Z$116,Model!$Z$54:$Z$118,0)-1)</f>
        <v>0.997</v>
      </c>
      <c r="Q66" s="136">
        <f t="shared" si="7"/>
        <v>2065539.1097676668</v>
      </c>
      <c r="R66" s="152">
        <f>Model!$AC$148</f>
        <v>0.994469622</v>
      </c>
      <c r="S66" s="134">
        <f t="shared" si="8"/>
        <v>2054115.8977168682</v>
      </c>
      <c r="T66" s="112" t="s">
        <v>35</v>
      </c>
      <c r="U66" s="112">
        <f>Model!$AC$147</f>
        <v>1</v>
      </c>
      <c r="V66" s="112"/>
      <c r="W66" s="136">
        <f>S66*U66</f>
        <v>2054115.8977168682</v>
      </c>
      <c r="X66" s="152">
        <f>Model!$AC$179</f>
        <v>0.01</v>
      </c>
      <c r="Y66" s="134">
        <f t="shared" si="2"/>
        <v>20541.158977168681</v>
      </c>
      <c r="Z66" s="112" t="s">
        <v>67</v>
      </c>
      <c r="AA66" s="112">
        <f>Model!$AC$178</f>
        <v>0.52600000000000002</v>
      </c>
      <c r="AB66" s="112"/>
      <c r="AC66" s="123">
        <f t="shared" si="9"/>
        <v>10804.649621990728</v>
      </c>
      <c r="AD66" s="112">
        <f t="shared" si="10"/>
        <v>0</v>
      </c>
    </row>
    <row r="67" spans="3:30" x14ac:dyDescent="0.25">
      <c r="C67" s="154">
        <f>Model!$AC$14</f>
        <v>3004198</v>
      </c>
      <c r="D67" s="55">
        <f>Model!$AC$17</f>
        <v>0.38461538461538458</v>
      </c>
      <c r="E67" s="155">
        <f t="shared" si="4"/>
        <v>1155460.769230769</v>
      </c>
      <c r="F67" s="55">
        <f>Model!$AC$28</f>
        <v>1</v>
      </c>
      <c r="G67" s="155">
        <f t="shared" si="5"/>
        <v>1155460.769230769</v>
      </c>
      <c r="H67" s="111">
        <f>INDEX(Model!$AC$33:$AC$36,MATCH($J67,Model!$AB$33:$AB$36,0))</f>
        <v>0.1</v>
      </c>
      <c r="I67" s="132">
        <f t="shared" si="6"/>
        <v>115546.07692307691</v>
      </c>
      <c r="J67" s="112" t="s">
        <v>26</v>
      </c>
      <c r="K67" s="122">
        <f>INDEX(Model!$AC$37:$AC$40,MATCH($J67,Model!$AB$33:$AB$36,0))</f>
        <v>107.36595424145357</v>
      </c>
      <c r="L67" s="136">
        <f>K67*I67</f>
        <v>12405714.807702549</v>
      </c>
      <c r="M67" s="122">
        <f>Model!$AC$66</f>
        <v>0.16700000000000001</v>
      </c>
      <c r="N67" s="134">
        <f t="shared" si="11"/>
        <v>2071754.3728863257</v>
      </c>
      <c r="O67" s="122" t="s">
        <v>30</v>
      </c>
      <c r="P67" s="122">
        <f>INDEX(Model!$AC$54:$AC$118,MATCH($O67,Model!$AB$54:$AB$118,0)+MATCH(Model!$Z$116,Model!$Z$54:$Z$118,0)-1)</f>
        <v>0.997</v>
      </c>
      <c r="Q67" s="136">
        <f t="shared" si="7"/>
        <v>2065539.1097676668</v>
      </c>
      <c r="R67" s="152">
        <f>Model!$AC$148</f>
        <v>0.994469622</v>
      </c>
      <c r="S67" s="134">
        <f t="shared" si="8"/>
        <v>2054115.8977168682</v>
      </c>
      <c r="T67" s="112" t="s">
        <v>35</v>
      </c>
      <c r="U67" s="112">
        <f>Model!$AC$147</f>
        <v>1</v>
      </c>
      <c r="V67" s="112"/>
      <c r="W67" s="136">
        <f>S67*U67</f>
        <v>2054115.8977168682</v>
      </c>
      <c r="X67" s="152">
        <f>Model!$AC$192</f>
        <v>0</v>
      </c>
      <c r="Y67" s="134">
        <f t="shared" si="2"/>
        <v>0</v>
      </c>
      <c r="Z67" s="112" t="s">
        <v>144</v>
      </c>
      <c r="AA67" s="112">
        <f>Model!$AC$191</f>
        <v>0.4</v>
      </c>
      <c r="AB67" s="112"/>
      <c r="AC67" s="123">
        <f t="shared" si="9"/>
        <v>0</v>
      </c>
      <c r="AD67" s="112">
        <f t="shared" si="10"/>
        <v>0</v>
      </c>
    </row>
    <row r="68" spans="3:30" x14ac:dyDescent="0.25">
      <c r="C68" s="154">
        <f>Model!$AC$14</f>
        <v>3004198</v>
      </c>
      <c r="D68" s="55">
        <f>Model!$AC$17</f>
        <v>0.38461538461538458</v>
      </c>
      <c r="E68" s="155">
        <f t="shared" si="4"/>
        <v>1155460.769230769</v>
      </c>
      <c r="F68" s="55">
        <f>Model!$AC$28</f>
        <v>1</v>
      </c>
      <c r="G68" s="155">
        <f t="shared" si="5"/>
        <v>1155460.769230769</v>
      </c>
      <c r="H68" s="111">
        <f>INDEX(Model!$AC$33:$AC$36,MATCH($J68,Model!$AB$33:$AB$36,0))</f>
        <v>0.1</v>
      </c>
      <c r="I68" s="132">
        <f t="shared" si="6"/>
        <v>115546.07692307691</v>
      </c>
      <c r="J68" s="112" t="s">
        <v>26</v>
      </c>
      <c r="K68" s="122">
        <f>INDEX(Model!$AC$37:$AC$40,MATCH($J68,Model!$AB$33:$AB$36,0))</f>
        <v>107.36595424145357</v>
      </c>
      <c r="L68" s="136">
        <f>K68*I68</f>
        <v>12405714.807702549</v>
      </c>
      <c r="M68" s="122">
        <f>Model!$AC$66</f>
        <v>0.16700000000000001</v>
      </c>
      <c r="N68" s="134">
        <f t="shared" si="11"/>
        <v>2071754.3728863257</v>
      </c>
      <c r="O68" s="122" t="s">
        <v>30</v>
      </c>
      <c r="P68" s="122">
        <f>INDEX(Model!$AC$54:$AC$118,MATCH($O68,Model!$AB$54:$AB$118,0)+MATCH(Model!$Z$116,Model!$Z$54:$Z$118,0)-1)</f>
        <v>0.997</v>
      </c>
      <c r="Q68" s="136">
        <f t="shared" si="7"/>
        <v>2065539.1097676668</v>
      </c>
      <c r="R68" s="152">
        <f>Model!$AC$148</f>
        <v>0.994469622</v>
      </c>
      <c r="S68" s="134">
        <f t="shared" si="8"/>
        <v>2054115.8977168682</v>
      </c>
      <c r="T68" s="112" t="s">
        <v>35</v>
      </c>
      <c r="U68" s="112">
        <f>Model!$AC$147</f>
        <v>1</v>
      </c>
      <c r="V68" s="112"/>
      <c r="W68" s="136">
        <f>S68*U68</f>
        <v>2054115.8977168682</v>
      </c>
      <c r="X68" s="152">
        <f>Model!$AC$165</f>
        <v>0.94</v>
      </c>
      <c r="Y68" s="134">
        <f t="shared" si="2"/>
        <v>1930868.9438538561</v>
      </c>
      <c r="Z68" s="112" t="s">
        <v>65</v>
      </c>
      <c r="AA68" s="112"/>
      <c r="AB68" s="112">
        <f>Model!$AC$164</f>
        <v>1.613</v>
      </c>
      <c r="AC68" s="123">
        <f t="shared" si="9"/>
        <v>0</v>
      </c>
      <c r="AD68" s="112">
        <f t="shared" si="10"/>
        <v>3114491.6064362698</v>
      </c>
    </row>
    <row r="69" spans="3:30" x14ac:dyDescent="0.25">
      <c r="C69" s="154">
        <f>Model!$AC$14</f>
        <v>3004198</v>
      </c>
      <c r="D69" s="55">
        <f>Model!$AC$17</f>
        <v>0.38461538461538458</v>
      </c>
      <c r="E69" s="155">
        <f t="shared" si="4"/>
        <v>1155460.769230769</v>
      </c>
      <c r="F69" s="55">
        <f>Model!$AC$28</f>
        <v>1</v>
      </c>
      <c r="G69" s="155">
        <f t="shared" si="5"/>
        <v>1155460.769230769</v>
      </c>
      <c r="H69" s="111">
        <f>INDEX(Model!$AC$33:$AC$36,MATCH($J69,Model!$AB$33:$AB$36,0))</f>
        <v>0.1</v>
      </c>
      <c r="I69" s="132">
        <f t="shared" si="6"/>
        <v>115546.07692307691</v>
      </c>
      <c r="J69" s="112" t="s">
        <v>26</v>
      </c>
      <c r="K69" s="122">
        <f>INDEX(Model!$AC$37:$AC$40,MATCH($J69,Model!$AB$33:$AB$36,0))</f>
        <v>107.36595424145357</v>
      </c>
      <c r="L69" s="136">
        <f>K69*I69</f>
        <v>12405714.807702549</v>
      </c>
      <c r="M69" s="122">
        <f>Model!$AC$66</f>
        <v>0.16700000000000001</v>
      </c>
      <c r="N69" s="134">
        <f t="shared" si="11"/>
        <v>2071754.3728863257</v>
      </c>
      <c r="O69" s="122" t="s">
        <v>30</v>
      </c>
      <c r="P69" s="122">
        <f>INDEX(Model!$AC$54:$AC$118,MATCH($O69,Model!$AB$54:$AB$118,0)+MATCH(Model!$Z$116,Model!$Z$54:$Z$118,0)-1)</f>
        <v>0.997</v>
      </c>
      <c r="Q69" s="136">
        <f t="shared" si="7"/>
        <v>2065539.1097676668</v>
      </c>
      <c r="R69" s="152">
        <f>Model!$AC$148</f>
        <v>0.994469622</v>
      </c>
      <c r="S69" s="134">
        <f t="shared" si="8"/>
        <v>2054115.8977168682</v>
      </c>
      <c r="T69" s="112" t="s">
        <v>35</v>
      </c>
      <c r="U69" s="112">
        <f>Model!$AC$147</f>
        <v>1</v>
      </c>
      <c r="V69" s="112"/>
      <c r="W69" s="136">
        <f>S69*U69</f>
        <v>2054115.8977168682</v>
      </c>
      <c r="X69" s="152">
        <f>Model!$AC$205</f>
        <v>0.05</v>
      </c>
      <c r="Y69" s="134">
        <f t="shared" ref="Y69:Y104" si="13">W69*X69</f>
        <v>102705.79488584341</v>
      </c>
      <c r="Z69" s="112" t="s">
        <v>66</v>
      </c>
      <c r="AA69" s="112"/>
      <c r="AB69" s="112">
        <f>Model!$AC$204</f>
        <v>1.111</v>
      </c>
      <c r="AC69" s="123">
        <f t="shared" si="9"/>
        <v>0</v>
      </c>
      <c r="AD69" s="112">
        <f t="shared" si="10"/>
        <v>114106.13811817202</v>
      </c>
    </row>
    <row r="70" spans="3:30" x14ac:dyDescent="0.25">
      <c r="C70" s="154">
        <f>Model!$AC$14</f>
        <v>3004198</v>
      </c>
      <c r="D70" s="55">
        <f>Model!$AC$17</f>
        <v>0.38461538461538458</v>
      </c>
      <c r="E70" s="155">
        <f t="shared" ref="E70:E104" si="14">D70*C70</f>
        <v>1155460.769230769</v>
      </c>
      <c r="F70" s="55">
        <f>Model!$AC$28</f>
        <v>1</v>
      </c>
      <c r="G70" s="155">
        <f t="shared" ref="G70:G104" si="15">F70*E70</f>
        <v>1155460.769230769</v>
      </c>
      <c r="H70" s="111">
        <f>INDEX(Model!$AC$33:$AC$36,MATCH($J70,Model!$AB$33:$AB$36,0))</f>
        <v>0.1</v>
      </c>
      <c r="I70" s="132">
        <f t="shared" ref="I70:I104" si="16">G70*H70</f>
        <v>115546.07692307691</v>
      </c>
      <c r="J70" s="112" t="s">
        <v>26</v>
      </c>
      <c r="K70" s="122">
        <f>INDEX(Model!$AC$37:$AC$40,MATCH($J70,Model!$AB$33:$AB$36,0))</f>
        <v>107.36595424145357</v>
      </c>
      <c r="L70" s="136">
        <f>K70*I70</f>
        <v>12405714.807702549</v>
      </c>
      <c r="M70" s="122">
        <f>Model!$AC$105</f>
        <v>0</v>
      </c>
      <c r="N70" s="134">
        <f t="shared" si="11"/>
        <v>0</v>
      </c>
      <c r="O70" s="122" t="s">
        <v>32</v>
      </c>
      <c r="P70" s="122">
        <f>INDEX(Model!$AC$54:$AC$118,MATCH($O70,Model!$AB$54:$AB$118,0)+MATCH(Model!$Z$116,Model!$Z$54:$Z$118,0)-1)</f>
        <v>0.36</v>
      </c>
      <c r="Q70" s="136">
        <f t="shared" ref="Q70:Q104" si="17">N70*P70</f>
        <v>0</v>
      </c>
      <c r="R70" s="152">
        <f>Model!$AC$138</f>
        <v>5.5303779999999999E-3</v>
      </c>
      <c r="S70" s="134">
        <f t="shared" ref="S70:S104" si="18">Q70*R70</f>
        <v>0</v>
      </c>
      <c r="T70" s="112" t="s">
        <v>34</v>
      </c>
      <c r="U70" s="112"/>
      <c r="V70" s="112">
        <f>Model!$AC$137</f>
        <v>1</v>
      </c>
      <c r="W70" s="136"/>
      <c r="X70" s="152"/>
      <c r="Y70" s="134">
        <f t="shared" si="13"/>
        <v>0</v>
      </c>
      <c r="Z70" s="112"/>
      <c r="AA70" s="112"/>
      <c r="AB70" s="112"/>
      <c r="AC70" s="123">
        <f t="shared" ref="AC70:AC104" si="19">V70*S70+AA70*Y70</f>
        <v>0</v>
      </c>
      <c r="AD70" s="112">
        <f t="shared" ref="AD70:AD104" si="20">AB70*Y70</f>
        <v>0</v>
      </c>
    </row>
    <row r="71" spans="3:30" x14ac:dyDescent="0.25">
      <c r="C71" s="154">
        <f>Model!$AC$14</f>
        <v>3004198</v>
      </c>
      <c r="D71" s="55">
        <f>Model!$AC$17</f>
        <v>0.38461538461538458</v>
      </c>
      <c r="E71" s="155">
        <f t="shared" si="14"/>
        <v>1155460.769230769</v>
      </c>
      <c r="F71" s="55">
        <f>Model!$AC$28</f>
        <v>1</v>
      </c>
      <c r="G71" s="155">
        <f t="shared" si="15"/>
        <v>1155460.769230769</v>
      </c>
      <c r="H71" s="111">
        <f>INDEX(Model!$AC$33:$AC$36,MATCH($J71,Model!$AB$33:$AB$36,0))</f>
        <v>0.1</v>
      </c>
      <c r="I71" s="132">
        <f t="shared" si="16"/>
        <v>115546.07692307691</v>
      </c>
      <c r="J71" s="112" t="s">
        <v>26</v>
      </c>
      <c r="K71" s="122">
        <f>INDEX(Model!$AC$37:$AC$40,MATCH($J71,Model!$AB$33:$AB$36,0))</f>
        <v>107.36595424145357</v>
      </c>
      <c r="L71" s="136">
        <f>K71*I71</f>
        <v>12405714.807702549</v>
      </c>
      <c r="M71" s="122">
        <f>Model!$AC$105</f>
        <v>0</v>
      </c>
      <c r="N71" s="134">
        <f t="shared" si="11"/>
        <v>0</v>
      </c>
      <c r="O71" s="122" t="s">
        <v>32</v>
      </c>
      <c r="P71" s="122">
        <f>INDEX(Model!$AC$54:$AC$118,MATCH($O71,Model!$AB$54:$AB$118,0)+MATCH(Model!$Z$116,Model!$Z$54:$Z$118,0)-1)</f>
        <v>0.36</v>
      </c>
      <c r="Q71" s="136">
        <f t="shared" si="17"/>
        <v>0</v>
      </c>
      <c r="R71" s="152">
        <f>Model!$AC$148</f>
        <v>0.994469622</v>
      </c>
      <c r="S71" s="134">
        <f t="shared" si="18"/>
        <v>0</v>
      </c>
      <c r="T71" s="112" t="s">
        <v>35</v>
      </c>
      <c r="U71" s="112">
        <f>Model!$AC$147</f>
        <v>1</v>
      </c>
      <c r="V71" s="112"/>
      <c r="W71" s="136">
        <f>S71*U71</f>
        <v>0</v>
      </c>
      <c r="X71" s="152">
        <f>Model!$AC$179</f>
        <v>0.01</v>
      </c>
      <c r="Y71" s="134">
        <f t="shared" si="13"/>
        <v>0</v>
      </c>
      <c r="Z71" s="112" t="s">
        <v>67</v>
      </c>
      <c r="AA71" s="112">
        <f>Model!$AC$178</f>
        <v>0.52600000000000002</v>
      </c>
      <c r="AB71" s="112"/>
      <c r="AC71" s="123">
        <f t="shared" si="19"/>
        <v>0</v>
      </c>
      <c r="AD71" s="112">
        <f t="shared" si="20"/>
        <v>0</v>
      </c>
    </row>
    <row r="72" spans="3:30" x14ac:dyDescent="0.25">
      <c r="C72" s="154">
        <f>Model!$AC$14</f>
        <v>3004198</v>
      </c>
      <c r="D72" s="55">
        <f>Model!$AC$17</f>
        <v>0.38461538461538458</v>
      </c>
      <c r="E72" s="155">
        <f t="shared" si="14"/>
        <v>1155460.769230769</v>
      </c>
      <c r="F72" s="55">
        <f>Model!$AC$28</f>
        <v>1</v>
      </c>
      <c r="G72" s="155">
        <f t="shared" si="15"/>
        <v>1155460.769230769</v>
      </c>
      <c r="H72" s="111">
        <f>INDEX(Model!$AC$33:$AC$36,MATCH($J72,Model!$AB$33:$AB$36,0))</f>
        <v>0.1</v>
      </c>
      <c r="I72" s="132">
        <f t="shared" si="16"/>
        <v>115546.07692307691</v>
      </c>
      <c r="J72" s="112" t="s">
        <v>26</v>
      </c>
      <c r="K72" s="122">
        <f>INDEX(Model!$AC$37:$AC$40,MATCH($J72,Model!$AB$33:$AB$36,0))</f>
        <v>107.36595424145357</v>
      </c>
      <c r="L72" s="136">
        <f>K72*I72</f>
        <v>12405714.807702549</v>
      </c>
      <c r="M72" s="122">
        <f>Model!$AC$105</f>
        <v>0</v>
      </c>
      <c r="N72" s="134">
        <f t="shared" si="11"/>
        <v>0</v>
      </c>
      <c r="O72" s="122" t="s">
        <v>32</v>
      </c>
      <c r="P72" s="122">
        <f>INDEX(Model!$AC$54:$AC$118,MATCH($O72,Model!$AB$54:$AB$118,0)+MATCH(Model!$Z$116,Model!$Z$54:$Z$118,0)-1)</f>
        <v>0.36</v>
      </c>
      <c r="Q72" s="136">
        <f t="shared" si="17"/>
        <v>0</v>
      </c>
      <c r="R72" s="152">
        <f>Model!$AC$148</f>
        <v>0.994469622</v>
      </c>
      <c r="S72" s="134">
        <f t="shared" si="18"/>
        <v>0</v>
      </c>
      <c r="T72" s="112" t="s">
        <v>35</v>
      </c>
      <c r="U72" s="112">
        <f>Model!$AC$147</f>
        <v>1</v>
      </c>
      <c r="V72" s="112"/>
      <c r="W72" s="136">
        <f>S72*U72</f>
        <v>0</v>
      </c>
      <c r="X72" s="152">
        <f>Model!$AC$192</f>
        <v>0</v>
      </c>
      <c r="Y72" s="134">
        <f t="shared" si="13"/>
        <v>0</v>
      </c>
      <c r="Z72" s="112" t="s">
        <v>144</v>
      </c>
      <c r="AA72" s="112">
        <f>Model!$AC$191</f>
        <v>0.4</v>
      </c>
      <c r="AB72" s="112"/>
      <c r="AC72" s="123">
        <f t="shared" si="19"/>
        <v>0</v>
      </c>
      <c r="AD72" s="112">
        <f t="shared" si="20"/>
        <v>0</v>
      </c>
    </row>
    <row r="73" spans="3:30" x14ac:dyDescent="0.25">
      <c r="C73" s="154">
        <f>Model!$AC$14</f>
        <v>3004198</v>
      </c>
      <c r="D73" s="55">
        <f>Model!$AC$17</f>
        <v>0.38461538461538458</v>
      </c>
      <c r="E73" s="155">
        <f t="shared" si="14"/>
        <v>1155460.769230769</v>
      </c>
      <c r="F73" s="55">
        <f>Model!$AC$28</f>
        <v>1</v>
      </c>
      <c r="G73" s="155">
        <f t="shared" si="15"/>
        <v>1155460.769230769</v>
      </c>
      <c r="H73" s="111">
        <f>INDEX(Model!$AC$33:$AC$36,MATCH($J73,Model!$AB$33:$AB$36,0))</f>
        <v>0.1</v>
      </c>
      <c r="I73" s="132">
        <f t="shared" si="16"/>
        <v>115546.07692307691</v>
      </c>
      <c r="J73" s="112" t="s">
        <v>26</v>
      </c>
      <c r="K73" s="122">
        <f>INDEX(Model!$AC$37:$AC$40,MATCH($J73,Model!$AB$33:$AB$36,0))</f>
        <v>107.36595424145357</v>
      </c>
      <c r="L73" s="136">
        <f>K73*I73</f>
        <v>12405714.807702549</v>
      </c>
      <c r="M73" s="122">
        <f>Model!$AC$105</f>
        <v>0</v>
      </c>
      <c r="N73" s="134">
        <f t="shared" si="11"/>
        <v>0</v>
      </c>
      <c r="O73" s="122" t="s">
        <v>32</v>
      </c>
      <c r="P73" s="122">
        <f>INDEX(Model!$AC$54:$AC$118,MATCH($O73,Model!$AB$54:$AB$118,0)+MATCH(Model!$Z$116,Model!$Z$54:$Z$118,0)-1)</f>
        <v>0.36</v>
      </c>
      <c r="Q73" s="136">
        <f t="shared" si="17"/>
        <v>0</v>
      </c>
      <c r="R73" s="152">
        <f>Model!$AC$148</f>
        <v>0.994469622</v>
      </c>
      <c r="S73" s="134">
        <f t="shared" si="18"/>
        <v>0</v>
      </c>
      <c r="T73" s="112" t="s">
        <v>35</v>
      </c>
      <c r="U73" s="112">
        <f>Model!$AC$147</f>
        <v>1</v>
      </c>
      <c r="V73" s="112"/>
      <c r="W73" s="136">
        <f>S73*U73</f>
        <v>0</v>
      </c>
      <c r="X73" s="152">
        <f>Model!$AC$165</f>
        <v>0.94</v>
      </c>
      <c r="Y73" s="134">
        <f t="shared" si="13"/>
        <v>0</v>
      </c>
      <c r="Z73" s="112" t="s">
        <v>65</v>
      </c>
      <c r="AA73" s="112"/>
      <c r="AB73" s="112">
        <f>Model!$AC$164</f>
        <v>1.613</v>
      </c>
      <c r="AC73" s="123">
        <f t="shared" si="19"/>
        <v>0</v>
      </c>
      <c r="AD73" s="112">
        <f t="shared" si="20"/>
        <v>0</v>
      </c>
    </row>
    <row r="74" spans="3:30" x14ac:dyDescent="0.25">
      <c r="C74" s="154">
        <f>Model!$AC$14</f>
        <v>3004198</v>
      </c>
      <c r="D74" s="55">
        <f>Model!$AC$17</f>
        <v>0.38461538461538458</v>
      </c>
      <c r="E74" s="155">
        <f t="shared" si="14"/>
        <v>1155460.769230769</v>
      </c>
      <c r="F74" s="55">
        <f>Model!$AC$28</f>
        <v>1</v>
      </c>
      <c r="G74" s="155">
        <f t="shared" si="15"/>
        <v>1155460.769230769</v>
      </c>
      <c r="H74" s="111">
        <f>INDEX(Model!$AC$33:$AC$36,MATCH($J74,Model!$AB$33:$AB$36,0))</f>
        <v>0.1</v>
      </c>
      <c r="I74" s="132">
        <f t="shared" si="16"/>
        <v>115546.07692307691</v>
      </c>
      <c r="J74" s="112" t="s">
        <v>26</v>
      </c>
      <c r="K74" s="122">
        <f>INDEX(Model!$AC$37:$AC$40,MATCH($J74,Model!$AB$33:$AB$36,0))</f>
        <v>107.36595424145357</v>
      </c>
      <c r="L74" s="136">
        <f>K74*I74</f>
        <v>12405714.807702549</v>
      </c>
      <c r="M74" s="122">
        <f>Model!$AC$105</f>
        <v>0</v>
      </c>
      <c r="N74" s="134">
        <f t="shared" si="11"/>
        <v>0</v>
      </c>
      <c r="O74" s="122" t="s">
        <v>32</v>
      </c>
      <c r="P74" s="122">
        <f>INDEX(Model!$AC$54:$AC$118,MATCH($O74,Model!$AB$54:$AB$118,0)+MATCH(Model!$Z$116,Model!$Z$54:$Z$118,0)-1)</f>
        <v>0.36</v>
      </c>
      <c r="Q74" s="136">
        <f t="shared" si="17"/>
        <v>0</v>
      </c>
      <c r="R74" s="152">
        <f>Model!$AC$148</f>
        <v>0.994469622</v>
      </c>
      <c r="S74" s="134">
        <f t="shared" si="18"/>
        <v>0</v>
      </c>
      <c r="T74" s="112" t="s">
        <v>35</v>
      </c>
      <c r="U74" s="112">
        <f>Model!$AC$147</f>
        <v>1</v>
      </c>
      <c r="V74" s="112"/>
      <c r="W74" s="136">
        <f>S74*U74</f>
        <v>0</v>
      </c>
      <c r="X74" s="152">
        <f>Model!$AC$205</f>
        <v>0.05</v>
      </c>
      <c r="Y74" s="134">
        <f t="shared" si="13"/>
        <v>0</v>
      </c>
      <c r="Z74" s="112" t="s">
        <v>66</v>
      </c>
      <c r="AA74" s="112"/>
      <c r="AB74" s="112">
        <f>Model!$AC$204</f>
        <v>1.111</v>
      </c>
      <c r="AC74" s="123">
        <f t="shared" si="19"/>
        <v>0</v>
      </c>
      <c r="AD74" s="112">
        <f t="shared" si="20"/>
        <v>0</v>
      </c>
    </row>
    <row r="75" spans="3:30" x14ac:dyDescent="0.25">
      <c r="C75" s="154">
        <f>Model!$AC$14</f>
        <v>3004198</v>
      </c>
      <c r="D75" s="55">
        <f>Model!$AC$17</f>
        <v>0.38461538461538458</v>
      </c>
      <c r="E75" s="155">
        <f t="shared" si="14"/>
        <v>1155460.769230769</v>
      </c>
      <c r="F75" s="55">
        <f>Model!$AC$28</f>
        <v>1</v>
      </c>
      <c r="G75" s="155">
        <f t="shared" si="15"/>
        <v>1155460.769230769</v>
      </c>
      <c r="H75" s="111">
        <f>INDEX(Model!$AC$33:$AC$36,MATCH($J75,Model!$AB$33:$AB$36,0))</f>
        <v>0.1</v>
      </c>
      <c r="I75" s="132">
        <f t="shared" si="16"/>
        <v>115546.07692307691</v>
      </c>
      <c r="J75" s="112" t="s">
        <v>26</v>
      </c>
      <c r="K75" s="122">
        <f>INDEX(Model!$AC$37:$AC$40,MATCH($J75,Model!$AB$33:$AB$36,0))</f>
        <v>107.36595424145357</v>
      </c>
      <c r="L75" s="136">
        <f>K75*I75</f>
        <v>12405714.807702549</v>
      </c>
      <c r="M75" s="122">
        <f>Model!$AC$92</f>
        <v>0</v>
      </c>
      <c r="N75" s="134">
        <f t="shared" ref="N75:N104" si="21">L75*M75</f>
        <v>0</v>
      </c>
      <c r="O75" s="122" t="s">
        <v>31</v>
      </c>
      <c r="P75" s="122">
        <f>INDEX(Model!$AC$54:$AC$118,MATCH($O75,Model!$AB$54:$AB$118,0)+MATCH(Model!$Z$116,Model!$Z$54:$Z$118,0)-1)</f>
        <v>0.51500000000000001</v>
      </c>
      <c r="Q75" s="136">
        <f t="shared" si="17"/>
        <v>0</v>
      </c>
      <c r="R75" s="152">
        <f>Model!$AC$138</f>
        <v>5.5303779999999999E-3</v>
      </c>
      <c r="S75" s="134">
        <f t="shared" si="18"/>
        <v>0</v>
      </c>
      <c r="T75" s="112" t="s">
        <v>34</v>
      </c>
      <c r="U75" s="112"/>
      <c r="V75" s="112">
        <f>Model!$AC$137</f>
        <v>1</v>
      </c>
      <c r="W75" s="136"/>
      <c r="X75" s="152"/>
      <c r="Y75" s="134">
        <f t="shared" si="13"/>
        <v>0</v>
      </c>
      <c r="Z75" s="112"/>
      <c r="AA75" s="112"/>
      <c r="AB75" s="112"/>
      <c r="AC75" s="123">
        <f t="shared" si="19"/>
        <v>0</v>
      </c>
      <c r="AD75" s="112">
        <f t="shared" si="20"/>
        <v>0</v>
      </c>
    </row>
    <row r="76" spans="3:30" x14ac:dyDescent="0.25">
      <c r="C76" s="154">
        <f>Model!$AC$14</f>
        <v>3004198</v>
      </c>
      <c r="D76" s="55">
        <f>Model!$AC$17</f>
        <v>0.38461538461538458</v>
      </c>
      <c r="E76" s="155">
        <f t="shared" si="14"/>
        <v>1155460.769230769</v>
      </c>
      <c r="F76" s="55">
        <f>Model!$AC$28</f>
        <v>1</v>
      </c>
      <c r="G76" s="155">
        <f t="shared" si="15"/>
        <v>1155460.769230769</v>
      </c>
      <c r="H76" s="111">
        <f>INDEX(Model!$AC$33:$AC$36,MATCH($J76,Model!$AB$33:$AB$36,0))</f>
        <v>0.1</v>
      </c>
      <c r="I76" s="132">
        <f t="shared" si="16"/>
        <v>115546.07692307691</v>
      </c>
      <c r="J76" s="112" t="s">
        <v>26</v>
      </c>
      <c r="K76" s="122">
        <f>INDEX(Model!$AC$37:$AC$40,MATCH($J76,Model!$AB$33:$AB$36,0))</f>
        <v>107.36595424145357</v>
      </c>
      <c r="L76" s="136">
        <f>K76*I76</f>
        <v>12405714.807702549</v>
      </c>
      <c r="M76" s="122">
        <f>Model!$AC$92</f>
        <v>0</v>
      </c>
      <c r="N76" s="134">
        <f t="shared" si="21"/>
        <v>0</v>
      </c>
      <c r="O76" s="122" t="s">
        <v>31</v>
      </c>
      <c r="P76" s="122">
        <f>INDEX(Model!$AC$54:$AC$118,MATCH($O76,Model!$AB$54:$AB$118,0)+MATCH(Model!$Z$116,Model!$Z$54:$Z$118,0)-1)</f>
        <v>0.51500000000000001</v>
      </c>
      <c r="Q76" s="136">
        <f t="shared" si="17"/>
        <v>0</v>
      </c>
      <c r="R76" s="152">
        <f>Model!$AC$148</f>
        <v>0.994469622</v>
      </c>
      <c r="S76" s="134">
        <f t="shared" si="18"/>
        <v>0</v>
      </c>
      <c r="T76" s="112" t="s">
        <v>35</v>
      </c>
      <c r="U76" s="112">
        <f>Model!$AC$147</f>
        <v>1</v>
      </c>
      <c r="V76" s="112"/>
      <c r="W76" s="136">
        <f>S76*U76</f>
        <v>0</v>
      </c>
      <c r="X76" s="152">
        <f>Model!$AC$179</f>
        <v>0.01</v>
      </c>
      <c r="Y76" s="134">
        <f t="shared" si="13"/>
        <v>0</v>
      </c>
      <c r="Z76" s="112" t="s">
        <v>67</v>
      </c>
      <c r="AA76" s="112">
        <f>Model!$AC$178</f>
        <v>0.52600000000000002</v>
      </c>
      <c r="AB76" s="112"/>
      <c r="AC76" s="123">
        <f t="shared" si="19"/>
        <v>0</v>
      </c>
      <c r="AD76" s="112">
        <f t="shared" si="20"/>
        <v>0</v>
      </c>
    </row>
    <row r="77" spans="3:30" x14ac:dyDescent="0.25">
      <c r="C77" s="154">
        <f>Model!$AC$14</f>
        <v>3004198</v>
      </c>
      <c r="D77" s="55">
        <f>Model!$AC$17</f>
        <v>0.38461538461538458</v>
      </c>
      <c r="E77" s="155">
        <f t="shared" si="14"/>
        <v>1155460.769230769</v>
      </c>
      <c r="F77" s="55">
        <f>Model!$AC$28</f>
        <v>1</v>
      </c>
      <c r="G77" s="155">
        <f t="shared" si="15"/>
        <v>1155460.769230769</v>
      </c>
      <c r="H77" s="111">
        <f>INDEX(Model!$AC$33:$AC$36,MATCH($J77,Model!$AB$33:$AB$36,0))</f>
        <v>0.1</v>
      </c>
      <c r="I77" s="132">
        <f t="shared" si="16"/>
        <v>115546.07692307691</v>
      </c>
      <c r="J77" s="112" t="s">
        <v>26</v>
      </c>
      <c r="K77" s="122">
        <f>INDEX(Model!$AC$37:$AC$40,MATCH($J77,Model!$AB$33:$AB$36,0))</f>
        <v>107.36595424145357</v>
      </c>
      <c r="L77" s="136">
        <f>K77*I77</f>
        <v>12405714.807702549</v>
      </c>
      <c r="M77" s="122">
        <f>Model!$AC$92</f>
        <v>0</v>
      </c>
      <c r="N77" s="134">
        <f t="shared" si="21"/>
        <v>0</v>
      </c>
      <c r="O77" s="122" t="s">
        <v>31</v>
      </c>
      <c r="P77" s="122">
        <f>INDEX(Model!$AC$54:$AC$118,MATCH($O77,Model!$AB$54:$AB$118,0)+MATCH(Model!$Z$116,Model!$Z$54:$Z$118,0)-1)</f>
        <v>0.51500000000000001</v>
      </c>
      <c r="Q77" s="136">
        <f t="shared" si="17"/>
        <v>0</v>
      </c>
      <c r="R77" s="152">
        <f>Model!$AC$148</f>
        <v>0.994469622</v>
      </c>
      <c r="S77" s="134">
        <f t="shared" si="18"/>
        <v>0</v>
      </c>
      <c r="T77" s="112" t="s">
        <v>35</v>
      </c>
      <c r="U77" s="112">
        <f>Model!$AC$147</f>
        <v>1</v>
      </c>
      <c r="V77" s="112"/>
      <c r="W77" s="136">
        <f>S77*U77</f>
        <v>0</v>
      </c>
      <c r="X77" s="152">
        <f>Model!$AC$192</f>
        <v>0</v>
      </c>
      <c r="Y77" s="134">
        <f t="shared" si="13"/>
        <v>0</v>
      </c>
      <c r="Z77" s="112" t="s">
        <v>144</v>
      </c>
      <c r="AA77" s="112">
        <f>Model!$AC$191</f>
        <v>0.4</v>
      </c>
      <c r="AB77" s="112"/>
      <c r="AC77" s="123">
        <f t="shared" si="19"/>
        <v>0</v>
      </c>
      <c r="AD77" s="112">
        <f t="shared" si="20"/>
        <v>0</v>
      </c>
    </row>
    <row r="78" spans="3:30" x14ac:dyDescent="0.25">
      <c r="C78" s="154">
        <f>Model!$AC$14</f>
        <v>3004198</v>
      </c>
      <c r="D78" s="55">
        <f>Model!$AC$17</f>
        <v>0.38461538461538458</v>
      </c>
      <c r="E78" s="155">
        <f t="shared" si="14"/>
        <v>1155460.769230769</v>
      </c>
      <c r="F78" s="55">
        <f>Model!$AC$28</f>
        <v>1</v>
      </c>
      <c r="G78" s="155">
        <f t="shared" si="15"/>
        <v>1155460.769230769</v>
      </c>
      <c r="H78" s="111">
        <f>INDEX(Model!$AC$33:$AC$36,MATCH($J78,Model!$AB$33:$AB$36,0))</f>
        <v>0.1</v>
      </c>
      <c r="I78" s="132">
        <f t="shared" si="16"/>
        <v>115546.07692307691</v>
      </c>
      <c r="J78" s="112" t="s">
        <v>26</v>
      </c>
      <c r="K78" s="122">
        <f>INDEX(Model!$AC$37:$AC$40,MATCH($J78,Model!$AB$33:$AB$36,0))</f>
        <v>107.36595424145357</v>
      </c>
      <c r="L78" s="136">
        <f>K78*I78</f>
        <v>12405714.807702549</v>
      </c>
      <c r="M78" s="122">
        <f>Model!$AC$92</f>
        <v>0</v>
      </c>
      <c r="N78" s="134">
        <f t="shared" si="21"/>
        <v>0</v>
      </c>
      <c r="O78" s="122" t="s">
        <v>31</v>
      </c>
      <c r="P78" s="122">
        <f>INDEX(Model!$AC$54:$AC$118,MATCH($O78,Model!$AB$54:$AB$118,0)+MATCH(Model!$Z$116,Model!$Z$54:$Z$118,0)-1)</f>
        <v>0.51500000000000001</v>
      </c>
      <c r="Q78" s="136">
        <f t="shared" si="17"/>
        <v>0</v>
      </c>
      <c r="R78" s="152">
        <f>Model!$AC$148</f>
        <v>0.994469622</v>
      </c>
      <c r="S78" s="134">
        <f t="shared" si="18"/>
        <v>0</v>
      </c>
      <c r="T78" s="112" t="s">
        <v>35</v>
      </c>
      <c r="U78" s="112">
        <f>Model!$AC$147</f>
        <v>1</v>
      </c>
      <c r="V78" s="112"/>
      <c r="W78" s="136">
        <f>S78*U78</f>
        <v>0</v>
      </c>
      <c r="X78" s="152">
        <f>Model!$AC$165</f>
        <v>0.94</v>
      </c>
      <c r="Y78" s="134">
        <f t="shared" si="13"/>
        <v>0</v>
      </c>
      <c r="Z78" s="112" t="s">
        <v>65</v>
      </c>
      <c r="AA78" s="112"/>
      <c r="AB78" s="112">
        <f>Model!$AC$164</f>
        <v>1.613</v>
      </c>
      <c r="AC78" s="123">
        <f t="shared" si="19"/>
        <v>0</v>
      </c>
      <c r="AD78" s="112">
        <f t="shared" si="20"/>
        <v>0</v>
      </c>
    </row>
    <row r="79" spans="3:30" x14ac:dyDescent="0.25">
      <c r="C79" s="154">
        <f>Model!$AC$14</f>
        <v>3004198</v>
      </c>
      <c r="D79" s="55">
        <f>Model!$AC$17</f>
        <v>0.38461538461538458</v>
      </c>
      <c r="E79" s="155">
        <f t="shared" si="14"/>
        <v>1155460.769230769</v>
      </c>
      <c r="F79" s="55">
        <f>Model!$AC$28</f>
        <v>1</v>
      </c>
      <c r="G79" s="155">
        <f t="shared" si="15"/>
        <v>1155460.769230769</v>
      </c>
      <c r="H79" s="111">
        <f>INDEX(Model!$AC$33:$AC$36,MATCH($J79,Model!$AB$33:$AB$36,0))</f>
        <v>0.1</v>
      </c>
      <c r="I79" s="132">
        <f t="shared" si="16"/>
        <v>115546.07692307691</v>
      </c>
      <c r="J79" s="112" t="s">
        <v>26</v>
      </c>
      <c r="K79" s="122">
        <f>INDEX(Model!$AC$37:$AC$40,MATCH($J79,Model!$AB$33:$AB$36,0))</f>
        <v>107.36595424145357</v>
      </c>
      <c r="L79" s="136">
        <f>K79*I79</f>
        <v>12405714.807702549</v>
      </c>
      <c r="M79" s="122">
        <f>Model!$AC$92</f>
        <v>0</v>
      </c>
      <c r="N79" s="134">
        <f t="shared" si="21"/>
        <v>0</v>
      </c>
      <c r="O79" s="122" t="s">
        <v>31</v>
      </c>
      <c r="P79" s="122">
        <f>INDEX(Model!$AC$54:$AC$118,MATCH($O79,Model!$AB$54:$AB$118,0)+MATCH(Model!$Z$116,Model!$Z$54:$Z$118,0)-1)</f>
        <v>0.51500000000000001</v>
      </c>
      <c r="Q79" s="136">
        <f t="shared" si="17"/>
        <v>0</v>
      </c>
      <c r="R79" s="152">
        <f>Model!$AC$148</f>
        <v>0.994469622</v>
      </c>
      <c r="S79" s="134">
        <f t="shared" si="18"/>
        <v>0</v>
      </c>
      <c r="T79" s="112" t="s">
        <v>35</v>
      </c>
      <c r="U79" s="112">
        <f>Model!$AC$147</f>
        <v>1</v>
      </c>
      <c r="V79" s="112"/>
      <c r="W79" s="136">
        <f>S79*U79</f>
        <v>0</v>
      </c>
      <c r="X79" s="152">
        <f>Model!$AC$205</f>
        <v>0.05</v>
      </c>
      <c r="Y79" s="134">
        <f t="shared" si="13"/>
        <v>0</v>
      </c>
      <c r="Z79" s="112" t="s">
        <v>66</v>
      </c>
      <c r="AA79" s="112"/>
      <c r="AB79" s="112">
        <f>Model!$AC$204</f>
        <v>1.111</v>
      </c>
      <c r="AC79" s="123">
        <f t="shared" si="19"/>
        <v>0</v>
      </c>
      <c r="AD79" s="112">
        <f t="shared" si="20"/>
        <v>0</v>
      </c>
    </row>
    <row r="80" spans="3:30" x14ac:dyDescent="0.25">
      <c r="C80" s="154">
        <f>Model!$AC$14</f>
        <v>3004198</v>
      </c>
      <c r="D80" s="55">
        <f>Model!$AC$17</f>
        <v>0.38461538461538458</v>
      </c>
      <c r="E80" s="155">
        <f t="shared" si="14"/>
        <v>1155460.769230769</v>
      </c>
      <c r="F80" s="55">
        <f>Model!$AC$28</f>
        <v>1</v>
      </c>
      <c r="G80" s="155">
        <f t="shared" si="15"/>
        <v>1155460.769230769</v>
      </c>
      <c r="H80" s="111">
        <f>INDEX(Model!$AC$33:$AC$36,MATCH($J80,Model!$AB$33:$AB$36,0))</f>
        <v>0.719409242</v>
      </c>
      <c r="I80" s="132">
        <f t="shared" si="16"/>
        <v>831249.15615304443</v>
      </c>
      <c r="J80" s="112" t="s">
        <v>25</v>
      </c>
      <c r="K80" s="122">
        <f>INDEX(Model!$AC$37:$AC$40,MATCH($J80,Model!$AB$33:$AB$36,0))</f>
        <v>138.51662237471803</v>
      </c>
      <c r="L80" s="136">
        <f>K80*I80</f>
        <v>115141825.46215427</v>
      </c>
      <c r="M80" s="122">
        <f>Model!$AC$118</f>
        <v>0</v>
      </c>
      <c r="N80" s="134">
        <f t="shared" si="21"/>
        <v>0</v>
      </c>
      <c r="O80" s="122" t="s">
        <v>33</v>
      </c>
      <c r="P80" s="122">
        <f>INDEX(Model!$AC$54:$AC$118,MATCH($O80,Model!$AB$54:$AB$118,0)+MATCH(Model!$Z$116,Model!$Z$54:$Z$118,0)-1)</f>
        <v>0.309</v>
      </c>
      <c r="Q80" s="136">
        <f t="shared" si="17"/>
        <v>0</v>
      </c>
      <c r="R80" s="152">
        <f>Model!$AC$138</f>
        <v>5.5303779999999999E-3</v>
      </c>
      <c r="S80" s="134">
        <f t="shared" si="18"/>
        <v>0</v>
      </c>
      <c r="T80" s="112" t="s">
        <v>34</v>
      </c>
      <c r="U80" s="112"/>
      <c r="V80" s="112">
        <f>Model!$AC$137</f>
        <v>1</v>
      </c>
      <c r="W80" s="136"/>
      <c r="X80" s="152"/>
      <c r="Y80" s="134">
        <f t="shared" si="13"/>
        <v>0</v>
      </c>
      <c r="Z80" s="112"/>
      <c r="AA80" s="112"/>
      <c r="AB80" s="112"/>
      <c r="AC80" s="123">
        <f t="shared" si="19"/>
        <v>0</v>
      </c>
      <c r="AD80" s="112">
        <f t="shared" si="20"/>
        <v>0</v>
      </c>
    </row>
    <row r="81" spans="3:30" x14ac:dyDescent="0.25">
      <c r="C81" s="154">
        <f>Model!$AC$14</f>
        <v>3004198</v>
      </c>
      <c r="D81" s="55">
        <f>Model!$AC$17</f>
        <v>0.38461538461538458</v>
      </c>
      <c r="E81" s="155">
        <f t="shared" si="14"/>
        <v>1155460.769230769</v>
      </c>
      <c r="F81" s="55">
        <f>Model!$AC$28</f>
        <v>1</v>
      </c>
      <c r="G81" s="155">
        <f t="shared" si="15"/>
        <v>1155460.769230769</v>
      </c>
      <c r="H81" s="111">
        <f>INDEX(Model!$AC$33:$AC$36,MATCH($J81,Model!$AB$33:$AB$36,0))</f>
        <v>0.719409242</v>
      </c>
      <c r="I81" s="132">
        <f t="shared" si="16"/>
        <v>831249.15615304443</v>
      </c>
      <c r="J81" s="112" t="s">
        <v>25</v>
      </c>
      <c r="K81" s="122">
        <f>INDEX(Model!$AC$37:$AC$40,MATCH($J81,Model!$AB$33:$AB$36,0))</f>
        <v>138.51662237471803</v>
      </c>
      <c r="L81" s="136">
        <f>K81*I81</f>
        <v>115141825.46215427</v>
      </c>
      <c r="M81" s="122">
        <f>Model!$AC$118</f>
        <v>0</v>
      </c>
      <c r="N81" s="134">
        <f t="shared" si="21"/>
        <v>0</v>
      </c>
      <c r="O81" s="122" t="s">
        <v>33</v>
      </c>
      <c r="P81" s="122">
        <f>INDEX(Model!$AC$54:$AC$118,MATCH($O81,Model!$AB$54:$AB$118,0)+MATCH(Model!$Z$116,Model!$Z$54:$Z$118,0)-1)</f>
        <v>0.309</v>
      </c>
      <c r="Q81" s="136">
        <f t="shared" si="17"/>
        <v>0</v>
      </c>
      <c r="R81" s="152">
        <f>Model!$AC$148</f>
        <v>0.994469622</v>
      </c>
      <c r="S81" s="134">
        <f t="shared" si="18"/>
        <v>0</v>
      </c>
      <c r="T81" s="112" t="s">
        <v>35</v>
      </c>
      <c r="U81" s="112">
        <f>Model!$AC$147</f>
        <v>1</v>
      </c>
      <c r="V81" s="112"/>
      <c r="W81" s="136">
        <f>S81*U81</f>
        <v>0</v>
      </c>
      <c r="X81" s="152">
        <f>Model!$AC$179</f>
        <v>0.01</v>
      </c>
      <c r="Y81" s="134">
        <f t="shared" si="13"/>
        <v>0</v>
      </c>
      <c r="Z81" s="112" t="s">
        <v>67</v>
      </c>
      <c r="AA81" s="112">
        <f>Model!$AC$178</f>
        <v>0.52600000000000002</v>
      </c>
      <c r="AB81" s="112"/>
      <c r="AC81" s="123">
        <f t="shared" si="19"/>
        <v>0</v>
      </c>
      <c r="AD81" s="112">
        <f t="shared" si="20"/>
        <v>0</v>
      </c>
    </row>
    <row r="82" spans="3:30" x14ac:dyDescent="0.25">
      <c r="C82" s="154">
        <f>Model!$AC$14</f>
        <v>3004198</v>
      </c>
      <c r="D82" s="55">
        <f>Model!$AC$17</f>
        <v>0.38461538461538458</v>
      </c>
      <c r="E82" s="155">
        <f t="shared" si="14"/>
        <v>1155460.769230769</v>
      </c>
      <c r="F82" s="55">
        <f>Model!$AC$28</f>
        <v>1</v>
      </c>
      <c r="G82" s="155">
        <f t="shared" si="15"/>
        <v>1155460.769230769</v>
      </c>
      <c r="H82" s="111">
        <f>INDEX(Model!$AC$33:$AC$36,MATCH($J82,Model!$AB$33:$AB$36,0))</f>
        <v>0.719409242</v>
      </c>
      <c r="I82" s="132">
        <f t="shared" si="16"/>
        <v>831249.15615304443</v>
      </c>
      <c r="J82" s="112" t="s">
        <v>25</v>
      </c>
      <c r="K82" s="122">
        <f>INDEX(Model!$AC$37:$AC$40,MATCH($J82,Model!$AB$33:$AB$36,0))</f>
        <v>138.51662237471803</v>
      </c>
      <c r="L82" s="136">
        <f>K82*I82</f>
        <v>115141825.46215427</v>
      </c>
      <c r="M82" s="122">
        <f>Model!$AC$118</f>
        <v>0</v>
      </c>
      <c r="N82" s="134">
        <f t="shared" si="21"/>
        <v>0</v>
      </c>
      <c r="O82" s="122" t="s">
        <v>33</v>
      </c>
      <c r="P82" s="122">
        <f>INDEX(Model!$AC$54:$AC$118,MATCH($O82,Model!$AB$54:$AB$118,0)+MATCH(Model!$Z$116,Model!$Z$54:$Z$118,0)-1)</f>
        <v>0.309</v>
      </c>
      <c r="Q82" s="136">
        <f t="shared" si="17"/>
        <v>0</v>
      </c>
      <c r="R82" s="152">
        <f>Model!$AC$148</f>
        <v>0.994469622</v>
      </c>
      <c r="S82" s="134">
        <f t="shared" si="18"/>
        <v>0</v>
      </c>
      <c r="T82" s="112" t="s">
        <v>35</v>
      </c>
      <c r="U82" s="112">
        <f>Model!$AC$147</f>
        <v>1</v>
      </c>
      <c r="V82" s="112"/>
      <c r="W82" s="136">
        <f>S82*U82</f>
        <v>0</v>
      </c>
      <c r="X82" s="152">
        <f>Model!$AC$192</f>
        <v>0</v>
      </c>
      <c r="Y82" s="134">
        <f t="shared" si="13"/>
        <v>0</v>
      </c>
      <c r="Z82" s="112" t="s">
        <v>144</v>
      </c>
      <c r="AA82" s="112">
        <f>Model!$AC$191</f>
        <v>0.4</v>
      </c>
      <c r="AB82" s="112"/>
      <c r="AC82" s="123">
        <f t="shared" si="19"/>
        <v>0</v>
      </c>
      <c r="AD82" s="112">
        <f t="shared" si="20"/>
        <v>0</v>
      </c>
    </row>
    <row r="83" spans="3:30" x14ac:dyDescent="0.25">
      <c r="C83" s="154">
        <f>Model!$AC$14</f>
        <v>3004198</v>
      </c>
      <c r="D83" s="55">
        <f>Model!$AC$17</f>
        <v>0.38461538461538458</v>
      </c>
      <c r="E83" s="155">
        <f t="shared" si="14"/>
        <v>1155460.769230769</v>
      </c>
      <c r="F83" s="55">
        <f>Model!$AC$28</f>
        <v>1</v>
      </c>
      <c r="G83" s="155">
        <f t="shared" si="15"/>
        <v>1155460.769230769</v>
      </c>
      <c r="H83" s="111">
        <f>INDEX(Model!$AC$33:$AC$36,MATCH($J83,Model!$AB$33:$AB$36,0))</f>
        <v>0.719409242</v>
      </c>
      <c r="I83" s="132">
        <f t="shared" si="16"/>
        <v>831249.15615304443</v>
      </c>
      <c r="J83" s="112" t="s">
        <v>25</v>
      </c>
      <c r="K83" s="122">
        <f>INDEX(Model!$AC$37:$AC$40,MATCH($J83,Model!$AB$33:$AB$36,0))</f>
        <v>138.51662237471803</v>
      </c>
      <c r="L83" s="136">
        <f>K83*I83</f>
        <v>115141825.46215427</v>
      </c>
      <c r="M83" s="122">
        <f>Model!$AC$118</f>
        <v>0</v>
      </c>
      <c r="N83" s="134">
        <f t="shared" si="21"/>
        <v>0</v>
      </c>
      <c r="O83" s="122" t="s">
        <v>33</v>
      </c>
      <c r="P83" s="122">
        <f>INDEX(Model!$AC$54:$AC$118,MATCH($O83,Model!$AB$54:$AB$118,0)+MATCH(Model!$Z$116,Model!$Z$54:$Z$118,0)-1)</f>
        <v>0.309</v>
      </c>
      <c r="Q83" s="136">
        <f t="shared" si="17"/>
        <v>0</v>
      </c>
      <c r="R83" s="152">
        <f>Model!$AC$148</f>
        <v>0.994469622</v>
      </c>
      <c r="S83" s="134">
        <f t="shared" si="18"/>
        <v>0</v>
      </c>
      <c r="T83" s="112" t="s">
        <v>35</v>
      </c>
      <c r="U83" s="112">
        <f>Model!$AC$147</f>
        <v>1</v>
      </c>
      <c r="V83" s="112"/>
      <c r="W83" s="136">
        <f>S83*U83</f>
        <v>0</v>
      </c>
      <c r="X83" s="152">
        <f>Model!$AC$165</f>
        <v>0.94</v>
      </c>
      <c r="Y83" s="134">
        <f t="shared" si="13"/>
        <v>0</v>
      </c>
      <c r="Z83" s="112" t="s">
        <v>65</v>
      </c>
      <c r="AA83" s="112"/>
      <c r="AB83" s="112">
        <f>Model!$AC$164</f>
        <v>1.613</v>
      </c>
      <c r="AC83" s="123">
        <f t="shared" si="19"/>
        <v>0</v>
      </c>
      <c r="AD83" s="112">
        <f t="shared" si="20"/>
        <v>0</v>
      </c>
    </row>
    <row r="84" spans="3:30" x14ac:dyDescent="0.25">
      <c r="C84" s="154">
        <f>Model!$AC$14</f>
        <v>3004198</v>
      </c>
      <c r="D84" s="55">
        <f>Model!$AC$17</f>
        <v>0.38461538461538458</v>
      </c>
      <c r="E84" s="155">
        <f t="shared" si="14"/>
        <v>1155460.769230769</v>
      </c>
      <c r="F84" s="55">
        <f>Model!$AC$28</f>
        <v>1</v>
      </c>
      <c r="G84" s="155">
        <f t="shared" si="15"/>
        <v>1155460.769230769</v>
      </c>
      <c r="H84" s="111">
        <f>INDEX(Model!$AC$33:$AC$36,MATCH($J84,Model!$AB$33:$AB$36,0))</f>
        <v>0.719409242</v>
      </c>
      <c r="I84" s="132">
        <f t="shared" si="16"/>
        <v>831249.15615304443</v>
      </c>
      <c r="J84" s="112" t="s">
        <v>25</v>
      </c>
      <c r="K84" s="122">
        <f>INDEX(Model!$AC$37:$AC$40,MATCH($J84,Model!$AB$33:$AB$36,0))</f>
        <v>138.51662237471803</v>
      </c>
      <c r="L84" s="136">
        <f>K84*I84</f>
        <v>115141825.46215427</v>
      </c>
      <c r="M84" s="122">
        <f>Model!$AC$118</f>
        <v>0</v>
      </c>
      <c r="N84" s="134">
        <f t="shared" si="21"/>
        <v>0</v>
      </c>
      <c r="O84" s="122" t="s">
        <v>33</v>
      </c>
      <c r="P84" s="122">
        <f>INDEX(Model!$AC$54:$AC$118,MATCH($O84,Model!$AB$54:$AB$118,0)+MATCH(Model!$Z$116,Model!$Z$54:$Z$118,0)-1)</f>
        <v>0.309</v>
      </c>
      <c r="Q84" s="136">
        <f t="shared" si="17"/>
        <v>0</v>
      </c>
      <c r="R84" s="152">
        <f>Model!$AC$148</f>
        <v>0.994469622</v>
      </c>
      <c r="S84" s="134">
        <f t="shared" si="18"/>
        <v>0</v>
      </c>
      <c r="T84" s="112" t="s">
        <v>35</v>
      </c>
      <c r="U84" s="112">
        <f>Model!$AC$147</f>
        <v>1</v>
      </c>
      <c r="V84" s="112"/>
      <c r="W84" s="136">
        <f>S84*U84</f>
        <v>0</v>
      </c>
      <c r="X84" s="152">
        <f>Model!$AC$205</f>
        <v>0.05</v>
      </c>
      <c r="Y84" s="134">
        <f t="shared" si="13"/>
        <v>0</v>
      </c>
      <c r="Z84" s="112" t="s">
        <v>66</v>
      </c>
      <c r="AA84" s="112"/>
      <c r="AB84" s="112">
        <f>Model!$AC$204</f>
        <v>1.111</v>
      </c>
      <c r="AC84" s="123">
        <f t="shared" si="19"/>
        <v>0</v>
      </c>
      <c r="AD84" s="112">
        <f t="shared" si="20"/>
        <v>0</v>
      </c>
    </row>
    <row r="85" spans="3:30" x14ac:dyDescent="0.25">
      <c r="C85" s="154">
        <f>Model!$AC$14</f>
        <v>3004198</v>
      </c>
      <c r="D85" s="55">
        <f>Model!$AC$17</f>
        <v>0.38461538461538458</v>
      </c>
      <c r="E85" s="155">
        <f t="shared" si="14"/>
        <v>1155460.769230769</v>
      </c>
      <c r="F85" s="55">
        <f>Model!$AC$28</f>
        <v>1</v>
      </c>
      <c r="G85" s="155">
        <f t="shared" si="15"/>
        <v>1155460.769230769</v>
      </c>
      <c r="H85" s="111">
        <f>INDEX(Model!$AC$33:$AC$36,MATCH($J85,Model!$AB$33:$AB$36,0))</f>
        <v>0.719409242</v>
      </c>
      <c r="I85" s="132">
        <f t="shared" si="16"/>
        <v>831249.15615304443</v>
      </c>
      <c r="J85" s="112" t="s">
        <v>25</v>
      </c>
      <c r="K85" s="122">
        <f>INDEX(Model!$AC$37:$AC$40,MATCH($J85,Model!$AB$33:$AB$36,0))</f>
        <v>138.51662237471803</v>
      </c>
      <c r="L85" s="136">
        <f>K85*I85</f>
        <v>115141825.46215427</v>
      </c>
      <c r="M85" s="122">
        <f>Model!$AC$79</f>
        <v>0.83299999999999996</v>
      </c>
      <c r="N85" s="134">
        <f t="shared" si="21"/>
        <v>95913140.609974504</v>
      </c>
      <c r="O85" s="122" t="s">
        <v>29</v>
      </c>
      <c r="P85" s="122">
        <f>INDEX(Model!$AC$54:$AC$118,MATCH($O85,Model!$AB$54:$AB$118,0)+MATCH(Model!$Z$116,Model!$Z$54:$Z$118,0)-1)</f>
        <v>0.63300000000000001</v>
      </c>
      <c r="Q85" s="136">
        <f t="shared" si="17"/>
        <v>60713018.006113864</v>
      </c>
      <c r="R85" s="152">
        <f>Model!$AC$138</f>
        <v>5.5303779999999999E-3</v>
      </c>
      <c r="S85" s="134">
        <f t="shared" si="18"/>
        <v>335765.93909461598</v>
      </c>
      <c r="T85" s="112" t="s">
        <v>34</v>
      </c>
      <c r="U85" s="112"/>
      <c r="V85" s="112">
        <f>Model!$AC$137</f>
        <v>1</v>
      </c>
      <c r="W85" s="136"/>
      <c r="X85" s="152"/>
      <c r="Y85" s="134">
        <f t="shared" si="13"/>
        <v>0</v>
      </c>
      <c r="Z85" s="112"/>
      <c r="AA85" s="112"/>
      <c r="AB85" s="112"/>
      <c r="AC85" s="123">
        <f t="shared" si="19"/>
        <v>335765.93909461598</v>
      </c>
      <c r="AD85" s="112">
        <f t="shared" si="20"/>
        <v>0</v>
      </c>
    </row>
    <row r="86" spans="3:30" x14ac:dyDescent="0.25">
      <c r="C86" s="154">
        <f>Model!$AC$14</f>
        <v>3004198</v>
      </c>
      <c r="D86" s="55">
        <f>Model!$AC$17</f>
        <v>0.38461538461538458</v>
      </c>
      <c r="E86" s="155">
        <f t="shared" si="14"/>
        <v>1155460.769230769</v>
      </c>
      <c r="F86" s="55">
        <f>Model!$AC$28</f>
        <v>1</v>
      </c>
      <c r="G86" s="155">
        <f t="shared" si="15"/>
        <v>1155460.769230769</v>
      </c>
      <c r="H86" s="111">
        <f>INDEX(Model!$AC$33:$AC$36,MATCH($J86,Model!$AB$33:$AB$36,0))</f>
        <v>0.719409242</v>
      </c>
      <c r="I86" s="132">
        <f t="shared" si="16"/>
        <v>831249.15615304443</v>
      </c>
      <c r="J86" s="112" t="s">
        <v>25</v>
      </c>
      <c r="K86" s="122">
        <f>INDEX(Model!$AC$37:$AC$40,MATCH($J86,Model!$AB$33:$AB$36,0))</f>
        <v>138.51662237471803</v>
      </c>
      <c r="L86" s="136">
        <f>K86*I86</f>
        <v>115141825.46215427</v>
      </c>
      <c r="M86" s="122">
        <f>Model!$AC$79</f>
        <v>0.83299999999999996</v>
      </c>
      <c r="N86" s="134">
        <f t="shared" si="21"/>
        <v>95913140.609974504</v>
      </c>
      <c r="O86" s="122" t="s">
        <v>29</v>
      </c>
      <c r="P86" s="122">
        <f>INDEX(Model!$AC$54:$AC$118,MATCH($O86,Model!$AB$54:$AB$118,0)+MATCH(Model!$Z$116,Model!$Z$54:$Z$118,0)-1)</f>
        <v>0.63300000000000001</v>
      </c>
      <c r="Q86" s="136">
        <f t="shared" si="17"/>
        <v>60713018.006113864</v>
      </c>
      <c r="R86" s="152">
        <f>Model!$AC$148</f>
        <v>0.994469622</v>
      </c>
      <c r="S86" s="134">
        <f t="shared" si="18"/>
        <v>60377252.067019247</v>
      </c>
      <c r="T86" s="112" t="s">
        <v>35</v>
      </c>
      <c r="U86" s="112">
        <f>Model!$AC$147</f>
        <v>1</v>
      </c>
      <c r="V86" s="112"/>
      <c r="W86" s="136">
        <f>S86*U86</f>
        <v>60377252.067019247</v>
      </c>
      <c r="X86" s="152">
        <f>Model!$AC$179</f>
        <v>0.01</v>
      </c>
      <c r="Y86" s="134">
        <f t="shared" si="13"/>
        <v>603772.52067019243</v>
      </c>
      <c r="Z86" s="112" t="s">
        <v>67</v>
      </c>
      <c r="AA86" s="112">
        <f>Model!$AC$178</f>
        <v>0.52600000000000002</v>
      </c>
      <c r="AB86" s="112"/>
      <c r="AC86" s="123">
        <f t="shared" si="19"/>
        <v>317584.34587252123</v>
      </c>
      <c r="AD86" s="112">
        <f t="shared" si="20"/>
        <v>0</v>
      </c>
    </row>
    <row r="87" spans="3:30" x14ac:dyDescent="0.25">
      <c r="C87" s="154">
        <f>Model!$AC$14</f>
        <v>3004198</v>
      </c>
      <c r="D87" s="55">
        <f>Model!$AC$17</f>
        <v>0.38461538461538458</v>
      </c>
      <c r="E87" s="155">
        <f t="shared" si="14"/>
        <v>1155460.769230769</v>
      </c>
      <c r="F87" s="55">
        <f>Model!$AC$28</f>
        <v>1</v>
      </c>
      <c r="G87" s="155">
        <f t="shared" si="15"/>
        <v>1155460.769230769</v>
      </c>
      <c r="H87" s="111">
        <f>INDEX(Model!$AC$33:$AC$36,MATCH($J87,Model!$AB$33:$AB$36,0))</f>
        <v>0.719409242</v>
      </c>
      <c r="I87" s="132">
        <f t="shared" si="16"/>
        <v>831249.15615304443</v>
      </c>
      <c r="J87" s="112" t="s">
        <v>25</v>
      </c>
      <c r="K87" s="122">
        <f>INDEX(Model!$AC$37:$AC$40,MATCH($J87,Model!$AB$33:$AB$36,0))</f>
        <v>138.51662237471803</v>
      </c>
      <c r="L87" s="136">
        <f>K87*I87</f>
        <v>115141825.46215427</v>
      </c>
      <c r="M87" s="122">
        <f>Model!$AC$79</f>
        <v>0.83299999999999996</v>
      </c>
      <c r="N87" s="134">
        <f t="shared" si="21"/>
        <v>95913140.609974504</v>
      </c>
      <c r="O87" s="122" t="s">
        <v>29</v>
      </c>
      <c r="P87" s="122">
        <f>INDEX(Model!$AC$54:$AC$118,MATCH($O87,Model!$AB$54:$AB$118,0)+MATCH(Model!$Z$116,Model!$Z$54:$Z$118,0)-1)</f>
        <v>0.63300000000000001</v>
      </c>
      <c r="Q87" s="136">
        <f t="shared" si="17"/>
        <v>60713018.006113864</v>
      </c>
      <c r="R87" s="152">
        <f>Model!$AC$148</f>
        <v>0.994469622</v>
      </c>
      <c r="S87" s="134">
        <f t="shared" si="18"/>
        <v>60377252.067019247</v>
      </c>
      <c r="T87" s="112" t="s">
        <v>35</v>
      </c>
      <c r="U87" s="112">
        <f>Model!$AC$147</f>
        <v>1</v>
      </c>
      <c r="V87" s="112"/>
      <c r="W87" s="136">
        <f>S87*U87</f>
        <v>60377252.067019247</v>
      </c>
      <c r="X87" s="152">
        <f>Model!$AC$192</f>
        <v>0</v>
      </c>
      <c r="Y87" s="134">
        <f t="shared" si="13"/>
        <v>0</v>
      </c>
      <c r="Z87" s="112" t="s">
        <v>144</v>
      </c>
      <c r="AA87" s="112">
        <f>Model!$AC$191</f>
        <v>0.4</v>
      </c>
      <c r="AB87" s="112"/>
      <c r="AC87" s="123">
        <f t="shared" si="19"/>
        <v>0</v>
      </c>
      <c r="AD87" s="112">
        <f t="shared" si="20"/>
        <v>0</v>
      </c>
    </row>
    <row r="88" spans="3:30" x14ac:dyDescent="0.25">
      <c r="C88" s="154">
        <f>Model!$AC$14</f>
        <v>3004198</v>
      </c>
      <c r="D88" s="55">
        <f>Model!$AC$17</f>
        <v>0.38461538461538458</v>
      </c>
      <c r="E88" s="155">
        <f t="shared" si="14"/>
        <v>1155460.769230769</v>
      </c>
      <c r="F88" s="55">
        <f>Model!$AC$28</f>
        <v>1</v>
      </c>
      <c r="G88" s="155">
        <f t="shared" si="15"/>
        <v>1155460.769230769</v>
      </c>
      <c r="H88" s="111">
        <f>INDEX(Model!$AC$33:$AC$36,MATCH($J88,Model!$AB$33:$AB$36,0))</f>
        <v>0.719409242</v>
      </c>
      <c r="I88" s="132">
        <f t="shared" si="16"/>
        <v>831249.15615304443</v>
      </c>
      <c r="J88" s="112" t="s">
        <v>25</v>
      </c>
      <c r="K88" s="122">
        <f>INDEX(Model!$AC$37:$AC$40,MATCH($J88,Model!$AB$33:$AB$36,0))</f>
        <v>138.51662237471803</v>
      </c>
      <c r="L88" s="136">
        <f>K88*I88</f>
        <v>115141825.46215427</v>
      </c>
      <c r="M88" s="122">
        <f>Model!$AC$79</f>
        <v>0.83299999999999996</v>
      </c>
      <c r="N88" s="134">
        <f t="shared" si="21"/>
        <v>95913140.609974504</v>
      </c>
      <c r="O88" s="122" t="s">
        <v>29</v>
      </c>
      <c r="P88" s="122">
        <f>INDEX(Model!$AC$54:$AC$118,MATCH($O88,Model!$AB$54:$AB$118,0)+MATCH(Model!$Z$116,Model!$Z$54:$Z$118,0)-1)</f>
        <v>0.63300000000000001</v>
      </c>
      <c r="Q88" s="136">
        <f t="shared" si="17"/>
        <v>60713018.006113864</v>
      </c>
      <c r="R88" s="152">
        <f>Model!$AC$148</f>
        <v>0.994469622</v>
      </c>
      <c r="S88" s="134">
        <f t="shared" si="18"/>
        <v>60377252.067019247</v>
      </c>
      <c r="T88" s="112" t="s">
        <v>35</v>
      </c>
      <c r="U88" s="112">
        <f>Model!$AC$147</f>
        <v>1</v>
      </c>
      <c r="V88" s="112"/>
      <c r="W88" s="136">
        <f>S88*U88</f>
        <v>60377252.067019247</v>
      </c>
      <c r="X88" s="152">
        <f>Model!$AC$165</f>
        <v>0.94</v>
      </c>
      <c r="Y88" s="134">
        <f t="shared" si="13"/>
        <v>56754616.942998089</v>
      </c>
      <c r="Z88" s="112" t="s">
        <v>65</v>
      </c>
      <c r="AA88" s="112"/>
      <c r="AB88" s="112">
        <f>Model!$AC$164</f>
        <v>1.613</v>
      </c>
      <c r="AC88" s="123">
        <f t="shared" si="19"/>
        <v>0</v>
      </c>
      <c r="AD88" s="112">
        <f t="shared" si="20"/>
        <v>91545197.129055917</v>
      </c>
    </row>
    <row r="89" spans="3:30" x14ac:dyDescent="0.25">
      <c r="C89" s="154">
        <f>Model!$AC$14</f>
        <v>3004198</v>
      </c>
      <c r="D89" s="55">
        <f>Model!$AC$17</f>
        <v>0.38461538461538458</v>
      </c>
      <c r="E89" s="155">
        <f t="shared" si="14"/>
        <v>1155460.769230769</v>
      </c>
      <c r="F89" s="55">
        <f>Model!$AC$28</f>
        <v>1</v>
      </c>
      <c r="G89" s="155">
        <f t="shared" si="15"/>
        <v>1155460.769230769</v>
      </c>
      <c r="H89" s="111">
        <f>INDEX(Model!$AC$33:$AC$36,MATCH($J89,Model!$AB$33:$AB$36,0))</f>
        <v>0.719409242</v>
      </c>
      <c r="I89" s="132">
        <f t="shared" si="16"/>
        <v>831249.15615304443</v>
      </c>
      <c r="J89" s="112" t="s">
        <v>25</v>
      </c>
      <c r="K89" s="122">
        <f>INDEX(Model!$AC$37:$AC$40,MATCH($J89,Model!$AB$33:$AB$36,0))</f>
        <v>138.51662237471803</v>
      </c>
      <c r="L89" s="136">
        <f>K89*I89</f>
        <v>115141825.46215427</v>
      </c>
      <c r="M89" s="122">
        <f>Model!$AC$79</f>
        <v>0.83299999999999996</v>
      </c>
      <c r="N89" s="134">
        <f t="shared" si="21"/>
        <v>95913140.609974504</v>
      </c>
      <c r="O89" s="122" t="s">
        <v>29</v>
      </c>
      <c r="P89" s="122">
        <f>INDEX(Model!$AC$54:$AC$118,MATCH($O89,Model!$AB$54:$AB$118,0)+MATCH(Model!$Z$116,Model!$Z$54:$Z$118,0)-1)</f>
        <v>0.63300000000000001</v>
      </c>
      <c r="Q89" s="136">
        <f t="shared" si="17"/>
        <v>60713018.006113864</v>
      </c>
      <c r="R89" s="152">
        <f>Model!$AC$148</f>
        <v>0.994469622</v>
      </c>
      <c r="S89" s="134">
        <f t="shared" si="18"/>
        <v>60377252.067019247</v>
      </c>
      <c r="T89" s="112" t="s">
        <v>35</v>
      </c>
      <c r="U89" s="112">
        <f>Model!$AC$147</f>
        <v>1</v>
      </c>
      <c r="V89" s="112"/>
      <c r="W89" s="136">
        <f>S89*U89</f>
        <v>60377252.067019247</v>
      </c>
      <c r="X89" s="152">
        <f>Model!$AC$205</f>
        <v>0.05</v>
      </c>
      <c r="Y89" s="134">
        <f t="shared" si="13"/>
        <v>3018862.6033509625</v>
      </c>
      <c r="Z89" s="112" t="s">
        <v>66</v>
      </c>
      <c r="AA89" s="112"/>
      <c r="AB89" s="112">
        <f>Model!$AC$204</f>
        <v>1.111</v>
      </c>
      <c r="AC89" s="123">
        <f t="shared" si="19"/>
        <v>0</v>
      </c>
      <c r="AD89" s="112">
        <f t="shared" si="20"/>
        <v>3353956.3523229193</v>
      </c>
    </row>
    <row r="90" spans="3:30" x14ac:dyDescent="0.25">
      <c r="C90" s="154">
        <f>Model!$AC$14</f>
        <v>3004198</v>
      </c>
      <c r="D90" s="55">
        <f>Model!$AC$17</f>
        <v>0.38461538461538458</v>
      </c>
      <c r="E90" s="155">
        <f t="shared" si="14"/>
        <v>1155460.769230769</v>
      </c>
      <c r="F90" s="55">
        <f>Model!$AC$28</f>
        <v>1</v>
      </c>
      <c r="G90" s="155">
        <f t="shared" si="15"/>
        <v>1155460.769230769</v>
      </c>
      <c r="H90" s="111">
        <f>INDEX(Model!$AC$33:$AC$36,MATCH($J90,Model!$AB$33:$AB$36,0))</f>
        <v>0.719409242</v>
      </c>
      <c r="I90" s="132">
        <f t="shared" si="16"/>
        <v>831249.15615304443</v>
      </c>
      <c r="J90" s="112" t="s">
        <v>25</v>
      </c>
      <c r="K90" s="122">
        <f>INDEX(Model!$AC$37:$AC$40,MATCH($J90,Model!$AB$33:$AB$36,0))</f>
        <v>138.51662237471803</v>
      </c>
      <c r="L90" s="136">
        <f>K90*I90</f>
        <v>115141825.46215427</v>
      </c>
      <c r="M90" s="122">
        <f>Model!$AC$66</f>
        <v>0.16700000000000001</v>
      </c>
      <c r="N90" s="134">
        <f t="shared" si="21"/>
        <v>19228684.852179766</v>
      </c>
      <c r="O90" s="122" t="s">
        <v>30</v>
      </c>
      <c r="P90" s="122">
        <f>INDEX(Model!$AC$54:$AC$118,MATCH($O90,Model!$AB$54:$AB$118,0)+MATCH(Model!$Z$116,Model!$Z$54:$Z$118,0)-1)</f>
        <v>0.997</v>
      </c>
      <c r="Q90" s="136">
        <f t="shared" si="17"/>
        <v>19170998.797623225</v>
      </c>
      <c r="R90" s="152">
        <f>Model!$AC$138</f>
        <v>5.5303779999999999E-3</v>
      </c>
      <c r="S90" s="134">
        <f t="shared" si="18"/>
        <v>106022.86998840193</v>
      </c>
      <c r="T90" s="112" t="s">
        <v>34</v>
      </c>
      <c r="U90" s="112"/>
      <c r="V90" s="112">
        <f>Model!$AC$137</f>
        <v>1</v>
      </c>
      <c r="W90" s="136"/>
      <c r="X90" s="152"/>
      <c r="Y90" s="134">
        <f t="shared" si="13"/>
        <v>0</v>
      </c>
      <c r="Z90" s="112"/>
      <c r="AA90" s="112"/>
      <c r="AB90" s="112"/>
      <c r="AC90" s="123">
        <f t="shared" si="19"/>
        <v>106022.86998840193</v>
      </c>
      <c r="AD90" s="112">
        <f t="shared" si="20"/>
        <v>0</v>
      </c>
    </row>
    <row r="91" spans="3:30" x14ac:dyDescent="0.25">
      <c r="C91" s="154">
        <f>Model!$AC$14</f>
        <v>3004198</v>
      </c>
      <c r="D91" s="55">
        <f>Model!$AC$17</f>
        <v>0.38461538461538458</v>
      </c>
      <c r="E91" s="155">
        <f t="shared" si="14"/>
        <v>1155460.769230769</v>
      </c>
      <c r="F91" s="55">
        <f>Model!$AC$28</f>
        <v>1</v>
      </c>
      <c r="G91" s="155">
        <f t="shared" si="15"/>
        <v>1155460.769230769</v>
      </c>
      <c r="H91" s="111">
        <f>INDEX(Model!$AC$33:$AC$36,MATCH($J91,Model!$AB$33:$AB$36,0))</f>
        <v>0.719409242</v>
      </c>
      <c r="I91" s="132">
        <f t="shared" si="16"/>
        <v>831249.15615304443</v>
      </c>
      <c r="J91" s="112" t="s">
        <v>25</v>
      </c>
      <c r="K91" s="122">
        <f>INDEX(Model!$AC$37:$AC$40,MATCH($J91,Model!$AB$33:$AB$36,0))</f>
        <v>138.51662237471803</v>
      </c>
      <c r="L91" s="136">
        <f>K91*I91</f>
        <v>115141825.46215427</v>
      </c>
      <c r="M91" s="122">
        <f>Model!$AC$66</f>
        <v>0.16700000000000001</v>
      </c>
      <c r="N91" s="134">
        <f t="shared" si="21"/>
        <v>19228684.852179766</v>
      </c>
      <c r="O91" s="122" t="s">
        <v>30</v>
      </c>
      <c r="P91" s="122">
        <f>INDEX(Model!$AC$54:$AC$118,MATCH($O91,Model!$AB$54:$AB$118,0)+MATCH(Model!$Z$116,Model!$Z$54:$Z$118,0)-1)</f>
        <v>0.997</v>
      </c>
      <c r="Q91" s="136">
        <f t="shared" si="17"/>
        <v>19170998.797623225</v>
      </c>
      <c r="R91" s="152">
        <f>Model!$AC$148</f>
        <v>0.994469622</v>
      </c>
      <c r="S91" s="134">
        <f t="shared" si="18"/>
        <v>19064975.927634824</v>
      </c>
      <c r="T91" s="112" t="s">
        <v>35</v>
      </c>
      <c r="U91" s="112">
        <f>Model!$AC$147</f>
        <v>1</v>
      </c>
      <c r="V91" s="112"/>
      <c r="W91" s="136">
        <f>S91*U91</f>
        <v>19064975.927634824</v>
      </c>
      <c r="X91" s="152">
        <f>Model!$AC$179</f>
        <v>0.01</v>
      </c>
      <c r="Y91" s="134">
        <f t="shared" si="13"/>
        <v>190649.75927634825</v>
      </c>
      <c r="Z91" s="112" t="s">
        <v>67</v>
      </c>
      <c r="AA91" s="112">
        <f>Model!$AC$178</f>
        <v>0.52600000000000002</v>
      </c>
      <c r="AB91" s="112"/>
      <c r="AC91" s="123">
        <f t="shared" si="19"/>
        <v>100281.77337935919</v>
      </c>
      <c r="AD91" s="112">
        <f t="shared" si="20"/>
        <v>0</v>
      </c>
    </row>
    <row r="92" spans="3:30" x14ac:dyDescent="0.25">
      <c r="C92" s="154">
        <f>Model!$AC$14</f>
        <v>3004198</v>
      </c>
      <c r="D92" s="55">
        <f>Model!$AC$17</f>
        <v>0.38461538461538458</v>
      </c>
      <c r="E92" s="155">
        <f t="shared" si="14"/>
        <v>1155460.769230769</v>
      </c>
      <c r="F92" s="55">
        <f>Model!$AC$28</f>
        <v>1</v>
      </c>
      <c r="G92" s="155">
        <f t="shared" si="15"/>
        <v>1155460.769230769</v>
      </c>
      <c r="H92" s="111">
        <f>INDEX(Model!$AC$33:$AC$36,MATCH($J92,Model!$AB$33:$AB$36,0))</f>
        <v>0.719409242</v>
      </c>
      <c r="I92" s="132">
        <f t="shared" si="16"/>
        <v>831249.15615304443</v>
      </c>
      <c r="J92" s="112" t="s">
        <v>25</v>
      </c>
      <c r="K92" s="122">
        <f>INDEX(Model!$AC$37:$AC$40,MATCH($J92,Model!$AB$33:$AB$36,0))</f>
        <v>138.51662237471803</v>
      </c>
      <c r="L92" s="136">
        <f>K92*I92</f>
        <v>115141825.46215427</v>
      </c>
      <c r="M92" s="122">
        <f>Model!$AC$66</f>
        <v>0.16700000000000001</v>
      </c>
      <c r="N92" s="134">
        <f t="shared" si="21"/>
        <v>19228684.852179766</v>
      </c>
      <c r="O92" s="122" t="s">
        <v>30</v>
      </c>
      <c r="P92" s="122">
        <f>INDEX(Model!$AC$54:$AC$118,MATCH($O92,Model!$AB$54:$AB$118,0)+MATCH(Model!$Z$116,Model!$Z$54:$Z$118,0)-1)</f>
        <v>0.997</v>
      </c>
      <c r="Q92" s="136">
        <f t="shared" si="17"/>
        <v>19170998.797623225</v>
      </c>
      <c r="R92" s="152">
        <f>Model!$AC$148</f>
        <v>0.994469622</v>
      </c>
      <c r="S92" s="134">
        <f t="shared" si="18"/>
        <v>19064975.927634824</v>
      </c>
      <c r="T92" s="112" t="s">
        <v>35</v>
      </c>
      <c r="U92" s="112">
        <f>Model!$AC$147</f>
        <v>1</v>
      </c>
      <c r="V92" s="112"/>
      <c r="W92" s="136">
        <f>S92*U92</f>
        <v>19064975.927634824</v>
      </c>
      <c r="X92" s="152">
        <f>Model!$AC$192</f>
        <v>0</v>
      </c>
      <c r="Y92" s="134">
        <f t="shared" si="13"/>
        <v>0</v>
      </c>
      <c r="Z92" s="112" t="s">
        <v>144</v>
      </c>
      <c r="AA92" s="112">
        <f>Model!$AC$191</f>
        <v>0.4</v>
      </c>
      <c r="AB92" s="112"/>
      <c r="AC92" s="123">
        <f t="shared" si="19"/>
        <v>0</v>
      </c>
      <c r="AD92" s="112">
        <f t="shared" si="20"/>
        <v>0</v>
      </c>
    </row>
    <row r="93" spans="3:30" x14ac:dyDescent="0.25">
      <c r="C93" s="154">
        <f>Model!$AC$14</f>
        <v>3004198</v>
      </c>
      <c r="D93" s="55">
        <f>Model!$AC$17</f>
        <v>0.38461538461538458</v>
      </c>
      <c r="E93" s="155">
        <f t="shared" si="14"/>
        <v>1155460.769230769</v>
      </c>
      <c r="F93" s="55">
        <f>Model!$AC$28</f>
        <v>1</v>
      </c>
      <c r="G93" s="155">
        <f t="shared" si="15"/>
        <v>1155460.769230769</v>
      </c>
      <c r="H93" s="111">
        <f>INDEX(Model!$AC$33:$AC$36,MATCH($J93,Model!$AB$33:$AB$36,0))</f>
        <v>0.719409242</v>
      </c>
      <c r="I93" s="132">
        <f t="shared" si="16"/>
        <v>831249.15615304443</v>
      </c>
      <c r="J93" s="112" t="s">
        <v>25</v>
      </c>
      <c r="K93" s="122">
        <f>INDEX(Model!$AC$37:$AC$40,MATCH($J93,Model!$AB$33:$AB$36,0))</f>
        <v>138.51662237471803</v>
      </c>
      <c r="L93" s="136">
        <f>K93*I93</f>
        <v>115141825.46215427</v>
      </c>
      <c r="M93" s="122">
        <f>Model!$AC$66</f>
        <v>0.16700000000000001</v>
      </c>
      <c r="N93" s="134">
        <f t="shared" si="21"/>
        <v>19228684.852179766</v>
      </c>
      <c r="O93" s="122" t="s">
        <v>30</v>
      </c>
      <c r="P93" s="122">
        <f>INDEX(Model!$AC$54:$AC$118,MATCH($O93,Model!$AB$54:$AB$118,0)+MATCH(Model!$Z$116,Model!$Z$54:$Z$118,0)-1)</f>
        <v>0.997</v>
      </c>
      <c r="Q93" s="136">
        <f t="shared" si="17"/>
        <v>19170998.797623225</v>
      </c>
      <c r="R93" s="152">
        <f>Model!$AC$148</f>
        <v>0.994469622</v>
      </c>
      <c r="S93" s="134">
        <f t="shared" si="18"/>
        <v>19064975.927634824</v>
      </c>
      <c r="T93" s="112" t="s">
        <v>35</v>
      </c>
      <c r="U93" s="112">
        <f>Model!$AC$147</f>
        <v>1</v>
      </c>
      <c r="V93" s="112"/>
      <c r="W93" s="136">
        <f>S93*U93</f>
        <v>19064975.927634824</v>
      </c>
      <c r="X93" s="152">
        <f>Model!$AC$165</f>
        <v>0.94</v>
      </c>
      <c r="Y93" s="134">
        <f t="shared" si="13"/>
        <v>17921077.371976733</v>
      </c>
      <c r="Z93" s="112" t="s">
        <v>65</v>
      </c>
      <c r="AA93" s="112"/>
      <c r="AB93" s="112">
        <f>Model!$AC$164</f>
        <v>1.613</v>
      </c>
      <c r="AC93" s="123">
        <f t="shared" si="19"/>
        <v>0</v>
      </c>
      <c r="AD93" s="112">
        <f t="shared" si="20"/>
        <v>28906697.800998472</v>
      </c>
    </row>
    <row r="94" spans="3:30" x14ac:dyDescent="0.25">
      <c r="C94" s="154">
        <f>Model!$AC$14</f>
        <v>3004198</v>
      </c>
      <c r="D94" s="55">
        <f>Model!$AC$17</f>
        <v>0.38461538461538458</v>
      </c>
      <c r="E94" s="155">
        <f t="shared" si="14"/>
        <v>1155460.769230769</v>
      </c>
      <c r="F94" s="55">
        <f>Model!$AC$28</f>
        <v>1</v>
      </c>
      <c r="G94" s="155">
        <f t="shared" si="15"/>
        <v>1155460.769230769</v>
      </c>
      <c r="H94" s="111">
        <f>INDEX(Model!$AC$33:$AC$36,MATCH($J94,Model!$AB$33:$AB$36,0))</f>
        <v>0.719409242</v>
      </c>
      <c r="I94" s="132">
        <f t="shared" si="16"/>
        <v>831249.15615304443</v>
      </c>
      <c r="J94" s="112" t="s">
        <v>25</v>
      </c>
      <c r="K94" s="122">
        <f>INDEX(Model!$AC$37:$AC$40,MATCH($J94,Model!$AB$33:$AB$36,0))</f>
        <v>138.51662237471803</v>
      </c>
      <c r="L94" s="136">
        <f>K94*I94</f>
        <v>115141825.46215427</v>
      </c>
      <c r="M94" s="122">
        <f>Model!$AC$66</f>
        <v>0.16700000000000001</v>
      </c>
      <c r="N94" s="134">
        <f t="shared" si="21"/>
        <v>19228684.852179766</v>
      </c>
      <c r="O94" s="122" t="s">
        <v>30</v>
      </c>
      <c r="P94" s="122">
        <f>INDEX(Model!$AC$54:$AC$118,MATCH($O94,Model!$AB$54:$AB$118,0)+MATCH(Model!$Z$116,Model!$Z$54:$Z$118,0)-1)</f>
        <v>0.997</v>
      </c>
      <c r="Q94" s="136">
        <f t="shared" si="17"/>
        <v>19170998.797623225</v>
      </c>
      <c r="R94" s="152">
        <f>Model!$AC$148</f>
        <v>0.994469622</v>
      </c>
      <c r="S94" s="134">
        <f t="shared" si="18"/>
        <v>19064975.927634824</v>
      </c>
      <c r="T94" s="112" t="s">
        <v>35</v>
      </c>
      <c r="U94" s="112">
        <f>Model!$AC$147</f>
        <v>1</v>
      </c>
      <c r="V94" s="112"/>
      <c r="W94" s="136">
        <f>S94*U94</f>
        <v>19064975.927634824</v>
      </c>
      <c r="X94" s="152">
        <f>Model!$AC$205</f>
        <v>0.05</v>
      </c>
      <c r="Y94" s="134">
        <f t="shared" si="13"/>
        <v>953248.7963817413</v>
      </c>
      <c r="Z94" s="112" t="s">
        <v>66</v>
      </c>
      <c r="AA94" s="112"/>
      <c r="AB94" s="112">
        <f>Model!$AC$204</f>
        <v>1.111</v>
      </c>
      <c r="AC94" s="123">
        <f t="shared" si="19"/>
        <v>0</v>
      </c>
      <c r="AD94" s="112">
        <f t="shared" si="20"/>
        <v>1059059.4127801147</v>
      </c>
    </row>
    <row r="95" spans="3:30" x14ac:dyDescent="0.25">
      <c r="C95" s="154">
        <f>Model!$AC$14</f>
        <v>3004198</v>
      </c>
      <c r="D95" s="55">
        <f>Model!$AC$17</f>
        <v>0.38461538461538458</v>
      </c>
      <c r="E95" s="155">
        <f t="shared" si="14"/>
        <v>1155460.769230769</v>
      </c>
      <c r="F95" s="55">
        <f>Model!$AC$28</f>
        <v>1</v>
      </c>
      <c r="G95" s="155">
        <f t="shared" si="15"/>
        <v>1155460.769230769</v>
      </c>
      <c r="H95" s="111">
        <f>INDEX(Model!$AC$33:$AC$36,MATCH($J95,Model!$AB$33:$AB$36,0))</f>
        <v>0.719409242</v>
      </c>
      <c r="I95" s="132">
        <f t="shared" si="16"/>
        <v>831249.15615304443</v>
      </c>
      <c r="J95" s="112" t="s">
        <v>25</v>
      </c>
      <c r="K95" s="122">
        <f>INDEX(Model!$AC$37:$AC$40,MATCH($J95,Model!$AB$33:$AB$36,0))</f>
        <v>138.51662237471803</v>
      </c>
      <c r="L95" s="136">
        <f>K95*I95</f>
        <v>115141825.46215427</v>
      </c>
      <c r="M95" s="122">
        <f>Model!$AC$105</f>
        <v>0</v>
      </c>
      <c r="N95" s="134">
        <f t="shared" si="21"/>
        <v>0</v>
      </c>
      <c r="O95" s="122" t="s">
        <v>32</v>
      </c>
      <c r="P95" s="122">
        <f>INDEX(Model!$AC$54:$AC$118,MATCH($O95,Model!$AB$54:$AB$118,0)+MATCH(Model!$Z$116,Model!$Z$54:$Z$118,0)-1)</f>
        <v>0.36</v>
      </c>
      <c r="Q95" s="136">
        <f t="shared" si="17"/>
        <v>0</v>
      </c>
      <c r="R95" s="152">
        <f>Model!$AC$138</f>
        <v>5.5303779999999999E-3</v>
      </c>
      <c r="S95" s="134">
        <f t="shared" si="18"/>
        <v>0</v>
      </c>
      <c r="T95" s="112" t="s">
        <v>34</v>
      </c>
      <c r="U95" s="112"/>
      <c r="V95" s="112">
        <f>Model!$AC$137</f>
        <v>1</v>
      </c>
      <c r="W95" s="136"/>
      <c r="X95" s="152"/>
      <c r="Y95" s="134">
        <f t="shared" si="13"/>
        <v>0</v>
      </c>
      <c r="Z95" s="112"/>
      <c r="AA95" s="112"/>
      <c r="AB95" s="112"/>
      <c r="AC95" s="123">
        <f t="shared" si="19"/>
        <v>0</v>
      </c>
      <c r="AD95" s="112">
        <f t="shared" si="20"/>
        <v>0</v>
      </c>
    </row>
    <row r="96" spans="3:30" x14ac:dyDescent="0.25">
      <c r="C96" s="154">
        <f>Model!$AC$14</f>
        <v>3004198</v>
      </c>
      <c r="D96" s="55">
        <f>Model!$AC$17</f>
        <v>0.38461538461538458</v>
      </c>
      <c r="E96" s="155">
        <f t="shared" si="14"/>
        <v>1155460.769230769</v>
      </c>
      <c r="F96" s="55">
        <f>Model!$AC$28</f>
        <v>1</v>
      </c>
      <c r="G96" s="155">
        <f t="shared" si="15"/>
        <v>1155460.769230769</v>
      </c>
      <c r="H96" s="111">
        <f>INDEX(Model!$AC$33:$AC$36,MATCH($J96,Model!$AB$33:$AB$36,0))</f>
        <v>0.719409242</v>
      </c>
      <c r="I96" s="132">
        <f t="shared" si="16"/>
        <v>831249.15615304443</v>
      </c>
      <c r="J96" s="112" t="s">
        <v>25</v>
      </c>
      <c r="K96" s="122">
        <f>INDEX(Model!$AC$37:$AC$40,MATCH($J96,Model!$AB$33:$AB$36,0))</f>
        <v>138.51662237471803</v>
      </c>
      <c r="L96" s="136">
        <f>K96*I96</f>
        <v>115141825.46215427</v>
      </c>
      <c r="M96" s="122">
        <f>Model!$AC$105</f>
        <v>0</v>
      </c>
      <c r="N96" s="134">
        <f t="shared" si="21"/>
        <v>0</v>
      </c>
      <c r="O96" s="122" t="s">
        <v>32</v>
      </c>
      <c r="P96" s="122">
        <f>INDEX(Model!$AC$54:$AC$118,MATCH($O96,Model!$AB$54:$AB$118,0)+MATCH(Model!$Z$116,Model!$Z$54:$Z$118,0)-1)</f>
        <v>0.36</v>
      </c>
      <c r="Q96" s="136">
        <f t="shared" si="17"/>
        <v>0</v>
      </c>
      <c r="R96" s="152">
        <f>Model!$AC$148</f>
        <v>0.994469622</v>
      </c>
      <c r="S96" s="134">
        <f t="shared" si="18"/>
        <v>0</v>
      </c>
      <c r="T96" s="112" t="s">
        <v>35</v>
      </c>
      <c r="U96" s="112">
        <f>Model!$AC$147</f>
        <v>1</v>
      </c>
      <c r="V96" s="112"/>
      <c r="W96" s="136">
        <f>S96*U96</f>
        <v>0</v>
      </c>
      <c r="X96" s="152">
        <f>Model!$AC$179</f>
        <v>0.01</v>
      </c>
      <c r="Y96" s="134">
        <f t="shared" si="13"/>
        <v>0</v>
      </c>
      <c r="Z96" s="112" t="s">
        <v>67</v>
      </c>
      <c r="AA96" s="112">
        <f>Model!$AC$178</f>
        <v>0.52600000000000002</v>
      </c>
      <c r="AB96" s="112"/>
      <c r="AC96" s="123">
        <f t="shared" si="19"/>
        <v>0</v>
      </c>
      <c r="AD96" s="112">
        <f t="shared" si="20"/>
        <v>0</v>
      </c>
    </row>
    <row r="97" spans="3:30" x14ac:dyDescent="0.25">
      <c r="C97" s="154">
        <f>Model!$AC$14</f>
        <v>3004198</v>
      </c>
      <c r="D97" s="55">
        <f>Model!$AC$17</f>
        <v>0.38461538461538458</v>
      </c>
      <c r="E97" s="155">
        <f t="shared" si="14"/>
        <v>1155460.769230769</v>
      </c>
      <c r="F97" s="55">
        <f>Model!$AC$28</f>
        <v>1</v>
      </c>
      <c r="G97" s="155">
        <f t="shared" si="15"/>
        <v>1155460.769230769</v>
      </c>
      <c r="H97" s="111">
        <f>INDEX(Model!$AC$33:$AC$36,MATCH($J97,Model!$AB$33:$AB$36,0))</f>
        <v>0.719409242</v>
      </c>
      <c r="I97" s="132">
        <f t="shared" si="16"/>
        <v>831249.15615304443</v>
      </c>
      <c r="J97" s="112" t="s">
        <v>25</v>
      </c>
      <c r="K97" s="122">
        <f>INDEX(Model!$AC$37:$AC$40,MATCH($J97,Model!$AB$33:$AB$36,0))</f>
        <v>138.51662237471803</v>
      </c>
      <c r="L97" s="136">
        <f>K97*I97</f>
        <v>115141825.46215427</v>
      </c>
      <c r="M97" s="122">
        <f>Model!$AC$105</f>
        <v>0</v>
      </c>
      <c r="N97" s="134">
        <f t="shared" si="21"/>
        <v>0</v>
      </c>
      <c r="O97" s="122" t="s">
        <v>32</v>
      </c>
      <c r="P97" s="122">
        <f>INDEX(Model!$AC$54:$AC$118,MATCH($O97,Model!$AB$54:$AB$118,0)+MATCH(Model!$Z$116,Model!$Z$54:$Z$118,0)-1)</f>
        <v>0.36</v>
      </c>
      <c r="Q97" s="136">
        <f t="shared" si="17"/>
        <v>0</v>
      </c>
      <c r="R97" s="152">
        <f>Model!$AC$148</f>
        <v>0.994469622</v>
      </c>
      <c r="S97" s="134">
        <f t="shared" si="18"/>
        <v>0</v>
      </c>
      <c r="T97" s="112" t="s">
        <v>35</v>
      </c>
      <c r="U97" s="112">
        <f>Model!$AC$147</f>
        <v>1</v>
      </c>
      <c r="V97" s="112"/>
      <c r="W97" s="136">
        <f>S97*U97</f>
        <v>0</v>
      </c>
      <c r="X97" s="152">
        <f>Model!$AC$192</f>
        <v>0</v>
      </c>
      <c r="Y97" s="134">
        <f t="shared" si="13"/>
        <v>0</v>
      </c>
      <c r="Z97" s="112" t="s">
        <v>144</v>
      </c>
      <c r="AA97" s="112">
        <f>Model!$AC$191</f>
        <v>0.4</v>
      </c>
      <c r="AB97" s="112"/>
      <c r="AC97" s="123">
        <f t="shared" si="19"/>
        <v>0</v>
      </c>
      <c r="AD97" s="112">
        <f t="shared" si="20"/>
        <v>0</v>
      </c>
    </row>
    <row r="98" spans="3:30" x14ac:dyDescent="0.25">
      <c r="C98" s="154">
        <f>Model!$AC$14</f>
        <v>3004198</v>
      </c>
      <c r="D98" s="55">
        <f>Model!$AC$17</f>
        <v>0.38461538461538458</v>
      </c>
      <c r="E98" s="155">
        <f t="shared" si="14"/>
        <v>1155460.769230769</v>
      </c>
      <c r="F98" s="55">
        <f>Model!$AC$28</f>
        <v>1</v>
      </c>
      <c r="G98" s="155">
        <f t="shared" si="15"/>
        <v>1155460.769230769</v>
      </c>
      <c r="H98" s="111">
        <f>INDEX(Model!$AC$33:$AC$36,MATCH($J98,Model!$AB$33:$AB$36,0))</f>
        <v>0.719409242</v>
      </c>
      <c r="I98" s="132">
        <f t="shared" si="16"/>
        <v>831249.15615304443</v>
      </c>
      <c r="J98" s="112" t="s">
        <v>25</v>
      </c>
      <c r="K98" s="122">
        <f>INDEX(Model!$AC$37:$AC$40,MATCH($J98,Model!$AB$33:$AB$36,0))</f>
        <v>138.51662237471803</v>
      </c>
      <c r="L98" s="136">
        <f>K98*I98</f>
        <v>115141825.46215427</v>
      </c>
      <c r="M98" s="122">
        <f>Model!$AC$105</f>
        <v>0</v>
      </c>
      <c r="N98" s="134">
        <f t="shared" si="21"/>
        <v>0</v>
      </c>
      <c r="O98" s="122" t="s">
        <v>32</v>
      </c>
      <c r="P98" s="122">
        <f>INDEX(Model!$AC$54:$AC$118,MATCH($O98,Model!$AB$54:$AB$118,0)+MATCH(Model!$Z$116,Model!$Z$54:$Z$118,0)-1)</f>
        <v>0.36</v>
      </c>
      <c r="Q98" s="136">
        <f t="shared" si="17"/>
        <v>0</v>
      </c>
      <c r="R98" s="152">
        <f>Model!$AC$148</f>
        <v>0.994469622</v>
      </c>
      <c r="S98" s="134">
        <f t="shared" si="18"/>
        <v>0</v>
      </c>
      <c r="T98" s="112" t="s">
        <v>35</v>
      </c>
      <c r="U98" s="112">
        <f>Model!$AC$147</f>
        <v>1</v>
      </c>
      <c r="V98" s="112"/>
      <c r="W98" s="136">
        <f>S98*U98</f>
        <v>0</v>
      </c>
      <c r="X98" s="152">
        <f>Model!$AC$165</f>
        <v>0.94</v>
      </c>
      <c r="Y98" s="134">
        <f t="shared" si="13"/>
        <v>0</v>
      </c>
      <c r="Z98" s="112" t="s">
        <v>65</v>
      </c>
      <c r="AA98" s="112"/>
      <c r="AB98" s="112">
        <f>Model!$AC$164</f>
        <v>1.613</v>
      </c>
      <c r="AC98" s="123">
        <f t="shared" si="19"/>
        <v>0</v>
      </c>
      <c r="AD98" s="112">
        <f t="shared" si="20"/>
        <v>0</v>
      </c>
    </row>
    <row r="99" spans="3:30" x14ac:dyDescent="0.25">
      <c r="C99" s="154">
        <f>Model!$AC$14</f>
        <v>3004198</v>
      </c>
      <c r="D99" s="55">
        <f>Model!$AC$17</f>
        <v>0.38461538461538458</v>
      </c>
      <c r="E99" s="155">
        <f t="shared" si="14"/>
        <v>1155460.769230769</v>
      </c>
      <c r="F99" s="55">
        <f>Model!$AC$28</f>
        <v>1</v>
      </c>
      <c r="G99" s="155">
        <f t="shared" si="15"/>
        <v>1155460.769230769</v>
      </c>
      <c r="H99" s="111">
        <f>INDEX(Model!$AC$33:$AC$36,MATCH($J99,Model!$AB$33:$AB$36,0))</f>
        <v>0.719409242</v>
      </c>
      <c r="I99" s="132">
        <f t="shared" si="16"/>
        <v>831249.15615304443</v>
      </c>
      <c r="J99" s="112" t="s">
        <v>25</v>
      </c>
      <c r="K99" s="122">
        <f>INDEX(Model!$AC$37:$AC$40,MATCH($J99,Model!$AB$33:$AB$36,0))</f>
        <v>138.51662237471803</v>
      </c>
      <c r="L99" s="136">
        <f>K99*I99</f>
        <v>115141825.46215427</v>
      </c>
      <c r="M99" s="122">
        <f>Model!$AC$105</f>
        <v>0</v>
      </c>
      <c r="N99" s="134">
        <f t="shared" si="21"/>
        <v>0</v>
      </c>
      <c r="O99" s="122" t="s">
        <v>32</v>
      </c>
      <c r="P99" s="122">
        <f>INDEX(Model!$AC$54:$AC$118,MATCH($O99,Model!$AB$54:$AB$118,0)+MATCH(Model!$Z$116,Model!$Z$54:$Z$118,0)-1)</f>
        <v>0.36</v>
      </c>
      <c r="Q99" s="136">
        <f t="shared" si="17"/>
        <v>0</v>
      </c>
      <c r="R99" s="152">
        <f>Model!$AC$148</f>
        <v>0.994469622</v>
      </c>
      <c r="S99" s="134">
        <f t="shared" si="18"/>
        <v>0</v>
      </c>
      <c r="T99" s="112" t="s">
        <v>35</v>
      </c>
      <c r="U99" s="112">
        <f>Model!$AC$147</f>
        <v>1</v>
      </c>
      <c r="V99" s="112"/>
      <c r="W99" s="136">
        <f>S99*U99</f>
        <v>0</v>
      </c>
      <c r="X99" s="152">
        <f>Model!$AC$205</f>
        <v>0.05</v>
      </c>
      <c r="Y99" s="134">
        <f t="shared" si="13"/>
        <v>0</v>
      </c>
      <c r="Z99" s="112" t="s">
        <v>66</v>
      </c>
      <c r="AA99" s="112"/>
      <c r="AB99" s="112">
        <f>Model!$AC$204</f>
        <v>1.111</v>
      </c>
      <c r="AC99" s="123">
        <f t="shared" si="19"/>
        <v>0</v>
      </c>
      <c r="AD99" s="112">
        <f t="shared" si="20"/>
        <v>0</v>
      </c>
    </row>
    <row r="100" spans="3:30" x14ac:dyDescent="0.25">
      <c r="C100" s="154">
        <f>Model!$AC$14</f>
        <v>3004198</v>
      </c>
      <c r="D100" s="55">
        <f>Model!$AC$17</f>
        <v>0.38461538461538458</v>
      </c>
      <c r="E100" s="155">
        <f t="shared" si="14"/>
        <v>1155460.769230769</v>
      </c>
      <c r="F100" s="55">
        <f>Model!$AC$28</f>
        <v>1</v>
      </c>
      <c r="G100" s="155">
        <f t="shared" si="15"/>
        <v>1155460.769230769</v>
      </c>
      <c r="H100" s="111">
        <f>INDEX(Model!$AC$33:$AC$36,MATCH($J100,Model!$AB$33:$AB$36,0))</f>
        <v>0.719409242</v>
      </c>
      <c r="I100" s="132">
        <f t="shared" si="16"/>
        <v>831249.15615304443</v>
      </c>
      <c r="J100" s="112" t="s">
        <v>25</v>
      </c>
      <c r="K100" s="122">
        <f>INDEX(Model!$AC$37:$AC$40,MATCH($J100,Model!$AB$33:$AB$36,0))</f>
        <v>138.51662237471803</v>
      </c>
      <c r="L100" s="136">
        <f>K100*I100</f>
        <v>115141825.46215427</v>
      </c>
      <c r="M100" s="122">
        <f>Model!$AC$92</f>
        <v>0</v>
      </c>
      <c r="N100" s="134">
        <f t="shared" si="21"/>
        <v>0</v>
      </c>
      <c r="O100" s="122" t="s">
        <v>31</v>
      </c>
      <c r="P100" s="122">
        <f>INDEX(Model!$AC$54:$AC$118,MATCH($O100,Model!$AB$54:$AB$118,0)+MATCH(Model!$Z$116,Model!$Z$54:$Z$118,0)-1)</f>
        <v>0.51500000000000001</v>
      </c>
      <c r="Q100" s="136">
        <f t="shared" si="17"/>
        <v>0</v>
      </c>
      <c r="R100" s="152">
        <f>Model!$AC$138</f>
        <v>5.5303779999999999E-3</v>
      </c>
      <c r="S100" s="134">
        <f t="shared" si="18"/>
        <v>0</v>
      </c>
      <c r="T100" s="112" t="s">
        <v>34</v>
      </c>
      <c r="U100" s="112"/>
      <c r="V100" s="112">
        <f>Model!$AC$137</f>
        <v>1</v>
      </c>
      <c r="W100" s="136"/>
      <c r="X100" s="152"/>
      <c r="Y100" s="134">
        <f t="shared" si="13"/>
        <v>0</v>
      </c>
      <c r="Z100" s="112"/>
      <c r="AA100" s="112"/>
      <c r="AB100" s="112"/>
      <c r="AC100" s="123">
        <f t="shared" si="19"/>
        <v>0</v>
      </c>
      <c r="AD100" s="112">
        <f t="shared" si="20"/>
        <v>0</v>
      </c>
    </row>
    <row r="101" spans="3:30" x14ac:dyDescent="0.25">
      <c r="C101" s="154">
        <f>Model!$AC$14</f>
        <v>3004198</v>
      </c>
      <c r="D101" s="55">
        <f>Model!$AC$17</f>
        <v>0.38461538461538458</v>
      </c>
      <c r="E101" s="155">
        <f t="shared" si="14"/>
        <v>1155460.769230769</v>
      </c>
      <c r="F101" s="55">
        <f>Model!$AC$28</f>
        <v>1</v>
      </c>
      <c r="G101" s="155">
        <f t="shared" si="15"/>
        <v>1155460.769230769</v>
      </c>
      <c r="H101" s="111">
        <f>INDEX(Model!$AC$33:$AC$36,MATCH($J101,Model!$AB$33:$AB$36,0))</f>
        <v>0.719409242</v>
      </c>
      <c r="I101" s="132">
        <f t="shared" si="16"/>
        <v>831249.15615304443</v>
      </c>
      <c r="J101" s="112" t="s">
        <v>25</v>
      </c>
      <c r="K101" s="122">
        <f>INDEX(Model!$AC$37:$AC$40,MATCH($J101,Model!$AB$33:$AB$36,0))</f>
        <v>138.51662237471803</v>
      </c>
      <c r="L101" s="136">
        <f>K101*I101</f>
        <v>115141825.46215427</v>
      </c>
      <c r="M101" s="122">
        <f>Model!$AC$92</f>
        <v>0</v>
      </c>
      <c r="N101" s="134">
        <f t="shared" si="21"/>
        <v>0</v>
      </c>
      <c r="O101" s="122" t="s">
        <v>31</v>
      </c>
      <c r="P101" s="122">
        <f>INDEX(Model!$AC$54:$AC$118,MATCH($O101,Model!$AB$54:$AB$118,0)+MATCH(Model!$Z$116,Model!$Z$54:$Z$118,0)-1)</f>
        <v>0.51500000000000001</v>
      </c>
      <c r="Q101" s="136">
        <f t="shared" si="17"/>
        <v>0</v>
      </c>
      <c r="R101" s="152">
        <f>Model!$AC$148</f>
        <v>0.994469622</v>
      </c>
      <c r="S101" s="134">
        <f t="shared" si="18"/>
        <v>0</v>
      </c>
      <c r="T101" s="112" t="s">
        <v>35</v>
      </c>
      <c r="U101" s="112">
        <f>Model!$AC$147</f>
        <v>1</v>
      </c>
      <c r="V101" s="112"/>
      <c r="W101" s="136">
        <f>S101*U101</f>
        <v>0</v>
      </c>
      <c r="X101" s="152">
        <f>Model!$AC$179</f>
        <v>0.01</v>
      </c>
      <c r="Y101" s="134">
        <f t="shared" si="13"/>
        <v>0</v>
      </c>
      <c r="Z101" s="112" t="s">
        <v>67</v>
      </c>
      <c r="AA101" s="112">
        <f>Model!$AC$178</f>
        <v>0.52600000000000002</v>
      </c>
      <c r="AB101" s="112"/>
      <c r="AC101" s="123">
        <f t="shared" si="19"/>
        <v>0</v>
      </c>
      <c r="AD101" s="112">
        <f t="shared" si="20"/>
        <v>0</v>
      </c>
    </row>
    <row r="102" spans="3:30" x14ac:dyDescent="0.25">
      <c r="C102" s="154">
        <f>Model!$AC$14</f>
        <v>3004198</v>
      </c>
      <c r="D102" s="55">
        <f>Model!$AC$17</f>
        <v>0.38461538461538458</v>
      </c>
      <c r="E102" s="155">
        <f t="shared" si="14"/>
        <v>1155460.769230769</v>
      </c>
      <c r="F102" s="55">
        <f>Model!$AC$28</f>
        <v>1</v>
      </c>
      <c r="G102" s="155">
        <f t="shared" si="15"/>
        <v>1155460.769230769</v>
      </c>
      <c r="H102" s="111">
        <f>INDEX(Model!$AC$33:$AC$36,MATCH($J102,Model!$AB$33:$AB$36,0))</f>
        <v>0.719409242</v>
      </c>
      <c r="I102" s="132">
        <f t="shared" si="16"/>
        <v>831249.15615304443</v>
      </c>
      <c r="J102" s="112" t="s">
        <v>25</v>
      </c>
      <c r="K102" s="122">
        <f>INDEX(Model!$AC$37:$AC$40,MATCH($J102,Model!$AB$33:$AB$36,0))</f>
        <v>138.51662237471803</v>
      </c>
      <c r="L102" s="136">
        <f>K102*I102</f>
        <v>115141825.46215427</v>
      </c>
      <c r="M102" s="122">
        <f>Model!$AC$92</f>
        <v>0</v>
      </c>
      <c r="N102" s="134">
        <f t="shared" si="21"/>
        <v>0</v>
      </c>
      <c r="O102" s="122" t="s">
        <v>31</v>
      </c>
      <c r="P102" s="122">
        <f>INDEX(Model!$AC$54:$AC$118,MATCH($O102,Model!$AB$54:$AB$118,0)+MATCH(Model!$Z$116,Model!$Z$54:$Z$118,0)-1)</f>
        <v>0.51500000000000001</v>
      </c>
      <c r="Q102" s="136">
        <f t="shared" si="17"/>
        <v>0</v>
      </c>
      <c r="R102" s="152">
        <f>Model!$AC$148</f>
        <v>0.994469622</v>
      </c>
      <c r="S102" s="134">
        <f t="shared" si="18"/>
        <v>0</v>
      </c>
      <c r="T102" s="112" t="s">
        <v>35</v>
      </c>
      <c r="U102" s="112">
        <f>Model!$AC$147</f>
        <v>1</v>
      </c>
      <c r="V102" s="112"/>
      <c r="W102" s="136">
        <f>S102*U102</f>
        <v>0</v>
      </c>
      <c r="X102" s="152">
        <f>Model!$AC$192</f>
        <v>0</v>
      </c>
      <c r="Y102" s="134">
        <f t="shared" si="13"/>
        <v>0</v>
      </c>
      <c r="Z102" s="112" t="s">
        <v>144</v>
      </c>
      <c r="AA102" s="112">
        <f>Model!$AC$191</f>
        <v>0.4</v>
      </c>
      <c r="AB102" s="112"/>
      <c r="AC102" s="123">
        <f t="shared" si="19"/>
        <v>0</v>
      </c>
      <c r="AD102" s="112">
        <f t="shared" si="20"/>
        <v>0</v>
      </c>
    </row>
    <row r="103" spans="3:30" x14ac:dyDescent="0.25">
      <c r="C103" s="154">
        <f>Model!$AC$14</f>
        <v>3004198</v>
      </c>
      <c r="D103" s="55">
        <f>Model!$AC$17</f>
        <v>0.38461538461538458</v>
      </c>
      <c r="E103" s="155">
        <f t="shared" si="14"/>
        <v>1155460.769230769</v>
      </c>
      <c r="F103" s="55">
        <f>Model!$AC$28</f>
        <v>1</v>
      </c>
      <c r="G103" s="155">
        <f t="shared" si="15"/>
        <v>1155460.769230769</v>
      </c>
      <c r="H103" s="111">
        <f>INDEX(Model!$AC$33:$AC$36,MATCH($J103,Model!$AB$33:$AB$36,0))</f>
        <v>0.719409242</v>
      </c>
      <c r="I103" s="132">
        <f t="shared" si="16"/>
        <v>831249.15615304443</v>
      </c>
      <c r="J103" s="112" t="s">
        <v>25</v>
      </c>
      <c r="K103" s="122">
        <f>INDEX(Model!$AC$37:$AC$40,MATCH($J103,Model!$AB$33:$AB$36,0))</f>
        <v>138.51662237471803</v>
      </c>
      <c r="L103" s="136">
        <f>K103*I103</f>
        <v>115141825.46215427</v>
      </c>
      <c r="M103" s="122">
        <f>Model!$AC$92</f>
        <v>0</v>
      </c>
      <c r="N103" s="134">
        <f t="shared" si="21"/>
        <v>0</v>
      </c>
      <c r="O103" s="122" t="s">
        <v>31</v>
      </c>
      <c r="P103" s="122">
        <f>INDEX(Model!$AC$54:$AC$118,MATCH($O103,Model!$AB$54:$AB$118,0)+MATCH(Model!$Z$116,Model!$Z$54:$Z$118,0)-1)</f>
        <v>0.51500000000000001</v>
      </c>
      <c r="Q103" s="136">
        <f t="shared" si="17"/>
        <v>0</v>
      </c>
      <c r="R103" s="152">
        <f>Model!$AC$148</f>
        <v>0.994469622</v>
      </c>
      <c r="S103" s="134">
        <f t="shared" si="18"/>
        <v>0</v>
      </c>
      <c r="T103" s="112" t="s">
        <v>35</v>
      </c>
      <c r="U103" s="112">
        <f>Model!$AC$147</f>
        <v>1</v>
      </c>
      <c r="V103" s="112"/>
      <c r="W103" s="136">
        <f>S103*U103</f>
        <v>0</v>
      </c>
      <c r="X103" s="152">
        <f>Model!$AC$165</f>
        <v>0.94</v>
      </c>
      <c r="Y103" s="134">
        <f t="shared" si="13"/>
        <v>0</v>
      </c>
      <c r="Z103" s="112" t="s">
        <v>65</v>
      </c>
      <c r="AA103" s="112"/>
      <c r="AB103" s="112">
        <f>Model!$AC$164</f>
        <v>1.613</v>
      </c>
      <c r="AC103" s="123">
        <f t="shared" si="19"/>
        <v>0</v>
      </c>
      <c r="AD103" s="112">
        <f t="shared" si="20"/>
        <v>0</v>
      </c>
    </row>
    <row r="104" spans="3:30" x14ac:dyDescent="0.25">
      <c r="C104" s="154">
        <f>Model!$AC$14</f>
        <v>3004198</v>
      </c>
      <c r="D104" s="55">
        <f>Model!$AC$17</f>
        <v>0.38461538461538458</v>
      </c>
      <c r="E104" s="155">
        <f t="shared" si="14"/>
        <v>1155460.769230769</v>
      </c>
      <c r="F104" s="55">
        <f>Model!$AC$28</f>
        <v>1</v>
      </c>
      <c r="G104" s="155">
        <f t="shared" si="15"/>
        <v>1155460.769230769</v>
      </c>
      <c r="H104" s="111">
        <f>INDEX(Model!$AC$33:$AC$36,MATCH($J104,Model!$AB$33:$AB$36,0))</f>
        <v>0.719409242</v>
      </c>
      <c r="I104" s="132">
        <f t="shared" si="16"/>
        <v>831249.15615304443</v>
      </c>
      <c r="J104" s="112" t="s">
        <v>25</v>
      </c>
      <c r="K104" s="122">
        <f>INDEX(Model!$AC$37:$AC$40,MATCH($J104,Model!$AB$33:$AB$36,0))</f>
        <v>138.51662237471803</v>
      </c>
      <c r="L104" s="136">
        <f>K104*I104</f>
        <v>115141825.46215427</v>
      </c>
      <c r="M104" s="122">
        <f>Model!$AC$92</f>
        <v>0</v>
      </c>
      <c r="N104" s="134">
        <f t="shared" si="21"/>
        <v>0</v>
      </c>
      <c r="O104" s="122" t="s">
        <v>31</v>
      </c>
      <c r="P104" s="122">
        <f>INDEX(Model!$AC$54:$AC$118,MATCH($O104,Model!$AB$54:$AB$118,0)+MATCH(Model!$Z$116,Model!$Z$54:$Z$118,0)-1)</f>
        <v>0.51500000000000001</v>
      </c>
      <c r="Q104" s="136">
        <f t="shared" si="17"/>
        <v>0</v>
      </c>
      <c r="R104" s="152">
        <f>Model!$AC$148</f>
        <v>0.994469622</v>
      </c>
      <c r="S104" s="134">
        <f t="shared" si="18"/>
        <v>0</v>
      </c>
      <c r="T104" s="112" t="s">
        <v>35</v>
      </c>
      <c r="U104" s="112">
        <f>Model!$AC$147</f>
        <v>1</v>
      </c>
      <c r="V104" s="112"/>
      <c r="W104" s="136">
        <f>S104*U104</f>
        <v>0</v>
      </c>
      <c r="X104" s="152">
        <f>Model!$AC$205</f>
        <v>0.05</v>
      </c>
      <c r="Y104" s="134">
        <f t="shared" si="13"/>
        <v>0</v>
      </c>
      <c r="Z104" s="112" t="s">
        <v>66</v>
      </c>
      <c r="AA104" s="112"/>
      <c r="AB104" s="112">
        <f>Model!$AC$204</f>
        <v>1.111</v>
      </c>
      <c r="AC104" s="123">
        <f t="shared" si="19"/>
        <v>0</v>
      </c>
      <c r="AD104" s="112">
        <f t="shared" si="20"/>
        <v>0</v>
      </c>
    </row>
  </sheetData>
  <sortState xmlns:xlrd2="http://schemas.microsoft.com/office/spreadsheetml/2017/richdata2" ref="O5:O26">
    <sortCondition ref="O2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F0BE-7E79-4AE7-BB07-A4813FC3C148}">
  <sheetPr codeName="Sheet6">
    <tabColor rgb="FFFFFF00"/>
  </sheetPr>
  <dimension ref="A1:AY104"/>
  <sheetViews>
    <sheetView workbookViewId="0"/>
  </sheetViews>
  <sheetFormatPr defaultRowHeight="15" x14ac:dyDescent="0.25"/>
  <cols>
    <col min="1" max="1" width="35.85546875" bestFit="1" customWidth="1"/>
    <col min="2" max="2" width="4.42578125" customWidth="1"/>
    <col min="3" max="3" width="11.7109375" style="117" bestFit="1" customWidth="1"/>
    <col min="4" max="4" width="12.140625" customWidth="1"/>
    <col min="5" max="5" width="11.7109375" style="117" bestFit="1" customWidth="1"/>
    <col min="6" max="6" width="10.140625" customWidth="1"/>
    <col min="7" max="7" width="11.7109375" style="117" bestFit="1" customWidth="1"/>
    <col min="8" max="8" width="11.85546875" style="107" bestFit="1" customWidth="1"/>
    <col min="9" max="9" width="10.140625" style="107" bestFit="1" customWidth="1"/>
    <col min="10" max="10" width="28.42578125" bestFit="1" customWidth="1"/>
    <col min="11" max="11" width="11.28515625" customWidth="1"/>
    <col min="12" max="12" width="13.85546875" style="117" bestFit="1" customWidth="1"/>
    <col min="13" max="14" width="17.5703125" style="107" customWidth="1"/>
    <col min="15" max="15" width="13.85546875" style="107" customWidth="1"/>
    <col min="16" max="16" width="18.140625" style="107" customWidth="1"/>
    <col min="17" max="17" width="9.5703125" style="107" customWidth="1"/>
    <col min="18" max="18" width="2" bestFit="1" customWidth="1"/>
    <col min="19" max="19" width="16.42578125" bestFit="1" customWidth="1"/>
    <col min="20" max="20" width="13.42578125" style="117" bestFit="1" customWidth="1"/>
    <col min="21" max="22" width="17.42578125" style="107" customWidth="1"/>
    <col min="23" max="23" width="13.28515625" bestFit="1" customWidth="1"/>
    <col min="24" max="24" width="17" customWidth="1"/>
    <col min="25" max="25" width="17.42578125" bestFit="1" customWidth="1"/>
    <col min="26" max="26" width="2" bestFit="1" customWidth="1"/>
    <col min="27" max="27" width="17.7109375" bestFit="1" customWidth="1"/>
    <col min="28" max="28" width="15.42578125" bestFit="1" customWidth="1"/>
    <col min="29" max="29" width="12.7109375" style="117" bestFit="1" customWidth="1"/>
    <col min="30" max="30" width="20.140625" style="107" customWidth="1"/>
    <col min="31" max="31" width="12.7109375" style="107" customWidth="1"/>
    <col min="32" max="32" width="13.28515625" bestFit="1" customWidth="1"/>
    <col min="33" max="33" width="21.42578125" customWidth="1"/>
    <col min="34" max="34" width="25.7109375" style="104" bestFit="1" customWidth="1"/>
    <col min="35" max="35" width="2" bestFit="1" customWidth="1"/>
    <col min="36" max="36" width="8.28515625" style="104" bestFit="1" customWidth="1"/>
    <col min="37" max="37" width="13.140625" bestFit="1" customWidth="1"/>
    <col min="38" max="38" width="12.7109375" style="117" bestFit="1" customWidth="1"/>
    <col min="39" max="39" width="13.140625" style="104" bestFit="1" customWidth="1"/>
    <col min="42" max="42" width="25.7109375" bestFit="1" customWidth="1"/>
    <col min="43" max="43" width="16.7109375" bestFit="1" customWidth="1"/>
    <col min="48" max="48" width="9.85546875" customWidth="1"/>
    <col min="49" max="49" width="10" customWidth="1"/>
  </cols>
  <sheetData>
    <row r="1" spans="1:51" s="160" customFormat="1" x14ac:dyDescent="0.25">
      <c r="C1" s="161"/>
      <c r="E1" s="161"/>
      <c r="G1" s="161"/>
      <c r="I1" s="162"/>
      <c r="L1" s="161"/>
      <c r="M1" s="162"/>
      <c r="N1" s="162"/>
      <c r="O1" s="162"/>
      <c r="P1" s="162"/>
      <c r="Q1" s="162"/>
      <c r="T1" s="161"/>
      <c r="U1" s="162"/>
      <c r="V1" s="162"/>
      <c r="AC1" s="161"/>
      <c r="AD1" s="162"/>
      <c r="AE1" s="162"/>
      <c r="AH1" s="163"/>
      <c r="AJ1" s="163"/>
      <c r="AL1" s="161"/>
      <c r="AM1" s="163"/>
      <c r="AN1" s="164"/>
      <c r="AO1" s="164"/>
    </row>
    <row r="2" spans="1:51" s="142" customFormat="1" x14ac:dyDescent="0.25">
      <c r="C2" s="141" t="s">
        <v>5</v>
      </c>
      <c r="E2" s="141" t="s">
        <v>0</v>
      </c>
      <c r="G2" s="141" t="s">
        <v>131</v>
      </c>
      <c r="L2" s="141" t="s">
        <v>1</v>
      </c>
      <c r="M2" s="143"/>
      <c r="N2" s="143"/>
      <c r="O2" s="143"/>
      <c r="P2" s="143"/>
      <c r="Q2" s="143"/>
      <c r="T2" s="141" t="s">
        <v>87</v>
      </c>
      <c r="U2" s="143"/>
      <c r="V2" s="143"/>
      <c r="AC2" s="141" t="s">
        <v>35</v>
      </c>
      <c r="AD2" s="143"/>
      <c r="AE2" s="143"/>
      <c r="AH2" s="146"/>
      <c r="AJ2" s="146"/>
      <c r="AL2" s="141" t="s">
        <v>72</v>
      </c>
      <c r="AM2" s="146"/>
    </row>
    <row r="3" spans="1:51" s="165" customFormat="1" ht="30" x14ac:dyDescent="0.25">
      <c r="C3" s="141" t="s">
        <v>187</v>
      </c>
      <c r="D3" s="142" t="s">
        <v>188</v>
      </c>
      <c r="E3" s="141" t="s">
        <v>187</v>
      </c>
      <c r="F3" s="144" t="s">
        <v>188</v>
      </c>
      <c r="G3" s="141" t="s">
        <v>187</v>
      </c>
      <c r="H3" s="144" t="s">
        <v>189</v>
      </c>
      <c r="I3" s="144" t="s">
        <v>187</v>
      </c>
      <c r="J3" s="142"/>
      <c r="K3" s="142" t="s">
        <v>188</v>
      </c>
      <c r="L3" s="141" t="s">
        <v>187</v>
      </c>
      <c r="M3" s="126" t="s">
        <v>214</v>
      </c>
      <c r="N3" s="126" t="s">
        <v>217</v>
      </c>
      <c r="O3" s="144" t="s">
        <v>189</v>
      </c>
      <c r="P3" s="144" t="s">
        <v>187</v>
      </c>
      <c r="Q3" s="143"/>
      <c r="R3" s="142"/>
      <c r="S3" s="144" t="s">
        <v>188</v>
      </c>
      <c r="T3" s="145" t="s">
        <v>187</v>
      </c>
      <c r="U3" s="126" t="s">
        <v>214</v>
      </c>
      <c r="V3" s="126" t="s">
        <v>217</v>
      </c>
      <c r="W3" s="144" t="s">
        <v>189</v>
      </c>
      <c r="X3" s="144" t="s">
        <v>187</v>
      </c>
      <c r="Y3" s="142"/>
      <c r="Z3" s="142"/>
      <c r="AA3" s="142" t="s">
        <v>188</v>
      </c>
      <c r="AB3" s="142" t="s">
        <v>188</v>
      </c>
      <c r="AC3" s="141" t="s">
        <v>187</v>
      </c>
      <c r="AD3" s="126" t="s">
        <v>214</v>
      </c>
      <c r="AE3" s="126" t="s">
        <v>217</v>
      </c>
      <c r="AF3" s="144" t="s">
        <v>189</v>
      </c>
      <c r="AG3" s="144" t="s">
        <v>187</v>
      </c>
      <c r="AH3" s="146"/>
      <c r="AI3" s="142"/>
      <c r="AJ3" s="146" t="s">
        <v>188</v>
      </c>
      <c r="AK3" s="142" t="s">
        <v>188</v>
      </c>
      <c r="AL3" s="141" t="s">
        <v>188</v>
      </c>
      <c r="AM3" s="146" t="s">
        <v>188</v>
      </c>
    </row>
    <row r="4" spans="1:51" s="157" customFormat="1" ht="75" x14ac:dyDescent="0.25">
      <c r="A4" s="158" t="s">
        <v>215</v>
      </c>
      <c r="C4" s="124" t="s">
        <v>52</v>
      </c>
      <c r="D4" s="125" t="s">
        <v>184</v>
      </c>
      <c r="E4" s="124" t="s">
        <v>102</v>
      </c>
      <c r="F4" s="125" t="s">
        <v>185</v>
      </c>
      <c r="G4" s="124" t="s">
        <v>186</v>
      </c>
      <c r="H4" s="126" t="s">
        <v>174</v>
      </c>
      <c r="I4" s="127" t="s">
        <v>105</v>
      </c>
      <c r="J4" s="125"/>
      <c r="K4" s="125" t="s">
        <v>211</v>
      </c>
      <c r="L4" s="124" t="s">
        <v>39</v>
      </c>
      <c r="M4" s="156" t="s">
        <v>219</v>
      </c>
      <c r="N4" s="156"/>
      <c r="O4" s="127" t="s">
        <v>175</v>
      </c>
      <c r="P4" s="156" t="s">
        <v>216</v>
      </c>
      <c r="Q4" s="126"/>
      <c r="R4" s="125"/>
      <c r="S4" s="127" t="s">
        <v>212</v>
      </c>
      <c r="T4" s="128" t="s">
        <v>36</v>
      </c>
      <c r="U4" s="156" t="s">
        <v>213</v>
      </c>
      <c r="V4" s="156"/>
      <c r="W4" s="127" t="s">
        <v>175</v>
      </c>
      <c r="X4" s="156" t="s">
        <v>216</v>
      </c>
      <c r="Y4" s="125"/>
      <c r="Z4" s="125"/>
      <c r="AA4" s="125" t="s">
        <v>193</v>
      </c>
      <c r="AB4" s="125" t="s">
        <v>194</v>
      </c>
      <c r="AC4" s="124" t="s">
        <v>36</v>
      </c>
      <c r="AD4" s="156" t="s">
        <v>213</v>
      </c>
      <c r="AE4" s="156"/>
      <c r="AF4" s="127" t="s">
        <v>175</v>
      </c>
      <c r="AG4" s="156" t="s">
        <v>216</v>
      </c>
      <c r="AH4" s="129"/>
      <c r="AI4" s="125"/>
      <c r="AJ4" s="129" t="s">
        <v>191</v>
      </c>
      <c r="AK4" s="125" t="s">
        <v>192</v>
      </c>
      <c r="AL4" s="124" t="s">
        <v>191</v>
      </c>
      <c r="AM4" s="129" t="s">
        <v>192</v>
      </c>
      <c r="AP4" s="168" t="s">
        <v>218</v>
      </c>
      <c r="AQ4" s="125" t="s">
        <v>190</v>
      </c>
      <c r="AR4" s="157" t="s">
        <v>37</v>
      </c>
      <c r="AS4" s="157" t="s">
        <v>206</v>
      </c>
      <c r="AT4" s="157" t="s">
        <v>45</v>
      </c>
      <c r="AU4" s="157" t="s">
        <v>207</v>
      </c>
      <c r="AV4" s="157" t="s">
        <v>208</v>
      </c>
      <c r="AW4" s="157" t="s">
        <v>209</v>
      </c>
      <c r="AX4" s="157" t="s">
        <v>210</v>
      </c>
    </row>
    <row r="5" spans="1:51" x14ac:dyDescent="0.25">
      <c r="A5" s="130" t="s">
        <v>204</v>
      </c>
      <c r="C5" s="154">
        <f>Model!$AD$14</f>
        <v>3321768</v>
      </c>
      <c r="D5" s="55">
        <f>Model!$AD$17</f>
        <v>0.38461538461538458</v>
      </c>
      <c r="E5" s="155">
        <f>D5*C5</f>
        <v>1277603.0769230768</v>
      </c>
      <c r="F5" s="55">
        <f>Model!$AD$28</f>
        <v>1</v>
      </c>
      <c r="G5" s="155">
        <f>F5*E5</f>
        <v>1277603.0769230768</v>
      </c>
      <c r="H5" s="111">
        <f>INDEX(Model!$AD$33:$AD$36,MATCH($J5,Model!$AB$33:$AB$36,0))</f>
        <v>0.13950000000000001</v>
      </c>
      <c r="I5" s="132">
        <f>G5*H5</f>
        <v>178225.62923076923</v>
      </c>
      <c r="J5" s="55" t="s">
        <v>27</v>
      </c>
      <c r="K5" s="111">
        <f>INDEX(Model!$AD$37:$AD$40,MATCH($J5,Model!$AB$33:$AB$36,0))</f>
        <v>88.687168672720716</v>
      </c>
      <c r="L5" s="131">
        <f>K5*I5</f>
        <v>15806326.441391015</v>
      </c>
      <c r="M5" s="132">
        <f>'Example calcs 2000'!N5*0.95</f>
        <v>0</v>
      </c>
      <c r="N5" s="132">
        <f>L5-SUMPRODUCT(M$5:M$104*($J$5:$J$104=$J5)*R$5:R$104)</f>
        <v>2780738.9181738812</v>
      </c>
      <c r="O5" s="132">
        <f>IFERROR(INDEX($AQ$5:$AQ$7,MATCH(Q5,$AP$5:$AP$7,0))/SUM($AQ$5:$AQ$7),"")</f>
        <v>4.0757259630805254E-9</v>
      </c>
      <c r="P5" s="132">
        <f>IFERROR(N5*O5,0)+M5</f>
        <v>1.133352980534974E-2</v>
      </c>
      <c r="Q5" s="111" t="s">
        <v>33</v>
      </c>
      <c r="R5" s="53">
        <f>IF(Q5&lt;&gt;Q4,1,0)</f>
        <v>1</v>
      </c>
      <c r="S5" s="111">
        <f>INDEX(Model!$AD$54:$AD$118,MATCH($Q5,Model!$AB$54:$AB$118,0)+MATCH(Model!$Z$116,Model!$Z$54:$Z$118,0)-1)</f>
        <v>0.309</v>
      </c>
      <c r="T5" s="131">
        <f>P5*S5</f>
        <v>3.5020607098530695E-3</v>
      </c>
      <c r="U5" s="132">
        <f>'Example calcs 2000'!S5*0.8</f>
        <v>0</v>
      </c>
      <c r="V5" s="132">
        <f>T5-SUMPRODUCT(U$5:U$104*($J$5:$J$104=$J5)*($Q$5:$Q$104=$Q5)*Z$5:Z$104)</f>
        <v>3.5020607098530695E-3</v>
      </c>
      <c r="W5" s="132">
        <f>IFERROR(INDEX($AQ$9:$AQ$10,MATCH(Y5,$AP$9:$AP$10,0))/SUM($AQ$9:$AQ$10),"")</f>
        <v>4.1883053058948572E-2</v>
      </c>
      <c r="X5" s="132">
        <f t="shared" ref="X5:X68" si="0">IFERROR(V5*W5,0)+U5</f>
        <v>1.4667699452643521E-4</v>
      </c>
      <c r="Y5" s="55" t="s">
        <v>34</v>
      </c>
      <c r="Z5" s="53">
        <f>IF(Y5&lt;&gt;Y4,1,0)</f>
        <v>1</v>
      </c>
      <c r="AA5" s="55"/>
      <c r="AB5" s="55">
        <f>Model!$AC$137</f>
        <v>1</v>
      </c>
      <c r="AC5" s="131"/>
      <c r="AD5" s="132">
        <f>'Example calcs 2000'!Y5*0.8</f>
        <v>0</v>
      </c>
      <c r="AE5" s="132">
        <f>AC5-SUMPRODUCT(AD$5:AD$104*($J$5:$J$104=$J5)*($Q$5:$Q$104=$Q5)*($Y$5:$Y$104=$Y5)*AI$5:AI$104)</f>
        <v>0</v>
      </c>
      <c r="AF5" s="132" t="str">
        <f>IFERROR(INDEX($AQ$12:$AQ$14,MATCH(AH5,$AP$12:$AP$14,0))/SUM($AQ$12:$AQ$14),"")</f>
        <v/>
      </c>
      <c r="AG5" s="132">
        <f t="shared" ref="AG5:AG68" si="1">IFERROR(AE5*AF5,0)+AD5</f>
        <v>0</v>
      </c>
      <c r="AH5" s="112"/>
      <c r="AI5" s="53">
        <f>IF(AH5&lt;&gt;AH4,1,0)</f>
        <v>0</v>
      </c>
      <c r="AJ5" s="112"/>
      <c r="AK5" s="55"/>
      <c r="AL5" s="118">
        <f>AB5*X5+AJ5*AG5</f>
        <v>1.4667699452643521E-4</v>
      </c>
      <c r="AM5" s="112">
        <f>AK5*AG5</f>
        <v>0</v>
      </c>
      <c r="AP5" s="1" t="s">
        <v>33</v>
      </c>
      <c r="AQ5" s="140">
        <f t="shared" ref="AQ5:AQ7" si="2">(AS5*AT5/(1-(1+AT5)^(-AU5))+SUM(AV5:AX5))^-AR5</f>
        <v>2.3644047760233659E-37</v>
      </c>
      <c r="AR5">
        <f>Model!$AC$53</f>
        <v>10</v>
      </c>
      <c r="AS5" s="149">
        <f>Model!AD111</f>
        <v>18325</v>
      </c>
      <c r="AT5">
        <f>Model!AC110</f>
        <v>0.25</v>
      </c>
      <c r="AU5">
        <f>Model!AC109</f>
        <v>25</v>
      </c>
      <c r="AV5" s="149">
        <f>Model!AD112</f>
        <v>0</v>
      </c>
      <c r="AW5" s="149">
        <f>Model!AD113</f>
        <v>0</v>
      </c>
    </row>
    <row r="6" spans="1:51" x14ac:dyDescent="0.25">
      <c r="C6" s="170">
        <f>Model!$AD$14</f>
        <v>3321768</v>
      </c>
      <c r="D6" s="113">
        <f>Model!$AD$17</f>
        <v>0.38461538461538458</v>
      </c>
      <c r="E6" s="171">
        <f t="shared" ref="E6:E69" si="3">D6*C6</f>
        <v>1277603.0769230768</v>
      </c>
      <c r="F6" s="113">
        <f>Model!$AD$28</f>
        <v>1</v>
      </c>
      <c r="G6" s="171">
        <f t="shared" ref="G6:G69" si="4">F6*E6</f>
        <v>1277603.0769230768</v>
      </c>
      <c r="H6" s="114">
        <f>INDEX(Model!$AD$33:$AD$36,MATCH($J6,Model!$AB$33:$AB$36,0))</f>
        <v>0.13950000000000001</v>
      </c>
      <c r="I6" s="133">
        <f t="shared" ref="I6:I69" si="5">G6*H6</f>
        <v>178225.62923076923</v>
      </c>
      <c r="J6" s="113" t="s">
        <v>27</v>
      </c>
      <c r="K6" s="114">
        <f>INDEX(Model!$AD$37:$AD$40,MATCH($J6,Model!$AB$33:$AB$36,0))</f>
        <v>88.687168672720716</v>
      </c>
      <c r="L6" s="135">
        <f>K6*I6</f>
        <v>15806326.441391015</v>
      </c>
      <c r="M6" s="133">
        <f>'Example calcs 2000'!N6*0.95</f>
        <v>0</v>
      </c>
      <c r="N6" s="133">
        <f t="shared" ref="N6:N69" si="6">L6-SUMPRODUCT(M$5:M$104*($J$5:$J$104=$J6)*R$5:R$104)</f>
        <v>2780738.9181738812</v>
      </c>
      <c r="O6" s="133">
        <f t="shared" ref="O6:O69" si="7">IFERROR(INDEX($AQ$5:$AQ$7,MATCH(Q6,$AP$5:$AP$7,0))/SUM($AQ$5:$AQ$7),"")</f>
        <v>4.0757259630805254E-9</v>
      </c>
      <c r="P6" s="133">
        <f t="shared" ref="P6:P69" si="8">IFERROR(N6*O6,0)+M6</f>
        <v>1.133352980534974E-2</v>
      </c>
      <c r="Q6" s="114" t="s">
        <v>33</v>
      </c>
      <c r="R6" s="172">
        <f t="shared" ref="R6:R69" si="9">IF(Q6&lt;&gt;Q5,1,0)</f>
        <v>0</v>
      </c>
      <c r="S6" s="114">
        <f>INDEX(Model!$AD$54:$AD$118,MATCH($Q6,Model!$AB$54:$AB$118,0)+MATCH(Model!$Z$116,Model!$Z$54:$Z$118,0)-1)</f>
        <v>0.309</v>
      </c>
      <c r="T6" s="135">
        <f t="shared" ref="T6:T69" si="10">P6*S6</f>
        <v>3.5020607098530695E-3</v>
      </c>
      <c r="U6" s="133">
        <f>'Example calcs 2000'!S6*0.8</f>
        <v>0</v>
      </c>
      <c r="V6" s="133">
        <f t="shared" ref="V6:V69" si="11">T6-SUMPRODUCT(U$5:U$104*($J$5:$J$104=$J6)*($Q$5:$Q$104=$Q6)*Z$5:Z$104)</f>
        <v>3.5020607098530695E-3</v>
      </c>
      <c r="W6" s="133">
        <f t="shared" ref="W6:W69" si="12">IFERROR(INDEX($AQ$9:$AQ$10,MATCH(Y6,$AP$9:$AP$10,0))/SUM($AQ$9:$AQ$10),"")</f>
        <v>0.95811694694105154</v>
      </c>
      <c r="X6" s="133">
        <f t="shared" si="0"/>
        <v>3.3553837153266347E-3</v>
      </c>
      <c r="Y6" s="113" t="s">
        <v>35</v>
      </c>
      <c r="Z6" s="172">
        <f t="shared" ref="Z6:Z69" si="13">IF(Y6&lt;&gt;Y5,1,0)</f>
        <v>1</v>
      </c>
      <c r="AA6" s="113">
        <f>Model!$AC$147</f>
        <v>1</v>
      </c>
      <c r="AB6" s="113"/>
      <c r="AC6" s="135">
        <f>X6*AA6</f>
        <v>3.3553837153266347E-3</v>
      </c>
      <c r="AD6" s="133">
        <f>'Example calcs 2000'!Y6*0.8</f>
        <v>0</v>
      </c>
      <c r="AE6" s="133">
        <f t="shared" ref="AE6:AE69" si="14">AC6-SUMPRODUCT(AD$5:AD$104*($J$5:$J$104=$J6)*($Q$5:$Q$104=$Q6)*($Y$5:$Y$104=$Y6)*AI$5:AI$104)</f>
        <v>3.3553837153266347E-3</v>
      </c>
      <c r="AF6" s="153"/>
      <c r="AG6" s="133">
        <f t="shared" si="1"/>
        <v>0</v>
      </c>
      <c r="AH6" s="113" t="s">
        <v>67</v>
      </c>
      <c r="AI6" s="172">
        <f t="shared" ref="AI6:AI69" si="15">IF(AH6&lt;&gt;AH5,1,0)</f>
        <v>1</v>
      </c>
      <c r="AJ6" s="113">
        <f>Model!$AC$178</f>
        <v>0.52600000000000002</v>
      </c>
      <c r="AK6" s="113"/>
      <c r="AL6" s="119">
        <f t="shared" ref="AL6:AL69" si="16">AB6*X6+AJ6*AG6</f>
        <v>0</v>
      </c>
      <c r="AM6" s="113">
        <f t="shared" ref="AM6:AM69" si="17">AK6*AG6</f>
        <v>0</v>
      </c>
      <c r="AP6" s="1" t="s">
        <v>32</v>
      </c>
      <c r="AQ6" s="140">
        <f t="shared" si="2"/>
        <v>5.9218915519278998E-35</v>
      </c>
      <c r="AR6">
        <f>Model!$AC$53</f>
        <v>10</v>
      </c>
      <c r="AS6" s="149">
        <f>Model!AD98</f>
        <v>10548</v>
      </c>
      <c r="AT6">
        <f>Model!AC97</f>
        <v>0.25</v>
      </c>
      <c r="AU6">
        <f>Model!AC96</f>
        <v>25</v>
      </c>
      <c r="AV6" s="149">
        <f>Model!AD99</f>
        <v>0</v>
      </c>
      <c r="AW6" s="149">
        <f>Model!AD100</f>
        <v>0</v>
      </c>
    </row>
    <row r="7" spans="1:51" x14ac:dyDescent="0.25">
      <c r="C7" s="154">
        <f>Model!$AD$14</f>
        <v>3321768</v>
      </c>
      <c r="D7" s="55">
        <f>Model!$AD$17</f>
        <v>0.38461538461538458</v>
      </c>
      <c r="E7" s="155">
        <f t="shared" si="3"/>
        <v>1277603.0769230768</v>
      </c>
      <c r="F7" s="55">
        <f>Model!$AD$28</f>
        <v>1</v>
      </c>
      <c r="G7" s="155">
        <f t="shared" si="4"/>
        <v>1277603.0769230768</v>
      </c>
      <c r="H7" s="111">
        <f>INDEX(Model!$AD$33:$AD$36,MATCH($J7,Model!$AB$33:$AB$36,0))</f>
        <v>0.13950000000000001</v>
      </c>
      <c r="I7" s="132">
        <f t="shared" si="5"/>
        <v>178225.62923076923</v>
      </c>
      <c r="J7" s="55" t="s">
        <v>27</v>
      </c>
      <c r="K7" s="111">
        <f>INDEX(Model!$AD$37:$AD$40,MATCH($J7,Model!$AB$33:$AB$36,0))</f>
        <v>88.687168672720716</v>
      </c>
      <c r="L7" s="131">
        <f>K7*I7</f>
        <v>15806326.441391015</v>
      </c>
      <c r="M7" s="132">
        <f>'Example calcs 2000'!N7*0.95</f>
        <v>0</v>
      </c>
      <c r="N7" s="132">
        <f t="shared" si="6"/>
        <v>2780738.9181738812</v>
      </c>
      <c r="O7" s="132">
        <f t="shared" si="7"/>
        <v>4.0757259630805254E-9</v>
      </c>
      <c r="P7" s="132">
        <f t="shared" si="8"/>
        <v>1.133352980534974E-2</v>
      </c>
      <c r="Q7" s="111" t="s">
        <v>33</v>
      </c>
      <c r="R7" s="53">
        <f t="shared" si="9"/>
        <v>0</v>
      </c>
      <c r="S7" s="111">
        <f>INDEX(Model!$AD$54:$AD$118,MATCH($Q7,Model!$AB$54:$AB$118,0)+MATCH(Model!$Z$116,Model!$Z$54:$Z$118,0)-1)</f>
        <v>0.309</v>
      </c>
      <c r="T7" s="131">
        <f t="shared" si="10"/>
        <v>3.5020607098530695E-3</v>
      </c>
      <c r="U7" s="132">
        <f>'Example calcs 2000'!S7*0.8</f>
        <v>0</v>
      </c>
      <c r="V7" s="132">
        <f t="shared" si="11"/>
        <v>3.5020607098530695E-3</v>
      </c>
      <c r="W7" s="132">
        <f t="shared" si="12"/>
        <v>0.95811694694105154</v>
      </c>
      <c r="X7" s="132">
        <f t="shared" si="0"/>
        <v>3.3553837153266347E-3</v>
      </c>
      <c r="Y7" s="55" t="s">
        <v>35</v>
      </c>
      <c r="Z7" s="53">
        <f t="shared" si="13"/>
        <v>0</v>
      </c>
      <c r="AA7" s="55">
        <f>Model!$AC$147</f>
        <v>1</v>
      </c>
      <c r="AB7" s="55"/>
      <c r="AC7" s="131">
        <f>X7*AA7</f>
        <v>3.3553837153266347E-3</v>
      </c>
      <c r="AD7" s="132">
        <f>'Example calcs 2000'!Y7*0.8</f>
        <v>0</v>
      </c>
      <c r="AE7" s="132">
        <f t="shared" si="14"/>
        <v>3.3553837153266347E-3</v>
      </c>
      <c r="AF7" s="137">
        <f>IFERROR(INDEX($AQ$12:$AQ$13,MATCH(AH7,$AP$12:$AP$13,0))/SUM($AQ$12:$AQ$13),"")</f>
        <v>5.5114018144655976E-7</v>
      </c>
      <c r="AG7" s="132">
        <f t="shared" si="1"/>
        <v>1.8492867896879532E-9</v>
      </c>
      <c r="AH7" s="112" t="s">
        <v>144</v>
      </c>
      <c r="AI7" s="53">
        <f t="shared" si="15"/>
        <v>1</v>
      </c>
      <c r="AJ7" s="112">
        <f>Model!$AC$191</f>
        <v>0.4</v>
      </c>
      <c r="AK7" s="55"/>
      <c r="AL7" s="118">
        <f t="shared" si="16"/>
        <v>7.3971471587518132E-10</v>
      </c>
      <c r="AM7" s="112">
        <f t="shared" si="17"/>
        <v>0</v>
      </c>
      <c r="AP7" s="1" t="s">
        <v>31</v>
      </c>
      <c r="AQ7" s="140">
        <f t="shared" si="2"/>
        <v>5.8011808796853376E-29</v>
      </c>
      <c r="AR7">
        <f>Model!$AC$53</f>
        <v>10</v>
      </c>
      <c r="AS7" s="149">
        <f>Model!AD85</f>
        <v>2655</v>
      </c>
      <c r="AT7">
        <f>Model!AC84</f>
        <v>0.25</v>
      </c>
      <c r="AU7">
        <f>Model!AC83</f>
        <v>25</v>
      </c>
      <c r="AV7" s="149">
        <f>Model!AD86</f>
        <v>0</v>
      </c>
      <c r="AW7" s="149">
        <f>Model!AD87</f>
        <v>0</v>
      </c>
    </row>
    <row r="8" spans="1:51" x14ac:dyDescent="0.25">
      <c r="A8" s="138" t="s">
        <v>145</v>
      </c>
      <c r="C8" s="154">
        <f>Model!$AD$14</f>
        <v>3321768</v>
      </c>
      <c r="D8" s="55">
        <f>Model!$AD$17</f>
        <v>0.38461538461538458</v>
      </c>
      <c r="E8" s="155">
        <f t="shared" si="3"/>
        <v>1277603.0769230768</v>
      </c>
      <c r="F8" s="55">
        <f>Model!$AD$28</f>
        <v>1</v>
      </c>
      <c r="G8" s="155">
        <f t="shared" si="4"/>
        <v>1277603.0769230768</v>
      </c>
      <c r="H8" s="111">
        <f>INDEX(Model!$AD$33:$AD$36,MATCH($J8,Model!$AB$33:$AB$36,0))</f>
        <v>0.13950000000000001</v>
      </c>
      <c r="I8" s="132">
        <f t="shared" si="5"/>
        <v>178225.62923076923</v>
      </c>
      <c r="J8" s="55" t="s">
        <v>27</v>
      </c>
      <c r="K8" s="111">
        <f>INDEX(Model!$AD$37:$AD$40,MATCH($J8,Model!$AB$33:$AB$36,0))</f>
        <v>88.687168672720716</v>
      </c>
      <c r="L8" s="131">
        <f>K8*I8</f>
        <v>15806326.441391015</v>
      </c>
      <c r="M8" s="132">
        <f>'Example calcs 2000'!N8*0.95</f>
        <v>0</v>
      </c>
      <c r="N8" s="132">
        <f t="shared" si="6"/>
        <v>2780738.9181738812</v>
      </c>
      <c r="O8" s="132">
        <f t="shared" si="7"/>
        <v>4.0757259630805254E-9</v>
      </c>
      <c r="P8" s="132">
        <f t="shared" si="8"/>
        <v>1.133352980534974E-2</v>
      </c>
      <c r="Q8" s="111" t="s">
        <v>33</v>
      </c>
      <c r="R8" s="53">
        <f t="shared" si="9"/>
        <v>0</v>
      </c>
      <c r="S8" s="111">
        <f>INDEX(Model!$AD$54:$AD$118,MATCH($Q8,Model!$AB$54:$AB$118,0)+MATCH(Model!$Z$116,Model!$Z$54:$Z$118,0)-1)</f>
        <v>0.309</v>
      </c>
      <c r="T8" s="131">
        <f t="shared" si="10"/>
        <v>3.5020607098530695E-3</v>
      </c>
      <c r="U8" s="132">
        <f>'Example calcs 2000'!S8*0.8</f>
        <v>0</v>
      </c>
      <c r="V8" s="132">
        <f t="shared" si="11"/>
        <v>3.5020607098530695E-3</v>
      </c>
      <c r="W8" s="132">
        <f t="shared" si="12"/>
        <v>0.95811694694105154</v>
      </c>
      <c r="X8" s="132">
        <f t="shared" si="0"/>
        <v>3.3553837153266347E-3</v>
      </c>
      <c r="Y8" s="55" t="s">
        <v>35</v>
      </c>
      <c r="Z8" s="53">
        <f t="shared" si="13"/>
        <v>0</v>
      </c>
      <c r="AA8" s="55">
        <f>Model!$AC$147</f>
        <v>1</v>
      </c>
      <c r="AB8" s="55"/>
      <c r="AC8" s="131">
        <f>X8*AA8</f>
        <v>3.3553837153266347E-3</v>
      </c>
      <c r="AD8" s="132">
        <f>'Example calcs 2000'!Y8*0.8</f>
        <v>0</v>
      </c>
      <c r="AE8" s="132">
        <f t="shared" si="14"/>
        <v>3.3553837153266347E-3</v>
      </c>
      <c r="AF8" s="137" t="str">
        <f>IFERROR(INDEX($AQ$12:$AQ$13,MATCH(AH8,$AP$12:$AP$13,0))/SUM($AQ$12:$AQ$13),"")</f>
        <v/>
      </c>
      <c r="AG8" s="132">
        <f t="shared" si="1"/>
        <v>0</v>
      </c>
      <c r="AH8" s="112" t="s">
        <v>65</v>
      </c>
      <c r="AI8" s="53">
        <f t="shared" si="15"/>
        <v>1</v>
      </c>
      <c r="AJ8" s="112"/>
      <c r="AK8" s="55">
        <f>Model!$AC$164</f>
        <v>1.613</v>
      </c>
      <c r="AL8" s="118">
        <f t="shared" si="16"/>
        <v>0</v>
      </c>
      <c r="AM8" s="112">
        <f t="shared" si="17"/>
        <v>0</v>
      </c>
      <c r="AP8" s="1"/>
      <c r="AQ8" s="140"/>
    </row>
    <row r="9" spans="1:51" x14ac:dyDescent="0.25">
      <c r="A9" s="102" t="s">
        <v>195</v>
      </c>
      <c r="C9" s="154">
        <f>Model!$AD$14</f>
        <v>3321768</v>
      </c>
      <c r="D9" s="55">
        <f>Model!$AD$17</f>
        <v>0.38461538461538458</v>
      </c>
      <c r="E9" s="155">
        <f t="shared" si="3"/>
        <v>1277603.0769230768</v>
      </c>
      <c r="F9" s="55">
        <f>Model!$AD$28</f>
        <v>1</v>
      </c>
      <c r="G9" s="155">
        <f t="shared" si="4"/>
        <v>1277603.0769230768</v>
      </c>
      <c r="H9" s="111">
        <f>INDEX(Model!$AD$33:$AD$36,MATCH($J9,Model!$AB$33:$AB$36,0))</f>
        <v>0.13950000000000001</v>
      </c>
      <c r="I9" s="132">
        <f t="shared" si="5"/>
        <v>178225.62923076923</v>
      </c>
      <c r="J9" s="55" t="s">
        <v>27</v>
      </c>
      <c r="K9" s="111">
        <f>INDEX(Model!$AD$37:$AD$40,MATCH($J9,Model!$AB$33:$AB$36,0))</f>
        <v>88.687168672720716</v>
      </c>
      <c r="L9" s="131">
        <f>K9*I9</f>
        <v>15806326.441391015</v>
      </c>
      <c r="M9" s="132">
        <f>'Example calcs 2000'!N9*0.95</f>
        <v>0</v>
      </c>
      <c r="N9" s="132">
        <f t="shared" si="6"/>
        <v>2780738.9181738812</v>
      </c>
      <c r="O9" s="132">
        <f t="shared" si="7"/>
        <v>4.0757259630805254E-9</v>
      </c>
      <c r="P9" s="132">
        <f t="shared" si="8"/>
        <v>1.133352980534974E-2</v>
      </c>
      <c r="Q9" s="111" t="s">
        <v>33</v>
      </c>
      <c r="R9" s="53">
        <f t="shared" si="9"/>
        <v>0</v>
      </c>
      <c r="S9" s="111">
        <f>INDEX(Model!$AD$54:$AD$118,MATCH($Q9,Model!$AB$54:$AB$118,0)+MATCH(Model!$Z$116,Model!$Z$54:$Z$118,0)-1)</f>
        <v>0.309</v>
      </c>
      <c r="T9" s="131">
        <f t="shared" si="10"/>
        <v>3.5020607098530695E-3</v>
      </c>
      <c r="U9" s="132">
        <f>'Example calcs 2000'!S9*0.8</f>
        <v>0</v>
      </c>
      <c r="V9" s="132">
        <f t="shared" si="11"/>
        <v>3.5020607098530695E-3</v>
      </c>
      <c r="W9" s="132">
        <f t="shared" si="12"/>
        <v>0.95811694694105154</v>
      </c>
      <c r="X9" s="132">
        <f t="shared" si="0"/>
        <v>3.3553837153266347E-3</v>
      </c>
      <c r="Y9" s="55" t="s">
        <v>35</v>
      </c>
      <c r="Z9" s="53">
        <f t="shared" si="13"/>
        <v>0</v>
      </c>
      <c r="AA9" s="55">
        <f>Model!$AC$147</f>
        <v>1</v>
      </c>
      <c r="AB9" s="55"/>
      <c r="AC9" s="131">
        <f>X9*AA9</f>
        <v>3.3553837153266347E-3</v>
      </c>
      <c r="AD9" s="132">
        <f>'Example calcs 2000'!Y9*0.8</f>
        <v>0</v>
      </c>
      <c r="AE9" s="132">
        <f t="shared" si="14"/>
        <v>3.3553837153266347E-3</v>
      </c>
      <c r="AF9" s="137">
        <f>IFERROR(INDEX($AQ$12:$AQ$13,MATCH(AH9,$AP$12:$AP$13,0))/SUM($AQ$12:$AQ$13),"")</f>
        <v>0.99999944885981851</v>
      </c>
      <c r="AG9" s="132">
        <f t="shared" si="1"/>
        <v>3.355381866039845E-3</v>
      </c>
      <c r="AH9" s="112" t="s">
        <v>66</v>
      </c>
      <c r="AI9" s="53">
        <f t="shared" si="15"/>
        <v>1</v>
      </c>
      <c r="AJ9" s="112"/>
      <c r="AK9" s="55">
        <f>Model!$AC$204</f>
        <v>1.111</v>
      </c>
      <c r="AL9" s="118">
        <f t="shared" si="16"/>
        <v>0</v>
      </c>
      <c r="AM9" s="112">
        <f t="shared" si="17"/>
        <v>3.7278292531702679E-3</v>
      </c>
      <c r="AP9" s="1" t="s">
        <v>34</v>
      </c>
      <c r="AQ9" s="140">
        <f>(AS9*AT9/(1-(1+AT9)^(-AU9))+SUM(AV9:AX9))^-AR9</f>
        <v>4.1920840987895374E-29</v>
      </c>
      <c r="AR9">
        <f>Model!$AC$123</f>
        <v>10</v>
      </c>
      <c r="AS9" s="149">
        <f>Model!AD129</f>
        <v>2655</v>
      </c>
      <c r="AT9">
        <f>Model!AC128</f>
        <v>0.25</v>
      </c>
      <c r="AU9">
        <f>Model!AC127</f>
        <v>25</v>
      </c>
      <c r="AV9" s="149">
        <f>Model!AD130</f>
        <v>0</v>
      </c>
      <c r="AW9" s="149">
        <f>Model!AD131</f>
        <v>0</v>
      </c>
      <c r="AX9" s="169">
        <f>Model!AC132</f>
        <v>22</v>
      </c>
      <c r="AY9" t="s">
        <v>220</v>
      </c>
    </row>
    <row r="10" spans="1:51" x14ac:dyDescent="0.25">
      <c r="C10" s="154">
        <f>Model!$AD$14</f>
        <v>3321768</v>
      </c>
      <c r="D10" s="55">
        <f>Model!$AD$17</f>
        <v>0.38461538461538458</v>
      </c>
      <c r="E10" s="155">
        <f t="shared" si="3"/>
        <v>1277603.0769230768</v>
      </c>
      <c r="F10" s="55">
        <f>Model!$AD$28</f>
        <v>1</v>
      </c>
      <c r="G10" s="155">
        <f t="shared" si="4"/>
        <v>1277603.0769230768</v>
      </c>
      <c r="H10" s="111">
        <f>INDEX(Model!$AD$33:$AD$36,MATCH($J10,Model!$AB$33:$AB$36,0))</f>
        <v>0.13950000000000001</v>
      </c>
      <c r="I10" s="132">
        <f t="shared" si="5"/>
        <v>178225.62923076923</v>
      </c>
      <c r="J10" s="55" t="s">
        <v>27</v>
      </c>
      <c r="K10" s="111">
        <f>INDEX(Model!$AD$37:$AD$40,MATCH($J10,Model!$AB$33:$AB$36,0))</f>
        <v>88.687168672720716</v>
      </c>
      <c r="L10" s="131">
        <f>K10*I10</f>
        <v>15806326.441391015</v>
      </c>
      <c r="M10" s="132">
        <f>'Example calcs 2000'!N10*0.95</f>
        <v>10850314.406839872</v>
      </c>
      <c r="N10" s="132">
        <f t="shared" si="6"/>
        <v>2780738.9181738812</v>
      </c>
      <c r="O10" s="132" t="str">
        <f t="shared" si="7"/>
        <v/>
      </c>
      <c r="P10" s="132">
        <f t="shared" si="8"/>
        <v>10850314.406839872</v>
      </c>
      <c r="Q10" s="111" t="s">
        <v>29</v>
      </c>
      <c r="R10" s="53">
        <f t="shared" si="9"/>
        <v>1</v>
      </c>
      <c r="S10" s="111">
        <f>INDEX(Model!$AD$54:$AD$118,MATCH($Q10,Model!$AB$54:$AB$118,0)+MATCH(Model!$Z$116,Model!$Z$54:$Z$118,0)-1)</f>
        <v>0.63300000000000001</v>
      </c>
      <c r="T10" s="131">
        <f t="shared" si="10"/>
        <v>6868249.0195296388</v>
      </c>
      <c r="U10" s="132">
        <f>'Example calcs 2000'!S10*0.8</f>
        <v>31986.537495686978</v>
      </c>
      <c r="V10" s="132">
        <f t="shared" si="11"/>
        <v>1084460.3715046793</v>
      </c>
      <c r="W10" s="132">
        <f t="shared" si="12"/>
        <v>4.1883053058948572E-2</v>
      </c>
      <c r="X10" s="132">
        <f t="shared" si="0"/>
        <v>77407.048775744537</v>
      </c>
      <c r="Y10" s="55" t="s">
        <v>34</v>
      </c>
      <c r="Z10" s="53">
        <f t="shared" si="13"/>
        <v>1</v>
      </c>
      <c r="AA10" s="55"/>
      <c r="AB10" s="55">
        <f>Model!$AC$137</f>
        <v>1</v>
      </c>
      <c r="AC10" s="131"/>
      <c r="AD10" s="132">
        <f>'Example calcs 2000'!Y10*0.8</f>
        <v>0</v>
      </c>
      <c r="AE10" s="132">
        <f t="shared" si="14"/>
        <v>0</v>
      </c>
      <c r="AF10" s="132" t="str">
        <f t="shared" ref="AF6:AF69" si="18">IFERROR(INDEX($AQ$12:$AQ$14,MATCH(AH10,$AP$12:$AP$14,0))/SUM($AQ$12:$AQ$14),"")</f>
        <v/>
      </c>
      <c r="AG10" s="132">
        <f t="shared" si="1"/>
        <v>0</v>
      </c>
      <c r="AH10" s="112"/>
      <c r="AI10" s="53">
        <f t="shared" si="15"/>
        <v>1</v>
      </c>
      <c r="AJ10" s="112"/>
      <c r="AK10" s="55"/>
      <c r="AL10" s="118">
        <f t="shared" si="16"/>
        <v>77407.048775744537</v>
      </c>
      <c r="AM10" s="112">
        <f t="shared" si="17"/>
        <v>0</v>
      </c>
      <c r="AP10" s="1" t="s">
        <v>35</v>
      </c>
      <c r="AQ10" s="140">
        <f>Model!AC142^-AR10</f>
        <v>9.5898138380678763E-28</v>
      </c>
      <c r="AR10">
        <f>Model!$AC$123</f>
        <v>10</v>
      </c>
    </row>
    <row r="11" spans="1:51" x14ac:dyDescent="0.25">
      <c r="A11" s="139" t="s">
        <v>205</v>
      </c>
      <c r="C11" s="170">
        <f>Model!$AD$14</f>
        <v>3321768</v>
      </c>
      <c r="D11" s="113">
        <f>Model!$AD$17</f>
        <v>0.38461538461538458</v>
      </c>
      <c r="E11" s="171">
        <f t="shared" si="3"/>
        <v>1277603.0769230768</v>
      </c>
      <c r="F11" s="113">
        <f>Model!$AD$28</f>
        <v>1</v>
      </c>
      <c r="G11" s="171">
        <f t="shared" si="4"/>
        <v>1277603.0769230768</v>
      </c>
      <c r="H11" s="114">
        <f>INDEX(Model!$AD$33:$AD$36,MATCH($J11,Model!$AB$33:$AB$36,0))</f>
        <v>0.13950000000000001</v>
      </c>
      <c r="I11" s="133">
        <f t="shared" si="5"/>
        <v>178225.62923076923</v>
      </c>
      <c r="J11" s="113" t="s">
        <v>27</v>
      </c>
      <c r="K11" s="114">
        <f>INDEX(Model!$AD$37:$AD$40,MATCH($J11,Model!$AB$33:$AB$36,0))</f>
        <v>88.687168672720716</v>
      </c>
      <c r="L11" s="135">
        <f>K11*I11</f>
        <v>15806326.441391015</v>
      </c>
      <c r="M11" s="133">
        <f>'Example calcs 2000'!N11*0.95</f>
        <v>10850314.406839872</v>
      </c>
      <c r="N11" s="133">
        <f t="shared" si="6"/>
        <v>2780738.9181738812</v>
      </c>
      <c r="O11" s="133" t="str">
        <f t="shared" si="7"/>
        <v/>
      </c>
      <c r="P11" s="133">
        <f t="shared" si="8"/>
        <v>10850314.406839872</v>
      </c>
      <c r="Q11" s="114" t="s">
        <v>29</v>
      </c>
      <c r="R11" s="172">
        <f t="shared" si="9"/>
        <v>0</v>
      </c>
      <c r="S11" s="114">
        <f>INDEX(Model!$AD$54:$AD$118,MATCH($Q11,Model!$AB$54:$AB$118,0)+MATCH(Model!$Z$116,Model!$Z$54:$Z$118,0)-1)</f>
        <v>0.63300000000000001</v>
      </c>
      <c r="T11" s="135">
        <f t="shared" si="10"/>
        <v>6868249.0195296388</v>
      </c>
      <c r="U11" s="133">
        <f>'Example calcs 2000'!S11*0.8</f>
        <v>5751802.1105292728</v>
      </c>
      <c r="V11" s="133">
        <f t="shared" si="11"/>
        <v>1084460.3715046793</v>
      </c>
      <c r="W11" s="133">
        <f t="shared" si="12"/>
        <v>0.95811694694105154</v>
      </c>
      <c r="X11" s="133">
        <f t="shared" si="0"/>
        <v>6790841.9707538951</v>
      </c>
      <c r="Y11" s="113" t="s">
        <v>35</v>
      </c>
      <c r="Z11" s="172">
        <f t="shared" si="13"/>
        <v>1</v>
      </c>
      <c r="AA11" s="113">
        <f>Model!$AC$147</f>
        <v>1</v>
      </c>
      <c r="AB11" s="113"/>
      <c r="AC11" s="135">
        <f>X11*AA11</f>
        <v>6790841.9707538951</v>
      </c>
      <c r="AD11" s="133">
        <f>'Example calcs 2000'!Y11*0.8</f>
        <v>0</v>
      </c>
      <c r="AE11" s="133">
        <f t="shared" si="14"/>
        <v>1039039.8602246214</v>
      </c>
      <c r="AF11" s="153"/>
      <c r="AG11" s="133">
        <f t="shared" si="1"/>
        <v>0</v>
      </c>
      <c r="AH11" s="113" t="s">
        <v>67</v>
      </c>
      <c r="AI11" s="172">
        <f t="shared" si="15"/>
        <v>1</v>
      </c>
      <c r="AJ11" s="113">
        <f>Model!$AC$178</f>
        <v>0.52600000000000002</v>
      </c>
      <c r="AK11" s="113"/>
      <c r="AL11" s="119">
        <f t="shared" si="16"/>
        <v>0</v>
      </c>
      <c r="AM11" s="113">
        <f t="shared" si="17"/>
        <v>0</v>
      </c>
      <c r="AP11" s="1"/>
      <c r="AQ11" s="140"/>
    </row>
    <row r="12" spans="1:51" x14ac:dyDescent="0.25">
      <c r="C12" s="154">
        <f>Model!$AD$14</f>
        <v>3321768</v>
      </c>
      <c r="D12" s="55">
        <f>Model!$AD$17</f>
        <v>0.38461538461538458</v>
      </c>
      <c r="E12" s="155">
        <f t="shared" si="3"/>
        <v>1277603.0769230768</v>
      </c>
      <c r="F12" s="55">
        <f>Model!$AD$28</f>
        <v>1</v>
      </c>
      <c r="G12" s="155">
        <f t="shared" si="4"/>
        <v>1277603.0769230768</v>
      </c>
      <c r="H12" s="111">
        <f>INDEX(Model!$AD$33:$AD$36,MATCH($J12,Model!$AB$33:$AB$36,0))</f>
        <v>0.13950000000000001</v>
      </c>
      <c r="I12" s="132">
        <f t="shared" si="5"/>
        <v>178225.62923076923</v>
      </c>
      <c r="J12" s="55" t="s">
        <v>27</v>
      </c>
      <c r="K12" s="111">
        <f>INDEX(Model!$AD$37:$AD$40,MATCH($J12,Model!$AB$33:$AB$36,0))</f>
        <v>88.687168672720716</v>
      </c>
      <c r="L12" s="131">
        <f>K12*I12</f>
        <v>15806326.441391015</v>
      </c>
      <c r="M12" s="132">
        <f>'Example calcs 2000'!N12*0.95</f>
        <v>10850314.406839872</v>
      </c>
      <c r="N12" s="132">
        <f t="shared" si="6"/>
        <v>2780738.9181738812</v>
      </c>
      <c r="O12" s="132" t="str">
        <f t="shared" si="7"/>
        <v/>
      </c>
      <c r="P12" s="132">
        <f t="shared" si="8"/>
        <v>10850314.406839872</v>
      </c>
      <c r="Q12" s="111" t="s">
        <v>29</v>
      </c>
      <c r="R12" s="53">
        <f t="shared" si="9"/>
        <v>0</v>
      </c>
      <c r="S12" s="111">
        <f>INDEX(Model!$AD$54:$AD$118,MATCH($Q12,Model!$AB$54:$AB$118,0)+MATCH(Model!$Z$116,Model!$Z$54:$Z$118,0)-1)</f>
        <v>0.63300000000000001</v>
      </c>
      <c r="T12" s="131">
        <f t="shared" si="10"/>
        <v>6868249.0195296388</v>
      </c>
      <c r="U12" s="132">
        <f>'Example calcs 2000'!S12*0.8</f>
        <v>5751802.1105292728</v>
      </c>
      <c r="V12" s="132">
        <f t="shared" si="11"/>
        <v>1084460.3715046793</v>
      </c>
      <c r="W12" s="132">
        <f t="shared" si="12"/>
        <v>0.95811694694105154</v>
      </c>
      <c r="X12" s="132">
        <f t="shared" si="0"/>
        <v>6790841.9707538951</v>
      </c>
      <c r="Y12" s="55" t="s">
        <v>35</v>
      </c>
      <c r="Z12" s="53">
        <f t="shared" si="13"/>
        <v>0</v>
      </c>
      <c r="AA12" s="55">
        <f>Model!$AC$147</f>
        <v>1</v>
      </c>
      <c r="AB12" s="55"/>
      <c r="AC12" s="131">
        <f>X12*AA12</f>
        <v>6790841.9707538951</v>
      </c>
      <c r="AD12" s="132">
        <f>'Example calcs 2000'!Y12*0.8</f>
        <v>0</v>
      </c>
      <c r="AE12" s="132">
        <f t="shared" si="14"/>
        <v>1039039.8602246214</v>
      </c>
      <c r="AF12" s="137">
        <f>IFERROR(INDEX($AQ$12:$AQ$13,MATCH(AH12,$AP$12:$AP$13,0))/SUM($AQ$12:$AQ$13),"")</f>
        <v>5.5114018144655976E-7</v>
      </c>
      <c r="AG12" s="132">
        <f t="shared" si="1"/>
        <v>0.57265661709440596</v>
      </c>
      <c r="AH12" s="112" t="s">
        <v>144</v>
      </c>
      <c r="AI12" s="53">
        <f t="shared" si="15"/>
        <v>1</v>
      </c>
      <c r="AJ12" s="112">
        <f>Model!$AC$191</f>
        <v>0.4</v>
      </c>
      <c r="AK12" s="113"/>
      <c r="AL12" s="118">
        <f t="shared" si="16"/>
        <v>0.2290626468377624</v>
      </c>
      <c r="AM12" s="112">
        <f t="shared" si="17"/>
        <v>0</v>
      </c>
      <c r="AP12" s="1" t="s">
        <v>144</v>
      </c>
      <c r="AQ12" s="140">
        <f>(AS12*AT12/(1-(1+AT12)^(-AU12))+SUM(AV12:AX12))^-AR12</f>
        <v>1.2632895040547378E-36</v>
      </c>
      <c r="AR12">
        <f>Model!$AC$153</f>
        <v>10</v>
      </c>
      <c r="AS12" s="149">
        <f>Model!AD185</f>
        <v>15521</v>
      </c>
      <c r="AT12">
        <f>Model!AC184</f>
        <v>0.25</v>
      </c>
      <c r="AU12">
        <f>Model!AC183</f>
        <v>50</v>
      </c>
      <c r="AV12" s="149">
        <f>Model!AD186</f>
        <v>0</v>
      </c>
      <c r="AW12" s="149">
        <f>Model!AD187</f>
        <v>0</v>
      </c>
      <c r="AX12" s="169">
        <f>Model!AC188</f>
        <v>8.8000000000000007</v>
      </c>
      <c r="AY12" t="s">
        <v>220</v>
      </c>
    </row>
    <row r="13" spans="1:51" x14ac:dyDescent="0.25">
      <c r="C13" s="154">
        <f>Model!$AD$14</f>
        <v>3321768</v>
      </c>
      <c r="D13" s="55">
        <f>Model!$AD$17</f>
        <v>0.38461538461538458</v>
      </c>
      <c r="E13" s="155">
        <f t="shared" si="3"/>
        <v>1277603.0769230768</v>
      </c>
      <c r="F13" s="55">
        <f>Model!$AD$28</f>
        <v>1</v>
      </c>
      <c r="G13" s="155">
        <f t="shared" si="4"/>
        <v>1277603.0769230768</v>
      </c>
      <c r="H13" s="111">
        <f>INDEX(Model!$AD$33:$AD$36,MATCH($J13,Model!$AB$33:$AB$36,0))</f>
        <v>0.13950000000000001</v>
      </c>
      <c r="I13" s="132">
        <f t="shared" si="5"/>
        <v>178225.62923076923</v>
      </c>
      <c r="J13" s="55" t="s">
        <v>27</v>
      </c>
      <c r="K13" s="111">
        <f>INDEX(Model!$AD$37:$AD$40,MATCH($J13,Model!$AB$33:$AB$36,0))</f>
        <v>88.687168672720716</v>
      </c>
      <c r="L13" s="131">
        <f>K13*I13</f>
        <v>15806326.441391015</v>
      </c>
      <c r="M13" s="132">
        <f>'Example calcs 2000'!N13*0.95</f>
        <v>10850314.406839872</v>
      </c>
      <c r="N13" s="132">
        <f t="shared" si="6"/>
        <v>2780738.9181738812</v>
      </c>
      <c r="O13" s="132" t="str">
        <f t="shared" si="7"/>
        <v/>
      </c>
      <c r="P13" s="132">
        <f t="shared" si="8"/>
        <v>10850314.406839872</v>
      </c>
      <c r="Q13" s="111" t="s">
        <v>29</v>
      </c>
      <c r="R13" s="53">
        <f t="shared" si="9"/>
        <v>0</v>
      </c>
      <c r="S13" s="111">
        <f>INDEX(Model!$AD$54:$AD$118,MATCH($Q13,Model!$AB$54:$AB$118,0)+MATCH(Model!$Z$116,Model!$Z$54:$Z$118,0)-1)</f>
        <v>0.63300000000000001</v>
      </c>
      <c r="T13" s="131">
        <f t="shared" si="10"/>
        <v>6868249.0195296388</v>
      </c>
      <c r="U13" s="132">
        <f>'Example calcs 2000'!S13*0.8</f>
        <v>5751802.1105292728</v>
      </c>
      <c r="V13" s="132">
        <f t="shared" si="11"/>
        <v>1084460.3715046793</v>
      </c>
      <c r="W13" s="132">
        <f t="shared" si="12"/>
        <v>0.95811694694105154</v>
      </c>
      <c r="X13" s="132">
        <f t="shared" si="0"/>
        <v>6790841.9707538951</v>
      </c>
      <c r="Y13" s="55" t="s">
        <v>35</v>
      </c>
      <c r="Z13" s="53">
        <f t="shared" si="13"/>
        <v>0</v>
      </c>
      <c r="AA13" s="55">
        <f>Model!$AC$147</f>
        <v>1</v>
      </c>
      <c r="AB13" s="55"/>
      <c r="AC13" s="131">
        <f>X13*AA13</f>
        <v>6790841.9707538951</v>
      </c>
      <c r="AD13" s="132">
        <f>'Example calcs 2000'!Y13*0.8</f>
        <v>5461307.0544419363</v>
      </c>
      <c r="AE13" s="132">
        <f t="shared" si="14"/>
        <v>1039039.8602246214</v>
      </c>
      <c r="AF13" s="137" t="str">
        <f>IFERROR(INDEX($AQ$12:$AQ$13,MATCH(AH13,$AP$12:$AP$13,0))/SUM($AQ$12:$AQ$13),"")</f>
        <v/>
      </c>
      <c r="AG13" s="132">
        <f t="shared" si="1"/>
        <v>5461307.0544419363</v>
      </c>
      <c r="AH13" s="112" t="s">
        <v>65</v>
      </c>
      <c r="AI13" s="53">
        <f t="shared" si="15"/>
        <v>1</v>
      </c>
      <c r="AJ13" s="112"/>
      <c r="AK13" s="55">
        <f>Model!$AC$164</f>
        <v>1.613</v>
      </c>
      <c r="AL13" s="118">
        <f t="shared" si="16"/>
        <v>0</v>
      </c>
      <c r="AM13" s="112">
        <f t="shared" si="17"/>
        <v>8809088.2788148429</v>
      </c>
      <c r="AP13" s="1" t="s">
        <v>66</v>
      </c>
      <c r="AQ13" s="140">
        <f>(AS13*AT13/(1-(1+AT13)^(-AU13))+SUM(AV13:AX13))^-AR13</f>
        <v>2.292137010387118E-30</v>
      </c>
      <c r="AR13">
        <f>Model!$AC$153</f>
        <v>10</v>
      </c>
      <c r="AS13" s="149">
        <f>Model!AD198</f>
        <v>3565</v>
      </c>
      <c r="AT13">
        <f>Model!AC197</f>
        <v>0.25</v>
      </c>
      <c r="AU13">
        <f>Model!AC196</f>
        <v>18</v>
      </c>
      <c r="AV13" s="149">
        <f>Model!AD199</f>
        <v>0</v>
      </c>
      <c r="AW13" s="149">
        <f>Model!AD200</f>
        <v>0</v>
      </c>
      <c r="AX13" s="169">
        <f>Model!AC201</f>
        <v>12.798719999999999</v>
      </c>
      <c r="AY13" t="s">
        <v>220</v>
      </c>
    </row>
    <row r="14" spans="1:51" x14ac:dyDescent="0.25">
      <c r="C14" s="154">
        <f>Model!$AD$14</f>
        <v>3321768</v>
      </c>
      <c r="D14" s="55">
        <f>Model!$AD$17</f>
        <v>0.38461538461538458</v>
      </c>
      <c r="E14" s="155">
        <f t="shared" si="3"/>
        <v>1277603.0769230768</v>
      </c>
      <c r="F14" s="55">
        <f>Model!$AD$28</f>
        <v>1</v>
      </c>
      <c r="G14" s="155">
        <f t="shared" si="4"/>
        <v>1277603.0769230768</v>
      </c>
      <c r="H14" s="111">
        <f>INDEX(Model!$AD$33:$AD$36,MATCH($J14,Model!$AB$33:$AB$36,0))</f>
        <v>0.13950000000000001</v>
      </c>
      <c r="I14" s="132">
        <f t="shared" si="5"/>
        <v>178225.62923076923</v>
      </c>
      <c r="J14" s="55" t="s">
        <v>27</v>
      </c>
      <c r="K14" s="111">
        <f>INDEX(Model!$AD$37:$AD$40,MATCH($J14,Model!$AB$33:$AB$36,0))</f>
        <v>88.687168672720716</v>
      </c>
      <c r="L14" s="131">
        <f>K14*I14</f>
        <v>15806326.441391015</v>
      </c>
      <c r="M14" s="132">
        <f>'Example calcs 2000'!N14*0.95</f>
        <v>10850314.406839872</v>
      </c>
      <c r="N14" s="132">
        <f t="shared" si="6"/>
        <v>2780738.9181738812</v>
      </c>
      <c r="O14" s="132" t="str">
        <f t="shared" si="7"/>
        <v/>
      </c>
      <c r="P14" s="132">
        <f t="shared" si="8"/>
        <v>10850314.406839872</v>
      </c>
      <c r="Q14" s="111" t="s">
        <v>29</v>
      </c>
      <c r="R14" s="53">
        <f t="shared" si="9"/>
        <v>0</v>
      </c>
      <c r="S14" s="111">
        <f>INDEX(Model!$AD$54:$AD$118,MATCH($Q14,Model!$AB$54:$AB$118,0)+MATCH(Model!$Z$116,Model!$Z$54:$Z$118,0)-1)</f>
        <v>0.63300000000000001</v>
      </c>
      <c r="T14" s="131">
        <f t="shared" si="10"/>
        <v>6868249.0195296388</v>
      </c>
      <c r="U14" s="132">
        <f>'Example calcs 2000'!S14*0.8</f>
        <v>5751802.1105292728</v>
      </c>
      <c r="V14" s="132">
        <f t="shared" si="11"/>
        <v>1084460.3715046793</v>
      </c>
      <c r="W14" s="132">
        <f t="shared" si="12"/>
        <v>0.95811694694105154</v>
      </c>
      <c r="X14" s="132">
        <f t="shared" si="0"/>
        <v>6790841.9707538951</v>
      </c>
      <c r="Y14" s="55" t="s">
        <v>35</v>
      </c>
      <c r="Z14" s="53">
        <f t="shared" si="13"/>
        <v>0</v>
      </c>
      <c r="AA14" s="55">
        <f>Model!$AC$147</f>
        <v>1</v>
      </c>
      <c r="AB14" s="55"/>
      <c r="AC14" s="131">
        <f>X14*AA14</f>
        <v>6790841.9707538951</v>
      </c>
      <c r="AD14" s="132">
        <f>'Example calcs 2000'!Y14*0.8</f>
        <v>290495.05608733703</v>
      </c>
      <c r="AE14" s="132">
        <f t="shared" si="14"/>
        <v>1039039.8602246214</v>
      </c>
      <c r="AF14" s="137">
        <f>IFERROR(INDEX($AQ$12:$AQ$13,MATCH(AH14,$AP$12:$AP$13,0))/SUM($AQ$12:$AQ$13),"")</f>
        <v>0.99999944885981851</v>
      </c>
      <c r="AG14" s="132">
        <f t="shared" si="1"/>
        <v>1329534.3436553413</v>
      </c>
      <c r="AH14" s="112" t="s">
        <v>66</v>
      </c>
      <c r="AI14" s="53">
        <f t="shared" si="15"/>
        <v>1</v>
      </c>
      <c r="AJ14" s="112"/>
      <c r="AK14" s="55">
        <f>Model!$AC$204</f>
        <v>1.111</v>
      </c>
      <c r="AL14" s="118">
        <f t="shared" si="16"/>
        <v>0</v>
      </c>
      <c r="AM14" s="112">
        <f t="shared" si="17"/>
        <v>1477112.6558010841</v>
      </c>
      <c r="AP14" s="1" t="s">
        <v>67</v>
      </c>
      <c r="AQ14" s="140">
        <f t="shared" ref="AQ14" si="19">(AS14*AT14/(1-(1+AT14)^(-AU14))+SUM(AV14:AX14))^-AR14</f>
        <v>1.0103875157687775E-31</v>
      </c>
      <c r="AR14">
        <f>Model!$AC$153</f>
        <v>10</v>
      </c>
      <c r="AS14" s="149">
        <f>Model!AD171</f>
        <v>4641.7</v>
      </c>
      <c r="AT14">
        <f>Model!AC170</f>
        <v>0.25</v>
      </c>
      <c r="AU14">
        <f>Model!AC169</f>
        <v>12</v>
      </c>
      <c r="AV14" s="149">
        <f>Model!AD172</f>
        <v>0</v>
      </c>
      <c r="AW14" s="149">
        <f>Model!AD173</f>
        <v>0</v>
      </c>
      <c r="AX14" s="169">
        <f>Model!AC174</f>
        <v>11.572000000000001</v>
      </c>
      <c r="AY14" t="s">
        <v>220</v>
      </c>
    </row>
    <row r="15" spans="1:51" x14ac:dyDescent="0.25">
      <c r="C15" s="154">
        <f>Model!$AD$14</f>
        <v>3321768</v>
      </c>
      <c r="D15" s="55">
        <f>Model!$AD$17</f>
        <v>0.38461538461538458</v>
      </c>
      <c r="E15" s="155">
        <f t="shared" si="3"/>
        <v>1277603.0769230768</v>
      </c>
      <c r="F15" s="55">
        <f>Model!$AD$28</f>
        <v>1</v>
      </c>
      <c r="G15" s="155">
        <f t="shared" si="4"/>
        <v>1277603.0769230768</v>
      </c>
      <c r="H15" s="111">
        <f>INDEX(Model!$AD$33:$AD$36,MATCH($J15,Model!$AB$33:$AB$36,0))</f>
        <v>0.13950000000000001</v>
      </c>
      <c r="I15" s="132">
        <f t="shared" si="5"/>
        <v>178225.62923076923</v>
      </c>
      <c r="J15" s="55" t="s">
        <v>27</v>
      </c>
      <c r="K15" s="111">
        <f>INDEX(Model!$AD$37:$AD$40,MATCH($J15,Model!$AB$33:$AB$36,0))</f>
        <v>88.687168672720716</v>
      </c>
      <c r="L15" s="131">
        <f>K15*I15</f>
        <v>15806326.441391015</v>
      </c>
      <c r="M15" s="132">
        <f>'Example calcs 2000'!N15*0.95</f>
        <v>2175273.1163772615</v>
      </c>
      <c r="N15" s="132">
        <f t="shared" si="6"/>
        <v>2780738.9181738812</v>
      </c>
      <c r="O15" s="132" t="str">
        <f t="shared" si="7"/>
        <v/>
      </c>
      <c r="P15" s="132">
        <f t="shared" si="8"/>
        <v>2175273.1163772615</v>
      </c>
      <c r="Q15" s="111" t="s">
        <v>30</v>
      </c>
      <c r="R15" s="53">
        <f t="shared" si="9"/>
        <v>1</v>
      </c>
      <c r="S15" s="111">
        <f>INDEX(Model!$AD$54:$AD$118,MATCH($Q15,Model!$AB$54:$AB$118,0)+MATCH(Model!$Z$116,Model!$Z$54:$Z$118,0)-1)</f>
        <v>0.997</v>
      </c>
      <c r="T15" s="131">
        <f t="shared" si="10"/>
        <v>2168747.2970281295</v>
      </c>
      <c r="U15" s="132">
        <f>'Example calcs 2000'!S15*0.8</f>
        <v>10100.204074984282</v>
      </c>
      <c r="V15" s="132">
        <f t="shared" si="11"/>
        <v>342433.78374128346</v>
      </c>
      <c r="W15" s="132">
        <f t="shared" si="12"/>
        <v>4.1883053058948572E-2</v>
      </c>
      <c r="X15" s="132">
        <f t="shared" si="0"/>
        <v>24442.376408596978</v>
      </c>
      <c r="Y15" s="55" t="s">
        <v>34</v>
      </c>
      <c r="Z15" s="53">
        <f t="shared" si="13"/>
        <v>1</v>
      </c>
      <c r="AA15" s="55"/>
      <c r="AB15" s="55">
        <f>Model!$AC$137</f>
        <v>1</v>
      </c>
      <c r="AC15" s="131"/>
      <c r="AD15" s="132">
        <f>'Example calcs 2000'!Y15*0.8</f>
        <v>0</v>
      </c>
      <c r="AE15" s="132">
        <f t="shared" si="14"/>
        <v>0</v>
      </c>
      <c r="AF15" s="132" t="str">
        <f t="shared" si="18"/>
        <v/>
      </c>
      <c r="AG15" s="132">
        <f t="shared" si="1"/>
        <v>0</v>
      </c>
      <c r="AH15" s="112"/>
      <c r="AI15" s="53">
        <f t="shared" si="15"/>
        <v>1</v>
      </c>
      <c r="AJ15" s="112"/>
      <c r="AK15" s="55"/>
      <c r="AL15" s="118">
        <f t="shared" si="16"/>
        <v>24442.376408596978</v>
      </c>
      <c r="AM15" s="112">
        <f t="shared" si="17"/>
        <v>0</v>
      </c>
    </row>
    <row r="16" spans="1:51" x14ac:dyDescent="0.25">
      <c r="C16" s="170">
        <f>Model!$AD$14</f>
        <v>3321768</v>
      </c>
      <c r="D16" s="113">
        <f>Model!$AD$17</f>
        <v>0.38461538461538458</v>
      </c>
      <c r="E16" s="171">
        <f t="shared" si="3"/>
        <v>1277603.0769230768</v>
      </c>
      <c r="F16" s="113">
        <f>Model!$AD$28</f>
        <v>1</v>
      </c>
      <c r="G16" s="171">
        <f t="shared" si="4"/>
        <v>1277603.0769230768</v>
      </c>
      <c r="H16" s="114">
        <f>INDEX(Model!$AD$33:$AD$36,MATCH($J16,Model!$AB$33:$AB$36,0))</f>
        <v>0.13950000000000001</v>
      </c>
      <c r="I16" s="133">
        <f t="shared" si="5"/>
        <v>178225.62923076923</v>
      </c>
      <c r="J16" s="113" t="s">
        <v>27</v>
      </c>
      <c r="K16" s="114">
        <f>INDEX(Model!$AD$37:$AD$40,MATCH($J16,Model!$AB$33:$AB$36,0))</f>
        <v>88.687168672720716</v>
      </c>
      <c r="L16" s="135">
        <f>K16*I16</f>
        <v>15806326.441391015</v>
      </c>
      <c r="M16" s="133">
        <f>'Example calcs 2000'!N16*0.95</f>
        <v>2175273.1163772615</v>
      </c>
      <c r="N16" s="133">
        <f t="shared" si="6"/>
        <v>2780738.9181738812</v>
      </c>
      <c r="O16" s="133" t="str">
        <f t="shared" si="7"/>
        <v/>
      </c>
      <c r="P16" s="133">
        <f t="shared" si="8"/>
        <v>2175273.1163772615</v>
      </c>
      <c r="Q16" s="114" t="s">
        <v>30</v>
      </c>
      <c r="R16" s="172">
        <f t="shared" si="9"/>
        <v>0</v>
      </c>
      <c r="S16" s="114">
        <f>INDEX(Model!$AD$54:$AD$118,MATCH($Q16,Model!$AB$54:$AB$118,0)+MATCH(Model!$Z$116,Model!$Z$54:$Z$118,0)-1)</f>
        <v>0.997</v>
      </c>
      <c r="T16" s="135">
        <f t="shared" si="10"/>
        <v>2168747.2970281295</v>
      </c>
      <c r="U16" s="133">
        <f>'Example calcs 2000'!S16*0.8</f>
        <v>1816213.3092118618</v>
      </c>
      <c r="V16" s="133">
        <f t="shared" si="11"/>
        <v>342433.78374128346</v>
      </c>
      <c r="W16" s="133">
        <f t="shared" si="12"/>
        <v>0.95811694694105154</v>
      </c>
      <c r="X16" s="133">
        <f t="shared" si="0"/>
        <v>2144304.9206195325</v>
      </c>
      <c r="Y16" s="113" t="s">
        <v>35</v>
      </c>
      <c r="Z16" s="172">
        <f t="shared" si="13"/>
        <v>1</v>
      </c>
      <c r="AA16" s="113">
        <f>Model!$AC$147</f>
        <v>1</v>
      </c>
      <c r="AB16" s="113"/>
      <c r="AC16" s="135">
        <f>X16*AA16</f>
        <v>2144304.9206195325</v>
      </c>
      <c r="AD16" s="133">
        <f>'Example calcs 2000'!Y16*0.8</f>
        <v>0</v>
      </c>
      <c r="AE16" s="133">
        <f t="shared" si="14"/>
        <v>328091.61140767066</v>
      </c>
      <c r="AF16" s="153"/>
      <c r="AG16" s="133">
        <f t="shared" si="1"/>
        <v>0</v>
      </c>
      <c r="AH16" s="113" t="s">
        <v>67</v>
      </c>
      <c r="AI16" s="172">
        <f t="shared" si="15"/>
        <v>1</v>
      </c>
      <c r="AJ16" s="113">
        <f>Model!$AC$178</f>
        <v>0.52600000000000002</v>
      </c>
      <c r="AK16" s="113"/>
      <c r="AL16" s="119">
        <f t="shared" si="16"/>
        <v>0</v>
      </c>
      <c r="AM16" s="113">
        <f t="shared" si="17"/>
        <v>0</v>
      </c>
      <c r="AP16" s="1"/>
    </row>
    <row r="17" spans="3:50" x14ac:dyDescent="0.25">
      <c r="C17" s="154">
        <f>Model!$AD$14</f>
        <v>3321768</v>
      </c>
      <c r="D17" s="55">
        <f>Model!$AD$17</f>
        <v>0.38461538461538458</v>
      </c>
      <c r="E17" s="155">
        <f t="shared" si="3"/>
        <v>1277603.0769230768</v>
      </c>
      <c r="F17" s="55">
        <f>Model!$AD$28</f>
        <v>1</v>
      </c>
      <c r="G17" s="155">
        <f t="shared" si="4"/>
        <v>1277603.0769230768</v>
      </c>
      <c r="H17" s="111">
        <f>INDEX(Model!$AD$33:$AD$36,MATCH($J17,Model!$AB$33:$AB$36,0))</f>
        <v>0.13950000000000001</v>
      </c>
      <c r="I17" s="132">
        <f t="shared" si="5"/>
        <v>178225.62923076923</v>
      </c>
      <c r="J17" s="55" t="s">
        <v>27</v>
      </c>
      <c r="K17" s="111">
        <f>INDEX(Model!$AD$37:$AD$40,MATCH($J17,Model!$AB$33:$AB$36,0))</f>
        <v>88.687168672720716</v>
      </c>
      <c r="L17" s="131">
        <f>K17*I17</f>
        <v>15806326.441391015</v>
      </c>
      <c r="M17" s="132">
        <f>'Example calcs 2000'!N17*0.95</f>
        <v>2175273.1163772615</v>
      </c>
      <c r="N17" s="132">
        <f t="shared" si="6"/>
        <v>2780738.9181738812</v>
      </c>
      <c r="O17" s="132" t="str">
        <f t="shared" si="7"/>
        <v/>
      </c>
      <c r="P17" s="132">
        <f t="shared" si="8"/>
        <v>2175273.1163772615</v>
      </c>
      <c r="Q17" s="111" t="s">
        <v>30</v>
      </c>
      <c r="R17" s="53">
        <f t="shared" si="9"/>
        <v>0</v>
      </c>
      <c r="S17" s="111">
        <f>INDEX(Model!$AD$54:$AD$118,MATCH($Q17,Model!$AB$54:$AB$118,0)+MATCH(Model!$Z$116,Model!$Z$54:$Z$118,0)-1)</f>
        <v>0.997</v>
      </c>
      <c r="T17" s="131">
        <f t="shared" si="10"/>
        <v>2168747.2970281295</v>
      </c>
      <c r="U17" s="132">
        <f>'Example calcs 2000'!S17*0.8</f>
        <v>1816213.3092118618</v>
      </c>
      <c r="V17" s="132">
        <f t="shared" si="11"/>
        <v>342433.78374128346</v>
      </c>
      <c r="W17" s="132">
        <f t="shared" si="12"/>
        <v>0.95811694694105154</v>
      </c>
      <c r="X17" s="132">
        <f t="shared" si="0"/>
        <v>2144304.9206195325</v>
      </c>
      <c r="Y17" s="55" t="s">
        <v>35</v>
      </c>
      <c r="Z17" s="53">
        <f t="shared" si="13"/>
        <v>0</v>
      </c>
      <c r="AA17" s="55">
        <f>Model!$AC$147</f>
        <v>1</v>
      </c>
      <c r="AB17" s="55"/>
      <c r="AC17" s="131">
        <f>X17*AA17</f>
        <v>2144304.9206195325</v>
      </c>
      <c r="AD17" s="132">
        <f>'Example calcs 2000'!Y17*0.8</f>
        <v>0</v>
      </c>
      <c r="AE17" s="132">
        <f t="shared" si="14"/>
        <v>328091.61140767066</v>
      </c>
      <c r="AF17" s="137">
        <f>IFERROR(INDEX($AQ$12:$AQ$13,MATCH(AH17,$AP$12:$AP$13,0))/SUM($AQ$12:$AQ$13),"")</f>
        <v>5.5114018144655976E-7</v>
      </c>
      <c r="AG17" s="132">
        <f t="shared" si="1"/>
        <v>0.18082447024231779</v>
      </c>
      <c r="AH17" s="112" t="s">
        <v>144</v>
      </c>
      <c r="AI17" s="53">
        <f t="shared" si="15"/>
        <v>1</v>
      </c>
      <c r="AJ17" s="112">
        <f>Model!$AC$191</f>
        <v>0.4</v>
      </c>
      <c r="AK17" s="55"/>
      <c r="AL17" s="118">
        <f t="shared" si="16"/>
        <v>7.2329788096927125E-2</v>
      </c>
      <c r="AM17" s="112">
        <f t="shared" si="17"/>
        <v>0</v>
      </c>
      <c r="AP17" s="1"/>
    </row>
    <row r="18" spans="3:50" x14ac:dyDescent="0.25">
      <c r="C18" s="154">
        <f>Model!$AD$14</f>
        <v>3321768</v>
      </c>
      <c r="D18" s="55">
        <f>Model!$AD$17</f>
        <v>0.38461538461538458</v>
      </c>
      <c r="E18" s="155">
        <f t="shared" si="3"/>
        <v>1277603.0769230768</v>
      </c>
      <c r="F18" s="55">
        <f>Model!$AD$28</f>
        <v>1</v>
      </c>
      <c r="G18" s="155">
        <f t="shared" si="4"/>
        <v>1277603.0769230768</v>
      </c>
      <c r="H18" s="111">
        <f>INDEX(Model!$AD$33:$AD$36,MATCH($J18,Model!$AB$33:$AB$36,0))</f>
        <v>0.13950000000000001</v>
      </c>
      <c r="I18" s="132">
        <f t="shared" si="5"/>
        <v>178225.62923076923</v>
      </c>
      <c r="J18" s="55" t="s">
        <v>27</v>
      </c>
      <c r="K18" s="111">
        <f>INDEX(Model!$AD$37:$AD$40,MATCH($J18,Model!$AB$33:$AB$36,0))</f>
        <v>88.687168672720716</v>
      </c>
      <c r="L18" s="131">
        <f>K18*I18</f>
        <v>15806326.441391015</v>
      </c>
      <c r="M18" s="132">
        <f>'Example calcs 2000'!N18*0.95</f>
        <v>2175273.1163772615</v>
      </c>
      <c r="N18" s="132">
        <f t="shared" si="6"/>
        <v>2780738.9181738812</v>
      </c>
      <c r="O18" s="132" t="str">
        <f t="shared" si="7"/>
        <v/>
      </c>
      <c r="P18" s="132">
        <f t="shared" si="8"/>
        <v>2175273.1163772615</v>
      </c>
      <c r="Q18" s="111" t="s">
        <v>30</v>
      </c>
      <c r="R18" s="53">
        <f t="shared" si="9"/>
        <v>0</v>
      </c>
      <c r="S18" s="111">
        <f>INDEX(Model!$AD$54:$AD$118,MATCH($Q18,Model!$AB$54:$AB$118,0)+MATCH(Model!$Z$116,Model!$Z$54:$Z$118,0)-1)</f>
        <v>0.997</v>
      </c>
      <c r="T18" s="131">
        <f t="shared" si="10"/>
        <v>2168747.2970281295</v>
      </c>
      <c r="U18" s="132">
        <f>'Example calcs 2000'!S18*0.8</f>
        <v>1816213.3092118618</v>
      </c>
      <c r="V18" s="132">
        <f t="shared" si="11"/>
        <v>342433.78374128346</v>
      </c>
      <c r="W18" s="132">
        <f t="shared" si="12"/>
        <v>0.95811694694105154</v>
      </c>
      <c r="X18" s="132">
        <f t="shared" si="0"/>
        <v>2144304.9206195325</v>
      </c>
      <c r="Y18" s="55" t="s">
        <v>35</v>
      </c>
      <c r="Z18" s="53">
        <f t="shared" si="13"/>
        <v>0</v>
      </c>
      <c r="AA18" s="55">
        <f>Model!$AC$147</f>
        <v>1</v>
      </c>
      <c r="AB18" s="55"/>
      <c r="AC18" s="131">
        <f>X18*AA18</f>
        <v>2144304.9206195325</v>
      </c>
      <c r="AD18" s="132">
        <f>'Example calcs 2000'!Y18*0.8</f>
        <v>1724485.3643021719</v>
      </c>
      <c r="AE18" s="132">
        <f t="shared" si="14"/>
        <v>328091.61140767066</v>
      </c>
      <c r="AF18" s="137" t="str">
        <f>IFERROR(INDEX($AQ$12:$AQ$13,MATCH(AH18,$AP$12:$AP$13,0))/SUM($AQ$12:$AQ$13),"")</f>
        <v/>
      </c>
      <c r="AG18" s="132">
        <f t="shared" si="1"/>
        <v>1724485.3643021719</v>
      </c>
      <c r="AH18" s="112" t="s">
        <v>65</v>
      </c>
      <c r="AI18" s="53">
        <f t="shared" si="15"/>
        <v>1</v>
      </c>
      <c r="AJ18" s="112"/>
      <c r="AK18" s="112">
        <f>Model!$AC$164</f>
        <v>1.613</v>
      </c>
      <c r="AL18" s="118">
        <f t="shared" si="16"/>
        <v>0</v>
      </c>
      <c r="AM18" s="112">
        <f t="shared" si="17"/>
        <v>2781594.8926194031</v>
      </c>
      <c r="AP18" s="1"/>
    </row>
    <row r="19" spans="3:50" x14ac:dyDescent="0.25">
      <c r="C19" s="154">
        <f>Model!$AD$14</f>
        <v>3321768</v>
      </c>
      <c r="D19" s="55">
        <f>Model!$AD$17</f>
        <v>0.38461538461538458</v>
      </c>
      <c r="E19" s="155">
        <f t="shared" si="3"/>
        <v>1277603.0769230768</v>
      </c>
      <c r="F19" s="55">
        <f>Model!$AD$28</f>
        <v>1</v>
      </c>
      <c r="G19" s="155">
        <f t="shared" si="4"/>
        <v>1277603.0769230768</v>
      </c>
      <c r="H19" s="111">
        <f>INDEX(Model!$AD$33:$AD$36,MATCH($J19,Model!$AB$33:$AB$36,0))</f>
        <v>0.13950000000000001</v>
      </c>
      <c r="I19" s="132">
        <f t="shared" si="5"/>
        <v>178225.62923076923</v>
      </c>
      <c r="J19" s="55" t="s">
        <v>27</v>
      </c>
      <c r="K19" s="111">
        <f>INDEX(Model!$AD$37:$AD$40,MATCH($J19,Model!$AB$33:$AB$36,0))</f>
        <v>88.687168672720716</v>
      </c>
      <c r="L19" s="131">
        <f>K19*I19</f>
        <v>15806326.441391015</v>
      </c>
      <c r="M19" s="132">
        <f>'Example calcs 2000'!N19*0.95</f>
        <v>2175273.1163772615</v>
      </c>
      <c r="N19" s="132">
        <f t="shared" si="6"/>
        <v>2780738.9181738812</v>
      </c>
      <c r="O19" s="132" t="str">
        <f t="shared" si="7"/>
        <v/>
      </c>
      <c r="P19" s="132">
        <f t="shared" si="8"/>
        <v>2175273.1163772615</v>
      </c>
      <c r="Q19" s="111" t="s">
        <v>30</v>
      </c>
      <c r="R19" s="53">
        <f t="shared" si="9"/>
        <v>0</v>
      </c>
      <c r="S19" s="111">
        <f>INDEX(Model!$AD$54:$AD$118,MATCH($Q19,Model!$AB$54:$AB$118,0)+MATCH(Model!$Z$116,Model!$Z$54:$Z$118,0)-1)</f>
        <v>0.997</v>
      </c>
      <c r="T19" s="131">
        <f t="shared" si="10"/>
        <v>2168747.2970281295</v>
      </c>
      <c r="U19" s="132">
        <f>'Example calcs 2000'!S19*0.8</f>
        <v>1816213.3092118618</v>
      </c>
      <c r="V19" s="132">
        <f t="shared" si="11"/>
        <v>342433.78374128346</v>
      </c>
      <c r="W19" s="132">
        <f t="shared" si="12"/>
        <v>0.95811694694105154</v>
      </c>
      <c r="X19" s="132">
        <f t="shared" si="0"/>
        <v>2144304.9206195325</v>
      </c>
      <c r="Y19" s="55" t="s">
        <v>35</v>
      </c>
      <c r="Z19" s="53">
        <f t="shared" si="13"/>
        <v>0</v>
      </c>
      <c r="AA19" s="55">
        <f>Model!$AC$147</f>
        <v>1</v>
      </c>
      <c r="AB19" s="55"/>
      <c r="AC19" s="131">
        <f>X19*AA19</f>
        <v>2144304.9206195325</v>
      </c>
      <c r="AD19" s="132">
        <f>'Example calcs 2000'!Y19*0.8</f>
        <v>91727.944909690006</v>
      </c>
      <c r="AE19" s="132">
        <f t="shared" si="14"/>
        <v>328091.61140767066</v>
      </c>
      <c r="AF19" s="137">
        <f>IFERROR(INDEX($AQ$12:$AQ$13,MATCH(AH19,$AP$12:$AP$13,0))/SUM($AQ$12:$AQ$13),"")</f>
        <v>0.99999944885981851</v>
      </c>
      <c r="AG19" s="132">
        <f t="shared" si="1"/>
        <v>419819.37549289042</v>
      </c>
      <c r="AH19" s="112" t="s">
        <v>66</v>
      </c>
      <c r="AI19" s="53">
        <f t="shared" si="15"/>
        <v>1</v>
      </c>
      <c r="AJ19" s="112"/>
      <c r="AK19" s="112">
        <f>Model!$AC$204</f>
        <v>1.111</v>
      </c>
      <c r="AL19" s="118">
        <f t="shared" si="16"/>
        <v>0</v>
      </c>
      <c r="AM19" s="112">
        <f t="shared" si="17"/>
        <v>466419.32617260126</v>
      </c>
      <c r="AP19" s="1"/>
    </row>
    <row r="20" spans="3:50" x14ac:dyDescent="0.25">
      <c r="C20" s="154">
        <f>Model!$AD$14</f>
        <v>3321768</v>
      </c>
      <c r="D20" s="55">
        <f>Model!$AD$17</f>
        <v>0.38461538461538458</v>
      </c>
      <c r="E20" s="155">
        <f t="shared" si="3"/>
        <v>1277603.0769230768</v>
      </c>
      <c r="F20" s="55">
        <f>Model!$AD$28</f>
        <v>1</v>
      </c>
      <c r="G20" s="155">
        <f t="shared" si="4"/>
        <v>1277603.0769230768</v>
      </c>
      <c r="H20" s="111">
        <f>INDEX(Model!$AD$33:$AD$36,MATCH($J20,Model!$AB$33:$AB$36,0))</f>
        <v>0.13950000000000001</v>
      </c>
      <c r="I20" s="132">
        <f t="shared" si="5"/>
        <v>178225.62923076923</v>
      </c>
      <c r="J20" s="55" t="s">
        <v>27</v>
      </c>
      <c r="K20" s="111">
        <f>INDEX(Model!$AD$37:$AD$40,MATCH($J20,Model!$AB$33:$AB$36,0))</f>
        <v>88.687168672720716</v>
      </c>
      <c r="L20" s="131">
        <f>K20*I20</f>
        <v>15806326.441391015</v>
      </c>
      <c r="M20" s="132">
        <f>'Example calcs 2000'!N20*0.95</f>
        <v>0</v>
      </c>
      <c r="N20" s="132">
        <f t="shared" si="6"/>
        <v>2780738.9181738812</v>
      </c>
      <c r="O20" s="132">
        <f t="shared" si="7"/>
        <v>1.0208069021639147E-6</v>
      </c>
      <c r="P20" s="132">
        <f t="shared" si="8"/>
        <v>2.8385974807877155</v>
      </c>
      <c r="Q20" s="111" t="s">
        <v>32</v>
      </c>
      <c r="R20" s="53">
        <f t="shared" si="9"/>
        <v>1</v>
      </c>
      <c r="S20" s="111">
        <f>INDEX(Model!$AD$54:$AD$118,MATCH($Q20,Model!$AB$54:$AB$118,0)+MATCH(Model!$Z$116,Model!$Z$54:$Z$118,0)-1)</f>
        <v>0.36</v>
      </c>
      <c r="T20" s="131">
        <f t="shared" si="10"/>
        <v>1.0218950930835775</v>
      </c>
      <c r="U20" s="132">
        <f>'Example calcs 2000'!S20*0.8</f>
        <v>0</v>
      </c>
      <c r="V20" s="132">
        <f t="shared" si="11"/>
        <v>1.0218950930835775</v>
      </c>
      <c r="W20" s="132">
        <f t="shared" si="12"/>
        <v>4.1883053058948572E-2</v>
      </c>
      <c r="X20" s="132">
        <f t="shared" si="0"/>
        <v>4.2800086404298665E-2</v>
      </c>
      <c r="Y20" s="55" t="s">
        <v>34</v>
      </c>
      <c r="Z20" s="53">
        <f t="shared" si="13"/>
        <v>1</v>
      </c>
      <c r="AA20" s="55"/>
      <c r="AB20" s="55">
        <f>Model!$AC$137</f>
        <v>1</v>
      </c>
      <c r="AC20" s="131"/>
      <c r="AD20" s="132">
        <f>'Example calcs 2000'!Y20*0.8</f>
        <v>0</v>
      </c>
      <c r="AE20" s="132">
        <f t="shared" si="14"/>
        <v>0</v>
      </c>
      <c r="AF20" s="132" t="str">
        <f t="shared" si="18"/>
        <v/>
      </c>
      <c r="AG20" s="132">
        <f t="shared" si="1"/>
        <v>0</v>
      </c>
      <c r="AH20" s="112"/>
      <c r="AI20" s="53">
        <f t="shared" si="15"/>
        <v>1</v>
      </c>
      <c r="AJ20" s="112"/>
      <c r="AK20" s="112"/>
      <c r="AL20" s="118">
        <f t="shared" si="16"/>
        <v>4.2800086404298665E-2</v>
      </c>
      <c r="AM20" s="112">
        <f t="shared" si="17"/>
        <v>0</v>
      </c>
    </row>
    <row r="21" spans="3:50" x14ac:dyDescent="0.25">
      <c r="C21" s="170">
        <f>Model!$AD$14</f>
        <v>3321768</v>
      </c>
      <c r="D21" s="113">
        <f>Model!$AD$17</f>
        <v>0.38461538461538458</v>
      </c>
      <c r="E21" s="171">
        <f t="shared" si="3"/>
        <v>1277603.0769230768</v>
      </c>
      <c r="F21" s="113">
        <f>Model!$AD$28</f>
        <v>1</v>
      </c>
      <c r="G21" s="171">
        <f t="shared" si="4"/>
        <v>1277603.0769230768</v>
      </c>
      <c r="H21" s="114">
        <f>INDEX(Model!$AD$33:$AD$36,MATCH($J21,Model!$AB$33:$AB$36,0))</f>
        <v>0.13950000000000001</v>
      </c>
      <c r="I21" s="133">
        <f t="shared" si="5"/>
        <v>178225.62923076923</v>
      </c>
      <c r="J21" s="113" t="s">
        <v>27</v>
      </c>
      <c r="K21" s="114">
        <f>INDEX(Model!$AD$37:$AD$40,MATCH($J21,Model!$AB$33:$AB$36,0))</f>
        <v>88.687168672720716</v>
      </c>
      <c r="L21" s="135">
        <f>K21*I21</f>
        <v>15806326.441391015</v>
      </c>
      <c r="M21" s="133">
        <f>'Example calcs 2000'!N21*0.95</f>
        <v>0</v>
      </c>
      <c r="N21" s="133">
        <f t="shared" si="6"/>
        <v>2780738.9181738812</v>
      </c>
      <c r="O21" s="133">
        <f t="shared" si="7"/>
        <v>1.0208069021639147E-6</v>
      </c>
      <c r="P21" s="133">
        <f t="shared" si="8"/>
        <v>2.8385974807877155</v>
      </c>
      <c r="Q21" s="114" t="s">
        <v>32</v>
      </c>
      <c r="R21" s="172">
        <f t="shared" si="9"/>
        <v>0</v>
      </c>
      <c r="S21" s="114">
        <f>INDEX(Model!$AD$54:$AD$118,MATCH($Q21,Model!$AB$54:$AB$118,0)+MATCH(Model!$Z$116,Model!$Z$54:$Z$118,0)-1)</f>
        <v>0.36</v>
      </c>
      <c r="T21" s="135">
        <f t="shared" si="10"/>
        <v>1.0218950930835775</v>
      </c>
      <c r="U21" s="133">
        <f>'Example calcs 2000'!S21*0.8</f>
        <v>0</v>
      </c>
      <c r="V21" s="133">
        <f t="shared" si="11"/>
        <v>1.0218950930835775</v>
      </c>
      <c r="W21" s="133">
        <f t="shared" si="12"/>
        <v>0.95811694694105154</v>
      </c>
      <c r="X21" s="133">
        <f t="shared" si="0"/>
        <v>0.97909500667927896</v>
      </c>
      <c r="Y21" s="113" t="s">
        <v>35</v>
      </c>
      <c r="Z21" s="172">
        <f t="shared" si="13"/>
        <v>1</v>
      </c>
      <c r="AA21" s="113">
        <f>Model!$AC$147</f>
        <v>1</v>
      </c>
      <c r="AB21" s="113"/>
      <c r="AC21" s="135">
        <f>X21*AA21</f>
        <v>0.97909500667927896</v>
      </c>
      <c r="AD21" s="133">
        <f>'Example calcs 2000'!Y21*0.8</f>
        <v>0</v>
      </c>
      <c r="AE21" s="133">
        <f t="shared" si="14"/>
        <v>0.97909500667927896</v>
      </c>
      <c r="AF21" s="153"/>
      <c r="AG21" s="133">
        <f t="shared" si="1"/>
        <v>0</v>
      </c>
      <c r="AH21" s="113" t="s">
        <v>67</v>
      </c>
      <c r="AI21" s="172">
        <f t="shared" si="15"/>
        <v>1</v>
      </c>
      <c r="AJ21" s="113">
        <f>Model!$AC$178</f>
        <v>0.52600000000000002</v>
      </c>
      <c r="AK21" s="113"/>
      <c r="AL21" s="119">
        <f t="shared" si="16"/>
        <v>0</v>
      </c>
      <c r="AM21" s="113">
        <f t="shared" si="17"/>
        <v>0</v>
      </c>
    </row>
    <row r="22" spans="3:50" x14ac:dyDescent="0.25">
      <c r="C22" s="154">
        <f>Model!$AD$14</f>
        <v>3321768</v>
      </c>
      <c r="D22" s="55">
        <f>Model!$AD$17</f>
        <v>0.38461538461538458</v>
      </c>
      <c r="E22" s="155">
        <f t="shared" si="3"/>
        <v>1277603.0769230768</v>
      </c>
      <c r="F22" s="55">
        <f>Model!$AD$28</f>
        <v>1</v>
      </c>
      <c r="G22" s="155">
        <f t="shared" si="4"/>
        <v>1277603.0769230768</v>
      </c>
      <c r="H22" s="111">
        <f>INDEX(Model!$AD$33:$AD$36,MATCH($J22,Model!$AB$33:$AB$36,0))</f>
        <v>0.13950000000000001</v>
      </c>
      <c r="I22" s="132">
        <f t="shared" si="5"/>
        <v>178225.62923076923</v>
      </c>
      <c r="J22" s="55" t="s">
        <v>27</v>
      </c>
      <c r="K22" s="111">
        <f>INDEX(Model!$AD$37:$AD$40,MATCH($J22,Model!$AB$33:$AB$36,0))</f>
        <v>88.687168672720716</v>
      </c>
      <c r="L22" s="131">
        <f>K22*I22</f>
        <v>15806326.441391015</v>
      </c>
      <c r="M22" s="132">
        <f>'Example calcs 2000'!N22*0.95</f>
        <v>0</v>
      </c>
      <c r="N22" s="132">
        <f t="shared" si="6"/>
        <v>2780738.9181738812</v>
      </c>
      <c r="O22" s="132">
        <f t="shared" si="7"/>
        <v>1.0208069021639147E-6</v>
      </c>
      <c r="P22" s="132">
        <f t="shared" si="8"/>
        <v>2.8385974807877155</v>
      </c>
      <c r="Q22" s="111" t="s">
        <v>32</v>
      </c>
      <c r="R22" s="53">
        <f t="shared" si="9"/>
        <v>0</v>
      </c>
      <c r="S22" s="111">
        <f>INDEX(Model!$AD$54:$AD$118,MATCH($Q22,Model!$AB$54:$AB$118,0)+MATCH(Model!$Z$116,Model!$Z$54:$Z$118,0)-1)</f>
        <v>0.36</v>
      </c>
      <c r="T22" s="131">
        <f t="shared" si="10"/>
        <v>1.0218950930835775</v>
      </c>
      <c r="U22" s="132">
        <f>'Example calcs 2000'!S22*0.8</f>
        <v>0</v>
      </c>
      <c r="V22" s="132">
        <f t="shared" si="11"/>
        <v>1.0218950930835775</v>
      </c>
      <c r="W22" s="132">
        <f t="shared" si="12"/>
        <v>0.95811694694105154</v>
      </c>
      <c r="X22" s="132">
        <f t="shared" si="0"/>
        <v>0.97909500667927896</v>
      </c>
      <c r="Y22" s="55" t="s">
        <v>35</v>
      </c>
      <c r="Z22" s="53">
        <f t="shared" si="13"/>
        <v>0</v>
      </c>
      <c r="AA22" s="55">
        <f>Model!$AC$147</f>
        <v>1</v>
      </c>
      <c r="AB22" s="55"/>
      <c r="AC22" s="131">
        <f>X22*AA22</f>
        <v>0.97909500667927896</v>
      </c>
      <c r="AD22" s="132">
        <f>'Example calcs 2000'!Y22*0.8</f>
        <v>0</v>
      </c>
      <c r="AE22" s="132">
        <f t="shared" si="14"/>
        <v>0.97909500667927896</v>
      </c>
      <c r="AF22" s="137">
        <f>IFERROR(INDEX($AQ$12:$AQ$13,MATCH(AH22,$AP$12:$AP$13,0))/SUM($AQ$12:$AQ$13),"")</f>
        <v>5.5114018144655976E-7</v>
      </c>
      <c r="AG22" s="132">
        <f t="shared" si="1"/>
        <v>5.3961859963463849E-7</v>
      </c>
      <c r="AH22" s="112" t="s">
        <v>144</v>
      </c>
      <c r="AI22" s="53">
        <f t="shared" si="15"/>
        <v>1</v>
      </c>
      <c r="AJ22" s="112">
        <f>Model!$AC$191</f>
        <v>0.4</v>
      </c>
      <c r="AK22" s="112"/>
      <c r="AL22" s="118">
        <f t="shared" si="16"/>
        <v>2.1584743985385542E-7</v>
      </c>
      <c r="AM22" s="112">
        <f t="shared" si="17"/>
        <v>0</v>
      </c>
    </row>
    <row r="23" spans="3:50" x14ac:dyDescent="0.25">
      <c r="C23" s="154">
        <f>Model!$AD$14</f>
        <v>3321768</v>
      </c>
      <c r="D23" s="55">
        <f>Model!$AD$17</f>
        <v>0.38461538461538458</v>
      </c>
      <c r="E23" s="155">
        <f t="shared" si="3"/>
        <v>1277603.0769230768</v>
      </c>
      <c r="F23" s="55">
        <f>Model!$AD$28</f>
        <v>1</v>
      </c>
      <c r="G23" s="155">
        <f t="shared" si="4"/>
        <v>1277603.0769230768</v>
      </c>
      <c r="H23" s="111">
        <f>INDEX(Model!$AD$33:$AD$36,MATCH($J23,Model!$AB$33:$AB$36,0))</f>
        <v>0.13950000000000001</v>
      </c>
      <c r="I23" s="132">
        <f t="shared" si="5"/>
        <v>178225.62923076923</v>
      </c>
      <c r="J23" s="55" t="s">
        <v>27</v>
      </c>
      <c r="K23" s="111">
        <f>INDEX(Model!$AD$37:$AD$40,MATCH($J23,Model!$AB$33:$AB$36,0))</f>
        <v>88.687168672720716</v>
      </c>
      <c r="L23" s="131">
        <f>K23*I23</f>
        <v>15806326.441391015</v>
      </c>
      <c r="M23" s="132">
        <f>'Example calcs 2000'!N23*0.95</f>
        <v>0</v>
      </c>
      <c r="N23" s="132">
        <f t="shared" si="6"/>
        <v>2780738.9181738812</v>
      </c>
      <c r="O23" s="132">
        <f t="shared" si="7"/>
        <v>1.0208069021639147E-6</v>
      </c>
      <c r="P23" s="132">
        <f t="shared" si="8"/>
        <v>2.8385974807877155</v>
      </c>
      <c r="Q23" s="111" t="s">
        <v>32</v>
      </c>
      <c r="R23" s="53">
        <f t="shared" si="9"/>
        <v>0</v>
      </c>
      <c r="S23" s="111">
        <f>INDEX(Model!$AD$54:$AD$118,MATCH($Q23,Model!$AB$54:$AB$118,0)+MATCH(Model!$Z$116,Model!$Z$54:$Z$118,0)-1)</f>
        <v>0.36</v>
      </c>
      <c r="T23" s="131">
        <f t="shared" si="10"/>
        <v>1.0218950930835775</v>
      </c>
      <c r="U23" s="132">
        <f>'Example calcs 2000'!S23*0.8</f>
        <v>0</v>
      </c>
      <c r="V23" s="132">
        <f t="shared" si="11"/>
        <v>1.0218950930835775</v>
      </c>
      <c r="W23" s="132">
        <f t="shared" si="12"/>
        <v>0.95811694694105154</v>
      </c>
      <c r="X23" s="132">
        <f t="shared" si="0"/>
        <v>0.97909500667927896</v>
      </c>
      <c r="Y23" s="55" t="s">
        <v>35</v>
      </c>
      <c r="Z23" s="53">
        <f t="shared" si="13"/>
        <v>0</v>
      </c>
      <c r="AA23" s="55">
        <f>Model!$AC$147</f>
        <v>1</v>
      </c>
      <c r="AB23" s="55"/>
      <c r="AC23" s="131">
        <f>X23*AA23</f>
        <v>0.97909500667927896</v>
      </c>
      <c r="AD23" s="132">
        <f>'Example calcs 2000'!Y23*0.8</f>
        <v>0</v>
      </c>
      <c r="AE23" s="132">
        <f t="shared" si="14"/>
        <v>0.97909500667927896</v>
      </c>
      <c r="AF23" s="137" t="str">
        <f>IFERROR(INDEX($AQ$12:$AQ$13,MATCH(AH23,$AP$12:$AP$13,0))/SUM($AQ$12:$AQ$13),"")</f>
        <v/>
      </c>
      <c r="AG23" s="132">
        <f t="shared" si="1"/>
        <v>0</v>
      </c>
      <c r="AH23" s="112" t="s">
        <v>65</v>
      </c>
      <c r="AI23" s="53">
        <f t="shared" si="15"/>
        <v>1</v>
      </c>
      <c r="AJ23" s="112"/>
      <c r="AK23" s="112">
        <f>Model!$AC$164</f>
        <v>1.613</v>
      </c>
      <c r="AL23" s="118">
        <f t="shared" si="16"/>
        <v>0</v>
      </c>
      <c r="AM23" s="112">
        <f t="shared" si="17"/>
        <v>0</v>
      </c>
    </row>
    <row r="24" spans="3:50" x14ac:dyDescent="0.25">
      <c r="C24" s="154">
        <f>Model!$AD$14</f>
        <v>3321768</v>
      </c>
      <c r="D24" s="55">
        <f>Model!$AD$17</f>
        <v>0.38461538461538458</v>
      </c>
      <c r="E24" s="155">
        <f t="shared" si="3"/>
        <v>1277603.0769230768</v>
      </c>
      <c r="F24" s="55">
        <f>Model!$AD$28</f>
        <v>1</v>
      </c>
      <c r="G24" s="155">
        <f t="shared" si="4"/>
        <v>1277603.0769230768</v>
      </c>
      <c r="H24" s="111">
        <f>INDEX(Model!$AD$33:$AD$36,MATCH($J24,Model!$AB$33:$AB$36,0))</f>
        <v>0.13950000000000001</v>
      </c>
      <c r="I24" s="132">
        <f t="shared" si="5"/>
        <v>178225.62923076923</v>
      </c>
      <c r="J24" s="55" t="s">
        <v>27</v>
      </c>
      <c r="K24" s="111">
        <f>INDEX(Model!$AD$37:$AD$40,MATCH($J24,Model!$AB$33:$AB$36,0))</f>
        <v>88.687168672720716</v>
      </c>
      <c r="L24" s="131">
        <f>K24*I24</f>
        <v>15806326.441391015</v>
      </c>
      <c r="M24" s="132">
        <f>'Example calcs 2000'!N24*0.95</f>
        <v>0</v>
      </c>
      <c r="N24" s="132">
        <f t="shared" si="6"/>
        <v>2780738.9181738812</v>
      </c>
      <c r="O24" s="132">
        <f t="shared" si="7"/>
        <v>1.0208069021639147E-6</v>
      </c>
      <c r="P24" s="132">
        <f t="shared" si="8"/>
        <v>2.8385974807877155</v>
      </c>
      <c r="Q24" s="111" t="s">
        <v>32</v>
      </c>
      <c r="R24" s="53">
        <f t="shared" si="9"/>
        <v>0</v>
      </c>
      <c r="S24" s="111">
        <f>INDEX(Model!$AD$54:$AD$118,MATCH($Q24,Model!$AB$54:$AB$118,0)+MATCH(Model!$Z$116,Model!$Z$54:$Z$118,0)-1)</f>
        <v>0.36</v>
      </c>
      <c r="T24" s="131">
        <f t="shared" si="10"/>
        <v>1.0218950930835775</v>
      </c>
      <c r="U24" s="132">
        <f>'Example calcs 2000'!S24*0.8</f>
        <v>0</v>
      </c>
      <c r="V24" s="132">
        <f t="shared" si="11"/>
        <v>1.0218950930835775</v>
      </c>
      <c r="W24" s="132">
        <f t="shared" si="12"/>
        <v>0.95811694694105154</v>
      </c>
      <c r="X24" s="132">
        <f t="shared" si="0"/>
        <v>0.97909500667927896</v>
      </c>
      <c r="Y24" s="55" t="s">
        <v>35</v>
      </c>
      <c r="Z24" s="53">
        <f t="shared" si="13"/>
        <v>0</v>
      </c>
      <c r="AA24" s="55">
        <f>Model!$AC$147</f>
        <v>1</v>
      </c>
      <c r="AB24" s="55"/>
      <c r="AC24" s="131">
        <f>X24*AA24</f>
        <v>0.97909500667927896</v>
      </c>
      <c r="AD24" s="132">
        <f>'Example calcs 2000'!Y24*0.8</f>
        <v>0</v>
      </c>
      <c r="AE24" s="132">
        <f t="shared" si="14"/>
        <v>0.97909500667927896</v>
      </c>
      <c r="AF24" s="137">
        <f>IFERROR(INDEX($AQ$12:$AQ$13,MATCH(AH24,$AP$12:$AP$13,0))/SUM($AQ$12:$AQ$13),"")</f>
        <v>0.99999944885981851</v>
      </c>
      <c r="AG24" s="132">
        <f t="shared" si="1"/>
        <v>0.97909446706067926</v>
      </c>
      <c r="AH24" s="112" t="s">
        <v>66</v>
      </c>
      <c r="AI24" s="53">
        <f t="shared" si="15"/>
        <v>1</v>
      </c>
      <c r="AJ24" s="112"/>
      <c r="AK24" s="112">
        <f>Model!$AC$204</f>
        <v>1.111</v>
      </c>
      <c r="AL24" s="118">
        <f t="shared" si="16"/>
        <v>0</v>
      </c>
      <c r="AM24" s="112">
        <f t="shared" si="17"/>
        <v>1.0877739529044146</v>
      </c>
    </row>
    <row r="25" spans="3:50" x14ac:dyDescent="0.25">
      <c r="C25" s="154">
        <f>Model!$AD$14</f>
        <v>3321768</v>
      </c>
      <c r="D25" s="55">
        <f>Model!$AD$17</f>
        <v>0.38461538461538458</v>
      </c>
      <c r="E25" s="155">
        <f t="shared" si="3"/>
        <v>1277603.0769230768</v>
      </c>
      <c r="F25" s="55">
        <f>Model!$AD$28</f>
        <v>1</v>
      </c>
      <c r="G25" s="155">
        <f t="shared" si="4"/>
        <v>1277603.0769230768</v>
      </c>
      <c r="H25" s="111">
        <f>INDEX(Model!$AD$33:$AD$36,MATCH($J25,Model!$AB$33:$AB$36,0))</f>
        <v>0.13950000000000001</v>
      </c>
      <c r="I25" s="132">
        <f t="shared" si="5"/>
        <v>178225.62923076923</v>
      </c>
      <c r="J25" s="55" t="s">
        <v>27</v>
      </c>
      <c r="K25" s="111">
        <f>INDEX(Model!$AD$37:$AD$40,MATCH($J25,Model!$AB$33:$AB$36,0))</f>
        <v>88.687168672720716</v>
      </c>
      <c r="L25" s="131">
        <f>K25*I25</f>
        <v>15806326.441391015</v>
      </c>
      <c r="M25" s="132">
        <f>'Example calcs 2000'!N25*0.95</f>
        <v>0</v>
      </c>
      <c r="N25" s="132">
        <f t="shared" si="6"/>
        <v>2780738.9181738812</v>
      </c>
      <c r="O25" s="132">
        <f t="shared" si="7"/>
        <v>0.9999989751173719</v>
      </c>
      <c r="P25" s="132">
        <f t="shared" si="8"/>
        <v>2780736.0682428707</v>
      </c>
      <c r="Q25" s="111" t="s">
        <v>31</v>
      </c>
      <c r="R25" s="53">
        <f t="shared" si="9"/>
        <v>1</v>
      </c>
      <c r="S25" s="111">
        <f>INDEX(Model!$AD$54:$AD$118,MATCH($Q25,Model!$AB$54:$AB$118,0)+MATCH(Model!$Z$116,Model!$Z$54:$Z$118,0)-1)</f>
        <v>0.51500000000000001</v>
      </c>
      <c r="T25" s="131">
        <f t="shared" si="10"/>
        <v>1432079.0751450784</v>
      </c>
      <c r="U25" s="132">
        <f>'Example calcs 2000'!S25*0.8</f>
        <v>0</v>
      </c>
      <c r="V25" s="132">
        <f t="shared" si="11"/>
        <v>1432079.0751450784</v>
      </c>
      <c r="W25" s="132">
        <f t="shared" si="12"/>
        <v>4.1883053058948572E-2</v>
      </c>
      <c r="X25" s="132">
        <f t="shared" si="0"/>
        <v>59979.843888911317</v>
      </c>
      <c r="Y25" s="55" t="s">
        <v>34</v>
      </c>
      <c r="Z25" s="53">
        <f t="shared" si="13"/>
        <v>1</v>
      </c>
      <c r="AA25" s="55"/>
      <c r="AB25" s="55">
        <f>Model!$AC$137</f>
        <v>1</v>
      </c>
      <c r="AC25" s="131"/>
      <c r="AD25" s="132">
        <f>'Example calcs 2000'!Y25*0.8</f>
        <v>0</v>
      </c>
      <c r="AE25" s="132">
        <f t="shared" si="14"/>
        <v>0</v>
      </c>
      <c r="AF25" s="132" t="str">
        <f t="shared" si="18"/>
        <v/>
      </c>
      <c r="AG25" s="132">
        <f t="shared" si="1"/>
        <v>0</v>
      </c>
      <c r="AH25" s="112"/>
      <c r="AI25" s="53">
        <f t="shared" si="15"/>
        <v>1</v>
      </c>
      <c r="AJ25" s="112"/>
      <c r="AK25" s="55"/>
      <c r="AL25" s="118">
        <f t="shared" si="16"/>
        <v>59979.843888911317</v>
      </c>
      <c r="AM25" s="112">
        <f t="shared" si="17"/>
        <v>0</v>
      </c>
    </row>
    <row r="26" spans="3:50" x14ac:dyDescent="0.25">
      <c r="C26" s="170">
        <f>Model!$AD$14</f>
        <v>3321768</v>
      </c>
      <c r="D26" s="113">
        <f>Model!$AD$17</f>
        <v>0.38461538461538458</v>
      </c>
      <c r="E26" s="171">
        <f t="shared" si="3"/>
        <v>1277603.0769230768</v>
      </c>
      <c r="F26" s="113">
        <f>Model!$AD$28</f>
        <v>1</v>
      </c>
      <c r="G26" s="171">
        <f t="shared" si="4"/>
        <v>1277603.0769230768</v>
      </c>
      <c r="H26" s="114">
        <f>INDEX(Model!$AD$33:$AD$36,MATCH($J26,Model!$AB$33:$AB$36,0))</f>
        <v>0.13950000000000001</v>
      </c>
      <c r="I26" s="133">
        <f t="shared" si="5"/>
        <v>178225.62923076923</v>
      </c>
      <c r="J26" s="113" t="s">
        <v>27</v>
      </c>
      <c r="K26" s="114">
        <f>INDEX(Model!$AD$37:$AD$40,MATCH($J26,Model!$AB$33:$AB$36,0))</f>
        <v>88.687168672720716</v>
      </c>
      <c r="L26" s="135">
        <f>K26*I26</f>
        <v>15806326.441391015</v>
      </c>
      <c r="M26" s="133">
        <f>'Example calcs 2000'!N26*0.95</f>
        <v>0</v>
      </c>
      <c r="N26" s="133">
        <f t="shared" si="6"/>
        <v>2780738.9181738812</v>
      </c>
      <c r="O26" s="133">
        <f t="shared" si="7"/>
        <v>0.9999989751173719</v>
      </c>
      <c r="P26" s="133">
        <f t="shared" si="8"/>
        <v>2780736.0682428707</v>
      </c>
      <c r="Q26" s="114" t="s">
        <v>31</v>
      </c>
      <c r="R26" s="172">
        <f t="shared" si="9"/>
        <v>0</v>
      </c>
      <c r="S26" s="114">
        <f>INDEX(Model!$AD$54:$AD$118,MATCH($Q26,Model!$AB$54:$AB$118,0)+MATCH(Model!$Z$116,Model!$Z$54:$Z$118,0)-1)</f>
        <v>0.51500000000000001</v>
      </c>
      <c r="T26" s="135">
        <f t="shared" si="10"/>
        <v>1432079.0751450784</v>
      </c>
      <c r="U26" s="133">
        <f>'Example calcs 2000'!S26*0.8</f>
        <v>0</v>
      </c>
      <c r="V26" s="133">
        <f t="shared" si="11"/>
        <v>1432079.0751450784</v>
      </c>
      <c r="W26" s="133">
        <f t="shared" si="12"/>
        <v>0.95811694694105154</v>
      </c>
      <c r="X26" s="133">
        <f t="shared" si="0"/>
        <v>1372099.2312561672</v>
      </c>
      <c r="Y26" s="113" t="s">
        <v>35</v>
      </c>
      <c r="Z26" s="172">
        <f t="shared" si="13"/>
        <v>1</v>
      </c>
      <c r="AA26" s="113">
        <f>Model!$AC$147</f>
        <v>1</v>
      </c>
      <c r="AB26" s="113"/>
      <c r="AC26" s="135">
        <f>X26*AA26</f>
        <v>1372099.2312561672</v>
      </c>
      <c r="AD26" s="133">
        <f>'Example calcs 2000'!Y26*0.8</f>
        <v>0</v>
      </c>
      <c r="AE26" s="133">
        <f t="shared" si="14"/>
        <v>1372099.2312561672</v>
      </c>
      <c r="AF26" s="153"/>
      <c r="AG26" s="133">
        <f t="shared" si="1"/>
        <v>0</v>
      </c>
      <c r="AH26" s="113" t="s">
        <v>67</v>
      </c>
      <c r="AI26" s="172">
        <f t="shared" si="15"/>
        <v>1</v>
      </c>
      <c r="AJ26" s="113">
        <f>Model!$AC$178</f>
        <v>0.52600000000000002</v>
      </c>
      <c r="AK26" s="113"/>
      <c r="AL26" s="119">
        <f t="shared" si="16"/>
        <v>0</v>
      </c>
      <c r="AM26" s="113">
        <f t="shared" si="17"/>
        <v>0</v>
      </c>
    </row>
    <row r="27" spans="3:50" x14ac:dyDescent="0.25">
      <c r="C27" s="154">
        <f>Model!$AD$14</f>
        <v>3321768</v>
      </c>
      <c r="D27" s="55">
        <f>Model!$AD$17</f>
        <v>0.38461538461538458</v>
      </c>
      <c r="E27" s="155">
        <f t="shared" si="3"/>
        <v>1277603.0769230768</v>
      </c>
      <c r="F27" s="55">
        <f>Model!$AD$28</f>
        <v>1</v>
      </c>
      <c r="G27" s="155">
        <f t="shared" si="4"/>
        <v>1277603.0769230768</v>
      </c>
      <c r="H27" s="111">
        <f>INDEX(Model!$AD$33:$AD$36,MATCH($J27,Model!$AB$33:$AB$36,0))</f>
        <v>0.13950000000000001</v>
      </c>
      <c r="I27" s="132">
        <f t="shared" si="5"/>
        <v>178225.62923076923</v>
      </c>
      <c r="J27" s="55" t="s">
        <v>27</v>
      </c>
      <c r="K27" s="111">
        <f>INDEX(Model!$AD$37:$AD$40,MATCH($J27,Model!$AB$33:$AB$36,0))</f>
        <v>88.687168672720716</v>
      </c>
      <c r="L27" s="131">
        <f>K27*I27</f>
        <v>15806326.441391015</v>
      </c>
      <c r="M27" s="132">
        <f>'Example calcs 2000'!N27*0.95</f>
        <v>0</v>
      </c>
      <c r="N27" s="132">
        <f t="shared" si="6"/>
        <v>2780738.9181738812</v>
      </c>
      <c r="O27" s="132">
        <f t="shared" si="7"/>
        <v>0.9999989751173719</v>
      </c>
      <c r="P27" s="132">
        <f t="shared" si="8"/>
        <v>2780736.0682428707</v>
      </c>
      <c r="Q27" s="111" t="s">
        <v>31</v>
      </c>
      <c r="R27" s="53">
        <f t="shared" si="9"/>
        <v>0</v>
      </c>
      <c r="S27" s="111">
        <f>INDEX(Model!$AD$54:$AD$118,MATCH($Q27,Model!$AB$54:$AB$118,0)+MATCH(Model!$Z$116,Model!$Z$54:$Z$118,0)-1)</f>
        <v>0.51500000000000001</v>
      </c>
      <c r="T27" s="131">
        <f t="shared" si="10"/>
        <v>1432079.0751450784</v>
      </c>
      <c r="U27" s="132">
        <f>'Example calcs 2000'!S27*0.8</f>
        <v>0</v>
      </c>
      <c r="V27" s="132">
        <f t="shared" si="11"/>
        <v>1432079.0751450784</v>
      </c>
      <c r="W27" s="132">
        <f t="shared" si="12"/>
        <v>0.95811694694105154</v>
      </c>
      <c r="X27" s="132">
        <f t="shared" si="0"/>
        <v>1372099.2312561672</v>
      </c>
      <c r="Y27" s="55" t="s">
        <v>35</v>
      </c>
      <c r="Z27" s="53">
        <f t="shared" si="13"/>
        <v>0</v>
      </c>
      <c r="AA27" s="55">
        <f>Model!$AC$147</f>
        <v>1</v>
      </c>
      <c r="AB27" s="55"/>
      <c r="AC27" s="131">
        <f>X27*AA27</f>
        <v>1372099.2312561672</v>
      </c>
      <c r="AD27" s="132">
        <f>'Example calcs 2000'!Y27*0.8</f>
        <v>0</v>
      </c>
      <c r="AE27" s="132">
        <f t="shared" si="14"/>
        <v>1372099.2312561672</v>
      </c>
      <c r="AF27" s="137">
        <f>IFERROR(INDEX($AQ$12:$AQ$13,MATCH(AH27,$AP$12:$AP$13,0))/SUM($AQ$12:$AQ$13),"")</f>
        <v>5.5114018144655976E-7</v>
      </c>
      <c r="AG27" s="132">
        <f t="shared" si="1"/>
        <v>0.75621901927720914</v>
      </c>
      <c r="AH27" s="112" t="s">
        <v>144</v>
      </c>
      <c r="AI27" s="53">
        <f t="shared" si="15"/>
        <v>1</v>
      </c>
      <c r="AJ27" s="112">
        <f>Model!$AC$191</f>
        <v>0.4</v>
      </c>
      <c r="AK27" s="55"/>
      <c r="AL27" s="118">
        <f t="shared" si="16"/>
        <v>0.30248760771088368</v>
      </c>
      <c r="AM27" s="112">
        <f t="shared" si="17"/>
        <v>0</v>
      </c>
    </row>
    <row r="28" spans="3:50" x14ac:dyDescent="0.25">
      <c r="C28" s="154">
        <f>Model!$AD$14</f>
        <v>3321768</v>
      </c>
      <c r="D28" s="55">
        <f>Model!$AD$17</f>
        <v>0.38461538461538458</v>
      </c>
      <c r="E28" s="155">
        <f t="shared" si="3"/>
        <v>1277603.0769230768</v>
      </c>
      <c r="F28" s="55">
        <f>Model!$AD$28</f>
        <v>1</v>
      </c>
      <c r="G28" s="155">
        <f t="shared" si="4"/>
        <v>1277603.0769230768</v>
      </c>
      <c r="H28" s="111">
        <f>INDEX(Model!$AD$33:$AD$36,MATCH($J28,Model!$AB$33:$AB$36,0))</f>
        <v>0.13950000000000001</v>
      </c>
      <c r="I28" s="132">
        <f t="shared" si="5"/>
        <v>178225.62923076923</v>
      </c>
      <c r="J28" s="55" t="s">
        <v>27</v>
      </c>
      <c r="K28" s="111">
        <f>INDEX(Model!$AD$37:$AD$40,MATCH($J28,Model!$AB$33:$AB$36,0))</f>
        <v>88.687168672720716</v>
      </c>
      <c r="L28" s="131">
        <f>K28*I28</f>
        <v>15806326.441391015</v>
      </c>
      <c r="M28" s="132">
        <f>'Example calcs 2000'!N28*0.95</f>
        <v>0</v>
      </c>
      <c r="N28" s="132">
        <f t="shared" si="6"/>
        <v>2780738.9181738812</v>
      </c>
      <c r="O28" s="132">
        <f t="shared" si="7"/>
        <v>0.9999989751173719</v>
      </c>
      <c r="P28" s="132">
        <f t="shared" si="8"/>
        <v>2780736.0682428707</v>
      </c>
      <c r="Q28" s="111" t="s">
        <v>31</v>
      </c>
      <c r="R28" s="53">
        <f t="shared" si="9"/>
        <v>0</v>
      </c>
      <c r="S28" s="111">
        <f>INDEX(Model!$AD$54:$AD$118,MATCH($Q28,Model!$AB$54:$AB$118,0)+MATCH(Model!$Z$116,Model!$Z$54:$Z$118,0)-1)</f>
        <v>0.51500000000000001</v>
      </c>
      <c r="T28" s="131">
        <f t="shared" si="10"/>
        <v>1432079.0751450784</v>
      </c>
      <c r="U28" s="132">
        <f>'Example calcs 2000'!S28*0.8</f>
        <v>0</v>
      </c>
      <c r="V28" s="132">
        <f t="shared" si="11"/>
        <v>1432079.0751450784</v>
      </c>
      <c r="W28" s="132">
        <f t="shared" si="12"/>
        <v>0.95811694694105154</v>
      </c>
      <c r="X28" s="132">
        <f t="shared" si="0"/>
        <v>1372099.2312561672</v>
      </c>
      <c r="Y28" s="55" t="s">
        <v>35</v>
      </c>
      <c r="Z28" s="53">
        <f t="shared" si="13"/>
        <v>0</v>
      </c>
      <c r="AA28" s="55">
        <f>Model!$AC$147</f>
        <v>1</v>
      </c>
      <c r="AB28" s="55"/>
      <c r="AC28" s="131">
        <f>X28*AA28</f>
        <v>1372099.2312561672</v>
      </c>
      <c r="AD28" s="132">
        <f>'Example calcs 2000'!Y28*0.8</f>
        <v>0</v>
      </c>
      <c r="AE28" s="132">
        <f t="shared" si="14"/>
        <v>1372099.2312561672</v>
      </c>
      <c r="AF28" s="137" t="str">
        <f>IFERROR(INDEX($AQ$12:$AQ$13,MATCH(AH28,$AP$12:$AP$13,0))/SUM($AQ$12:$AQ$13),"")</f>
        <v/>
      </c>
      <c r="AG28" s="132">
        <f t="shared" si="1"/>
        <v>0</v>
      </c>
      <c r="AH28" s="112" t="s">
        <v>65</v>
      </c>
      <c r="AI28" s="53">
        <f t="shared" si="15"/>
        <v>1</v>
      </c>
      <c r="AJ28" s="112"/>
      <c r="AK28" s="55">
        <f>Model!$AC$164</f>
        <v>1.613</v>
      </c>
      <c r="AL28" s="118">
        <f t="shared" si="16"/>
        <v>0</v>
      </c>
      <c r="AM28" s="112">
        <f t="shared" si="17"/>
        <v>0</v>
      </c>
    </row>
    <row r="29" spans="3:50" x14ac:dyDescent="0.25">
      <c r="C29" s="154">
        <f>Model!$AD$14</f>
        <v>3321768</v>
      </c>
      <c r="D29" s="55">
        <f>Model!$AD$17</f>
        <v>0.38461538461538458</v>
      </c>
      <c r="E29" s="155">
        <f t="shared" si="3"/>
        <v>1277603.0769230768</v>
      </c>
      <c r="F29" s="55">
        <f>Model!$AD$28</f>
        <v>1</v>
      </c>
      <c r="G29" s="155">
        <f t="shared" si="4"/>
        <v>1277603.0769230768</v>
      </c>
      <c r="H29" s="111">
        <f>INDEX(Model!$AD$33:$AD$36,MATCH($J29,Model!$AB$33:$AB$36,0))</f>
        <v>0.13950000000000001</v>
      </c>
      <c r="I29" s="132">
        <f t="shared" si="5"/>
        <v>178225.62923076923</v>
      </c>
      <c r="J29" s="112" t="s">
        <v>27</v>
      </c>
      <c r="K29" s="122">
        <f>INDEX(Model!$AD$37:$AD$40,MATCH($J29,Model!$AB$33:$AB$36,0))</f>
        <v>88.687168672720716</v>
      </c>
      <c r="L29" s="136">
        <f>K29*I29</f>
        <v>15806326.441391015</v>
      </c>
      <c r="M29" s="134">
        <f>'Example calcs 2000'!N29*0.95</f>
        <v>0</v>
      </c>
      <c r="N29" s="132">
        <f t="shared" si="6"/>
        <v>2780738.9181738812</v>
      </c>
      <c r="O29" s="134">
        <f t="shared" si="7"/>
        <v>0.9999989751173719</v>
      </c>
      <c r="P29" s="134">
        <f t="shared" si="8"/>
        <v>2780736.0682428707</v>
      </c>
      <c r="Q29" s="122" t="s">
        <v>31</v>
      </c>
      <c r="R29" s="53">
        <f t="shared" si="9"/>
        <v>0</v>
      </c>
      <c r="S29" s="122">
        <f>INDEX(Model!$AD$54:$AD$118,MATCH($Q29,Model!$AB$54:$AB$118,0)+MATCH(Model!$Z$116,Model!$Z$54:$Z$118,0)-1)</f>
        <v>0.51500000000000001</v>
      </c>
      <c r="T29" s="136">
        <f t="shared" si="10"/>
        <v>1432079.0751450784</v>
      </c>
      <c r="U29" s="134">
        <f>'Example calcs 2000'!S29*0.8</f>
        <v>0</v>
      </c>
      <c r="V29" s="132">
        <f t="shared" si="11"/>
        <v>1432079.0751450784</v>
      </c>
      <c r="W29" s="134">
        <f t="shared" si="12"/>
        <v>0.95811694694105154</v>
      </c>
      <c r="X29" s="134">
        <f t="shared" si="0"/>
        <v>1372099.2312561672</v>
      </c>
      <c r="Y29" s="112" t="s">
        <v>35</v>
      </c>
      <c r="Z29" s="53">
        <f t="shared" si="13"/>
        <v>0</v>
      </c>
      <c r="AA29" s="112">
        <f>Model!$AC$147</f>
        <v>1</v>
      </c>
      <c r="AB29" s="112"/>
      <c r="AC29" s="136">
        <f>X29*AA29</f>
        <v>1372099.2312561672</v>
      </c>
      <c r="AD29" s="134">
        <f>'Example calcs 2000'!Y29*0.8</f>
        <v>0</v>
      </c>
      <c r="AE29" s="132">
        <f t="shared" si="14"/>
        <v>1372099.2312561672</v>
      </c>
      <c r="AF29" s="137">
        <f>IFERROR(INDEX($AQ$12:$AQ$13,MATCH(AH29,$AP$12:$AP$13,0))/SUM($AQ$12:$AQ$13),"")</f>
        <v>0.99999944885981851</v>
      </c>
      <c r="AG29" s="134">
        <f t="shared" si="1"/>
        <v>1372098.4750371478</v>
      </c>
      <c r="AH29" s="112" t="s">
        <v>66</v>
      </c>
      <c r="AI29" s="53">
        <f t="shared" si="15"/>
        <v>1</v>
      </c>
      <c r="AJ29" s="112"/>
      <c r="AK29" s="112">
        <f>Model!$AC$204</f>
        <v>1.111</v>
      </c>
      <c r="AL29" s="123">
        <f t="shared" si="16"/>
        <v>0</v>
      </c>
      <c r="AM29" s="112">
        <f t="shared" si="17"/>
        <v>1524401.4057662711</v>
      </c>
      <c r="AP29" s="104"/>
      <c r="AQ29" s="104"/>
      <c r="AR29" s="104"/>
      <c r="AS29" s="104"/>
      <c r="AT29" s="104"/>
      <c r="AU29" s="104"/>
      <c r="AV29" s="104"/>
      <c r="AW29" s="104"/>
      <c r="AX29" s="104"/>
    </row>
    <row r="30" spans="3:50" s="104" customFormat="1" x14ac:dyDescent="0.25">
      <c r="C30" s="154">
        <f>Model!$AD$14</f>
        <v>3321768</v>
      </c>
      <c r="D30" s="55">
        <f>Model!$AD$17</f>
        <v>0.38461538461538458</v>
      </c>
      <c r="E30" s="155">
        <f t="shared" si="3"/>
        <v>1277603.0769230768</v>
      </c>
      <c r="F30" s="55">
        <f>Model!$AD$28</f>
        <v>1</v>
      </c>
      <c r="G30" s="155">
        <f t="shared" si="4"/>
        <v>1277603.0769230768</v>
      </c>
      <c r="H30" s="111">
        <f>INDEX(Model!$AD$33:$AD$36,MATCH($J30,Model!$AB$33:$AB$36,0))</f>
        <v>4.0000000000000036E-2</v>
      </c>
      <c r="I30" s="132">
        <f t="shared" si="5"/>
        <v>51104.123076923119</v>
      </c>
      <c r="J30" s="112" t="s">
        <v>28</v>
      </c>
      <c r="K30" s="122">
        <f>INDEX(Model!$AD$37:$AD$40,MATCH($J30,Model!$AB$33:$AB$36,0))</f>
        <v>92.262366258334637</v>
      </c>
      <c r="L30" s="136">
        <f>K30*I30</f>
        <v>4714987.3206340922</v>
      </c>
      <c r="M30" s="134">
        <f>'Example calcs 2000'!N30*0.95</f>
        <v>0</v>
      </c>
      <c r="N30" s="132">
        <f t="shared" si="6"/>
        <v>628250.10236811731</v>
      </c>
      <c r="O30" s="134">
        <f t="shared" si="7"/>
        <v>4.0757259630805254E-9</v>
      </c>
      <c r="P30" s="134">
        <f t="shared" si="8"/>
        <v>2.5605752535297335E-3</v>
      </c>
      <c r="Q30" s="122" t="s">
        <v>33</v>
      </c>
      <c r="R30" s="53">
        <f t="shared" si="9"/>
        <v>1</v>
      </c>
      <c r="S30" s="122">
        <f>INDEX(Model!$AD$54:$AD$118,MATCH($Q30,Model!$AB$54:$AB$118,0)+MATCH(Model!$Z$116,Model!$Z$54:$Z$118,0)-1)</f>
        <v>0.309</v>
      </c>
      <c r="T30" s="136">
        <f t="shared" si="10"/>
        <v>7.9121775334068767E-4</v>
      </c>
      <c r="U30" s="134">
        <f>'Example calcs 2000'!S30*0.8</f>
        <v>0</v>
      </c>
      <c r="V30" s="132">
        <f t="shared" si="11"/>
        <v>7.9121775334068767E-4</v>
      </c>
      <c r="W30" s="134">
        <f t="shared" si="12"/>
        <v>4.1883053058948572E-2</v>
      </c>
      <c r="X30" s="134">
        <f t="shared" si="0"/>
        <v>3.3138615144350104E-5</v>
      </c>
      <c r="Y30" s="112" t="s">
        <v>34</v>
      </c>
      <c r="Z30" s="53">
        <f t="shared" si="13"/>
        <v>1</v>
      </c>
      <c r="AA30" s="112"/>
      <c r="AB30" s="112">
        <f>Model!$AC$137</f>
        <v>1</v>
      </c>
      <c r="AC30" s="136"/>
      <c r="AD30" s="134">
        <f>'Example calcs 2000'!Y30*0.8</f>
        <v>0</v>
      </c>
      <c r="AE30" s="132">
        <f t="shared" si="14"/>
        <v>0</v>
      </c>
      <c r="AF30" s="134" t="str">
        <f t="shared" si="18"/>
        <v/>
      </c>
      <c r="AG30" s="134">
        <f t="shared" si="1"/>
        <v>0</v>
      </c>
      <c r="AH30" s="112"/>
      <c r="AI30" s="53">
        <f t="shared" si="15"/>
        <v>1</v>
      </c>
      <c r="AJ30" s="112"/>
      <c r="AK30" s="112"/>
      <c r="AL30" s="123">
        <f t="shared" si="16"/>
        <v>3.3138615144350104E-5</v>
      </c>
      <c r="AM30" s="112">
        <f t="shared" si="17"/>
        <v>0</v>
      </c>
    </row>
    <row r="31" spans="3:50" s="104" customFormat="1" x14ac:dyDescent="0.25">
      <c r="C31" s="154">
        <f>Model!$AD$14</f>
        <v>3321768</v>
      </c>
      <c r="D31" s="55">
        <f>Model!$AD$17</f>
        <v>0.38461538461538458</v>
      </c>
      <c r="E31" s="155">
        <f t="shared" si="3"/>
        <v>1277603.0769230768</v>
      </c>
      <c r="F31" s="55">
        <f>Model!$AD$28</f>
        <v>1</v>
      </c>
      <c r="G31" s="155">
        <f t="shared" si="4"/>
        <v>1277603.0769230768</v>
      </c>
      <c r="H31" s="111">
        <f>INDEX(Model!$AD$33:$AD$36,MATCH($J31,Model!$AB$33:$AB$36,0))</f>
        <v>4.0000000000000036E-2</v>
      </c>
      <c r="I31" s="132">
        <f t="shared" si="5"/>
        <v>51104.123076923119</v>
      </c>
      <c r="J31" s="112" t="s">
        <v>28</v>
      </c>
      <c r="K31" s="122">
        <f>INDEX(Model!$AD$37:$AD$40,MATCH($J31,Model!$AB$33:$AB$36,0))</f>
        <v>92.262366258334637</v>
      </c>
      <c r="L31" s="136">
        <f>K31*I31</f>
        <v>4714987.3206340922</v>
      </c>
      <c r="M31" s="134">
        <f>'Example calcs 2000'!N31*0.95</f>
        <v>0</v>
      </c>
      <c r="N31" s="132">
        <f t="shared" si="6"/>
        <v>628250.10236811731</v>
      </c>
      <c r="O31" s="134">
        <f t="shared" si="7"/>
        <v>4.0757259630805254E-9</v>
      </c>
      <c r="P31" s="134">
        <f t="shared" si="8"/>
        <v>2.5605752535297335E-3</v>
      </c>
      <c r="Q31" s="122" t="s">
        <v>33</v>
      </c>
      <c r="R31" s="53">
        <f t="shared" si="9"/>
        <v>0</v>
      </c>
      <c r="S31" s="122">
        <f>INDEX(Model!$AD$54:$AD$118,MATCH($Q31,Model!$AB$54:$AB$118,0)+MATCH(Model!$Z$116,Model!$Z$54:$Z$118,0)-1)</f>
        <v>0.309</v>
      </c>
      <c r="T31" s="136">
        <f t="shared" si="10"/>
        <v>7.9121775334068767E-4</v>
      </c>
      <c r="U31" s="134">
        <f>'Example calcs 2000'!S31*0.8</f>
        <v>0</v>
      </c>
      <c r="V31" s="132">
        <f t="shared" si="11"/>
        <v>7.9121775334068767E-4</v>
      </c>
      <c r="W31" s="134">
        <f t="shared" si="12"/>
        <v>0.95811694694105154</v>
      </c>
      <c r="X31" s="134">
        <f t="shared" si="0"/>
        <v>7.5807913819633766E-4</v>
      </c>
      <c r="Y31" s="112" t="s">
        <v>35</v>
      </c>
      <c r="Z31" s="53">
        <f t="shared" si="13"/>
        <v>1</v>
      </c>
      <c r="AA31" s="112">
        <f>Model!$AC$147</f>
        <v>1</v>
      </c>
      <c r="AB31" s="112"/>
      <c r="AC31" s="136">
        <f>X31*AA31</f>
        <v>7.5807913819633766E-4</v>
      </c>
      <c r="AD31" s="134">
        <f>'Example calcs 2000'!Y31*0.8</f>
        <v>0</v>
      </c>
      <c r="AE31" s="132">
        <f t="shared" si="14"/>
        <v>7.5807913819633766E-4</v>
      </c>
      <c r="AF31" s="134">
        <f t="shared" si="18"/>
        <v>4.2219505916481506E-2</v>
      </c>
      <c r="AG31" s="134">
        <f t="shared" si="1"/>
        <v>3.2005726660241476E-5</v>
      </c>
      <c r="AH31" s="112" t="s">
        <v>67</v>
      </c>
      <c r="AI31" s="53">
        <f t="shared" si="15"/>
        <v>1</v>
      </c>
      <c r="AJ31" s="112">
        <f>Model!$AC$178</f>
        <v>0.52600000000000002</v>
      </c>
      <c r="AK31" s="112"/>
      <c r="AL31" s="123">
        <f t="shared" si="16"/>
        <v>1.6835012223287016E-5</v>
      </c>
      <c r="AM31" s="112">
        <f t="shared" si="17"/>
        <v>0</v>
      </c>
    </row>
    <row r="32" spans="3:50" s="104" customFormat="1" x14ac:dyDescent="0.25">
      <c r="C32" s="154">
        <f>Model!$AD$14</f>
        <v>3321768</v>
      </c>
      <c r="D32" s="55">
        <f>Model!$AD$17</f>
        <v>0.38461538461538458</v>
      </c>
      <c r="E32" s="155">
        <f t="shared" si="3"/>
        <v>1277603.0769230768</v>
      </c>
      <c r="F32" s="55">
        <f>Model!$AD$28</f>
        <v>1</v>
      </c>
      <c r="G32" s="155">
        <f t="shared" si="4"/>
        <v>1277603.0769230768</v>
      </c>
      <c r="H32" s="111">
        <f>INDEX(Model!$AD$33:$AD$36,MATCH($J32,Model!$AB$33:$AB$36,0))</f>
        <v>4.0000000000000036E-2</v>
      </c>
      <c r="I32" s="132">
        <f t="shared" si="5"/>
        <v>51104.123076923119</v>
      </c>
      <c r="J32" s="112" t="s">
        <v>28</v>
      </c>
      <c r="K32" s="122">
        <f>INDEX(Model!$AD$37:$AD$40,MATCH($J32,Model!$AB$33:$AB$36,0))</f>
        <v>92.262366258334637</v>
      </c>
      <c r="L32" s="136">
        <f>K32*I32</f>
        <v>4714987.3206340922</v>
      </c>
      <c r="M32" s="134">
        <f>'Example calcs 2000'!N32*0.95</f>
        <v>0</v>
      </c>
      <c r="N32" s="132">
        <f t="shared" si="6"/>
        <v>628250.10236811731</v>
      </c>
      <c r="O32" s="134">
        <f t="shared" si="7"/>
        <v>4.0757259630805254E-9</v>
      </c>
      <c r="P32" s="134">
        <f t="shared" si="8"/>
        <v>2.5605752535297335E-3</v>
      </c>
      <c r="Q32" s="122" t="s">
        <v>33</v>
      </c>
      <c r="R32" s="53">
        <f t="shared" si="9"/>
        <v>0</v>
      </c>
      <c r="S32" s="122">
        <f>INDEX(Model!$AD$54:$AD$118,MATCH($Q32,Model!$AB$54:$AB$118,0)+MATCH(Model!$Z$116,Model!$Z$54:$Z$118,0)-1)</f>
        <v>0.309</v>
      </c>
      <c r="T32" s="136">
        <f t="shared" si="10"/>
        <v>7.9121775334068767E-4</v>
      </c>
      <c r="U32" s="134">
        <f>'Example calcs 2000'!S32*0.8</f>
        <v>0</v>
      </c>
      <c r="V32" s="132">
        <f t="shared" si="11"/>
        <v>7.9121775334068767E-4</v>
      </c>
      <c r="W32" s="134">
        <f t="shared" si="12"/>
        <v>0.95811694694105154</v>
      </c>
      <c r="X32" s="134">
        <f t="shared" si="0"/>
        <v>7.5807913819633766E-4</v>
      </c>
      <c r="Y32" s="112" t="s">
        <v>35</v>
      </c>
      <c r="Z32" s="53">
        <f t="shared" si="13"/>
        <v>0</v>
      </c>
      <c r="AA32" s="112">
        <f>Model!$AC$147</f>
        <v>1</v>
      </c>
      <c r="AB32" s="112"/>
      <c r="AC32" s="136">
        <f>X32*AA32</f>
        <v>7.5807913819633766E-4</v>
      </c>
      <c r="AD32" s="134">
        <f>'Example calcs 2000'!Y32*0.8</f>
        <v>0</v>
      </c>
      <c r="AE32" s="132">
        <f t="shared" si="14"/>
        <v>7.5807913819633766E-4</v>
      </c>
      <c r="AF32" s="134">
        <f t="shared" si="18"/>
        <v>5.2787131529516608E-7</v>
      </c>
      <c r="AG32" s="134">
        <f t="shared" si="1"/>
        <v>4.0016823177752676E-10</v>
      </c>
      <c r="AH32" s="112" t="s">
        <v>144</v>
      </c>
      <c r="AI32" s="53">
        <f t="shared" si="15"/>
        <v>1</v>
      </c>
      <c r="AJ32" s="112">
        <f>Model!$AC$191</f>
        <v>0.4</v>
      </c>
      <c r="AK32" s="112"/>
      <c r="AL32" s="123">
        <f t="shared" si="16"/>
        <v>1.6006729271101071E-10</v>
      </c>
      <c r="AM32" s="112">
        <f t="shared" si="17"/>
        <v>0</v>
      </c>
    </row>
    <row r="33" spans="3:39" s="104" customFormat="1" x14ac:dyDescent="0.25">
      <c r="C33" s="154">
        <f>Model!$AD$14</f>
        <v>3321768</v>
      </c>
      <c r="D33" s="55">
        <f>Model!$AD$17</f>
        <v>0.38461538461538458</v>
      </c>
      <c r="E33" s="155">
        <f t="shared" si="3"/>
        <v>1277603.0769230768</v>
      </c>
      <c r="F33" s="55">
        <f>Model!$AD$28</f>
        <v>1</v>
      </c>
      <c r="G33" s="155">
        <f t="shared" si="4"/>
        <v>1277603.0769230768</v>
      </c>
      <c r="H33" s="111">
        <f>INDEX(Model!$AD$33:$AD$36,MATCH($J33,Model!$AB$33:$AB$36,0))</f>
        <v>4.0000000000000036E-2</v>
      </c>
      <c r="I33" s="132">
        <f t="shared" si="5"/>
        <v>51104.123076923119</v>
      </c>
      <c r="J33" s="112" t="s">
        <v>28</v>
      </c>
      <c r="K33" s="122">
        <f>INDEX(Model!$AD$37:$AD$40,MATCH($J33,Model!$AB$33:$AB$36,0))</f>
        <v>92.262366258334637</v>
      </c>
      <c r="L33" s="136">
        <f>K33*I33</f>
        <v>4714987.3206340922</v>
      </c>
      <c r="M33" s="134">
        <f>'Example calcs 2000'!N33*0.95</f>
        <v>0</v>
      </c>
      <c r="N33" s="132">
        <f t="shared" si="6"/>
        <v>628250.10236811731</v>
      </c>
      <c r="O33" s="134">
        <f t="shared" si="7"/>
        <v>4.0757259630805254E-9</v>
      </c>
      <c r="P33" s="134">
        <f t="shared" si="8"/>
        <v>2.5605752535297335E-3</v>
      </c>
      <c r="Q33" s="122" t="s">
        <v>33</v>
      </c>
      <c r="R33" s="53">
        <f t="shared" si="9"/>
        <v>0</v>
      </c>
      <c r="S33" s="122">
        <f>INDEX(Model!$AD$54:$AD$118,MATCH($Q33,Model!$AB$54:$AB$118,0)+MATCH(Model!$Z$116,Model!$Z$54:$Z$118,0)-1)</f>
        <v>0.309</v>
      </c>
      <c r="T33" s="136">
        <f t="shared" si="10"/>
        <v>7.9121775334068767E-4</v>
      </c>
      <c r="U33" s="134">
        <f>'Example calcs 2000'!S33*0.8</f>
        <v>0</v>
      </c>
      <c r="V33" s="132">
        <f t="shared" si="11"/>
        <v>7.9121775334068767E-4</v>
      </c>
      <c r="W33" s="134">
        <f t="shared" si="12"/>
        <v>0.95811694694105154</v>
      </c>
      <c r="X33" s="134">
        <f t="shared" si="0"/>
        <v>7.5807913819633766E-4</v>
      </c>
      <c r="Y33" s="112" t="s">
        <v>35</v>
      </c>
      <c r="Z33" s="53">
        <f t="shared" si="13"/>
        <v>0</v>
      </c>
      <c r="AA33" s="112">
        <f>Model!$AC$147</f>
        <v>1</v>
      </c>
      <c r="AB33" s="112"/>
      <c r="AC33" s="136">
        <f>X33*AA33</f>
        <v>7.5807913819633766E-4</v>
      </c>
      <c r="AD33" s="134">
        <f>'Example calcs 2000'!Y33*0.8</f>
        <v>0</v>
      </c>
      <c r="AE33" s="132">
        <f t="shared" si="14"/>
        <v>7.5807913819633766E-4</v>
      </c>
      <c r="AF33" s="134" t="str">
        <f t="shared" si="18"/>
        <v/>
      </c>
      <c r="AG33" s="134">
        <f t="shared" si="1"/>
        <v>0</v>
      </c>
      <c r="AH33" s="112" t="s">
        <v>65</v>
      </c>
      <c r="AI33" s="53">
        <f t="shared" si="15"/>
        <v>1</v>
      </c>
      <c r="AJ33" s="112"/>
      <c r="AK33" s="112">
        <f>Model!$AC$164</f>
        <v>1.613</v>
      </c>
      <c r="AL33" s="123">
        <f t="shared" si="16"/>
        <v>0</v>
      </c>
      <c r="AM33" s="112">
        <f t="shared" si="17"/>
        <v>0</v>
      </c>
    </row>
    <row r="34" spans="3:39" s="104" customFormat="1" x14ac:dyDescent="0.25">
      <c r="C34" s="154">
        <f>Model!$AD$14</f>
        <v>3321768</v>
      </c>
      <c r="D34" s="55">
        <f>Model!$AD$17</f>
        <v>0.38461538461538458</v>
      </c>
      <c r="E34" s="155">
        <f t="shared" si="3"/>
        <v>1277603.0769230768</v>
      </c>
      <c r="F34" s="55">
        <f>Model!$AD$28</f>
        <v>1</v>
      </c>
      <c r="G34" s="155">
        <f t="shared" si="4"/>
        <v>1277603.0769230768</v>
      </c>
      <c r="H34" s="111">
        <f>INDEX(Model!$AD$33:$AD$36,MATCH($J34,Model!$AB$33:$AB$36,0))</f>
        <v>4.0000000000000036E-2</v>
      </c>
      <c r="I34" s="132">
        <f t="shared" si="5"/>
        <v>51104.123076923119</v>
      </c>
      <c r="J34" s="112" t="s">
        <v>28</v>
      </c>
      <c r="K34" s="122">
        <f>INDEX(Model!$AD$37:$AD$40,MATCH($J34,Model!$AB$33:$AB$36,0))</f>
        <v>92.262366258334637</v>
      </c>
      <c r="L34" s="136">
        <f>K34*I34</f>
        <v>4714987.3206340922</v>
      </c>
      <c r="M34" s="134">
        <f>'Example calcs 2000'!N34*0.95</f>
        <v>0</v>
      </c>
      <c r="N34" s="132">
        <f t="shared" si="6"/>
        <v>628250.10236811731</v>
      </c>
      <c r="O34" s="134">
        <f t="shared" si="7"/>
        <v>4.0757259630805254E-9</v>
      </c>
      <c r="P34" s="134">
        <f t="shared" si="8"/>
        <v>2.5605752535297335E-3</v>
      </c>
      <c r="Q34" s="122" t="s">
        <v>33</v>
      </c>
      <c r="R34" s="53">
        <f t="shared" si="9"/>
        <v>0</v>
      </c>
      <c r="S34" s="122">
        <f>INDEX(Model!$AD$54:$AD$118,MATCH($Q34,Model!$AB$54:$AB$118,0)+MATCH(Model!$Z$116,Model!$Z$54:$Z$118,0)-1)</f>
        <v>0.309</v>
      </c>
      <c r="T34" s="136">
        <f t="shared" si="10"/>
        <v>7.9121775334068767E-4</v>
      </c>
      <c r="U34" s="134">
        <f>'Example calcs 2000'!S34*0.8</f>
        <v>0</v>
      </c>
      <c r="V34" s="132">
        <f t="shared" si="11"/>
        <v>7.9121775334068767E-4</v>
      </c>
      <c r="W34" s="134">
        <f t="shared" si="12"/>
        <v>0.95811694694105154</v>
      </c>
      <c r="X34" s="134">
        <f t="shared" si="0"/>
        <v>7.5807913819633766E-4</v>
      </c>
      <c r="Y34" s="112" t="s">
        <v>35</v>
      </c>
      <c r="Z34" s="53">
        <f t="shared" si="13"/>
        <v>0</v>
      </c>
      <c r="AA34" s="112">
        <f>Model!$AC$147</f>
        <v>1</v>
      </c>
      <c r="AB34" s="112"/>
      <c r="AC34" s="136">
        <f>X34*AA34</f>
        <v>7.5807913819633766E-4</v>
      </c>
      <c r="AD34" s="134">
        <f>'Example calcs 2000'!Y34*0.8</f>
        <v>0</v>
      </c>
      <c r="AE34" s="132">
        <f t="shared" si="14"/>
        <v>7.5807913819633766E-4</v>
      </c>
      <c r="AF34" s="134">
        <f t="shared" si="18"/>
        <v>0.95777996621220318</v>
      </c>
      <c r="AG34" s="134">
        <f t="shared" si="1"/>
        <v>7.2607301136786437E-4</v>
      </c>
      <c r="AH34" s="112" t="s">
        <v>66</v>
      </c>
      <c r="AI34" s="53">
        <f t="shared" si="15"/>
        <v>1</v>
      </c>
      <c r="AJ34" s="112"/>
      <c r="AK34" s="112">
        <f>Model!$AC$204</f>
        <v>1.111</v>
      </c>
      <c r="AL34" s="123">
        <f t="shared" si="16"/>
        <v>0</v>
      </c>
      <c r="AM34" s="112">
        <f t="shared" si="17"/>
        <v>8.0666711562969728E-4</v>
      </c>
    </row>
    <row r="35" spans="3:39" s="104" customFormat="1" x14ac:dyDescent="0.25">
      <c r="C35" s="154">
        <f>Model!$AD$14</f>
        <v>3321768</v>
      </c>
      <c r="D35" s="55">
        <f>Model!$AD$17</f>
        <v>0.38461538461538458</v>
      </c>
      <c r="E35" s="155">
        <f t="shared" si="3"/>
        <v>1277603.0769230768</v>
      </c>
      <c r="F35" s="55">
        <f>Model!$AD$28</f>
        <v>1</v>
      </c>
      <c r="G35" s="155">
        <f t="shared" si="4"/>
        <v>1277603.0769230768</v>
      </c>
      <c r="H35" s="111">
        <f>INDEX(Model!$AD$33:$AD$36,MATCH($J35,Model!$AB$33:$AB$36,0))</f>
        <v>4.0000000000000036E-2</v>
      </c>
      <c r="I35" s="132">
        <f t="shared" si="5"/>
        <v>51104.123076923119</v>
      </c>
      <c r="J35" s="112" t="s">
        <v>28</v>
      </c>
      <c r="K35" s="122">
        <f>INDEX(Model!$AD$37:$AD$40,MATCH($J35,Model!$AB$33:$AB$36,0))</f>
        <v>92.262366258334637</v>
      </c>
      <c r="L35" s="136">
        <f>K35*I35</f>
        <v>4714987.3206340922</v>
      </c>
      <c r="M35" s="134">
        <f>'Example calcs 2000'!N35*0.95</f>
        <v>3404252.1028155573</v>
      </c>
      <c r="N35" s="132">
        <f t="shared" si="6"/>
        <v>628250.10236811731</v>
      </c>
      <c r="O35" s="134" t="str">
        <f t="shared" si="7"/>
        <v/>
      </c>
      <c r="P35" s="134">
        <f t="shared" si="8"/>
        <v>3404252.1028155573</v>
      </c>
      <c r="Q35" s="122" t="s">
        <v>29</v>
      </c>
      <c r="R35" s="53">
        <f t="shared" si="9"/>
        <v>1</v>
      </c>
      <c r="S35" s="122">
        <f>INDEX(Model!$AD$54:$AD$118,MATCH($Q35,Model!$AB$54:$AB$118,0)+MATCH(Model!$Z$116,Model!$Z$54:$Z$118,0)-1)</f>
        <v>0.63300000000000001</v>
      </c>
      <c r="T35" s="136">
        <f t="shared" si="10"/>
        <v>2154891.5810822477</v>
      </c>
      <c r="U35" s="134">
        <f>'Example calcs 2000'!S35*0.8</f>
        <v>10035.675783075772</v>
      </c>
      <c r="V35" s="132">
        <f t="shared" si="11"/>
        <v>340246.0391182492</v>
      </c>
      <c r="W35" s="134">
        <f t="shared" si="12"/>
        <v>4.1883053058948572E-2</v>
      </c>
      <c r="X35" s="134">
        <f t="shared" si="0"/>
        <v>24286.218692562496</v>
      </c>
      <c r="Y35" s="112" t="s">
        <v>34</v>
      </c>
      <c r="Z35" s="53">
        <f t="shared" si="13"/>
        <v>1</v>
      </c>
      <c r="AA35" s="112"/>
      <c r="AB35" s="112">
        <f>Model!$AC$137</f>
        <v>1</v>
      </c>
      <c r="AC35" s="136"/>
      <c r="AD35" s="134">
        <f>'Example calcs 2000'!Y35*0.8</f>
        <v>0</v>
      </c>
      <c r="AE35" s="132">
        <f t="shared" si="14"/>
        <v>0</v>
      </c>
      <c r="AF35" s="134" t="str">
        <f t="shared" si="18"/>
        <v/>
      </c>
      <c r="AG35" s="134">
        <f t="shared" si="1"/>
        <v>0</v>
      </c>
      <c r="AH35" s="112"/>
      <c r="AI35" s="53">
        <f t="shared" si="15"/>
        <v>1</v>
      </c>
      <c r="AJ35" s="112"/>
      <c r="AK35" s="112"/>
      <c r="AL35" s="123">
        <f t="shared" si="16"/>
        <v>24286.218692562496</v>
      </c>
      <c r="AM35" s="112">
        <f t="shared" si="17"/>
        <v>0</v>
      </c>
    </row>
    <row r="36" spans="3:39" s="104" customFormat="1" x14ac:dyDescent="0.25">
      <c r="C36" s="154">
        <f>Model!$AD$14</f>
        <v>3321768</v>
      </c>
      <c r="D36" s="55">
        <f>Model!$AD$17</f>
        <v>0.38461538461538458</v>
      </c>
      <c r="E36" s="155">
        <f t="shared" si="3"/>
        <v>1277603.0769230768</v>
      </c>
      <c r="F36" s="55">
        <f>Model!$AD$28</f>
        <v>1</v>
      </c>
      <c r="G36" s="155">
        <f t="shared" si="4"/>
        <v>1277603.0769230768</v>
      </c>
      <c r="H36" s="111">
        <f>INDEX(Model!$AD$33:$AD$36,MATCH($J36,Model!$AB$33:$AB$36,0))</f>
        <v>4.0000000000000036E-2</v>
      </c>
      <c r="I36" s="132">
        <f t="shared" si="5"/>
        <v>51104.123076923119</v>
      </c>
      <c r="J36" s="112" t="s">
        <v>28</v>
      </c>
      <c r="K36" s="122">
        <f>INDEX(Model!$AD$37:$AD$40,MATCH($J36,Model!$AB$33:$AB$36,0))</f>
        <v>92.262366258334637</v>
      </c>
      <c r="L36" s="136">
        <f>K36*I36</f>
        <v>4714987.3206340922</v>
      </c>
      <c r="M36" s="134">
        <f>'Example calcs 2000'!N36*0.95</f>
        <v>3404252.1028155573</v>
      </c>
      <c r="N36" s="132">
        <f t="shared" si="6"/>
        <v>628250.10236811731</v>
      </c>
      <c r="O36" s="134" t="str">
        <f t="shared" si="7"/>
        <v/>
      </c>
      <c r="P36" s="134">
        <f t="shared" si="8"/>
        <v>3404252.1028155573</v>
      </c>
      <c r="Q36" s="122" t="s">
        <v>29</v>
      </c>
      <c r="R36" s="53">
        <f t="shared" si="9"/>
        <v>0</v>
      </c>
      <c r="S36" s="122">
        <f>INDEX(Model!$AD$54:$AD$118,MATCH($Q36,Model!$AB$54:$AB$118,0)+MATCH(Model!$Z$116,Model!$Z$54:$Z$118,0)-1)</f>
        <v>0.63300000000000001</v>
      </c>
      <c r="T36" s="136">
        <f t="shared" si="10"/>
        <v>2154891.5810822477</v>
      </c>
      <c r="U36" s="134">
        <f>'Example calcs 2000'!S36*0.8</f>
        <v>1804609.8661809226</v>
      </c>
      <c r="V36" s="132">
        <f t="shared" si="11"/>
        <v>340246.0391182492</v>
      </c>
      <c r="W36" s="134">
        <f t="shared" si="12"/>
        <v>0.95811694694105154</v>
      </c>
      <c r="X36" s="134">
        <f t="shared" si="0"/>
        <v>2130605.3623896851</v>
      </c>
      <c r="Y36" s="112" t="s">
        <v>35</v>
      </c>
      <c r="Z36" s="53">
        <f t="shared" si="13"/>
        <v>1</v>
      </c>
      <c r="AA36" s="112">
        <f>Model!$AC$147</f>
        <v>1</v>
      </c>
      <c r="AB36" s="112"/>
      <c r="AC36" s="136">
        <f>X36*AA36</f>
        <v>2130605.3623896851</v>
      </c>
      <c r="AD36" s="134">
        <f>'Example calcs 2000'!Y36*0.8</f>
        <v>18046.098661809225</v>
      </c>
      <c r="AE36" s="132">
        <f t="shared" si="14"/>
        <v>325995.49620876252</v>
      </c>
      <c r="AF36" s="134">
        <f t="shared" si="18"/>
        <v>4.2219505916481506E-2</v>
      </c>
      <c r="AG36" s="134">
        <f t="shared" si="1"/>
        <v>31809.467442741399</v>
      </c>
      <c r="AH36" s="112" t="s">
        <v>67</v>
      </c>
      <c r="AI36" s="53">
        <f t="shared" si="15"/>
        <v>1</v>
      </c>
      <c r="AJ36" s="112">
        <f>Model!$AC$178</f>
        <v>0.52600000000000002</v>
      </c>
      <c r="AK36" s="112"/>
      <c r="AL36" s="123">
        <f t="shared" si="16"/>
        <v>16731.779874881977</v>
      </c>
      <c r="AM36" s="112">
        <f t="shared" si="17"/>
        <v>0</v>
      </c>
    </row>
    <row r="37" spans="3:39" s="104" customFormat="1" x14ac:dyDescent="0.25">
      <c r="C37" s="154">
        <f>Model!$AD$14</f>
        <v>3321768</v>
      </c>
      <c r="D37" s="55">
        <f>Model!$AD$17</f>
        <v>0.38461538461538458</v>
      </c>
      <c r="E37" s="155">
        <f t="shared" si="3"/>
        <v>1277603.0769230768</v>
      </c>
      <c r="F37" s="55">
        <f>Model!$AD$28</f>
        <v>1</v>
      </c>
      <c r="G37" s="155">
        <f t="shared" si="4"/>
        <v>1277603.0769230768</v>
      </c>
      <c r="H37" s="111">
        <f>INDEX(Model!$AD$33:$AD$36,MATCH($J37,Model!$AB$33:$AB$36,0))</f>
        <v>4.0000000000000036E-2</v>
      </c>
      <c r="I37" s="132">
        <f t="shared" si="5"/>
        <v>51104.123076923119</v>
      </c>
      <c r="J37" s="112" t="s">
        <v>28</v>
      </c>
      <c r="K37" s="122">
        <f>INDEX(Model!$AD$37:$AD$40,MATCH($J37,Model!$AB$33:$AB$36,0))</f>
        <v>92.262366258334637</v>
      </c>
      <c r="L37" s="136">
        <f>K37*I37</f>
        <v>4714987.3206340922</v>
      </c>
      <c r="M37" s="134">
        <f>'Example calcs 2000'!N37*0.95</f>
        <v>3404252.1028155573</v>
      </c>
      <c r="N37" s="132">
        <f t="shared" si="6"/>
        <v>628250.10236811731</v>
      </c>
      <c r="O37" s="134" t="str">
        <f t="shared" si="7"/>
        <v/>
      </c>
      <c r="P37" s="134">
        <f t="shared" si="8"/>
        <v>3404252.1028155573</v>
      </c>
      <c r="Q37" s="122" t="s">
        <v>29</v>
      </c>
      <c r="R37" s="53">
        <f t="shared" si="9"/>
        <v>0</v>
      </c>
      <c r="S37" s="122">
        <f>INDEX(Model!$AD$54:$AD$118,MATCH($Q37,Model!$AB$54:$AB$118,0)+MATCH(Model!$Z$116,Model!$Z$54:$Z$118,0)-1)</f>
        <v>0.63300000000000001</v>
      </c>
      <c r="T37" s="136">
        <f t="shared" si="10"/>
        <v>2154891.5810822477</v>
      </c>
      <c r="U37" s="134">
        <f>'Example calcs 2000'!S37*0.8</f>
        <v>1804609.8661809226</v>
      </c>
      <c r="V37" s="132">
        <f t="shared" si="11"/>
        <v>340246.0391182492</v>
      </c>
      <c r="W37" s="134">
        <f t="shared" si="12"/>
        <v>0.95811694694105154</v>
      </c>
      <c r="X37" s="134">
        <f t="shared" si="0"/>
        <v>2130605.3623896851</v>
      </c>
      <c r="Y37" s="112" t="s">
        <v>35</v>
      </c>
      <c r="Z37" s="53">
        <f t="shared" si="13"/>
        <v>0</v>
      </c>
      <c r="AA37" s="112">
        <f>Model!$AC$147</f>
        <v>1</v>
      </c>
      <c r="AB37" s="112"/>
      <c r="AC37" s="136">
        <f>X37*AA37</f>
        <v>2130605.3623896851</v>
      </c>
      <c r="AD37" s="134">
        <f>'Example calcs 2000'!Y37*0.8</f>
        <v>0</v>
      </c>
      <c r="AE37" s="132">
        <f t="shared" si="14"/>
        <v>325995.49620876252</v>
      </c>
      <c r="AF37" s="134">
        <f t="shared" si="18"/>
        <v>5.2787131529516608E-7</v>
      </c>
      <c r="AG37" s="134">
        <f t="shared" si="1"/>
        <v>0.17208367136401981</v>
      </c>
      <c r="AH37" s="112" t="s">
        <v>144</v>
      </c>
      <c r="AI37" s="53">
        <f t="shared" si="15"/>
        <v>1</v>
      </c>
      <c r="AJ37" s="112">
        <f>Model!$AC$191</f>
        <v>0.4</v>
      </c>
      <c r="AK37" s="112"/>
      <c r="AL37" s="123">
        <f t="shared" si="16"/>
        <v>6.8833468545607929E-2</v>
      </c>
      <c r="AM37" s="112">
        <f t="shared" si="17"/>
        <v>0</v>
      </c>
    </row>
    <row r="38" spans="3:39" s="104" customFormat="1" x14ac:dyDescent="0.25">
      <c r="C38" s="154">
        <f>Model!$AD$14</f>
        <v>3321768</v>
      </c>
      <c r="D38" s="55">
        <f>Model!$AD$17</f>
        <v>0.38461538461538458</v>
      </c>
      <c r="E38" s="155">
        <f t="shared" si="3"/>
        <v>1277603.0769230768</v>
      </c>
      <c r="F38" s="55">
        <f>Model!$AD$28</f>
        <v>1</v>
      </c>
      <c r="G38" s="155">
        <f t="shared" si="4"/>
        <v>1277603.0769230768</v>
      </c>
      <c r="H38" s="111">
        <f>INDEX(Model!$AD$33:$AD$36,MATCH($J38,Model!$AB$33:$AB$36,0))</f>
        <v>4.0000000000000036E-2</v>
      </c>
      <c r="I38" s="132">
        <f t="shared" si="5"/>
        <v>51104.123076923119</v>
      </c>
      <c r="J38" s="112" t="s">
        <v>28</v>
      </c>
      <c r="K38" s="122">
        <f>INDEX(Model!$AD$37:$AD$40,MATCH($J38,Model!$AB$33:$AB$36,0))</f>
        <v>92.262366258334637</v>
      </c>
      <c r="L38" s="136">
        <f>K38*I38</f>
        <v>4714987.3206340922</v>
      </c>
      <c r="M38" s="134">
        <f>'Example calcs 2000'!N38*0.95</f>
        <v>3404252.1028155573</v>
      </c>
      <c r="N38" s="132">
        <f t="shared" si="6"/>
        <v>628250.10236811731</v>
      </c>
      <c r="O38" s="134" t="str">
        <f t="shared" si="7"/>
        <v/>
      </c>
      <c r="P38" s="134">
        <f t="shared" si="8"/>
        <v>3404252.1028155573</v>
      </c>
      <c r="Q38" s="122" t="s">
        <v>29</v>
      </c>
      <c r="R38" s="53">
        <f t="shared" si="9"/>
        <v>0</v>
      </c>
      <c r="S38" s="122">
        <f>INDEX(Model!$AD$54:$AD$118,MATCH($Q38,Model!$AB$54:$AB$118,0)+MATCH(Model!$Z$116,Model!$Z$54:$Z$118,0)-1)</f>
        <v>0.63300000000000001</v>
      </c>
      <c r="T38" s="136">
        <f t="shared" si="10"/>
        <v>2154891.5810822477</v>
      </c>
      <c r="U38" s="134">
        <f>'Example calcs 2000'!S38*0.8</f>
        <v>1804609.8661809226</v>
      </c>
      <c r="V38" s="132">
        <f t="shared" si="11"/>
        <v>340246.0391182492</v>
      </c>
      <c r="W38" s="134">
        <f t="shared" si="12"/>
        <v>0.95811694694105154</v>
      </c>
      <c r="X38" s="134">
        <f t="shared" si="0"/>
        <v>2130605.3623896851</v>
      </c>
      <c r="Y38" s="112" t="s">
        <v>35</v>
      </c>
      <c r="Z38" s="53">
        <f t="shared" si="13"/>
        <v>0</v>
      </c>
      <c r="AA38" s="112">
        <f>Model!$AC$147</f>
        <v>1</v>
      </c>
      <c r="AB38" s="112"/>
      <c r="AC38" s="136">
        <f>X38*AA38</f>
        <v>2130605.3623896851</v>
      </c>
      <c r="AD38" s="134">
        <f>'Example calcs 2000'!Y38*0.8</f>
        <v>1696333.2742100672</v>
      </c>
      <c r="AE38" s="132">
        <f t="shared" si="14"/>
        <v>325995.49620876252</v>
      </c>
      <c r="AF38" s="134" t="str">
        <f t="shared" si="18"/>
        <v/>
      </c>
      <c r="AG38" s="134">
        <f t="shared" si="1"/>
        <v>1696333.2742100672</v>
      </c>
      <c r="AH38" s="112" t="s">
        <v>65</v>
      </c>
      <c r="AI38" s="53">
        <f t="shared" si="15"/>
        <v>1</v>
      </c>
      <c r="AJ38" s="112"/>
      <c r="AK38" s="112">
        <f>Model!$AC$164</f>
        <v>1.613</v>
      </c>
      <c r="AL38" s="123">
        <f t="shared" si="16"/>
        <v>0</v>
      </c>
      <c r="AM38" s="112">
        <f t="shared" si="17"/>
        <v>2736185.5713008386</v>
      </c>
    </row>
    <row r="39" spans="3:39" s="104" customFormat="1" x14ac:dyDescent="0.25">
      <c r="C39" s="154">
        <f>Model!$AD$14</f>
        <v>3321768</v>
      </c>
      <c r="D39" s="55">
        <f>Model!$AD$17</f>
        <v>0.38461538461538458</v>
      </c>
      <c r="E39" s="155">
        <f t="shared" si="3"/>
        <v>1277603.0769230768</v>
      </c>
      <c r="F39" s="55">
        <f>Model!$AD$28</f>
        <v>1</v>
      </c>
      <c r="G39" s="155">
        <f t="shared" si="4"/>
        <v>1277603.0769230768</v>
      </c>
      <c r="H39" s="111">
        <f>INDEX(Model!$AD$33:$AD$36,MATCH($J39,Model!$AB$33:$AB$36,0))</f>
        <v>4.0000000000000036E-2</v>
      </c>
      <c r="I39" s="132">
        <f t="shared" si="5"/>
        <v>51104.123076923119</v>
      </c>
      <c r="J39" s="112" t="s">
        <v>28</v>
      </c>
      <c r="K39" s="122">
        <f>INDEX(Model!$AD$37:$AD$40,MATCH($J39,Model!$AB$33:$AB$36,0))</f>
        <v>92.262366258334637</v>
      </c>
      <c r="L39" s="136">
        <f>K39*I39</f>
        <v>4714987.3206340922</v>
      </c>
      <c r="M39" s="134">
        <f>'Example calcs 2000'!N39*0.95</f>
        <v>3404252.1028155573</v>
      </c>
      <c r="N39" s="132">
        <f t="shared" si="6"/>
        <v>628250.10236811731</v>
      </c>
      <c r="O39" s="134" t="str">
        <f t="shared" si="7"/>
        <v/>
      </c>
      <c r="P39" s="134">
        <f t="shared" si="8"/>
        <v>3404252.1028155573</v>
      </c>
      <c r="Q39" s="122" t="s">
        <v>29</v>
      </c>
      <c r="R39" s="53">
        <f t="shared" si="9"/>
        <v>0</v>
      </c>
      <c r="S39" s="122">
        <f>INDEX(Model!$AD$54:$AD$118,MATCH($Q39,Model!$AB$54:$AB$118,0)+MATCH(Model!$Z$116,Model!$Z$54:$Z$118,0)-1)</f>
        <v>0.63300000000000001</v>
      </c>
      <c r="T39" s="136">
        <f t="shared" si="10"/>
        <v>2154891.5810822477</v>
      </c>
      <c r="U39" s="134">
        <f>'Example calcs 2000'!S39*0.8</f>
        <v>1804609.8661809226</v>
      </c>
      <c r="V39" s="132">
        <f t="shared" si="11"/>
        <v>340246.0391182492</v>
      </c>
      <c r="W39" s="134">
        <f t="shared" si="12"/>
        <v>0.95811694694105154</v>
      </c>
      <c r="X39" s="134">
        <f t="shared" si="0"/>
        <v>2130605.3623896851</v>
      </c>
      <c r="Y39" s="112" t="s">
        <v>35</v>
      </c>
      <c r="Z39" s="53">
        <f t="shared" si="13"/>
        <v>0</v>
      </c>
      <c r="AA39" s="112">
        <f>Model!$AC$147</f>
        <v>1</v>
      </c>
      <c r="AB39" s="112"/>
      <c r="AC39" s="136">
        <f>X39*AA39</f>
        <v>2130605.3623896851</v>
      </c>
      <c r="AD39" s="134">
        <f>'Example calcs 2000'!Y39*0.8</f>
        <v>90230.493309046142</v>
      </c>
      <c r="AE39" s="132">
        <f t="shared" si="14"/>
        <v>325995.49620876252</v>
      </c>
      <c r="AF39" s="134">
        <f t="shared" si="18"/>
        <v>0.95777996621220318</v>
      </c>
      <c r="AG39" s="134">
        <f t="shared" si="1"/>
        <v>402462.44865320512</v>
      </c>
      <c r="AH39" s="112" t="s">
        <v>66</v>
      </c>
      <c r="AI39" s="53">
        <f t="shared" si="15"/>
        <v>1</v>
      </c>
      <c r="AJ39" s="112"/>
      <c r="AK39" s="112">
        <f>Model!$AC$204</f>
        <v>1.111</v>
      </c>
      <c r="AL39" s="123">
        <f t="shared" si="16"/>
        <v>0</v>
      </c>
      <c r="AM39" s="112">
        <f t="shared" si="17"/>
        <v>447135.78045371088</v>
      </c>
    </row>
    <row r="40" spans="3:39" s="104" customFormat="1" x14ac:dyDescent="0.25">
      <c r="C40" s="154">
        <f>Model!$AD$14</f>
        <v>3321768</v>
      </c>
      <c r="D40" s="55">
        <f>Model!$AD$17</f>
        <v>0.38461538461538458</v>
      </c>
      <c r="E40" s="155">
        <f t="shared" si="3"/>
        <v>1277603.0769230768</v>
      </c>
      <c r="F40" s="55">
        <f>Model!$AD$28</f>
        <v>1</v>
      </c>
      <c r="G40" s="155">
        <f t="shared" si="4"/>
        <v>1277603.0769230768</v>
      </c>
      <c r="H40" s="111">
        <f>INDEX(Model!$AD$33:$AD$36,MATCH($J40,Model!$AB$33:$AB$36,0))</f>
        <v>4.0000000000000036E-2</v>
      </c>
      <c r="I40" s="132">
        <f t="shared" si="5"/>
        <v>51104.123076923119</v>
      </c>
      <c r="J40" s="112" t="s">
        <v>28</v>
      </c>
      <c r="K40" s="122">
        <f>INDEX(Model!$AD$37:$AD$40,MATCH($J40,Model!$AB$33:$AB$36,0))</f>
        <v>92.262366258334637</v>
      </c>
      <c r="L40" s="136">
        <f>K40*I40</f>
        <v>4714987.3206340922</v>
      </c>
      <c r="M40" s="134">
        <f>'Example calcs 2000'!N40*0.95</f>
        <v>682485.11545041786</v>
      </c>
      <c r="N40" s="132">
        <f t="shared" si="6"/>
        <v>628250.10236811731</v>
      </c>
      <c r="O40" s="134" t="str">
        <f t="shared" si="7"/>
        <v/>
      </c>
      <c r="P40" s="134">
        <f t="shared" si="8"/>
        <v>682485.11545041786</v>
      </c>
      <c r="Q40" s="122" t="s">
        <v>30</v>
      </c>
      <c r="R40" s="53">
        <f t="shared" si="9"/>
        <v>1</v>
      </c>
      <c r="S40" s="122">
        <f>INDEX(Model!$AD$54:$AD$118,MATCH($Q40,Model!$AB$54:$AB$118,0)+MATCH(Model!$Z$116,Model!$Z$54:$Z$118,0)-1)</f>
        <v>0.997</v>
      </c>
      <c r="T40" s="136">
        <f t="shared" si="10"/>
        <v>680437.6601040666</v>
      </c>
      <c r="U40" s="134">
        <f>'Example calcs 2000'!S40*0.8</f>
        <v>3168.9073396303229</v>
      </c>
      <c r="V40" s="132">
        <f t="shared" si="11"/>
        <v>107437.52527958946</v>
      </c>
      <c r="W40" s="134">
        <f t="shared" si="12"/>
        <v>4.1883053058948572E-2</v>
      </c>
      <c r="X40" s="134">
        <f t="shared" si="0"/>
        <v>7668.7189114374969</v>
      </c>
      <c r="Y40" s="112" t="s">
        <v>34</v>
      </c>
      <c r="Z40" s="53">
        <f t="shared" si="13"/>
        <v>1</v>
      </c>
      <c r="AA40" s="112"/>
      <c r="AB40" s="112">
        <f>Model!$AC$137</f>
        <v>1</v>
      </c>
      <c r="AC40" s="136"/>
      <c r="AD40" s="134">
        <f>'Example calcs 2000'!Y40*0.8</f>
        <v>0</v>
      </c>
      <c r="AE40" s="132">
        <f t="shared" si="14"/>
        <v>0</v>
      </c>
      <c r="AF40" s="134" t="str">
        <f t="shared" si="18"/>
        <v/>
      </c>
      <c r="AG40" s="134">
        <f t="shared" si="1"/>
        <v>0</v>
      </c>
      <c r="AH40" s="112"/>
      <c r="AI40" s="53">
        <f t="shared" si="15"/>
        <v>1</v>
      </c>
      <c r="AJ40" s="112"/>
      <c r="AK40" s="112"/>
      <c r="AL40" s="123">
        <f t="shared" si="16"/>
        <v>7668.7189114374969</v>
      </c>
      <c r="AM40" s="112">
        <f t="shared" si="17"/>
        <v>0</v>
      </c>
    </row>
    <row r="41" spans="3:39" s="104" customFormat="1" x14ac:dyDescent="0.25">
      <c r="C41" s="154">
        <f>Model!$AD$14</f>
        <v>3321768</v>
      </c>
      <c r="D41" s="55">
        <f>Model!$AD$17</f>
        <v>0.38461538461538458</v>
      </c>
      <c r="E41" s="155">
        <f t="shared" si="3"/>
        <v>1277603.0769230768</v>
      </c>
      <c r="F41" s="55">
        <f>Model!$AD$28</f>
        <v>1</v>
      </c>
      <c r="G41" s="155">
        <f t="shared" si="4"/>
        <v>1277603.0769230768</v>
      </c>
      <c r="H41" s="111">
        <f>INDEX(Model!$AD$33:$AD$36,MATCH($J41,Model!$AB$33:$AB$36,0))</f>
        <v>4.0000000000000036E-2</v>
      </c>
      <c r="I41" s="132">
        <f t="shared" si="5"/>
        <v>51104.123076923119</v>
      </c>
      <c r="J41" s="112" t="s">
        <v>28</v>
      </c>
      <c r="K41" s="122">
        <f>INDEX(Model!$AD$37:$AD$40,MATCH($J41,Model!$AB$33:$AB$36,0))</f>
        <v>92.262366258334637</v>
      </c>
      <c r="L41" s="136">
        <f>K41*I41</f>
        <v>4714987.3206340922</v>
      </c>
      <c r="M41" s="134">
        <f>'Example calcs 2000'!N41*0.95</f>
        <v>682485.11545041786</v>
      </c>
      <c r="N41" s="132">
        <f t="shared" si="6"/>
        <v>628250.10236811731</v>
      </c>
      <c r="O41" s="134" t="str">
        <f t="shared" si="7"/>
        <v/>
      </c>
      <c r="P41" s="134">
        <f t="shared" si="8"/>
        <v>682485.11545041786</v>
      </c>
      <c r="Q41" s="122" t="s">
        <v>30</v>
      </c>
      <c r="R41" s="53">
        <f t="shared" si="9"/>
        <v>0</v>
      </c>
      <c r="S41" s="122">
        <f>INDEX(Model!$AD$54:$AD$118,MATCH($Q41,Model!$AB$54:$AB$118,0)+MATCH(Model!$Z$116,Model!$Z$54:$Z$118,0)-1)</f>
        <v>0.997</v>
      </c>
      <c r="T41" s="136">
        <f t="shared" si="10"/>
        <v>680437.6601040666</v>
      </c>
      <c r="U41" s="134">
        <f>'Example calcs 2000'!S41*0.8</f>
        <v>569831.22748484684</v>
      </c>
      <c r="V41" s="132">
        <f t="shared" si="11"/>
        <v>107437.52527958946</v>
      </c>
      <c r="W41" s="134">
        <f t="shared" si="12"/>
        <v>0.95811694694105154</v>
      </c>
      <c r="X41" s="134">
        <f t="shared" si="0"/>
        <v>672768.94119262917</v>
      </c>
      <c r="Y41" s="112" t="s">
        <v>35</v>
      </c>
      <c r="Z41" s="53">
        <f t="shared" si="13"/>
        <v>1</v>
      </c>
      <c r="AA41" s="112">
        <f>Model!$AC$147</f>
        <v>1</v>
      </c>
      <c r="AB41" s="112"/>
      <c r="AC41" s="136">
        <f>X41*AA41</f>
        <v>672768.94119262917</v>
      </c>
      <c r="AD41" s="134">
        <f>'Example calcs 2000'!Y41*0.8</f>
        <v>5698.3122748484693</v>
      </c>
      <c r="AE41" s="132">
        <f t="shared" si="14"/>
        <v>102937.71370778233</v>
      </c>
      <c r="AF41" s="134">
        <f t="shared" si="18"/>
        <v>4.2219505916481506E-2</v>
      </c>
      <c r="AG41" s="134">
        <f t="shared" si="1"/>
        <v>10044.291687763265</v>
      </c>
      <c r="AH41" s="112" t="s">
        <v>67</v>
      </c>
      <c r="AI41" s="53">
        <f t="shared" si="15"/>
        <v>1</v>
      </c>
      <c r="AJ41" s="112">
        <f>Model!$AC$178</f>
        <v>0.52600000000000002</v>
      </c>
      <c r="AK41" s="112"/>
      <c r="AL41" s="123">
        <f t="shared" si="16"/>
        <v>5283.2974277634776</v>
      </c>
      <c r="AM41" s="112">
        <f t="shared" si="17"/>
        <v>0</v>
      </c>
    </row>
    <row r="42" spans="3:39" s="104" customFormat="1" x14ac:dyDescent="0.25">
      <c r="C42" s="154">
        <f>Model!$AD$14</f>
        <v>3321768</v>
      </c>
      <c r="D42" s="55">
        <f>Model!$AD$17</f>
        <v>0.38461538461538458</v>
      </c>
      <c r="E42" s="155">
        <f t="shared" si="3"/>
        <v>1277603.0769230768</v>
      </c>
      <c r="F42" s="55">
        <f>Model!$AD$28</f>
        <v>1</v>
      </c>
      <c r="G42" s="155">
        <f t="shared" si="4"/>
        <v>1277603.0769230768</v>
      </c>
      <c r="H42" s="111">
        <f>INDEX(Model!$AD$33:$AD$36,MATCH($J42,Model!$AB$33:$AB$36,0))</f>
        <v>4.0000000000000036E-2</v>
      </c>
      <c r="I42" s="132">
        <f t="shared" si="5"/>
        <v>51104.123076923119</v>
      </c>
      <c r="J42" s="112" t="s">
        <v>28</v>
      </c>
      <c r="K42" s="122">
        <f>INDEX(Model!$AD$37:$AD$40,MATCH($J42,Model!$AB$33:$AB$36,0))</f>
        <v>92.262366258334637</v>
      </c>
      <c r="L42" s="136">
        <f>K42*I42</f>
        <v>4714987.3206340922</v>
      </c>
      <c r="M42" s="134">
        <f>'Example calcs 2000'!N42*0.95</f>
        <v>682485.11545041786</v>
      </c>
      <c r="N42" s="132">
        <f t="shared" si="6"/>
        <v>628250.10236811731</v>
      </c>
      <c r="O42" s="134" t="str">
        <f t="shared" si="7"/>
        <v/>
      </c>
      <c r="P42" s="134">
        <f t="shared" si="8"/>
        <v>682485.11545041786</v>
      </c>
      <c r="Q42" s="122" t="s">
        <v>30</v>
      </c>
      <c r="R42" s="53">
        <f t="shared" si="9"/>
        <v>0</v>
      </c>
      <c r="S42" s="122">
        <f>INDEX(Model!$AD$54:$AD$118,MATCH($Q42,Model!$AB$54:$AB$118,0)+MATCH(Model!$Z$116,Model!$Z$54:$Z$118,0)-1)</f>
        <v>0.997</v>
      </c>
      <c r="T42" s="136">
        <f t="shared" si="10"/>
        <v>680437.6601040666</v>
      </c>
      <c r="U42" s="134">
        <f>'Example calcs 2000'!S42*0.8</f>
        <v>569831.22748484684</v>
      </c>
      <c r="V42" s="132">
        <f t="shared" si="11"/>
        <v>107437.52527958946</v>
      </c>
      <c r="W42" s="134">
        <f t="shared" si="12"/>
        <v>0.95811694694105154</v>
      </c>
      <c r="X42" s="134">
        <f t="shared" si="0"/>
        <v>672768.94119262917</v>
      </c>
      <c r="Y42" s="112" t="s">
        <v>35</v>
      </c>
      <c r="Z42" s="53">
        <f t="shared" si="13"/>
        <v>0</v>
      </c>
      <c r="AA42" s="112">
        <f>Model!$AC$147</f>
        <v>1</v>
      </c>
      <c r="AB42" s="112"/>
      <c r="AC42" s="136">
        <f>X42*AA42</f>
        <v>672768.94119262917</v>
      </c>
      <c r="AD42" s="134">
        <f>'Example calcs 2000'!Y42*0.8</f>
        <v>0</v>
      </c>
      <c r="AE42" s="132">
        <f t="shared" si="14"/>
        <v>102937.71370778233</v>
      </c>
      <c r="AF42" s="134">
        <f t="shared" si="18"/>
        <v>5.2787131529516608E-7</v>
      </c>
      <c r="AG42" s="134">
        <f t="shared" si="1"/>
        <v>5.4337866328404302E-2</v>
      </c>
      <c r="AH42" s="112" t="s">
        <v>144</v>
      </c>
      <c r="AI42" s="53">
        <f t="shared" si="15"/>
        <v>1</v>
      </c>
      <c r="AJ42" s="112">
        <f>Model!$AC$191</f>
        <v>0.4</v>
      </c>
      <c r="AK42" s="112"/>
      <c r="AL42" s="123">
        <f t="shared" si="16"/>
        <v>2.1735146531361722E-2</v>
      </c>
      <c r="AM42" s="112">
        <f t="shared" si="17"/>
        <v>0</v>
      </c>
    </row>
    <row r="43" spans="3:39" s="104" customFormat="1" x14ac:dyDescent="0.25">
      <c r="C43" s="154">
        <f>Model!$AD$14</f>
        <v>3321768</v>
      </c>
      <c r="D43" s="55">
        <f>Model!$AD$17</f>
        <v>0.38461538461538458</v>
      </c>
      <c r="E43" s="155">
        <f t="shared" si="3"/>
        <v>1277603.0769230768</v>
      </c>
      <c r="F43" s="55">
        <f>Model!$AD$28</f>
        <v>1</v>
      </c>
      <c r="G43" s="155">
        <f t="shared" si="4"/>
        <v>1277603.0769230768</v>
      </c>
      <c r="H43" s="111">
        <f>INDEX(Model!$AD$33:$AD$36,MATCH($J43,Model!$AB$33:$AB$36,0))</f>
        <v>4.0000000000000036E-2</v>
      </c>
      <c r="I43" s="132">
        <f t="shared" si="5"/>
        <v>51104.123076923119</v>
      </c>
      <c r="J43" s="112" t="s">
        <v>28</v>
      </c>
      <c r="K43" s="122">
        <f>INDEX(Model!$AD$37:$AD$40,MATCH($J43,Model!$AB$33:$AB$36,0))</f>
        <v>92.262366258334637</v>
      </c>
      <c r="L43" s="136">
        <f>K43*I43</f>
        <v>4714987.3206340922</v>
      </c>
      <c r="M43" s="134">
        <f>'Example calcs 2000'!N43*0.95</f>
        <v>682485.11545041786</v>
      </c>
      <c r="N43" s="132">
        <f t="shared" si="6"/>
        <v>628250.10236811731</v>
      </c>
      <c r="O43" s="134" t="str">
        <f t="shared" si="7"/>
        <v/>
      </c>
      <c r="P43" s="134">
        <f t="shared" si="8"/>
        <v>682485.11545041786</v>
      </c>
      <c r="Q43" s="122" t="s">
        <v>30</v>
      </c>
      <c r="R43" s="53">
        <f t="shared" si="9"/>
        <v>0</v>
      </c>
      <c r="S43" s="122">
        <f>INDEX(Model!$AD$54:$AD$118,MATCH($Q43,Model!$AB$54:$AB$118,0)+MATCH(Model!$Z$116,Model!$Z$54:$Z$118,0)-1)</f>
        <v>0.997</v>
      </c>
      <c r="T43" s="136">
        <f t="shared" si="10"/>
        <v>680437.6601040666</v>
      </c>
      <c r="U43" s="134">
        <f>'Example calcs 2000'!S43*0.8</f>
        <v>569831.22748484684</v>
      </c>
      <c r="V43" s="132">
        <f t="shared" si="11"/>
        <v>107437.52527958946</v>
      </c>
      <c r="W43" s="134">
        <f t="shared" si="12"/>
        <v>0.95811694694105154</v>
      </c>
      <c r="X43" s="134">
        <f t="shared" si="0"/>
        <v>672768.94119262917</v>
      </c>
      <c r="Y43" s="112" t="s">
        <v>35</v>
      </c>
      <c r="Z43" s="53">
        <f t="shared" si="13"/>
        <v>0</v>
      </c>
      <c r="AA43" s="112">
        <f>Model!$AC$147</f>
        <v>1</v>
      </c>
      <c r="AB43" s="112"/>
      <c r="AC43" s="136">
        <f>X43*AA43</f>
        <v>672768.94119262917</v>
      </c>
      <c r="AD43" s="134">
        <f>'Example calcs 2000'!Y43*0.8</f>
        <v>535641.35383575608</v>
      </c>
      <c r="AE43" s="132">
        <f t="shared" si="14"/>
        <v>102937.71370778233</v>
      </c>
      <c r="AF43" s="134" t="str">
        <f t="shared" si="18"/>
        <v/>
      </c>
      <c r="AG43" s="134">
        <f t="shared" si="1"/>
        <v>535641.35383575608</v>
      </c>
      <c r="AH43" s="112" t="s">
        <v>65</v>
      </c>
      <c r="AI43" s="53">
        <f t="shared" si="15"/>
        <v>1</v>
      </c>
      <c r="AJ43" s="112"/>
      <c r="AK43" s="112">
        <f>Model!$AC$164</f>
        <v>1.613</v>
      </c>
      <c r="AL43" s="123">
        <f t="shared" si="16"/>
        <v>0</v>
      </c>
      <c r="AM43" s="112">
        <f t="shared" si="17"/>
        <v>863989.50373707456</v>
      </c>
    </row>
    <row r="44" spans="3:39" s="104" customFormat="1" x14ac:dyDescent="0.25">
      <c r="C44" s="154">
        <f>Model!$AD$14</f>
        <v>3321768</v>
      </c>
      <c r="D44" s="55">
        <f>Model!$AD$17</f>
        <v>0.38461538461538458</v>
      </c>
      <c r="E44" s="155">
        <f t="shared" si="3"/>
        <v>1277603.0769230768</v>
      </c>
      <c r="F44" s="55">
        <f>Model!$AD$28</f>
        <v>1</v>
      </c>
      <c r="G44" s="155">
        <f t="shared" si="4"/>
        <v>1277603.0769230768</v>
      </c>
      <c r="H44" s="111">
        <f>INDEX(Model!$AD$33:$AD$36,MATCH($J44,Model!$AB$33:$AB$36,0))</f>
        <v>4.0000000000000036E-2</v>
      </c>
      <c r="I44" s="132">
        <f t="shared" si="5"/>
        <v>51104.123076923119</v>
      </c>
      <c r="J44" s="112" t="s">
        <v>28</v>
      </c>
      <c r="K44" s="122">
        <f>INDEX(Model!$AD$37:$AD$40,MATCH($J44,Model!$AB$33:$AB$36,0))</f>
        <v>92.262366258334637</v>
      </c>
      <c r="L44" s="136">
        <f>K44*I44</f>
        <v>4714987.3206340922</v>
      </c>
      <c r="M44" s="134">
        <f>'Example calcs 2000'!N44*0.95</f>
        <v>682485.11545041786</v>
      </c>
      <c r="N44" s="132">
        <f t="shared" si="6"/>
        <v>628250.10236811731</v>
      </c>
      <c r="O44" s="134" t="str">
        <f t="shared" si="7"/>
        <v/>
      </c>
      <c r="P44" s="134">
        <f t="shared" si="8"/>
        <v>682485.11545041786</v>
      </c>
      <c r="Q44" s="122" t="s">
        <v>30</v>
      </c>
      <c r="R44" s="53">
        <f t="shared" si="9"/>
        <v>0</v>
      </c>
      <c r="S44" s="122">
        <f>INDEX(Model!$AD$54:$AD$118,MATCH($Q44,Model!$AB$54:$AB$118,0)+MATCH(Model!$Z$116,Model!$Z$54:$Z$118,0)-1)</f>
        <v>0.997</v>
      </c>
      <c r="T44" s="136">
        <f t="shared" si="10"/>
        <v>680437.6601040666</v>
      </c>
      <c r="U44" s="134">
        <f>'Example calcs 2000'!S44*0.8</f>
        <v>569831.22748484684</v>
      </c>
      <c r="V44" s="132">
        <f t="shared" si="11"/>
        <v>107437.52527958946</v>
      </c>
      <c r="W44" s="134">
        <f t="shared" si="12"/>
        <v>0.95811694694105154</v>
      </c>
      <c r="X44" s="134">
        <f t="shared" si="0"/>
        <v>672768.94119262917</v>
      </c>
      <c r="Y44" s="112" t="s">
        <v>35</v>
      </c>
      <c r="Z44" s="53">
        <f t="shared" si="13"/>
        <v>0</v>
      </c>
      <c r="AA44" s="112">
        <f>Model!$AC$147</f>
        <v>1</v>
      </c>
      <c r="AB44" s="112"/>
      <c r="AC44" s="136">
        <f>X44*AA44</f>
        <v>672768.94119262917</v>
      </c>
      <c r="AD44" s="134">
        <f>'Example calcs 2000'!Y44*0.8</f>
        <v>28491.561374242345</v>
      </c>
      <c r="AE44" s="132">
        <f t="shared" si="14"/>
        <v>102937.71370778233</v>
      </c>
      <c r="AF44" s="134">
        <f t="shared" si="18"/>
        <v>0.95777996621220318</v>
      </c>
      <c r="AG44" s="134">
        <f t="shared" si="1"/>
        <v>127083.24133124355</v>
      </c>
      <c r="AH44" s="112" t="s">
        <v>66</v>
      </c>
      <c r="AI44" s="53">
        <f t="shared" si="15"/>
        <v>1</v>
      </c>
      <c r="AJ44" s="112"/>
      <c r="AK44" s="112">
        <f>Model!$AC$204</f>
        <v>1.111</v>
      </c>
      <c r="AL44" s="123">
        <f t="shared" si="16"/>
        <v>0</v>
      </c>
      <c r="AM44" s="112">
        <f t="shared" si="17"/>
        <v>141189.48111901159</v>
      </c>
    </row>
    <row r="45" spans="3:39" s="104" customFormat="1" x14ac:dyDescent="0.25">
      <c r="C45" s="154">
        <f>Model!$AD$14</f>
        <v>3321768</v>
      </c>
      <c r="D45" s="55">
        <f>Model!$AD$17</f>
        <v>0.38461538461538458</v>
      </c>
      <c r="E45" s="155">
        <f t="shared" si="3"/>
        <v>1277603.0769230768</v>
      </c>
      <c r="F45" s="55">
        <f>Model!$AD$28</f>
        <v>1</v>
      </c>
      <c r="G45" s="155">
        <f t="shared" si="4"/>
        <v>1277603.0769230768</v>
      </c>
      <c r="H45" s="111">
        <f>INDEX(Model!$AD$33:$AD$36,MATCH($J45,Model!$AB$33:$AB$36,0))</f>
        <v>4.0000000000000036E-2</v>
      </c>
      <c r="I45" s="132">
        <f t="shared" si="5"/>
        <v>51104.123076923119</v>
      </c>
      <c r="J45" s="112" t="s">
        <v>28</v>
      </c>
      <c r="K45" s="122">
        <f>INDEX(Model!$AD$37:$AD$40,MATCH($J45,Model!$AB$33:$AB$36,0))</f>
        <v>92.262366258334637</v>
      </c>
      <c r="L45" s="136">
        <f>K45*I45</f>
        <v>4714987.3206340922</v>
      </c>
      <c r="M45" s="134">
        <f>'Example calcs 2000'!N45*0.95</f>
        <v>0</v>
      </c>
      <c r="N45" s="132">
        <f t="shared" si="6"/>
        <v>628250.10236811731</v>
      </c>
      <c r="O45" s="134">
        <f t="shared" si="7"/>
        <v>1.0208069021639147E-6</v>
      </c>
      <c r="P45" s="134">
        <f t="shared" si="8"/>
        <v>0.64132204078256017</v>
      </c>
      <c r="Q45" s="122" t="s">
        <v>32</v>
      </c>
      <c r="R45" s="53">
        <f t="shared" si="9"/>
        <v>1</v>
      </c>
      <c r="S45" s="122">
        <f>INDEX(Model!$AD$54:$AD$118,MATCH($Q45,Model!$AB$54:$AB$118,0)+MATCH(Model!$Z$116,Model!$Z$54:$Z$118,0)-1)</f>
        <v>0.36</v>
      </c>
      <c r="T45" s="136">
        <f t="shared" si="10"/>
        <v>0.23087593468172166</v>
      </c>
      <c r="U45" s="134">
        <f>'Example calcs 2000'!S45*0.8</f>
        <v>0</v>
      </c>
      <c r="V45" s="132">
        <f t="shared" si="11"/>
        <v>0.23087593468172166</v>
      </c>
      <c r="W45" s="134">
        <f t="shared" si="12"/>
        <v>4.1883053058948572E-2</v>
      </c>
      <c r="X45" s="134">
        <f t="shared" si="0"/>
        <v>9.6697890223088924E-3</v>
      </c>
      <c r="Y45" s="112" t="s">
        <v>34</v>
      </c>
      <c r="Z45" s="53">
        <f t="shared" si="13"/>
        <v>1</v>
      </c>
      <c r="AA45" s="112"/>
      <c r="AB45" s="112">
        <f>Model!$AC$137</f>
        <v>1</v>
      </c>
      <c r="AC45" s="136"/>
      <c r="AD45" s="134">
        <f>'Example calcs 2000'!Y45*0.8</f>
        <v>0</v>
      </c>
      <c r="AE45" s="132">
        <f t="shared" si="14"/>
        <v>0</v>
      </c>
      <c r="AF45" s="134" t="str">
        <f t="shared" si="18"/>
        <v/>
      </c>
      <c r="AG45" s="134">
        <f t="shared" si="1"/>
        <v>0</v>
      </c>
      <c r="AH45" s="112"/>
      <c r="AI45" s="53">
        <f t="shared" si="15"/>
        <v>1</v>
      </c>
      <c r="AJ45" s="112"/>
      <c r="AK45" s="112"/>
      <c r="AL45" s="123">
        <f t="shared" si="16"/>
        <v>9.6697890223088924E-3</v>
      </c>
      <c r="AM45" s="112">
        <f t="shared" si="17"/>
        <v>0</v>
      </c>
    </row>
    <row r="46" spans="3:39" s="104" customFormat="1" x14ac:dyDescent="0.25">
      <c r="C46" s="154">
        <f>Model!$AD$14</f>
        <v>3321768</v>
      </c>
      <c r="D46" s="55">
        <f>Model!$AD$17</f>
        <v>0.38461538461538458</v>
      </c>
      <c r="E46" s="155">
        <f t="shared" si="3"/>
        <v>1277603.0769230768</v>
      </c>
      <c r="F46" s="55">
        <f>Model!$AD$28</f>
        <v>1</v>
      </c>
      <c r="G46" s="155">
        <f t="shared" si="4"/>
        <v>1277603.0769230768</v>
      </c>
      <c r="H46" s="111">
        <f>INDEX(Model!$AD$33:$AD$36,MATCH($J46,Model!$AB$33:$AB$36,0))</f>
        <v>4.0000000000000036E-2</v>
      </c>
      <c r="I46" s="132">
        <f t="shared" si="5"/>
        <v>51104.123076923119</v>
      </c>
      <c r="J46" s="112" t="s">
        <v>28</v>
      </c>
      <c r="K46" s="122">
        <f>INDEX(Model!$AD$37:$AD$40,MATCH($J46,Model!$AB$33:$AB$36,0))</f>
        <v>92.262366258334637</v>
      </c>
      <c r="L46" s="136">
        <f>K46*I46</f>
        <v>4714987.3206340922</v>
      </c>
      <c r="M46" s="134">
        <f>'Example calcs 2000'!N46*0.95</f>
        <v>0</v>
      </c>
      <c r="N46" s="132">
        <f t="shared" si="6"/>
        <v>628250.10236811731</v>
      </c>
      <c r="O46" s="134">
        <f t="shared" si="7"/>
        <v>1.0208069021639147E-6</v>
      </c>
      <c r="P46" s="134">
        <f t="shared" si="8"/>
        <v>0.64132204078256017</v>
      </c>
      <c r="Q46" s="122" t="s">
        <v>32</v>
      </c>
      <c r="R46" s="53">
        <f t="shared" si="9"/>
        <v>0</v>
      </c>
      <c r="S46" s="122">
        <f>INDEX(Model!$AD$54:$AD$118,MATCH($Q46,Model!$AB$54:$AB$118,0)+MATCH(Model!$Z$116,Model!$Z$54:$Z$118,0)-1)</f>
        <v>0.36</v>
      </c>
      <c r="T46" s="136">
        <f t="shared" si="10"/>
        <v>0.23087593468172166</v>
      </c>
      <c r="U46" s="134">
        <f>'Example calcs 2000'!S46*0.8</f>
        <v>0</v>
      </c>
      <c r="V46" s="132">
        <f t="shared" si="11"/>
        <v>0.23087593468172166</v>
      </c>
      <c r="W46" s="134">
        <f t="shared" si="12"/>
        <v>0.95811694694105154</v>
      </c>
      <c r="X46" s="134">
        <f t="shared" si="0"/>
        <v>0.2212061456594128</v>
      </c>
      <c r="Y46" s="112" t="s">
        <v>35</v>
      </c>
      <c r="Z46" s="53">
        <f t="shared" si="13"/>
        <v>1</v>
      </c>
      <c r="AA46" s="112">
        <f>Model!$AC$147</f>
        <v>1</v>
      </c>
      <c r="AB46" s="112"/>
      <c r="AC46" s="136">
        <f>X46*AA46</f>
        <v>0.2212061456594128</v>
      </c>
      <c r="AD46" s="134">
        <f>'Example calcs 2000'!Y46*0.8</f>
        <v>0</v>
      </c>
      <c r="AE46" s="132">
        <f t="shared" si="14"/>
        <v>0.2212061456594128</v>
      </c>
      <c r="AF46" s="134">
        <f t="shared" si="18"/>
        <v>4.2219505916481506E-2</v>
      </c>
      <c r="AG46" s="134">
        <f t="shared" si="1"/>
        <v>9.3392141754296484E-3</v>
      </c>
      <c r="AH46" s="112" t="s">
        <v>67</v>
      </c>
      <c r="AI46" s="53">
        <f t="shared" si="15"/>
        <v>1</v>
      </c>
      <c r="AJ46" s="112">
        <f>Model!$AC$178</f>
        <v>0.52600000000000002</v>
      </c>
      <c r="AK46" s="112"/>
      <c r="AL46" s="123">
        <f t="shared" si="16"/>
        <v>4.9124266562759955E-3</v>
      </c>
      <c r="AM46" s="112">
        <f t="shared" si="17"/>
        <v>0</v>
      </c>
    </row>
    <row r="47" spans="3:39" s="104" customFormat="1" x14ac:dyDescent="0.25">
      <c r="C47" s="154">
        <f>Model!$AD$14</f>
        <v>3321768</v>
      </c>
      <c r="D47" s="55">
        <f>Model!$AD$17</f>
        <v>0.38461538461538458</v>
      </c>
      <c r="E47" s="155">
        <f t="shared" si="3"/>
        <v>1277603.0769230768</v>
      </c>
      <c r="F47" s="55">
        <f>Model!$AD$28</f>
        <v>1</v>
      </c>
      <c r="G47" s="155">
        <f t="shared" si="4"/>
        <v>1277603.0769230768</v>
      </c>
      <c r="H47" s="111">
        <f>INDEX(Model!$AD$33:$AD$36,MATCH($J47,Model!$AB$33:$AB$36,0))</f>
        <v>4.0000000000000036E-2</v>
      </c>
      <c r="I47" s="132">
        <f t="shared" si="5"/>
        <v>51104.123076923119</v>
      </c>
      <c r="J47" s="112" t="s">
        <v>28</v>
      </c>
      <c r="K47" s="122">
        <f>INDEX(Model!$AD$37:$AD$40,MATCH($J47,Model!$AB$33:$AB$36,0))</f>
        <v>92.262366258334637</v>
      </c>
      <c r="L47" s="136">
        <f>K47*I47</f>
        <v>4714987.3206340922</v>
      </c>
      <c r="M47" s="134">
        <f>'Example calcs 2000'!N47*0.95</f>
        <v>0</v>
      </c>
      <c r="N47" s="132">
        <f t="shared" si="6"/>
        <v>628250.10236811731</v>
      </c>
      <c r="O47" s="134">
        <f t="shared" si="7"/>
        <v>1.0208069021639147E-6</v>
      </c>
      <c r="P47" s="134">
        <f t="shared" si="8"/>
        <v>0.64132204078256017</v>
      </c>
      <c r="Q47" s="122" t="s">
        <v>32</v>
      </c>
      <c r="R47" s="53">
        <f t="shared" si="9"/>
        <v>0</v>
      </c>
      <c r="S47" s="122">
        <f>INDEX(Model!$AD$54:$AD$118,MATCH($Q47,Model!$AB$54:$AB$118,0)+MATCH(Model!$Z$116,Model!$Z$54:$Z$118,0)-1)</f>
        <v>0.36</v>
      </c>
      <c r="T47" s="136">
        <f t="shared" si="10"/>
        <v>0.23087593468172166</v>
      </c>
      <c r="U47" s="134">
        <f>'Example calcs 2000'!S47*0.8</f>
        <v>0</v>
      </c>
      <c r="V47" s="132">
        <f t="shared" si="11"/>
        <v>0.23087593468172166</v>
      </c>
      <c r="W47" s="134">
        <f t="shared" si="12"/>
        <v>0.95811694694105154</v>
      </c>
      <c r="X47" s="134">
        <f t="shared" si="0"/>
        <v>0.2212061456594128</v>
      </c>
      <c r="Y47" s="112" t="s">
        <v>35</v>
      </c>
      <c r="Z47" s="53">
        <f t="shared" si="13"/>
        <v>0</v>
      </c>
      <c r="AA47" s="112">
        <f>Model!$AC$147</f>
        <v>1</v>
      </c>
      <c r="AB47" s="112"/>
      <c r="AC47" s="136">
        <f>X47*AA47</f>
        <v>0.2212061456594128</v>
      </c>
      <c r="AD47" s="134">
        <f>'Example calcs 2000'!Y47*0.8</f>
        <v>0</v>
      </c>
      <c r="AE47" s="132">
        <f t="shared" si="14"/>
        <v>0.2212061456594128</v>
      </c>
      <c r="AF47" s="134">
        <f t="shared" si="18"/>
        <v>5.2787131529516608E-7</v>
      </c>
      <c r="AG47" s="134">
        <f t="shared" si="1"/>
        <v>1.1676837906060832E-7</v>
      </c>
      <c r="AH47" s="112" t="s">
        <v>144</v>
      </c>
      <c r="AI47" s="53">
        <f t="shared" si="15"/>
        <v>1</v>
      </c>
      <c r="AJ47" s="112">
        <f>Model!$AC$191</f>
        <v>0.4</v>
      </c>
      <c r="AK47" s="112"/>
      <c r="AL47" s="123">
        <f t="shared" si="16"/>
        <v>4.6707351624243329E-8</v>
      </c>
      <c r="AM47" s="112">
        <f t="shared" si="17"/>
        <v>0</v>
      </c>
    </row>
    <row r="48" spans="3:39" s="104" customFormat="1" x14ac:dyDescent="0.25">
      <c r="C48" s="154">
        <f>Model!$AD$14</f>
        <v>3321768</v>
      </c>
      <c r="D48" s="55">
        <f>Model!$AD$17</f>
        <v>0.38461538461538458</v>
      </c>
      <c r="E48" s="155">
        <f t="shared" si="3"/>
        <v>1277603.0769230768</v>
      </c>
      <c r="F48" s="55">
        <f>Model!$AD$28</f>
        <v>1</v>
      </c>
      <c r="G48" s="155">
        <f t="shared" si="4"/>
        <v>1277603.0769230768</v>
      </c>
      <c r="H48" s="111">
        <f>INDEX(Model!$AD$33:$AD$36,MATCH($J48,Model!$AB$33:$AB$36,0))</f>
        <v>4.0000000000000036E-2</v>
      </c>
      <c r="I48" s="132">
        <f t="shared" si="5"/>
        <v>51104.123076923119</v>
      </c>
      <c r="J48" s="112" t="s">
        <v>28</v>
      </c>
      <c r="K48" s="122">
        <f>INDEX(Model!$AD$37:$AD$40,MATCH($J48,Model!$AB$33:$AB$36,0))</f>
        <v>92.262366258334637</v>
      </c>
      <c r="L48" s="136">
        <f>K48*I48</f>
        <v>4714987.3206340922</v>
      </c>
      <c r="M48" s="134">
        <f>'Example calcs 2000'!N48*0.95</f>
        <v>0</v>
      </c>
      <c r="N48" s="132">
        <f t="shared" si="6"/>
        <v>628250.10236811731</v>
      </c>
      <c r="O48" s="134">
        <f t="shared" si="7"/>
        <v>1.0208069021639147E-6</v>
      </c>
      <c r="P48" s="134">
        <f t="shared" si="8"/>
        <v>0.64132204078256017</v>
      </c>
      <c r="Q48" s="122" t="s">
        <v>32</v>
      </c>
      <c r="R48" s="53">
        <f t="shared" si="9"/>
        <v>0</v>
      </c>
      <c r="S48" s="122">
        <f>INDEX(Model!$AD$54:$AD$118,MATCH($Q48,Model!$AB$54:$AB$118,0)+MATCH(Model!$Z$116,Model!$Z$54:$Z$118,0)-1)</f>
        <v>0.36</v>
      </c>
      <c r="T48" s="136">
        <f t="shared" si="10"/>
        <v>0.23087593468172166</v>
      </c>
      <c r="U48" s="134">
        <f>'Example calcs 2000'!S48*0.8</f>
        <v>0</v>
      </c>
      <c r="V48" s="132">
        <f t="shared" si="11"/>
        <v>0.23087593468172166</v>
      </c>
      <c r="W48" s="134">
        <f t="shared" si="12"/>
        <v>0.95811694694105154</v>
      </c>
      <c r="X48" s="134">
        <f t="shared" si="0"/>
        <v>0.2212061456594128</v>
      </c>
      <c r="Y48" s="112" t="s">
        <v>35</v>
      </c>
      <c r="Z48" s="53">
        <f t="shared" si="13"/>
        <v>0</v>
      </c>
      <c r="AA48" s="112">
        <f>Model!$AC$147</f>
        <v>1</v>
      </c>
      <c r="AB48" s="112"/>
      <c r="AC48" s="136">
        <f>X48*AA48</f>
        <v>0.2212061456594128</v>
      </c>
      <c r="AD48" s="134">
        <f>'Example calcs 2000'!Y48*0.8</f>
        <v>0</v>
      </c>
      <c r="AE48" s="132">
        <f t="shared" si="14"/>
        <v>0.2212061456594128</v>
      </c>
      <c r="AF48" s="134" t="str">
        <f t="shared" si="18"/>
        <v/>
      </c>
      <c r="AG48" s="134">
        <f t="shared" si="1"/>
        <v>0</v>
      </c>
      <c r="AH48" s="112" t="s">
        <v>65</v>
      </c>
      <c r="AI48" s="53">
        <f t="shared" si="15"/>
        <v>1</v>
      </c>
      <c r="AJ48" s="112"/>
      <c r="AK48" s="112">
        <f>Model!$AC$164</f>
        <v>1.613</v>
      </c>
      <c r="AL48" s="123">
        <f t="shared" si="16"/>
        <v>0</v>
      </c>
      <c r="AM48" s="112">
        <f t="shared" si="17"/>
        <v>0</v>
      </c>
    </row>
    <row r="49" spans="3:50" s="104" customFormat="1" x14ac:dyDescent="0.25">
      <c r="C49" s="154">
        <f>Model!$AD$14</f>
        <v>3321768</v>
      </c>
      <c r="D49" s="55">
        <f>Model!$AD$17</f>
        <v>0.38461538461538458</v>
      </c>
      <c r="E49" s="155">
        <f t="shared" si="3"/>
        <v>1277603.0769230768</v>
      </c>
      <c r="F49" s="55">
        <f>Model!$AD$28</f>
        <v>1</v>
      </c>
      <c r="G49" s="155">
        <f t="shared" si="4"/>
        <v>1277603.0769230768</v>
      </c>
      <c r="H49" s="111">
        <f>INDEX(Model!$AD$33:$AD$36,MATCH($J49,Model!$AB$33:$AB$36,0))</f>
        <v>4.0000000000000036E-2</v>
      </c>
      <c r="I49" s="132">
        <f t="shared" si="5"/>
        <v>51104.123076923119</v>
      </c>
      <c r="J49" s="112" t="s">
        <v>28</v>
      </c>
      <c r="K49" s="122">
        <f>INDEX(Model!$AD$37:$AD$40,MATCH($J49,Model!$AB$33:$AB$36,0))</f>
        <v>92.262366258334637</v>
      </c>
      <c r="L49" s="136">
        <f>K49*I49</f>
        <v>4714987.3206340922</v>
      </c>
      <c r="M49" s="134">
        <f>'Example calcs 2000'!N49*0.95</f>
        <v>0</v>
      </c>
      <c r="N49" s="132">
        <f t="shared" si="6"/>
        <v>628250.10236811731</v>
      </c>
      <c r="O49" s="134">
        <f t="shared" si="7"/>
        <v>1.0208069021639147E-6</v>
      </c>
      <c r="P49" s="134">
        <f t="shared" si="8"/>
        <v>0.64132204078256017</v>
      </c>
      <c r="Q49" s="122" t="s">
        <v>32</v>
      </c>
      <c r="R49" s="53">
        <f t="shared" si="9"/>
        <v>0</v>
      </c>
      <c r="S49" s="122">
        <f>INDEX(Model!$AD$54:$AD$118,MATCH($Q49,Model!$AB$54:$AB$118,0)+MATCH(Model!$Z$116,Model!$Z$54:$Z$118,0)-1)</f>
        <v>0.36</v>
      </c>
      <c r="T49" s="136">
        <f t="shared" si="10"/>
        <v>0.23087593468172166</v>
      </c>
      <c r="U49" s="134">
        <f>'Example calcs 2000'!S49*0.8</f>
        <v>0</v>
      </c>
      <c r="V49" s="132">
        <f t="shared" si="11"/>
        <v>0.23087593468172166</v>
      </c>
      <c r="W49" s="134">
        <f t="shared" si="12"/>
        <v>0.95811694694105154</v>
      </c>
      <c r="X49" s="134">
        <f t="shared" si="0"/>
        <v>0.2212061456594128</v>
      </c>
      <c r="Y49" s="112" t="s">
        <v>35</v>
      </c>
      <c r="Z49" s="53">
        <f t="shared" si="13"/>
        <v>0</v>
      </c>
      <c r="AA49" s="112">
        <f>Model!$AC$147</f>
        <v>1</v>
      </c>
      <c r="AB49" s="112"/>
      <c r="AC49" s="136">
        <f>X49*AA49</f>
        <v>0.2212061456594128</v>
      </c>
      <c r="AD49" s="134">
        <f>'Example calcs 2000'!Y49*0.8</f>
        <v>0</v>
      </c>
      <c r="AE49" s="132">
        <f t="shared" si="14"/>
        <v>0.2212061456594128</v>
      </c>
      <c r="AF49" s="134">
        <f t="shared" si="18"/>
        <v>0.95777996621220318</v>
      </c>
      <c r="AG49" s="134">
        <f t="shared" si="1"/>
        <v>0.21186681471560409</v>
      </c>
      <c r="AH49" s="112" t="s">
        <v>66</v>
      </c>
      <c r="AI49" s="53">
        <f t="shared" si="15"/>
        <v>1</v>
      </c>
      <c r="AJ49" s="112"/>
      <c r="AK49" s="112">
        <f>Model!$AC$204</f>
        <v>1.111</v>
      </c>
      <c r="AL49" s="123">
        <f t="shared" si="16"/>
        <v>0</v>
      </c>
      <c r="AM49" s="112">
        <f t="shared" si="17"/>
        <v>0.23538403114903614</v>
      </c>
    </row>
    <row r="50" spans="3:50" s="104" customFormat="1" x14ac:dyDescent="0.25">
      <c r="C50" s="154">
        <f>Model!$AD$14</f>
        <v>3321768</v>
      </c>
      <c r="D50" s="55">
        <f>Model!$AD$17</f>
        <v>0.38461538461538458</v>
      </c>
      <c r="E50" s="155">
        <f t="shared" si="3"/>
        <v>1277603.0769230768</v>
      </c>
      <c r="F50" s="55">
        <f>Model!$AD$28</f>
        <v>1</v>
      </c>
      <c r="G50" s="155">
        <f t="shared" si="4"/>
        <v>1277603.0769230768</v>
      </c>
      <c r="H50" s="111">
        <f>INDEX(Model!$AD$33:$AD$36,MATCH($J50,Model!$AB$33:$AB$36,0))</f>
        <v>4.0000000000000036E-2</v>
      </c>
      <c r="I50" s="132">
        <f t="shared" si="5"/>
        <v>51104.123076923119</v>
      </c>
      <c r="J50" s="112" t="s">
        <v>28</v>
      </c>
      <c r="K50" s="122">
        <f>INDEX(Model!$AD$37:$AD$40,MATCH($J50,Model!$AB$33:$AB$36,0))</f>
        <v>92.262366258334637</v>
      </c>
      <c r="L50" s="136">
        <f>K50*I50</f>
        <v>4714987.3206340922</v>
      </c>
      <c r="M50" s="134">
        <f>'Example calcs 2000'!N50*0.95</f>
        <v>0</v>
      </c>
      <c r="N50" s="132">
        <f t="shared" si="6"/>
        <v>628250.10236811731</v>
      </c>
      <c r="O50" s="134">
        <f t="shared" si="7"/>
        <v>0.9999989751173719</v>
      </c>
      <c r="P50" s="134">
        <f t="shared" si="8"/>
        <v>628249.45848550124</v>
      </c>
      <c r="Q50" s="122" t="s">
        <v>31</v>
      </c>
      <c r="R50" s="53">
        <f t="shared" si="9"/>
        <v>1</v>
      </c>
      <c r="S50" s="122">
        <f>INDEX(Model!$AD$54:$AD$118,MATCH($Q50,Model!$AB$54:$AB$118,0)+MATCH(Model!$Z$116,Model!$Z$54:$Z$118,0)-1)</f>
        <v>0.51500000000000001</v>
      </c>
      <c r="T50" s="136">
        <f t="shared" si="10"/>
        <v>323548.47112003312</v>
      </c>
      <c r="U50" s="134">
        <f>'Example calcs 2000'!S50*0.8</f>
        <v>0</v>
      </c>
      <c r="V50" s="132">
        <f t="shared" si="11"/>
        <v>323548.47112003312</v>
      </c>
      <c r="W50" s="134">
        <f t="shared" si="12"/>
        <v>4.1883053058948572E-2</v>
      </c>
      <c r="X50" s="134">
        <f t="shared" si="0"/>
        <v>13551.197783062036</v>
      </c>
      <c r="Y50" s="112" t="s">
        <v>34</v>
      </c>
      <c r="Z50" s="53">
        <f t="shared" si="13"/>
        <v>1</v>
      </c>
      <c r="AA50" s="112"/>
      <c r="AB50" s="112">
        <f>Model!$AC$137</f>
        <v>1</v>
      </c>
      <c r="AC50" s="136"/>
      <c r="AD50" s="134">
        <f>'Example calcs 2000'!Y50*0.8</f>
        <v>0</v>
      </c>
      <c r="AE50" s="132">
        <f t="shared" si="14"/>
        <v>0</v>
      </c>
      <c r="AF50" s="134" t="str">
        <f t="shared" si="18"/>
        <v/>
      </c>
      <c r="AG50" s="134">
        <f t="shared" si="1"/>
        <v>0</v>
      </c>
      <c r="AH50" s="112"/>
      <c r="AI50" s="53">
        <f t="shared" si="15"/>
        <v>1</v>
      </c>
      <c r="AJ50" s="112"/>
      <c r="AK50" s="112"/>
      <c r="AL50" s="123">
        <f t="shared" si="16"/>
        <v>13551.197783062036</v>
      </c>
      <c r="AM50" s="112">
        <f t="shared" si="17"/>
        <v>0</v>
      </c>
      <c r="AX50" s="159"/>
    </row>
    <row r="51" spans="3:50" s="104" customFormat="1" x14ac:dyDescent="0.25">
      <c r="C51" s="154">
        <f>Model!$AD$14</f>
        <v>3321768</v>
      </c>
      <c r="D51" s="55">
        <f>Model!$AD$17</f>
        <v>0.38461538461538458</v>
      </c>
      <c r="E51" s="155">
        <f t="shared" si="3"/>
        <v>1277603.0769230768</v>
      </c>
      <c r="F51" s="55">
        <f>Model!$AD$28</f>
        <v>1</v>
      </c>
      <c r="G51" s="155">
        <f t="shared" si="4"/>
        <v>1277603.0769230768</v>
      </c>
      <c r="H51" s="111">
        <f>INDEX(Model!$AD$33:$AD$36,MATCH($J51,Model!$AB$33:$AB$36,0))</f>
        <v>4.0000000000000036E-2</v>
      </c>
      <c r="I51" s="132">
        <f t="shared" si="5"/>
        <v>51104.123076923119</v>
      </c>
      <c r="J51" s="112" t="s">
        <v>28</v>
      </c>
      <c r="K51" s="122">
        <f>INDEX(Model!$AD$37:$AD$40,MATCH($J51,Model!$AB$33:$AB$36,0))</f>
        <v>92.262366258334637</v>
      </c>
      <c r="L51" s="136">
        <f>K51*I51</f>
        <v>4714987.3206340922</v>
      </c>
      <c r="M51" s="134">
        <f>'Example calcs 2000'!N51*0.95</f>
        <v>0</v>
      </c>
      <c r="N51" s="132">
        <f t="shared" si="6"/>
        <v>628250.10236811731</v>
      </c>
      <c r="O51" s="134">
        <f t="shared" si="7"/>
        <v>0.9999989751173719</v>
      </c>
      <c r="P51" s="134">
        <f t="shared" si="8"/>
        <v>628249.45848550124</v>
      </c>
      <c r="Q51" s="122" t="s">
        <v>31</v>
      </c>
      <c r="R51" s="53">
        <f t="shared" si="9"/>
        <v>0</v>
      </c>
      <c r="S51" s="122">
        <f>INDEX(Model!$AD$54:$AD$118,MATCH($Q51,Model!$AB$54:$AB$118,0)+MATCH(Model!$Z$116,Model!$Z$54:$Z$118,0)-1)</f>
        <v>0.51500000000000001</v>
      </c>
      <c r="T51" s="136">
        <f t="shared" si="10"/>
        <v>323548.47112003312</v>
      </c>
      <c r="U51" s="134">
        <f>'Example calcs 2000'!S51*0.8</f>
        <v>0</v>
      </c>
      <c r="V51" s="132">
        <f t="shared" si="11"/>
        <v>323548.47112003312</v>
      </c>
      <c r="W51" s="134">
        <f t="shared" si="12"/>
        <v>0.95811694694105154</v>
      </c>
      <c r="X51" s="134">
        <f t="shared" si="0"/>
        <v>309997.27333697112</v>
      </c>
      <c r="Y51" s="112" t="s">
        <v>35</v>
      </c>
      <c r="Z51" s="53">
        <f t="shared" si="13"/>
        <v>1</v>
      </c>
      <c r="AA51" s="112">
        <f>Model!$AC$147</f>
        <v>1</v>
      </c>
      <c r="AB51" s="112"/>
      <c r="AC51" s="136">
        <f>X51*AA51</f>
        <v>309997.27333697112</v>
      </c>
      <c r="AD51" s="134">
        <f>'Example calcs 2000'!Y51*0.8</f>
        <v>0</v>
      </c>
      <c r="AE51" s="132">
        <f t="shared" si="14"/>
        <v>309997.27333697112</v>
      </c>
      <c r="AF51" s="134">
        <f t="shared" si="18"/>
        <v>4.2219505916481506E-2</v>
      </c>
      <c r="AG51" s="134">
        <f t="shared" si="1"/>
        <v>13087.931715743387</v>
      </c>
      <c r="AH51" s="112" t="s">
        <v>67</v>
      </c>
      <c r="AI51" s="53">
        <f t="shared" si="15"/>
        <v>1</v>
      </c>
      <c r="AJ51" s="112">
        <f>Model!$AC$178</f>
        <v>0.52600000000000002</v>
      </c>
      <c r="AK51" s="112"/>
      <c r="AL51" s="123">
        <f t="shared" si="16"/>
        <v>6884.2520824810217</v>
      </c>
      <c r="AM51" s="112">
        <f t="shared" si="17"/>
        <v>0</v>
      </c>
      <c r="AX51" s="159"/>
    </row>
    <row r="52" spans="3:50" s="104" customFormat="1" x14ac:dyDescent="0.25">
      <c r="C52" s="154">
        <f>Model!$AD$14</f>
        <v>3321768</v>
      </c>
      <c r="D52" s="55">
        <f>Model!$AD$17</f>
        <v>0.38461538461538458</v>
      </c>
      <c r="E52" s="155">
        <f t="shared" si="3"/>
        <v>1277603.0769230768</v>
      </c>
      <c r="F52" s="55">
        <f>Model!$AD$28</f>
        <v>1</v>
      </c>
      <c r="G52" s="155">
        <f t="shared" si="4"/>
        <v>1277603.0769230768</v>
      </c>
      <c r="H52" s="111">
        <f>INDEX(Model!$AD$33:$AD$36,MATCH($J52,Model!$AB$33:$AB$36,0))</f>
        <v>4.0000000000000036E-2</v>
      </c>
      <c r="I52" s="132">
        <f t="shared" si="5"/>
        <v>51104.123076923119</v>
      </c>
      <c r="J52" s="112" t="s">
        <v>28</v>
      </c>
      <c r="K52" s="122">
        <f>INDEX(Model!$AD$37:$AD$40,MATCH($J52,Model!$AB$33:$AB$36,0))</f>
        <v>92.262366258334637</v>
      </c>
      <c r="L52" s="136">
        <f>K52*I52</f>
        <v>4714987.3206340922</v>
      </c>
      <c r="M52" s="134">
        <f>'Example calcs 2000'!N52*0.95</f>
        <v>0</v>
      </c>
      <c r="N52" s="132">
        <f t="shared" si="6"/>
        <v>628250.10236811731</v>
      </c>
      <c r="O52" s="134">
        <f t="shared" si="7"/>
        <v>0.9999989751173719</v>
      </c>
      <c r="P52" s="134">
        <f t="shared" si="8"/>
        <v>628249.45848550124</v>
      </c>
      <c r="Q52" s="122" t="s">
        <v>31</v>
      </c>
      <c r="R52" s="53">
        <f t="shared" si="9"/>
        <v>0</v>
      </c>
      <c r="S52" s="122">
        <f>INDEX(Model!$AD$54:$AD$118,MATCH($Q52,Model!$AB$54:$AB$118,0)+MATCH(Model!$Z$116,Model!$Z$54:$Z$118,0)-1)</f>
        <v>0.51500000000000001</v>
      </c>
      <c r="T52" s="136">
        <f t="shared" si="10"/>
        <v>323548.47112003312</v>
      </c>
      <c r="U52" s="134">
        <f>'Example calcs 2000'!S52*0.8</f>
        <v>0</v>
      </c>
      <c r="V52" s="132">
        <f t="shared" si="11"/>
        <v>323548.47112003312</v>
      </c>
      <c r="W52" s="134">
        <f t="shared" si="12"/>
        <v>0.95811694694105154</v>
      </c>
      <c r="X52" s="134">
        <f t="shared" si="0"/>
        <v>309997.27333697112</v>
      </c>
      <c r="Y52" s="112" t="s">
        <v>35</v>
      </c>
      <c r="Z52" s="53">
        <f t="shared" si="13"/>
        <v>0</v>
      </c>
      <c r="AA52" s="112">
        <f>Model!$AC$147</f>
        <v>1</v>
      </c>
      <c r="AB52" s="112"/>
      <c r="AC52" s="136">
        <f>X52*AA52</f>
        <v>309997.27333697112</v>
      </c>
      <c r="AD52" s="134">
        <f>'Example calcs 2000'!Y52*0.8</f>
        <v>0</v>
      </c>
      <c r="AE52" s="132">
        <f t="shared" si="14"/>
        <v>309997.27333697112</v>
      </c>
      <c r="AF52" s="134">
        <f t="shared" si="18"/>
        <v>5.2787131529516608E-7</v>
      </c>
      <c r="AG52" s="134">
        <f t="shared" si="1"/>
        <v>0.16363866841430205</v>
      </c>
      <c r="AH52" s="112" t="s">
        <v>144</v>
      </c>
      <c r="AI52" s="53">
        <f t="shared" si="15"/>
        <v>1</v>
      </c>
      <c r="AJ52" s="112">
        <f>Model!$AC$191</f>
        <v>0.4</v>
      </c>
      <c r="AK52" s="112"/>
      <c r="AL52" s="123">
        <f t="shared" si="16"/>
        <v>6.5455467365720818E-2</v>
      </c>
      <c r="AM52" s="112">
        <f t="shared" si="17"/>
        <v>0</v>
      </c>
      <c r="AX52" s="159"/>
    </row>
    <row r="53" spans="3:50" s="104" customFormat="1" x14ac:dyDescent="0.25">
      <c r="C53" s="154">
        <f>Model!$AD$14</f>
        <v>3321768</v>
      </c>
      <c r="D53" s="55">
        <f>Model!$AD$17</f>
        <v>0.38461538461538458</v>
      </c>
      <c r="E53" s="155">
        <f t="shared" si="3"/>
        <v>1277603.0769230768</v>
      </c>
      <c r="F53" s="55">
        <f>Model!$AD$28</f>
        <v>1</v>
      </c>
      <c r="G53" s="155">
        <f t="shared" si="4"/>
        <v>1277603.0769230768</v>
      </c>
      <c r="H53" s="111">
        <f>INDEX(Model!$AD$33:$AD$36,MATCH($J53,Model!$AB$33:$AB$36,0))</f>
        <v>4.0000000000000036E-2</v>
      </c>
      <c r="I53" s="132">
        <f t="shared" si="5"/>
        <v>51104.123076923119</v>
      </c>
      <c r="J53" s="112" t="s">
        <v>28</v>
      </c>
      <c r="K53" s="122">
        <f>INDEX(Model!$AD$37:$AD$40,MATCH($J53,Model!$AB$33:$AB$36,0))</f>
        <v>92.262366258334637</v>
      </c>
      <c r="L53" s="136">
        <f>K53*I53</f>
        <v>4714987.3206340922</v>
      </c>
      <c r="M53" s="134">
        <f>'Example calcs 2000'!N53*0.95</f>
        <v>0</v>
      </c>
      <c r="N53" s="132">
        <f t="shared" si="6"/>
        <v>628250.10236811731</v>
      </c>
      <c r="O53" s="134">
        <f t="shared" si="7"/>
        <v>0.9999989751173719</v>
      </c>
      <c r="P53" s="134">
        <f t="shared" si="8"/>
        <v>628249.45848550124</v>
      </c>
      <c r="Q53" s="122" t="s">
        <v>31</v>
      </c>
      <c r="R53" s="53">
        <f t="shared" si="9"/>
        <v>0</v>
      </c>
      <c r="S53" s="122">
        <f>INDEX(Model!$AD$54:$AD$118,MATCH($Q53,Model!$AB$54:$AB$118,0)+MATCH(Model!$Z$116,Model!$Z$54:$Z$118,0)-1)</f>
        <v>0.51500000000000001</v>
      </c>
      <c r="T53" s="136">
        <f t="shared" si="10"/>
        <v>323548.47112003312</v>
      </c>
      <c r="U53" s="134">
        <f>'Example calcs 2000'!S53*0.8</f>
        <v>0</v>
      </c>
      <c r="V53" s="132">
        <f t="shared" si="11"/>
        <v>323548.47112003312</v>
      </c>
      <c r="W53" s="134">
        <f t="shared" si="12"/>
        <v>0.95811694694105154</v>
      </c>
      <c r="X53" s="134">
        <f t="shared" si="0"/>
        <v>309997.27333697112</v>
      </c>
      <c r="Y53" s="112" t="s">
        <v>35</v>
      </c>
      <c r="Z53" s="53">
        <f t="shared" si="13"/>
        <v>0</v>
      </c>
      <c r="AA53" s="112">
        <f>Model!$AC$147</f>
        <v>1</v>
      </c>
      <c r="AB53" s="112"/>
      <c r="AC53" s="136">
        <f>X53*AA53</f>
        <v>309997.27333697112</v>
      </c>
      <c r="AD53" s="134">
        <f>'Example calcs 2000'!Y53*0.8</f>
        <v>0</v>
      </c>
      <c r="AE53" s="132">
        <f t="shared" si="14"/>
        <v>309997.27333697112</v>
      </c>
      <c r="AF53" s="134" t="str">
        <f t="shared" si="18"/>
        <v/>
      </c>
      <c r="AG53" s="134">
        <f t="shared" si="1"/>
        <v>0</v>
      </c>
      <c r="AH53" s="112" t="s">
        <v>65</v>
      </c>
      <c r="AI53" s="53">
        <f t="shared" si="15"/>
        <v>1</v>
      </c>
      <c r="AJ53" s="112"/>
      <c r="AK53" s="112">
        <f>Model!$AC$164</f>
        <v>1.613</v>
      </c>
      <c r="AL53" s="123">
        <f t="shared" si="16"/>
        <v>0</v>
      </c>
      <c r="AM53" s="112">
        <f t="shared" si="17"/>
        <v>0</v>
      </c>
      <c r="AX53" s="159"/>
    </row>
    <row r="54" spans="3:50" s="104" customFormat="1" x14ac:dyDescent="0.25">
      <c r="C54" s="154">
        <f>Model!$AD$14</f>
        <v>3321768</v>
      </c>
      <c r="D54" s="55">
        <f>Model!$AD$17</f>
        <v>0.38461538461538458</v>
      </c>
      <c r="E54" s="155">
        <f t="shared" si="3"/>
        <v>1277603.0769230768</v>
      </c>
      <c r="F54" s="55">
        <f>Model!$AD$28</f>
        <v>1</v>
      </c>
      <c r="G54" s="155">
        <f t="shared" si="4"/>
        <v>1277603.0769230768</v>
      </c>
      <c r="H54" s="111">
        <f>INDEX(Model!$AD$33:$AD$36,MATCH($J54,Model!$AB$33:$AB$36,0))</f>
        <v>4.0000000000000036E-2</v>
      </c>
      <c r="I54" s="132">
        <f t="shared" si="5"/>
        <v>51104.123076923119</v>
      </c>
      <c r="J54" s="112" t="s">
        <v>28</v>
      </c>
      <c r="K54" s="122">
        <f>INDEX(Model!$AD$37:$AD$40,MATCH($J54,Model!$AB$33:$AB$36,0))</f>
        <v>92.262366258334637</v>
      </c>
      <c r="L54" s="136">
        <f>K54*I54</f>
        <v>4714987.3206340922</v>
      </c>
      <c r="M54" s="134">
        <f>'Example calcs 2000'!N54*0.95</f>
        <v>0</v>
      </c>
      <c r="N54" s="132">
        <f t="shared" si="6"/>
        <v>628250.10236811731</v>
      </c>
      <c r="O54" s="134">
        <f t="shared" si="7"/>
        <v>0.9999989751173719</v>
      </c>
      <c r="P54" s="134">
        <f t="shared" si="8"/>
        <v>628249.45848550124</v>
      </c>
      <c r="Q54" s="122" t="s">
        <v>31</v>
      </c>
      <c r="R54" s="53">
        <f t="shared" si="9"/>
        <v>0</v>
      </c>
      <c r="S54" s="122">
        <f>INDEX(Model!$AD$54:$AD$118,MATCH($Q54,Model!$AB$54:$AB$118,0)+MATCH(Model!$Z$116,Model!$Z$54:$Z$118,0)-1)</f>
        <v>0.51500000000000001</v>
      </c>
      <c r="T54" s="136">
        <f t="shared" si="10"/>
        <v>323548.47112003312</v>
      </c>
      <c r="U54" s="134">
        <f>'Example calcs 2000'!S54*0.8</f>
        <v>0</v>
      </c>
      <c r="V54" s="132">
        <f t="shared" si="11"/>
        <v>323548.47112003312</v>
      </c>
      <c r="W54" s="134">
        <f t="shared" si="12"/>
        <v>0.95811694694105154</v>
      </c>
      <c r="X54" s="134">
        <f t="shared" si="0"/>
        <v>309997.27333697112</v>
      </c>
      <c r="Y54" s="112" t="s">
        <v>35</v>
      </c>
      <c r="Z54" s="53">
        <f t="shared" si="13"/>
        <v>0</v>
      </c>
      <c r="AA54" s="112">
        <f>Model!$AC$147</f>
        <v>1</v>
      </c>
      <c r="AB54" s="112"/>
      <c r="AC54" s="136">
        <f>X54*AA54</f>
        <v>309997.27333697112</v>
      </c>
      <c r="AD54" s="134">
        <f>'Example calcs 2000'!Y54*0.8</f>
        <v>0</v>
      </c>
      <c r="AE54" s="132">
        <f t="shared" si="14"/>
        <v>309997.27333697112</v>
      </c>
      <c r="AF54" s="134">
        <f t="shared" si="18"/>
        <v>0.95777996621220318</v>
      </c>
      <c r="AG54" s="134">
        <f t="shared" si="1"/>
        <v>296909.17798255931</v>
      </c>
      <c r="AH54" s="112" t="s">
        <v>66</v>
      </c>
      <c r="AI54" s="53">
        <f t="shared" si="15"/>
        <v>1</v>
      </c>
      <c r="AJ54" s="112"/>
      <c r="AK54" s="112">
        <f>Model!$AC$204</f>
        <v>1.111</v>
      </c>
      <c r="AL54" s="123">
        <f t="shared" si="16"/>
        <v>0</v>
      </c>
      <c r="AM54" s="112">
        <f t="shared" si="17"/>
        <v>329866.0967386234</v>
      </c>
      <c r="AX54" s="159"/>
    </row>
    <row r="55" spans="3:50" s="104" customFormat="1" x14ac:dyDescent="0.25">
      <c r="C55" s="154">
        <f>Model!$AD$14</f>
        <v>3321768</v>
      </c>
      <c r="D55" s="55">
        <f>Model!$AD$17</f>
        <v>0.38461538461538458</v>
      </c>
      <c r="E55" s="155">
        <f t="shared" si="3"/>
        <v>1277603.0769230768</v>
      </c>
      <c r="F55" s="55">
        <f>Model!$AD$28</f>
        <v>1</v>
      </c>
      <c r="G55" s="155">
        <f t="shared" si="4"/>
        <v>1277603.0769230768</v>
      </c>
      <c r="H55" s="111">
        <f>INDEX(Model!$AD$33:$AD$36,MATCH($J55,Model!$AB$33:$AB$36,0))</f>
        <v>0.10100000000000001</v>
      </c>
      <c r="I55" s="132">
        <f t="shared" si="5"/>
        <v>129037.91076923076</v>
      </c>
      <c r="J55" s="112" t="s">
        <v>26</v>
      </c>
      <c r="K55" s="122">
        <f>INDEX(Model!$AD$37:$AD$40,MATCH($J55,Model!$AB$33:$AB$36,0))</f>
        <v>111.23110151187905</v>
      </c>
      <c r="L55" s="136">
        <f>K55*I55</f>
        <v>14353028.951653097</v>
      </c>
      <c r="M55" s="134">
        <f>'Example calcs 2000'!N55*0.95</f>
        <v>0</v>
      </c>
      <c r="N55" s="132">
        <f t="shared" si="6"/>
        <v>2567599.8843356762</v>
      </c>
      <c r="O55" s="134">
        <f t="shared" si="7"/>
        <v>4.0757259630805254E-9</v>
      </c>
      <c r="P55" s="134">
        <f t="shared" si="8"/>
        <v>1.0464833511389469E-2</v>
      </c>
      <c r="Q55" s="122" t="s">
        <v>33</v>
      </c>
      <c r="R55" s="53">
        <f t="shared" si="9"/>
        <v>1</v>
      </c>
      <c r="S55" s="122">
        <f>INDEX(Model!$AD$54:$AD$118,MATCH($Q55,Model!$AB$54:$AB$118,0)+MATCH(Model!$Z$116,Model!$Z$54:$Z$118,0)-1)</f>
        <v>0.309</v>
      </c>
      <c r="T55" s="136">
        <f t="shared" si="10"/>
        <v>3.2336335550193457E-3</v>
      </c>
      <c r="U55" s="134">
        <f>'Example calcs 2000'!S55*0.8</f>
        <v>0</v>
      </c>
      <c r="V55" s="132">
        <f t="shared" si="11"/>
        <v>3.2336335550193457E-3</v>
      </c>
      <c r="W55" s="134">
        <f t="shared" si="12"/>
        <v>4.1883053058948572E-2</v>
      </c>
      <c r="X55" s="134">
        <f t="shared" si="0"/>
        <v>1.3543444575807176E-4</v>
      </c>
      <c r="Y55" s="112" t="s">
        <v>34</v>
      </c>
      <c r="Z55" s="53">
        <f t="shared" si="13"/>
        <v>1</v>
      </c>
      <c r="AA55" s="112"/>
      <c r="AB55" s="112">
        <f>Model!$AC$137</f>
        <v>1</v>
      </c>
      <c r="AC55" s="136"/>
      <c r="AD55" s="134">
        <f>'Example calcs 2000'!Y55*0.8</f>
        <v>0</v>
      </c>
      <c r="AE55" s="132">
        <f t="shared" si="14"/>
        <v>0</v>
      </c>
      <c r="AF55" s="134" t="str">
        <f t="shared" si="18"/>
        <v/>
      </c>
      <c r="AG55" s="134">
        <f t="shared" si="1"/>
        <v>0</v>
      </c>
      <c r="AH55" s="112"/>
      <c r="AI55" s="53">
        <f t="shared" si="15"/>
        <v>1</v>
      </c>
      <c r="AJ55" s="112"/>
      <c r="AK55" s="112"/>
      <c r="AL55" s="123">
        <f t="shared" si="16"/>
        <v>1.3543444575807176E-4</v>
      </c>
      <c r="AM55" s="112">
        <f t="shared" si="17"/>
        <v>0</v>
      </c>
      <c r="AX55" s="159"/>
    </row>
    <row r="56" spans="3:50" s="104" customFormat="1" x14ac:dyDescent="0.25">
      <c r="C56" s="154">
        <f>Model!$AD$14</f>
        <v>3321768</v>
      </c>
      <c r="D56" s="55">
        <f>Model!$AD$17</f>
        <v>0.38461538461538458</v>
      </c>
      <c r="E56" s="155">
        <f t="shared" si="3"/>
        <v>1277603.0769230768</v>
      </c>
      <c r="F56" s="55">
        <f>Model!$AD$28</f>
        <v>1</v>
      </c>
      <c r="G56" s="155">
        <f t="shared" si="4"/>
        <v>1277603.0769230768</v>
      </c>
      <c r="H56" s="111">
        <f>INDEX(Model!$AD$33:$AD$36,MATCH($J56,Model!$AB$33:$AB$36,0))</f>
        <v>0.10100000000000001</v>
      </c>
      <c r="I56" s="132">
        <f t="shared" si="5"/>
        <v>129037.91076923076</v>
      </c>
      <c r="J56" s="112" t="s">
        <v>26</v>
      </c>
      <c r="K56" s="122">
        <f>INDEX(Model!$AD$37:$AD$40,MATCH($J56,Model!$AB$33:$AB$36,0))</f>
        <v>111.23110151187905</v>
      </c>
      <c r="L56" s="136">
        <f>K56*I56</f>
        <v>14353028.951653097</v>
      </c>
      <c r="M56" s="134">
        <f>'Example calcs 2000'!N56*0.95</f>
        <v>0</v>
      </c>
      <c r="N56" s="132">
        <f t="shared" si="6"/>
        <v>2567599.8843356762</v>
      </c>
      <c r="O56" s="134">
        <f t="shared" si="7"/>
        <v>4.0757259630805254E-9</v>
      </c>
      <c r="P56" s="134">
        <f t="shared" si="8"/>
        <v>1.0464833511389469E-2</v>
      </c>
      <c r="Q56" s="122" t="s">
        <v>33</v>
      </c>
      <c r="R56" s="53">
        <f t="shared" si="9"/>
        <v>0</v>
      </c>
      <c r="S56" s="122">
        <f>INDEX(Model!$AD$54:$AD$118,MATCH($Q56,Model!$AB$54:$AB$118,0)+MATCH(Model!$Z$116,Model!$Z$54:$Z$118,0)-1)</f>
        <v>0.309</v>
      </c>
      <c r="T56" s="136">
        <f t="shared" si="10"/>
        <v>3.2336335550193457E-3</v>
      </c>
      <c r="U56" s="134">
        <f>'Example calcs 2000'!S56*0.8</f>
        <v>0</v>
      </c>
      <c r="V56" s="132">
        <f t="shared" si="11"/>
        <v>3.2336335550193457E-3</v>
      </c>
      <c r="W56" s="134">
        <f t="shared" si="12"/>
        <v>0.95811694694105154</v>
      </c>
      <c r="X56" s="134">
        <f t="shared" si="0"/>
        <v>3.0981991092612743E-3</v>
      </c>
      <c r="Y56" s="112" t="s">
        <v>35</v>
      </c>
      <c r="Z56" s="53">
        <f t="shared" si="13"/>
        <v>1</v>
      </c>
      <c r="AA56" s="112">
        <f>Model!$AC$147</f>
        <v>1</v>
      </c>
      <c r="AB56" s="112"/>
      <c r="AC56" s="136">
        <f>X56*AA56</f>
        <v>3.0981991092612743E-3</v>
      </c>
      <c r="AD56" s="134">
        <f>'Example calcs 2000'!Y56*0.8</f>
        <v>0</v>
      </c>
      <c r="AE56" s="132">
        <f t="shared" si="14"/>
        <v>3.0981991092612743E-3</v>
      </c>
      <c r="AF56" s="134">
        <f t="shared" si="18"/>
        <v>4.2219505916481506E-2</v>
      </c>
      <c r="AG56" s="134">
        <f t="shared" si="1"/>
        <v>1.308044356238941E-4</v>
      </c>
      <c r="AH56" s="112" t="s">
        <v>67</v>
      </c>
      <c r="AI56" s="53">
        <f t="shared" si="15"/>
        <v>1</v>
      </c>
      <c r="AJ56" s="112">
        <f>Model!$AC$178</f>
        <v>0.52600000000000002</v>
      </c>
      <c r="AK56" s="112"/>
      <c r="AL56" s="123">
        <f t="shared" si="16"/>
        <v>6.8803133138168294E-5</v>
      </c>
      <c r="AM56" s="112">
        <f t="shared" si="17"/>
        <v>0</v>
      </c>
      <c r="AX56" s="159"/>
    </row>
    <row r="57" spans="3:50" s="104" customFormat="1" x14ac:dyDescent="0.25">
      <c r="C57" s="154">
        <f>Model!$AD$14</f>
        <v>3321768</v>
      </c>
      <c r="D57" s="55">
        <f>Model!$AD$17</f>
        <v>0.38461538461538458</v>
      </c>
      <c r="E57" s="155">
        <f t="shared" si="3"/>
        <v>1277603.0769230768</v>
      </c>
      <c r="F57" s="55">
        <f>Model!$AD$28</f>
        <v>1</v>
      </c>
      <c r="G57" s="155">
        <f t="shared" si="4"/>
        <v>1277603.0769230768</v>
      </c>
      <c r="H57" s="111">
        <f>INDEX(Model!$AD$33:$AD$36,MATCH($J57,Model!$AB$33:$AB$36,0))</f>
        <v>0.10100000000000001</v>
      </c>
      <c r="I57" s="132">
        <f t="shared" si="5"/>
        <v>129037.91076923076</v>
      </c>
      <c r="J57" s="112" t="s">
        <v>26</v>
      </c>
      <c r="K57" s="122">
        <f>INDEX(Model!$AD$37:$AD$40,MATCH($J57,Model!$AB$33:$AB$36,0))</f>
        <v>111.23110151187905</v>
      </c>
      <c r="L57" s="136">
        <f>K57*I57</f>
        <v>14353028.951653097</v>
      </c>
      <c r="M57" s="134">
        <f>'Example calcs 2000'!N57*0.95</f>
        <v>0</v>
      </c>
      <c r="N57" s="132">
        <f t="shared" si="6"/>
        <v>2567599.8843356762</v>
      </c>
      <c r="O57" s="134">
        <f t="shared" si="7"/>
        <v>4.0757259630805254E-9</v>
      </c>
      <c r="P57" s="134">
        <f t="shared" si="8"/>
        <v>1.0464833511389469E-2</v>
      </c>
      <c r="Q57" s="122" t="s">
        <v>33</v>
      </c>
      <c r="R57" s="53">
        <f t="shared" si="9"/>
        <v>0</v>
      </c>
      <c r="S57" s="122">
        <f>INDEX(Model!$AD$54:$AD$118,MATCH($Q57,Model!$AB$54:$AB$118,0)+MATCH(Model!$Z$116,Model!$Z$54:$Z$118,0)-1)</f>
        <v>0.309</v>
      </c>
      <c r="T57" s="136">
        <f t="shared" si="10"/>
        <v>3.2336335550193457E-3</v>
      </c>
      <c r="U57" s="134">
        <f>'Example calcs 2000'!S57*0.8</f>
        <v>0</v>
      </c>
      <c r="V57" s="132">
        <f t="shared" si="11"/>
        <v>3.2336335550193457E-3</v>
      </c>
      <c r="W57" s="134">
        <f t="shared" si="12"/>
        <v>0.95811694694105154</v>
      </c>
      <c r="X57" s="134">
        <f t="shared" si="0"/>
        <v>3.0981991092612743E-3</v>
      </c>
      <c r="Y57" s="112" t="s">
        <v>35</v>
      </c>
      <c r="Z57" s="53">
        <f t="shared" si="13"/>
        <v>0</v>
      </c>
      <c r="AA57" s="112">
        <f>Model!$AC$147</f>
        <v>1</v>
      </c>
      <c r="AB57" s="112"/>
      <c r="AC57" s="136">
        <f>X57*AA57</f>
        <v>3.0981991092612743E-3</v>
      </c>
      <c r="AD57" s="134">
        <f>'Example calcs 2000'!Y57*0.8</f>
        <v>0</v>
      </c>
      <c r="AE57" s="132">
        <f t="shared" si="14"/>
        <v>3.0981991092612743E-3</v>
      </c>
      <c r="AF57" s="134">
        <f t="shared" si="18"/>
        <v>5.2787131529516608E-7</v>
      </c>
      <c r="AG57" s="134">
        <f t="shared" si="1"/>
        <v>1.6354504388520609E-9</v>
      </c>
      <c r="AH57" s="112" t="s">
        <v>144</v>
      </c>
      <c r="AI57" s="53">
        <f t="shared" si="15"/>
        <v>1</v>
      </c>
      <c r="AJ57" s="112">
        <f>Model!$AC$191</f>
        <v>0.4</v>
      </c>
      <c r="AK57" s="112"/>
      <c r="AL57" s="123">
        <f t="shared" si="16"/>
        <v>6.541801755408244E-10</v>
      </c>
      <c r="AM57" s="112">
        <f t="shared" si="17"/>
        <v>0</v>
      </c>
      <c r="AX57" s="159"/>
    </row>
    <row r="58" spans="3:50" s="104" customFormat="1" x14ac:dyDescent="0.25">
      <c r="C58" s="154">
        <f>Model!$AD$14</f>
        <v>3321768</v>
      </c>
      <c r="D58" s="55">
        <f>Model!$AD$17</f>
        <v>0.38461538461538458</v>
      </c>
      <c r="E58" s="155">
        <f t="shared" si="3"/>
        <v>1277603.0769230768</v>
      </c>
      <c r="F58" s="55">
        <f>Model!$AD$28</f>
        <v>1</v>
      </c>
      <c r="G58" s="155">
        <f t="shared" si="4"/>
        <v>1277603.0769230768</v>
      </c>
      <c r="H58" s="111">
        <f>INDEX(Model!$AD$33:$AD$36,MATCH($J58,Model!$AB$33:$AB$36,0))</f>
        <v>0.10100000000000001</v>
      </c>
      <c r="I58" s="132">
        <f t="shared" si="5"/>
        <v>129037.91076923076</v>
      </c>
      <c r="J58" s="112" t="s">
        <v>26</v>
      </c>
      <c r="K58" s="122">
        <f>INDEX(Model!$AD$37:$AD$40,MATCH($J58,Model!$AB$33:$AB$36,0))</f>
        <v>111.23110151187905</v>
      </c>
      <c r="L58" s="136">
        <f>K58*I58</f>
        <v>14353028.951653097</v>
      </c>
      <c r="M58" s="134">
        <f>'Example calcs 2000'!N58*0.95</f>
        <v>0</v>
      </c>
      <c r="N58" s="132">
        <f t="shared" si="6"/>
        <v>2567599.8843356762</v>
      </c>
      <c r="O58" s="134">
        <f t="shared" si="7"/>
        <v>4.0757259630805254E-9</v>
      </c>
      <c r="P58" s="134">
        <f t="shared" si="8"/>
        <v>1.0464833511389469E-2</v>
      </c>
      <c r="Q58" s="122" t="s">
        <v>33</v>
      </c>
      <c r="R58" s="53">
        <f t="shared" si="9"/>
        <v>0</v>
      </c>
      <c r="S58" s="122">
        <f>INDEX(Model!$AD$54:$AD$118,MATCH($Q58,Model!$AB$54:$AB$118,0)+MATCH(Model!$Z$116,Model!$Z$54:$Z$118,0)-1)</f>
        <v>0.309</v>
      </c>
      <c r="T58" s="136">
        <f t="shared" si="10"/>
        <v>3.2336335550193457E-3</v>
      </c>
      <c r="U58" s="134">
        <f>'Example calcs 2000'!S58*0.8</f>
        <v>0</v>
      </c>
      <c r="V58" s="132">
        <f t="shared" si="11"/>
        <v>3.2336335550193457E-3</v>
      </c>
      <c r="W58" s="134">
        <f t="shared" si="12"/>
        <v>0.95811694694105154</v>
      </c>
      <c r="X58" s="134">
        <f t="shared" si="0"/>
        <v>3.0981991092612743E-3</v>
      </c>
      <c r="Y58" s="112" t="s">
        <v>35</v>
      </c>
      <c r="Z58" s="53">
        <f t="shared" si="13"/>
        <v>0</v>
      </c>
      <c r="AA58" s="112">
        <f>Model!$AC$147</f>
        <v>1</v>
      </c>
      <c r="AB58" s="112"/>
      <c r="AC58" s="136">
        <f>X58*AA58</f>
        <v>3.0981991092612743E-3</v>
      </c>
      <c r="AD58" s="134">
        <f>'Example calcs 2000'!Y58*0.8</f>
        <v>0</v>
      </c>
      <c r="AE58" s="132">
        <f t="shared" si="14"/>
        <v>3.0981991092612743E-3</v>
      </c>
      <c r="AF58" s="134" t="str">
        <f t="shared" si="18"/>
        <v/>
      </c>
      <c r="AG58" s="134">
        <f t="shared" si="1"/>
        <v>0</v>
      </c>
      <c r="AH58" s="112" t="s">
        <v>65</v>
      </c>
      <c r="AI58" s="53">
        <f t="shared" si="15"/>
        <v>1</v>
      </c>
      <c r="AJ58" s="112"/>
      <c r="AK58" s="112">
        <f>Model!$AC$164</f>
        <v>1.613</v>
      </c>
      <c r="AL58" s="123">
        <f t="shared" si="16"/>
        <v>0</v>
      </c>
      <c r="AM58" s="112">
        <f t="shared" si="17"/>
        <v>0</v>
      </c>
      <c r="AX58" s="159"/>
    </row>
    <row r="59" spans="3:50" s="104" customFormat="1" x14ac:dyDescent="0.25">
      <c r="C59" s="154">
        <f>Model!$AD$14</f>
        <v>3321768</v>
      </c>
      <c r="D59" s="55">
        <f>Model!$AD$17</f>
        <v>0.38461538461538458</v>
      </c>
      <c r="E59" s="155">
        <f t="shared" si="3"/>
        <v>1277603.0769230768</v>
      </c>
      <c r="F59" s="55">
        <f>Model!$AD$28</f>
        <v>1</v>
      </c>
      <c r="G59" s="155">
        <f t="shared" si="4"/>
        <v>1277603.0769230768</v>
      </c>
      <c r="H59" s="111">
        <f>INDEX(Model!$AD$33:$AD$36,MATCH($J59,Model!$AB$33:$AB$36,0))</f>
        <v>0.10100000000000001</v>
      </c>
      <c r="I59" s="132">
        <f t="shared" si="5"/>
        <v>129037.91076923076</v>
      </c>
      <c r="J59" s="112" t="s">
        <v>26</v>
      </c>
      <c r="K59" s="122">
        <f>INDEX(Model!$AD$37:$AD$40,MATCH($J59,Model!$AB$33:$AB$36,0))</f>
        <v>111.23110151187905</v>
      </c>
      <c r="L59" s="136">
        <f>K59*I59</f>
        <v>14353028.951653097</v>
      </c>
      <c r="M59" s="134">
        <f>'Example calcs 2000'!N59*0.95</f>
        <v>0</v>
      </c>
      <c r="N59" s="132">
        <f t="shared" si="6"/>
        <v>2567599.8843356762</v>
      </c>
      <c r="O59" s="134">
        <f t="shared" si="7"/>
        <v>4.0757259630805254E-9</v>
      </c>
      <c r="P59" s="134">
        <f t="shared" si="8"/>
        <v>1.0464833511389469E-2</v>
      </c>
      <c r="Q59" s="122" t="s">
        <v>33</v>
      </c>
      <c r="R59" s="53">
        <f t="shared" si="9"/>
        <v>0</v>
      </c>
      <c r="S59" s="122">
        <f>INDEX(Model!$AD$54:$AD$118,MATCH($Q59,Model!$AB$54:$AB$118,0)+MATCH(Model!$Z$116,Model!$Z$54:$Z$118,0)-1)</f>
        <v>0.309</v>
      </c>
      <c r="T59" s="136">
        <f t="shared" si="10"/>
        <v>3.2336335550193457E-3</v>
      </c>
      <c r="U59" s="134">
        <f>'Example calcs 2000'!S59*0.8</f>
        <v>0</v>
      </c>
      <c r="V59" s="132">
        <f t="shared" si="11"/>
        <v>3.2336335550193457E-3</v>
      </c>
      <c r="W59" s="134">
        <f t="shared" si="12"/>
        <v>0.95811694694105154</v>
      </c>
      <c r="X59" s="134">
        <f t="shared" si="0"/>
        <v>3.0981991092612743E-3</v>
      </c>
      <c r="Y59" s="112" t="s">
        <v>35</v>
      </c>
      <c r="Z59" s="53">
        <f t="shared" si="13"/>
        <v>0</v>
      </c>
      <c r="AA59" s="112">
        <f>Model!$AC$147</f>
        <v>1</v>
      </c>
      <c r="AB59" s="112"/>
      <c r="AC59" s="136">
        <f>X59*AA59</f>
        <v>3.0981991092612743E-3</v>
      </c>
      <c r="AD59" s="134">
        <f>'Example calcs 2000'!Y59*0.8</f>
        <v>0</v>
      </c>
      <c r="AE59" s="132">
        <f t="shared" si="14"/>
        <v>3.0981991092612743E-3</v>
      </c>
      <c r="AF59" s="134">
        <f t="shared" si="18"/>
        <v>0.95777996621220318</v>
      </c>
      <c r="AG59" s="134">
        <f t="shared" si="1"/>
        <v>2.9673930381869415E-3</v>
      </c>
      <c r="AH59" s="112" t="s">
        <v>66</v>
      </c>
      <c r="AI59" s="53">
        <f t="shared" si="15"/>
        <v>1</v>
      </c>
      <c r="AJ59" s="112"/>
      <c r="AK59" s="112">
        <f>Model!$AC$204</f>
        <v>1.111</v>
      </c>
      <c r="AL59" s="123">
        <f t="shared" si="16"/>
        <v>0</v>
      </c>
      <c r="AM59" s="112">
        <f t="shared" si="17"/>
        <v>3.2967736654256918E-3</v>
      </c>
    </row>
    <row r="60" spans="3:50" s="104" customFormat="1" x14ac:dyDescent="0.25">
      <c r="C60" s="154">
        <f>Model!$AD$14</f>
        <v>3321768</v>
      </c>
      <c r="D60" s="55">
        <f>Model!$AD$17</f>
        <v>0.38461538461538458</v>
      </c>
      <c r="E60" s="155">
        <f t="shared" si="3"/>
        <v>1277603.0769230768</v>
      </c>
      <c r="F60" s="55">
        <f>Model!$AD$28</f>
        <v>1</v>
      </c>
      <c r="G60" s="155">
        <f t="shared" si="4"/>
        <v>1277603.0769230768</v>
      </c>
      <c r="H60" s="111">
        <f>INDEX(Model!$AD$33:$AD$36,MATCH($J60,Model!$AB$33:$AB$36,0))</f>
        <v>0.10100000000000001</v>
      </c>
      <c r="I60" s="132">
        <f t="shared" si="5"/>
        <v>129037.91076923076</v>
      </c>
      <c r="J60" s="112" t="s">
        <v>26</v>
      </c>
      <c r="K60" s="122">
        <f>INDEX(Model!$AD$37:$AD$40,MATCH($J60,Model!$AB$33:$AB$36,0))</f>
        <v>111.23110151187905</v>
      </c>
      <c r="L60" s="136">
        <f>K60*I60</f>
        <v>14353028.951653097</v>
      </c>
      <c r="M60" s="134">
        <f>'Example calcs 2000'!N60*0.95</f>
        <v>9817262.4130754117</v>
      </c>
      <c r="N60" s="132">
        <f t="shared" si="6"/>
        <v>2567599.8843356762</v>
      </c>
      <c r="O60" s="134" t="str">
        <f t="shared" si="7"/>
        <v/>
      </c>
      <c r="P60" s="134">
        <f t="shared" si="8"/>
        <v>9817262.4130754117</v>
      </c>
      <c r="Q60" s="122" t="s">
        <v>29</v>
      </c>
      <c r="R60" s="53">
        <f t="shared" si="9"/>
        <v>1</v>
      </c>
      <c r="S60" s="122">
        <f>INDEX(Model!$AD$54:$AD$118,MATCH($Q60,Model!$AB$54:$AB$118,0)+MATCH(Model!$Z$116,Model!$Z$54:$Z$118,0)-1)</f>
        <v>0.63300000000000001</v>
      </c>
      <c r="T60" s="136">
        <f t="shared" si="10"/>
        <v>6214327.1074767355</v>
      </c>
      <c r="U60" s="134">
        <f>'Example calcs 2000'!S60*0.8</f>
        <v>28941.118248415136</v>
      </c>
      <c r="V60" s="132">
        <f t="shared" si="11"/>
        <v>981209.54328579921</v>
      </c>
      <c r="W60" s="134">
        <f t="shared" si="12"/>
        <v>4.1883053058948572E-2</v>
      </c>
      <c r="X60" s="134">
        <f t="shared" si="0"/>
        <v>70037.169611800957</v>
      </c>
      <c r="Y60" s="112" t="s">
        <v>34</v>
      </c>
      <c r="Z60" s="53">
        <f t="shared" si="13"/>
        <v>1</v>
      </c>
      <c r="AA60" s="112"/>
      <c r="AB60" s="112">
        <f>Model!$AC$137</f>
        <v>1</v>
      </c>
      <c r="AC60" s="136"/>
      <c r="AD60" s="134">
        <f>'Example calcs 2000'!Y60*0.8</f>
        <v>0</v>
      </c>
      <c r="AE60" s="132">
        <f t="shared" si="14"/>
        <v>0</v>
      </c>
      <c r="AF60" s="134" t="str">
        <f t="shared" si="18"/>
        <v/>
      </c>
      <c r="AG60" s="134">
        <f t="shared" si="1"/>
        <v>0</v>
      </c>
      <c r="AH60" s="112"/>
      <c r="AI60" s="53">
        <f t="shared" si="15"/>
        <v>1</v>
      </c>
      <c r="AJ60" s="112"/>
      <c r="AK60" s="112"/>
      <c r="AL60" s="123">
        <f t="shared" si="16"/>
        <v>70037.169611800957</v>
      </c>
      <c r="AM60" s="112">
        <f t="shared" si="17"/>
        <v>0</v>
      </c>
    </row>
    <row r="61" spans="3:50" s="104" customFormat="1" x14ac:dyDescent="0.25">
      <c r="C61" s="154">
        <f>Model!$AD$14</f>
        <v>3321768</v>
      </c>
      <c r="D61" s="55">
        <f>Model!$AD$17</f>
        <v>0.38461538461538458</v>
      </c>
      <c r="E61" s="155">
        <f t="shared" si="3"/>
        <v>1277603.0769230768</v>
      </c>
      <c r="F61" s="55">
        <f>Model!$AD$28</f>
        <v>1</v>
      </c>
      <c r="G61" s="155">
        <f t="shared" si="4"/>
        <v>1277603.0769230768</v>
      </c>
      <c r="H61" s="111">
        <f>INDEX(Model!$AD$33:$AD$36,MATCH($J61,Model!$AB$33:$AB$36,0))</f>
        <v>0.10100000000000001</v>
      </c>
      <c r="I61" s="132">
        <f t="shared" si="5"/>
        <v>129037.91076923076</v>
      </c>
      <c r="J61" s="112" t="s">
        <v>26</v>
      </c>
      <c r="K61" s="122">
        <f>INDEX(Model!$AD$37:$AD$40,MATCH($J61,Model!$AB$33:$AB$36,0))</f>
        <v>111.23110151187905</v>
      </c>
      <c r="L61" s="136">
        <f>K61*I61</f>
        <v>14353028.951653097</v>
      </c>
      <c r="M61" s="134">
        <f>'Example calcs 2000'!N61*0.95</f>
        <v>9817262.4130754117</v>
      </c>
      <c r="N61" s="132">
        <f t="shared" si="6"/>
        <v>2567599.8843356762</v>
      </c>
      <c r="O61" s="134" t="str">
        <f t="shared" si="7"/>
        <v/>
      </c>
      <c r="P61" s="134">
        <f t="shared" si="8"/>
        <v>9817262.4130754117</v>
      </c>
      <c r="Q61" s="122" t="s">
        <v>29</v>
      </c>
      <c r="R61" s="53">
        <f t="shared" si="9"/>
        <v>0</v>
      </c>
      <c r="S61" s="122">
        <f>INDEX(Model!$AD$54:$AD$118,MATCH($Q61,Model!$AB$54:$AB$118,0)+MATCH(Model!$Z$116,Model!$Z$54:$Z$118,0)-1)</f>
        <v>0.63300000000000001</v>
      </c>
      <c r="T61" s="136">
        <f t="shared" si="10"/>
        <v>6214327.1074767355</v>
      </c>
      <c r="U61" s="134">
        <f>'Example calcs 2000'!S61*0.8</f>
        <v>5204176.4459425211</v>
      </c>
      <c r="V61" s="132">
        <f t="shared" si="11"/>
        <v>981209.54328579921</v>
      </c>
      <c r="W61" s="134">
        <f t="shared" si="12"/>
        <v>0.95811694694105154</v>
      </c>
      <c r="X61" s="134">
        <f t="shared" si="0"/>
        <v>6144289.937864935</v>
      </c>
      <c r="Y61" s="112" t="s">
        <v>35</v>
      </c>
      <c r="Z61" s="53">
        <f t="shared" si="13"/>
        <v>1</v>
      </c>
      <c r="AA61" s="112">
        <f>Model!$AC$147</f>
        <v>1</v>
      </c>
      <c r="AB61" s="112"/>
      <c r="AC61" s="136">
        <f>X61*AA61</f>
        <v>6144289.937864935</v>
      </c>
      <c r="AD61" s="134">
        <f>'Example calcs 2000'!Y61*0.8</f>
        <v>52041.764459425205</v>
      </c>
      <c r="AE61" s="132">
        <f t="shared" si="14"/>
        <v>940113.49192241393</v>
      </c>
      <c r="AF61" s="134">
        <f t="shared" si="18"/>
        <v>4.2219505916481506E-2</v>
      </c>
      <c r="AG61" s="134">
        <f t="shared" si="1"/>
        <v>91732.891593807639</v>
      </c>
      <c r="AH61" s="112" t="s">
        <v>67</v>
      </c>
      <c r="AI61" s="53">
        <f t="shared" si="15"/>
        <v>1</v>
      </c>
      <c r="AJ61" s="112">
        <f>Model!$AC$178</f>
        <v>0.52600000000000002</v>
      </c>
      <c r="AK61" s="112"/>
      <c r="AL61" s="123">
        <f t="shared" si="16"/>
        <v>48251.500978342818</v>
      </c>
      <c r="AM61" s="112">
        <f t="shared" si="17"/>
        <v>0</v>
      </c>
    </row>
    <row r="62" spans="3:50" s="104" customFormat="1" x14ac:dyDescent="0.25">
      <c r="C62" s="154">
        <f>Model!$AD$14</f>
        <v>3321768</v>
      </c>
      <c r="D62" s="55">
        <f>Model!$AD$17</f>
        <v>0.38461538461538458</v>
      </c>
      <c r="E62" s="155">
        <f t="shared" si="3"/>
        <v>1277603.0769230768</v>
      </c>
      <c r="F62" s="55">
        <f>Model!$AD$28</f>
        <v>1</v>
      </c>
      <c r="G62" s="155">
        <f t="shared" si="4"/>
        <v>1277603.0769230768</v>
      </c>
      <c r="H62" s="111">
        <f>INDEX(Model!$AD$33:$AD$36,MATCH($J62,Model!$AB$33:$AB$36,0))</f>
        <v>0.10100000000000001</v>
      </c>
      <c r="I62" s="132">
        <f t="shared" si="5"/>
        <v>129037.91076923076</v>
      </c>
      <c r="J62" s="112" t="s">
        <v>26</v>
      </c>
      <c r="K62" s="122">
        <f>INDEX(Model!$AD$37:$AD$40,MATCH($J62,Model!$AB$33:$AB$36,0))</f>
        <v>111.23110151187905</v>
      </c>
      <c r="L62" s="136">
        <f>K62*I62</f>
        <v>14353028.951653097</v>
      </c>
      <c r="M62" s="134">
        <f>'Example calcs 2000'!N62*0.95</f>
        <v>9817262.4130754117</v>
      </c>
      <c r="N62" s="132">
        <f t="shared" si="6"/>
        <v>2567599.8843356762</v>
      </c>
      <c r="O62" s="134" t="str">
        <f t="shared" si="7"/>
        <v/>
      </c>
      <c r="P62" s="134">
        <f t="shared" si="8"/>
        <v>9817262.4130754117</v>
      </c>
      <c r="Q62" s="122" t="s">
        <v>29</v>
      </c>
      <c r="R62" s="53">
        <f t="shared" si="9"/>
        <v>0</v>
      </c>
      <c r="S62" s="122">
        <f>INDEX(Model!$AD$54:$AD$118,MATCH($Q62,Model!$AB$54:$AB$118,0)+MATCH(Model!$Z$116,Model!$Z$54:$Z$118,0)-1)</f>
        <v>0.63300000000000001</v>
      </c>
      <c r="T62" s="136">
        <f t="shared" si="10"/>
        <v>6214327.1074767355</v>
      </c>
      <c r="U62" s="134">
        <f>'Example calcs 2000'!S62*0.8</f>
        <v>5204176.4459425211</v>
      </c>
      <c r="V62" s="132">
        <f t="shared" si="11"/>
        <v>981209.54328579921</v>
      </c>
      <c r="W62" s="134">
        <f t="shared" si="12"/>
        <v>0.95811694694105154</v>
      </c>
      <c r="X62" s="134">
        <f t="shared" si="0"/>
        <v>6144289.937864935</v>
      </c>
      <c r="Y62" s="112" t="s">
        <v>35</v>
      </c>
      <c r="Z62" s="53">
        <f t="shared" si="13"/>
        <v>0</v>
      </c>
      <c r="AA62" s="112">
        <f>Model!$AC$147</f>
        <v>1</v>
      </c>
      <c r="AB62" s="112"/>
      <c r="AC62" s="136">
        <f>X62*AA62</f>
        <v>6144289.937864935</v>
      </c>
      <c r="AD62" s="134">
        <f>'Example calcs 2000'!Y62*0.8</f>
        <v>0</v>
      </c>
      <c r="AE62" s="132">
        <f t="shared" si="14"/>
        <v>940113.49192241393</v>
      </c>
      <c r="AF62" s="134">
        <f t="shared" si="18"/>
        <v>5.2787131529516608E-7</v>
      </c>
      <c r="AG62" s="134">
        <f t="shared" si="1"/>
        <v>0.49625894550781613</v>
      </c>
      <c r="AH62" s="112" t="s">
        <v>144</v>
      </c>
      <c r="AI62" s="53">
        <f t="shared" si="15"/>
        <v>1</v>
      </c>
      <c r="AJ62" s="112">
        <f>Model!$AC$191</f>
        <v>0.4</v>
      </c>
      <c r="AK62" s="112"/>
      <c r="AL62" s="123">
        <f t="shared" si="16"/>
        <v>0.19850357820312647</v>
      </c>
      <c r="AM62" s="112">
        <f t="shared" si="17"/>
        <v>0</v>
      </c>
    </row>
    <row r="63" spans="3:50" s="104" customFormat="1" x14ac:dyDescent="0.25">
      <c r="C63" s="154">
        <f>Model!$AD$14</f>
        <v>3321768</v>
      </c>
      <c r="D63" s="55">
        <f>Model!$AD$17</f>
        <v>0.38461538461538458</v>
      </c>
      <c r="E63" s="155">
        <f t="shared" si="3"/>
        <v>1277603.0769230768</v>
      </c>
      <c r="F63" s="55">
        <f>Model!$AD$28</f>
        <v>1</v>
      </c>
      <c r="G63" s="155">
        <f t="shared" si="4"/>
        <v>1277603.0769230768</v>
      </c>
      <c r="H63" s="111">
        <f>INDEX(Model!$AD$33:$AD$36,MATCH($J63,Model!$AB$33:$AB$36,0))</f>
        <v>0.10100000000000001</v>
      </c>
      <c r="I63" s="132">
        <f t="shared" si="5"/>
        <v>129037.91076923076</v>
      </c>
      <c r="J63" s="112" t="s">
        <v>26</v>
      </c>
      <c r="K63" s="122">
        <f>INDEX(Model!$AD$37:$AD$40,MATCH($J63,Model!$AB$33:$AB$36,0))</f>
        <v>111.23110151187905</v>
      </c>
      <c r="L63" s="136">
        <f>K63*I63</f>
        <v>14353028.951653097</v>
      </c>
      <c r="M63" s="134">
        <f>'Example calcs 2000'!N63*0.95</f>
        <v>9817262.4130754117</v>
      </c>
      <c r="N63" s="132">
        <f t="shared" si="6"/>
        <v>2567599.8843356762</v>
      </c>
      <c r="O63" s="134" t="str">
        <f t="shared" si="7"/>
        <v/>
      </c>
      <c r="P63" s="134">
        <f t="shared" si="8"/>
        <v>9817262.4130754117</v>
      </c>
      <c r="Q63" s="122" t="s">
        <v>29</v>
      </c>
      <c r="R63" s="53">
        <f t="shared" si="9"/>
        <v>0</v>
      </c>
      <c r="S63" s="122">
        <f>INDEX(Model!$AD$54:$AD$118,MATCH($Q63,Model!$AB$54:$AB$118,0)+MATCH(Model!$Z$116,Model!$Z$54:$Z$118,0)-1)</f>
        <v>0.63300000000000001</v>
      </c>
      <c r="T63" s="136">
        <f t="shared" si="10"/>
        <v>6214327.1074767355</v>
      </c>
      <c r="U63" s="134">
        <f>'Example calcs 2000'!S63*0.8</f>
        <v>5204176.4459425211</v>
      </c>
      <c r="V63" s="132">
        <f t="shared" si="11"/>
        <v>981209.54328579921</v>
      </c>
      <c r="W63" s="134">
        <f t="shared" si="12"/>
        <v>0.95811694694105154</v>
      </c>
      <c r="X63" s="134">
        <f t="shared" si="0"/>
        <v>6144289.937864935</v>
      </c>
      <c r="Y63" s="112" t="s">
        <v>35</v>
      </c>
      <c r="Z63" s="53">
        <f t="shared" si="13"/>
        <v>0</v>
      </c>
      <c r="AA63" s="112">
        <f>Model!$AC$147</f>
        <v>1</v>
      </c>
      <c r="AB63" s="112"/>
      <c r="AC63" s="136">
        <f>X63*AA63</f>
        <v>6144289.937864935</v>
      </c>
      <c r="AD63" s="134">
        <f>'Example calcs 2000'!Y63*0.8</f>
        <v>4891925.8591859695</v>
      </c>
      <c r="AE63" s="132">
        <f t="shared" si="14"/>
        <v>940113.49192241393</v>
      </c>
      <c r="AF63" s="134" t="str">
        <f t="shared" si="18"/>
        <v/>
      </c>
      <c r="AG63" s="134">
        <f t="shared" si="1"/>
        <v>4891925.8591859695</v>
      </c>
      <c r="AH63" s="112" t="s">
        <v>65</v>
      </c>
      <c r="AI63" s="53">
        <f t="shared" si="15"/>
        <v>1</v>
      </c>
      <c r="AJ63" s="112"/>
      <c r="AK63" s="112">
        <f>Model!$AC$164</f>
        <v>1.613</v>
      </c>
      <c r="AL63" s="123">
        <f t="shared" si="16"/>
        <v>0</v>
      </c>
      <c r="AM63" s="112">
        <f t="shared" si="17"/>
        <v>7890676.4108669683</v>
      </c>
    </row>
    <row r="64" spans="3:50" s="104" customFormat="1" x14ac:dyDescent="0.25">
      <c r="C64" s="154">
        <f>Model!$AD$14</f>
        <v>3321768</v>
      </c>
      <c r="D64" s="55">
        <f>Model!$AD$17</f>
        <v>0.38461538461538458</v>
      </c>
      <c r="E64" s="155">
        <f t="shared" si="3"/>
        <v>1277603.0769230768</v>
      </c>
      <c r="F64" s="55">
        <f>Model!$AD$28</f>
        <v>1</v>
      </c>
      <c r="G64" s="155">
        <f t="shared" si="4"/>
        <v>1277603.0769230768</v>
      </c>
      <c r="H64" s="111">
        <f>INDEX(Model!$AD$33:$AD$36,MATCH($J64,Model!$AB$33:$AB$36,0))</f>
        <v>0.10100000000000001</v>
      </c>
      <c r="I64" s="132">
        <f t="shared" si="5"/>
        <v>129037.91076923076</v>
      </c>
      <c r="J64" s="112" t="s">
        <v>26</v>
      </c>
      <c r="K64" s="122">
        <f>INDEX(Model!$AD$37:$AD$40,MATCH($J64,Model!$AB$33:$AB$36,0))</f>
        <v>111.23110151187905</v>
      </c>
      <c r="L64" s="136">
        <f>K64*I64</f>
        <v>14353028.951653097</v>
      </c>
      <c r="M64" s="134">
        <f>'Example calcs 2000'!N64*0.95</f>
        <v>9817262.4130754117</v>
      </c>
      <c r="N64" s="132">
        <f t="shared" si="6"/>
        <v>2567599.8843356762</v>
      </c>
      <c r="O64" s="134" t="str">
        <f t="shared" si="7"/>
        <v/>
      </c>
      <c r="P64" s="134">
        <f t="shared" si="8"/>
        <v>9817262.4130754117</v>
      </c>
      <c r="Q64" s="122" t="s">
        <v>29</v>
      </c>
      <c r="R64" s="53">
        <f t="shared" si="9"/>
        <v>0</v>
      </c>
      <c r="S64" s="122">
        <f>INDEX(Model!$AD$54:$AD$118,MATCH($Q64,Model!$AB$54:$AB$118,0)+MATCH(Model!$Z$116,Model!$Z$54:$Z$118,0)-1)</f>
        <v>0.63300000000000001</v>
      </c>
      <c r="T64" s="136">
        <f t="shared" si="10"/>
        <v>6214327.1074767355</v>
      </c>
      <c r="U64" s="134">
        <f>'Example calcs 2000'!S64*0.8</f>
        <v>5204176.4459425211</v>
      </c>
      <c r="V64" s="132">
        <f t="shared" si="11"/>
        <v>981209.54328579921</v>
      </c>
      <c r="W64" s="134">
        <f t="shared" si="12"/>
        <v>0.95811694694105154</v>
      </c>
      <c r="X64" s="134">
        <f t="shared" si="0"/>
        <v>6144289.937864935</v>
      </c>
      <c r="Y64" s="112" t="s">
        <v>35</v>
      </c>
      <c r="Z64" s="53">
        <f t="shared" si="13"/>
        <v>0</v>
      </c>
      <c r="AA64" s="112">
        <f>Model!$AC$147</f>
        <v>1</v>
      </c>
      <c r="AB64" s="112"/>
      <c r="AC64" s="136">
        <f>X64*AA64</f>
        <v>6144289.937864935</v>
      </c>
      <c r="AD64" s="134">
        <f>'Example calcs 2000'!Y64*0.8</f>
        <v>260208.82229712605</v>
      </c>
      <c r="AE64" s="132">
        <f t="shared" si="14"/>
        <v>940113.49192241393</v>
      </c>
      <c r="AF64" s="134">
        <f t="shared" si="18"/>
        <v>0.95777996621220318</v>
      </c>
      <c r="AG64" s="134">
        <f t="shared" si="1"/>
        <v>1160630.6908262121</v>
      </c>
      <c r="AH64" s="112" t="s">
        <v>66</v>
      </c>
      <c r="AI64" s="53">
        <f t="shared" si="15"/>
        <v>1</v>
      </c>
      <c r="AJ64" s="112"/>
      <c r="AK64" s="112">
        <f>Model!$AC$204</f>
        <v>1.111</v>
      </c>
      <c r="AL64" s="123">
        <f t="shared" si="16"/>
        <v>0</v>
      </c>
      <c r="AM64" s="112">
        <f t="shared" si="17"/>
        <v>1289460.6975079216</v>
      </c>
    </row>
    <row r="65" spans="3:39" s="104" customFormat="1" x14ac:dyDescent="0.25">
      <c r="C65" s="154">
        <f>Model!$AD$14</f>
        <v>3321768</v>
      </c>
      <c r="D65" s="55">
        <f>Model!$AD$17</f>
        <v>0.38461538461538458</v>
      </c>
      <c r="E65" s="155">
        <f t="shared" si="3"/>
        <v>1277603.0769230768</v>
      </c>
      <c r="F65" s="55">
        <f>Model!$AD$28</f>
        <v>1</v>
      </c>
      <c r="G65" s="155">
        <f t="shared" si="4"/>
        <v>1277603.0769230768</v>
      </c>
      <c r="H65" s="111">
        <f>INDEX(Model!$AD$33:$AD$36,MATCH($J65,Model!$AB$33:$AB$36,0))</f>
        <v>0.10100000000000001</v>
      </c>
      <c r="I65" s="132">
        <f t="shared" si="5"/>
        <v>129037.91076923076</v>
      </c>
      <c r="J65" s="112" t="s">
        <v>26</v>
      </c>
      <c r="K65" s="122">
        <f>INDEX(Model!$AD$37:$AD$40,MATCH($J65,Model!$AB$33:$AB$36,0))</f>
        <v>111.23110151187905</v>
      </c>
      <c r="L65" s="136">
        <f>K65*I65</f>
        <v>14353028.951653097</v>
      </c>
      <c r="M65" s="134">
        <f>'Example calcs 2000'!N65*0.95</f>
        <v>1968166.6542420094</v>
      </c>
      <c r="N65" s="132">
        <f t="shared" si="6"/>
        <v>2567599.8843356762</v>
      </c>
      <c r="O65" s="134" t="str">
        <f t="shared" si="7"/>
        <v/>
      </c>
      <c r="P65" s="134">
        <f t="shared" si="8"/>
        <v>1968166.6542420094</v>
      </c>
      <c r="Q65" s="122" t="s">
        <v>30</v>
      </c>
      <c r="R65" s="53">
        <f t="shared" si="9"/>
        <v>1</v>
      </c>
      <c r="S65" s="122">
        <f>INDEX(Model!$AD$54:$AD$118,MATCH($Q65,Model!$AB$54:$AB$118,0)+MATCH(Model!$Z$116,Model!$Z$54:$Z$118,0)-1)</f>
        <v>0.997</v>
      </c>
      <c r="T65" s="136">
        <f t="shared" si="10"/>
        <v>1962262.1542792832</v>
      </c>
      <c r="U65" s="134">
        <f>'Example calcs 2000'!S65*0.8</f>
        <v>9138.5696406389525</v>
      </c>
      <c r="V65" s="132">
        <f t="shared" si="11"/>
        <v>309830.86646514968</v>
      </c>
      <c r="W65" s="134">
        <f t="shared" si="12"/>
        <v>4.1883053058948572E-2</v>
      </c>
      <c r="X65" s="134">
        <f t="shared" si="0"/>
        <v>22115.232260098826</v>
      </c>
      <c r="Y65" s="112" t="s">
        <v>34</v>
      </c>
      <c r="Z65" s="53">
        <f t="shared" si="13"/>
        <v>1</v>
      </c>
      <c r="AA65" s="112"/>
      <c r="AB65" s="112">
        <f>Model!$AC$137</f>
        <v>1</v>
      </c>
      <c r="AC65" s="136"/>
      <c r="AD65" s="134">
        <f>'Example calcs 2000'!Y65*0.8</f>
        <v>0</v>
      </c>
      <c r="AE65" s="132">
        <f t="shared" si="14"/>
        <v>0</v>
      </c>
      <c r="AF65" s="134" t="str">
        <f t="shared" si="18"/>
        <v/>
      </c>
      <c r="AG65" s="134">
        <f t="shared" si="1"/>
        <v>0</v>
      </c>
      <c r="AH65" s="112"/>
      <c r="AI65" s="53">
        <f t="shared" si="15"/>
        <v>1</v>
      </c>
      <c r="AJ65" s="112"/>
      <c r="AK65" s="112"/>
      <c r="AL65" s="123">
        <f t="shared" si="16"/>
        <v>22115.232260098826</v>
      </c>
      <c r="AM65" s="112">
        <f t="shared" si="17"/>
        <v>0</v>
      </c>
    </row>
    <row r="66" spans="3:39" s="104" customFormat="1" x14ac:dyDescent="0.25">
      <c r="C66" s="154">
        <f>Model!$AD$14</f>
        <v>3321768</v>
      </c>
      <c r="D66" s="55">
        <f>Model!$AD$17</f>
        <v>0.38461538461538458</v>
      </c>
      <c r="E66" s="155">
        <f t="shared" si="3"/>
        <v>1277603.0769230768</v>
      </c>
      <c r="F66" s="55">
        <f>Model!$AD$28</f>
        <v>1</v>
      </c>
      <c r="G66" s="155">
        <f t="shared" si="4"/>
        <v>1277603.0769230768</v>
      </c>
      <c r="H66" s="111">
        <f>INDEX(Model!$AD$33:$AD$36,MATCH($J66,Model!$AB$33:$AB$36,0))</f>
        <v>0.10100000000000001</v>
      </c>
      <c r="I66" s="132">
        <f t="shared" si="5"/>
        <v>129037.91076923076</v>
      </c>
      <c r="J66" s="112" t="s">
        <v>26</v>
      </c>
      <c r="K66" s="122">
        <f>INDEX(Model!$AD$37:$AD$40,MATCH($J66,Model!$AB$33:$AB$36,0))</f>
        <v>111.23110151187905</v>
      </c>
      <c r="L66" s="136">
        <f>K66*I66</f>
        <v>14353028.951653097</v>
      </c>
      <c r="M66" s="134">
        <f>'Example calcs 2000'!N66*0.95</f>
        <v>1968166.6542420094</v>
      </c>
      <c r="N66" s="132">
        <f t="shared" si="6"/>
        <v>2567599.8843356762</v>
      </c>
      <c r="O66" s="134" t="str">
        <f t="shared" si="7"/>
        <v/>
      </c>
      <c r="P66" s="134">
        <f t="shared" si="8"/>
        <v>1968166.6542420094</v>
      </c>
      <c r="Q66" s="122" t="s">
        <v>30</v>
      </c>
      <c r="R66" s="53">
        <f t="shared" si="9"/>
        <v>0</v>
      </c>
      <c r="S66" s="122">
        <f>INDEX(Model!$AD$54:$AD$118,MATCH($Q66,Model!$AB$54:$AB$118,0)+MATCH(Model!$Z$116,Model!$Z$54:$Z$118,0)-1)</f>
        <v>0.997</v>
      </c>
      <c r="T66" s="136">
        <f t="shared" si="10"/>
        <v>1962262.1542792832</v>
      </c>
      <c r="U66" s="134">
        <f>'Example calcs 2000'!S66*0.8</f>
        <v>1643292.7181734946</v>
      </c>
      <c r="V66" s="132">
        <f t="shared" si="11"/>
        <v>309830.86646514968</v>
      </c>
      <c r="W66" s="134">
        <f t="shared" si="12"/>
        <v>0.95811694694105154</v>
      </c>
      <c r="X66" s="134">
        <f t="shared" si="0"/>
        <v>1940146.9220191843</v>
      </c>
      <c r="Y66" s="112" t="s">
        <v>35</v>
      </c>
      <c r="Z66" s="53">
        <f t="shared" si="13"/>
        <v>1</v>
      </c>
      <c r="AA66" s="112">
        <f>Model!$AC$147</f>
        <v>1</v>
      </c>
      <c r="AB66" s="112"/>
      <c r="AC66" s="136">
        <f>X66*AA66</f>
        <v>1940146.9220191843</v>
      </c>
      <c r="AD66" s="134">
        <f>'Example calcs 2000'!Y66*0.8</f>
        <v>16432.927181734947</v>
      </c>
      <c r="AE66" s="132">
        <f t="shared" si="14"/>
        <v>296854.20384568977</v>
      </c>
      <c r="AF66" s="134">
        <f t="shared" si="18"/>
        <v>4.2219505916481506E-2</v>
      </c>
      <c r="AG66" s="134">
        <f t="shared" si="1"/>
        <v>28965.964997330455</v>
      </c>
      <c r="AH66" s="112" t="s">
        <v>67</v>
      </c>
      <c r="AI66" s="53">
        <f t="shared" si="15"/>
        <v>1</v>
      </c>
      <c r="AJ66" s="112">
        <f>Model!$AC$178</f>
        <v>0.52600000000000002</v>
      </c>
      <c r="AK66" s="112"/>
      <c r="AL66" s="123">
        <f t="shared" si="16"/>
        <v>15236.09758859582</v>
      </c>
      <c r="AM66" s="112">
        <f t="shared" si="17"/>
        <v>0</v>
      </c>
    </row>
    <row r="67" spans="3:39" s="104" customFormat="1" x14ac:dyDescent="0.25">
      <c r="C67" s="154">
        <f>Model!$AD$14</f>
        <v>3321768</v>
      </c>
      <c r="D67" s="55">
        <f>Model!$AD$17</f>
        <v>0.38461538461538458</v>
      </c>
      <c r="E67" s="155">
        <f t="shared" si="3"/>
        <v>1277603.0769230768</v>
      </c>
      <c r="F67" s="55">
        <f>Model!$AD$28</f>
        <v>1</v>
      </c>
      <c r="G67" s="155">
        <f t="shared" si="4"/>
        <v>1277603.0769230768</v>
      </c>
      <c r="H67" s="111">
        <f>INDEX(Model!$AD$33:$AD$36,MATCH($J67,Model!$AB$33:$AB$36,0))</f>
        <v>0.10100000000000001</v>
      </c>
      <c r="I67" s="132">
        <f t="shared" si="5"/>
        <v>129037.91076923076</v>
      </c>
      <c r="J67" s="112" t="s">
        <v>26</v>
      </c>
      <c r="K67" s="122">
        <f>INDEX(Model!$AD$37:$AD$40,MATCH($J67,Model!$AB$33:$AB$36,0))</f>
        <v>111.23110151187905</v>
      </c>
      <c r="L67" s="136">
        <f>K67*I67</f>
        <v>14353028.951653097</v>
      </c>
      <c r="M67" s="134">
        <f>'Example calcs 2000'!N67*0.95</f>
        <v>1968166.6542420094</v>
      </c>
      <c r="N67" s="132">
        <f t="shared" si="6"/>
        <v>2567599.8843356762</v>
      </c>
      <c r="O67" s="134" t="str">
        <f t="shared" si="7"/>
        <v/>
      </c>
      <c r="P67" s="134">
        <f t="shared" si="8"/>
        <v>1968166.6542420094</v>
      </c>
      <c r="Q67" s="122" t="s">
        <v>30</v>
      </c>
      <c r="R67" s="53">
        <f t="shared" si="9"/>
        <v>0</v>
      </c>
      <c r="S67" s="122">
        <f>INDEX(Model!$AD$54:$AD$118,MATCH($Q67,Model!$AB$54:$AB$118,0)+MATCH(Model!$Z$116,Model!$Z$54:$Z$118,0)-1)</f>
        <v>0.997</v>
      </c>
      <c r="T67" s="136">
        <f t="shared" si="10"/>
        <v>1962262.1542792832</v>
      </c>
      <c r="U67" s="134">
        <f>'Example calcs 2000'!S67*0.8</f>
        <v>1643292.7181734946</v>
      </c>
      <c r="V67" s="132">
        <f t="shared" si="11"/>
        <v>309830.86646514968</v>
      </c>
      <c r="W67" s="134">
        <f t="shared" si="12"/>
        <v>0.95811694694105154</v>
      </c>
      <c r="X67" s="134">
        <f t="shared" si="0"/>
        <v>1940146.9220191843</v>
      </c>
      <c r="Y67" s="112" t="s">
        <v>35</v>
      </c>
      <c r="Z67" s="53">
        <f t="shared" si="13"/>
        <v>0</v>
      </c>
      <c r="AA67" s="112">
        <f>Model!$AC$147</f>
        <v>1</v>
      </c>
      <c r="AB67" s="112"/>
      <c r="AC67" s="136">
        <f>X67*AA67</f>
        <v>1940146.9220191843</v>
      </c>
      <c r="AD67" s="134">
        <f>'Example calcs 2000'!Y67*0.8</f>
        <v>0</v>
      </c>
      <c r="AE67" s="132">
        <f t="shared" si="14"/>
        <v>296854.20384568977</v>
      </c>
      <c r="AF67" s="134">
        <f t="shared" si="18"/>
        <v>5.2787131529516608E-7</v>
      </c>
      <c r="AG67" s="134">
        <f t="shared" si="1"/>
        <v>0.15670081903492361</v>
      </c>
      <c r="AH67" s="112" t="s">
        <v>144</v>
      </c>
      <c r="AI67" s="53">
        <f t="shared" si="15"/>
        <v>1</v>
      </c>
      <c r="AJ67" s="112">
        <f>Model!$AC$191</f>
        <v>0.4</v>
      </c>
      <c r="AK67" s="112"/>
      <c r="AL67" s="123">
        <f t="shared" si="16"/>
        <v>6.2680327613969453E-2</v>
      </c>
      <c r="AM67" s="112">
        <f t="shared" si="17"/>
        <v>0</v>
      </c>
    </row>
    <row r="68" spans="3:39" s="104" customFormat="1" x14ac:dyDescent="0.25">
      <c r="C68" s="154">
        <f>Model!$AD$14</f>
        <v>3321768</v>
      </c>
      <c r="D68" s="55">
        <f>Model!$AD$17</f>
        <v>0.38461538461538458</v>
      </c>
      <c r="E68" s="155">
        <f t="shared" si="3"/>
        <v>1277603.0769230768</v>
      </c>
      <c r="F68" s="55">
        <f>Model!$AD$28</f>
        <v>1</v>
      </c>
      <c r="G68" s="155">
        <f t="shared" si="4"/>
        <v>1277603.0769230768</v>
      </c>
      <c r="H68" s="111">
        <f>INDEX(Model!$AD$33:$AD$36,MATCH($J68,Model!$AB$33:$AB$36,0))</f>
        <v>0.10100000000000001</v>
      </c>
      <c r="I68" s="132">
        <f t="shared" si="5"/>
        <v>129037.91076923076</v>
      </c>
      <c r="J68" s="112" t="s">
        <v>26</v>
      </c>
      <c r="K68" s="122">
        <f>INDEX(Model!$AD$37:$AD$40,MATCH($J68,Model!$AB$33:$AB$36,0))</f>
        <v>111.23110151187905</v>
      </c>
      <c r="L68" s="136">
        <f>K68*I68</f>
        <v>14353028.951653097</v>
      </c>
      <c r="M68" s="134">
        <f>'Example calcs 2000'!N68*0.95</f>
        <v>1968166.6542420094</v>
      </c>
      <c r="N68" s="132">
        <f t="shared" si="6"/>
        <v>2567599.8843356762</v>
      </c>
      <c r="O68" s="134" t="str">
        <f t="shared" si="7"/>
        <v/>
      </c>
      <c r="P68" s="134">
        <f t="shared" si="8"/>
        <v>1968166.6542420094</v>
      </c>
      <c r="Q68" s="122" t="s">
        <v>30</v>
      </c>
      <c r="R68" s="53">
        <f t="shared" si="9"/>
        <v>0</v>
      </c>
      <c r="S68" s="122">
        <f>INDEX(Model!$AD$54:$AD$118,MATCH($Q68,Model!$AB$54:$AB$118,0)+MATCH(Model!$Z$116,Model!$Z$54:$Z$118,0)-1)</f>
        <v>0.997</v>
      </c>
      <c r="T68" s="136">
        <f t="shared" si="10"/>
        <v>1962262.1542792832</v>
      </c>
      <c r="U68" s="134">
        <f>'Example calcs 2000'!S68*0.8</f>
        <v>1643292.7181734946</v>
      </c>
      <c r="V68" s="132">
        <f t="shared" si="11"/>
        <v>309830.86646514968</v>
      </c>
      <c r="W68" s="134">
        <f t="shared" si="12"/>
        <v>0.95811694694105154</v>
      </c>
      <c r="X68" s="134">
        <f t="shared" si="0"/>
        <v>1940146.9220191843</v>
      </c>
      <c r="Y68" s="112" t="s">
        <v>35</v>
      </c>
      <c r="Z68" s="53">
        <f t="shared" si="13"/>
        <v>0</v>
      </c>
      <c r="AA68" s="112">
        <f>Model!$AC$147</f>
        <v>1</v>
      </c>
      <c r="AB68" s="112"/>
      <c r="AC68" s="136">
        <f>X68*AA68</f>
        <v>1940146.9220191843</v>
      </c>
      <c r="AD68" s="134">
        <f>'Example calcs 2000'!Y68*0.8</f>
        <v>1544695.1550830849</v>
      </c>
      <c r="AE68" s="132">
        <f t="shared" si="14"/>
        <v>296854.20384568977</v>
      </c>
      <c r="AF68" s="134" t="str">
        <f t="shared" si="18"/>
        <v/>
      </c>
      <c r="AG68" s="134">
        <f t="shared" si="1"/>
        <v>1544695.1550830849</v>
      </c>
      <c r="AH68" s="112" t="s">
        <v>65</v>
      </c>
      <c r="AI68" s="53">
        <f t="shared" si="15"/>
        <v>1</v>
      </c>
      <c r="AJ68" s="112"/>
      <c r="AK68" s="112">
        <f>Model!$AC$164</f>
        <v>1.613</v>
      </c>
      <c r="AL68" s="123">
        <f t="shared" si="16"/>
        <v>0</v>
      </c>
      <c r="AM68" s="112">
        <f t="shared" si="17"/>
        <v>2491593.285149016</v>
      </c>
    </row>
    <row r="69" spans="3:39" s="104" customFormat="1" x14ac:dyDescent="0.25">
      <c r="C69" s="154">
        <f>Model!$AD$14</f>
        <v>3321768</v>
      </c>
      <c r="D69" s="55">
        <f>Model!$AD$17</f>
        <v>0.38461538461538458</v>
      </c>
      <c r="E69" s="155">
        <f t="shared" si="3"/>
        <v>1277603.0769230768</v>
      </c>
      <c r="F69" s="55">
        <f>Model!$AD$28</f>
        <v>1</v>
      </c>
      <c r="G69" s="155">
        <f t="shared" si="4"/>
        <v>1277603.0769230768</v>
      </c>
      <c r="H69" s="111">
        <f>INDEX(Model!$AD$33:$AD$36,MATCH($J69,Model!$AB$33:$AB$36,0))</f>
        <v>0.10100000000000001</v>
      </c>
      <c r="I69" s="132">
        <f t="shared" si="5"/>
        <v>129037.91076923076</v>
      </c>
      <c r="J69" s="112" t="s">
        <v>26</v>
      </c>
      <c r="K69" s="122">
        <f>INDEX(Model!$AD$37:$AD$40,MATCH($J69,Model!$AB$33:$AB$36,0))</f>
        <v>111.23110151187905</v>
      </c>
      <c r="L69" s="136">
        <f>K69*I69</f>
        <v>14353028.951653097</v>
      </c>
      <c r="M69" s="134">
        <f>'Example calcs 2000'!N69*0.95</f>
        <v>1968166.6542420094</v>
      </c>
      <c r="N69" s="132">
        <f t="shared" si="6"/>
        <v>2567599.8843356762</v>
      </c>
      <c r="O69" s="134" t="str">
        <f t="shared" si="7"/>
        <v/>
      </c>
      <c r="P69" s="134">
        <f t="shared" si="8"/>
        <v>1968166.6542420094</v>
      </c>
      <c r="Q69" s="122" t="s">
        <v>30</v>
      </c>
      <c r="R69" s="53">
        <f t="shared" si="9"/>
        <v>0</v>
      </c>
      <c r="S69" s="122">
        <f>INDEX(Model!$AD$54:$AD$118,MATCH($Q69,Model!$AB$54:$AB$118,0)+MATCH(Model!$Z$116,Model!$Z$54:$Z$118,0)-1)</f>
        <v>0.997</v>
      </c>
      <c r="T69" s="136">
        <f t="shared" si="10"/>
        <v>1962262.1542792832</v>
      </c>
      <c r="U69" s="134">
        <f>'Example calcs 2000'!S69*0.8</f>
        <v>1643292.7181734946</v>
      </c>
      <c r="V69" s="132">
        <f t="shared" si="11"/>
        <v>309830.86646514968</v>
      </c>
      <c r="W69" s="134">
        <f t="shared" si="12"/>
        <v>0.95811694694105154</v>
      </c>
      <c r="X69" s="134">
        <f t="shared" ref="X69:X104" si="20">IFERROR(V69*W69,0)+U69</f>
        <v>1940146.9220191843</v>
      </c>
      <c r="Y69" s="112" t="s">
        <v>35</v>
      </c>
      <c r="Z69" s="53">
        <f t="shared" si="13"/>
        <v>0</v>
      </c>
      <c r="AA69" s="112">
        <f>Model!$AC$147</f>
        <v>1</v>
      </c>
      <c r="AB69" s="112"/>
      <c r="AC69" s="136">
        <f>X69*AA69</f>
        <v>1940146.9220191843</v>
      </c>
      <c r="AD69" s="134">
        <f>'Example calcs 2000'!Y69*0.8</f>
        <v>82164.63590867474</v>
      </c>
      <c r="AE69" s="132">
        <f t="shared" si="14"/>
        <v>296854.20384568977</v>
      </c>
      <c r="AF69" s="134">
        <f t="shared" si="18"/>
        <v>0.95777996621220318</v>
      </c>
      <c r="AG69" s="134">
        <f t="shared" ref="AG69:AG104" si="21">IFERROR(AE69*AF69,0)+AD69</f>
        <v>366485.64523794997</v>
      </c>
      <c r="AH69" s="112" t="s">
        <v>66</v>
      </c>
      <c r="AI69" s="53">
        <f t="shared" si="15"/>
        <v>1</v>
      </c>
      <c r="AJ69" s="112"/>
      <c r="AK69" s="112">
        <f>Model!$AC$204</f>
        <v>1.111</v>
      </c>
      <c r="AL69" s="123">
        <f t="shared" si="16"/>
        <v>0</v>
      </c>
      <c r="AM69" s="112">
        <f t="shared" si="17"/>
        <v>407165.5518593624</v>
      </c>
    </row>
    <row r="70" spans="3:39" s="104" customFormat="1" x14ac:dyDescent="0.25">
      <c r="C70" s="154">
        <f>Model!$AD$14</f>
        <v>3321768</v>
      </c>
      <c r="D70" s="55">
        <f>Model!$AD$17</f>
        <v>0.38461538461538458</v>
      </c>
      <c r="E70" s="155">
        <f t="shared" ref="E70:E104" si="22">D70*C70</f>
        <v>1277603.0769230768</v>
      </c>
      <c r="F70" s="55">
        <f>Model!$AD$28</f>
        <v>1</v>
      </c>
      <c r="G70" s="155">
        <f t="shared" ref="G70:G104" si="23">F70*E70</f>
        <v>1277603.0769230768</v>
      </c>
      <c r="H70" s="111">
        <f>INDEX(Model!$AD$33:$AD$36,MATCH($J70,Model!$AB$33:$AB$36,0))</f>
        <v>0.10100000000000001</v>
      </c>
      <c r="I70" s="132">
        <f t="shared" ref="I70:I104" si="24">G70*H70</f>
        <v>129037.91076923076</v>
      </c>
      <c r="J70" s="112" t="s">
        <v>26</v>
      </c>
      <c r="K70" s="122">
        <f>INDEX(Model!$AD$37:$AD$40,MATCH($J70,Model!$AB$33:$AB$36,0))</f>
        <v>111.23110151187905</v>
      </c>
      <c r="L70" s="136">
        <f>K70*I70</f>
        <v>14353028.951653097</v>
      </c>
      <c r="M70" s="134">
        <f>'Example calcs 2000'!N70*0.95</f>
        <v>0</v>
      </c>
      <c r="N70" s="132">
        <f t="shared" ref="N70:N104" si="25">L70-SUMPRODUCT(M$5:M$104*($J$5:$J$104=$J70)*R$5:R$104)</f>
        <v>2567599.8843356762</v>
      </c>
      <c r="O70" s="134">
        <f t="shared" ref="O70:O104" si="26">IFERROR(INDEX($AQ$5:$AQ$7,MATCH(Q70,$AP$5:$AP$7,0))/SUM($AQ$5:$AQ$7),"")</f>
        <v>1.0208069021639147E-6</v>
      </c>
      <c r="P70" s="134">
        <f t="shared" ref="P70:P104" si="27">IFERROR(N70*O70,0)+M70</f>
        <v>2.6210236839251273</v>
      </c>
      <c r="Q70" s="122" t="s">
        <v>32</v>
      </c>
      <c r="R70" s="53">
        <f t="shared" ref="R70:R104" si="28">IF(Q70&lt;&gt;Q69,1,0)</f>
        <v>1</v>
      </c>
      <c r="S70" s="122">
        <f>INDEX(Model!$AD$54:$AD$118,MATCH($Q70,Model!$AB$54:$AB$118,0)+MATCH(Model!$Z$116,Model!$Z$54:$Z$118,0)-1)</f>
        <v>0.36</v>
      </c>
      <c r="T70" s="136">
        <f t="shared" ref="T70:T104" si="29">P70*S70</f>
        <v>0.94356852621304577</v>
      </c>
      <c r="U70" s="134">
        <f>'Example calcs 2000'!S70*0.8</f>
        <v>0</v>
      </c>
      <c r="V70" s="132">
        <f t="shared" ref="V70:V104" si="30">T70-SUMPRODUCT(U$5:U$104*($J$5:$J$104=$J70)*($Q$5:$Q$104=$Q70)*Z$5:Z$104)</f>
        <v>0.94356852621304577</v>
      </c>
      <c r="W70" s="134">
        <f t="shared" ref="W70:W104" si="31">IFERROR(INDEX($AQ$9:$AQ$10,MATCH(Y70,$AP$9:$AP$10,0))/SUM($AQ$9:$AQ$10),"")</f>
        <v>4.1883053058948572E-2</v>
      </c>
      <c r="X70" s="134">
        <f t="shared" si="20"/>
        <v>3.9519530648134904E-2</v>
      </c>
      <c r="Y70" s="112" t="s">
        <v>34</v>
      </c>
      <c r="Z70" s="53">
        <f t="shared" ref="Z70:Z104" si="32">IF(Y70&lt;&gt;Y69,1,0)</f>
        <v>1</v>
      </c>
      <c r="AA70" s="112"/>
      <c r="AB70" s="112">
        <f>Model!$AC$137</f>
        <v>1</v>
      </c>
      <c r="AC70" s="136"/>
      <c r="AD70" s="134">
        <f>'Example calcs 2000'!Y70*0.8</f>
        <v>0</v>
      </c>
      <c r="AE70" s="132">
        <f t="shared" ref="AE70:AE104" si="33">AC70-SUMPRODUCT(AD$5:AD$104*($J$5:$J$104=$J70)*($Q$5:$Q$104=$Q70)*($Y$5:$Y$104=$Y70)*AI$5:AI$104)</f>
        <v>0</v>
      </c>
      <c r="AF70" s="134" t="str">
        <f t="shared" ref="AF70:AF104" si="34">IFERROR(INDEX($AQ$12:$AQ$14,MATCH(AH70,$AP$12:$AP$14,0))/SUM($AQ$12:$AQ$14),"")</f>
        <v/>
      </c>
      <c r="AG70" s="134">
        <f t="shared" si="21"/>
        <v>0</v>
      </c>
      <c r="AH70" s="112"/>
      <c r="AI70" s="53">
        <f t="shared" ref="AI70:AI104" si="35">IF(AH70&lt;&gt;AH69,1,0)</f>
        <v>1</v>
      </c>
      <c r="AJ70" s="112"/>
      <c r="AK70" s="112"/>
      <c r="AL70" s="123">
        <f t="shared" ref="AL70:AL104" si="36">AB70*X70+AJ70*AG70</f>
        <v>3.9519530648134904E-2</v>
      </c>
      <c r="AM70" s="112">
        <f t="shared" ref="AM70:AM104" si="37">AK70*AG70</f>
        <v>0</v>
      </c>
    </row>
    <row r="71" spans="3:39" s="104" customFormat="1" x14ac:dyDescent="0.25">
      <c r="C71" s="154">
        <f>Model!$AD$14</f>
        <v>3321768</v>
      </c>
      <c r="D71" s="55">
        <f>Model!$AD$17</f>
        <v>0.38461538461538458</v>
      </c>
      <c r="E71" s="155">
        <f t="shared" si="22"/>
        <v>1277603.0769230768</v>
      </c>
      <c r="F71" s="55">
        <f>Model!$AD$28</f>
        <v>1</v>
      </c>
      <c r="G71" s="155">
        <f t="shared" si="23"/>
        <v>1277603.0769230768</v>
      </c>
      <c r="H71" s="111">
        <f>INDEX(Model!$AD$33:$AD$36,MATCH($J71,Model!$AB$33:$AB$36,0))</f>
        <v>0.10100000000000001</v>
      </c>
      <c r="I71" s="132">
        <f t="shared" si="24"/>
        <v>129037.91076923076</v>
      </c>
      <c r="J71" s="112" t="s">
        <v>26</v>
      </c>
      <c r="K71" s="122">
        <f>INDEX(Model!$AD$37:$AD$40,MATCH($J71,Model!$AB$33:$AB$36,0))</f>
        <v>111.23110151187905</v>
      </c>
      <c r="L71" s="136">
        <f>K71*I71</f>
        <v>14353028.951653097</v>
      </c>
      <c r="M71" s="134">
        <f>'Example calcs 2000'!N71*0.95</f>
        <v>0</v>
      </c>
      <c r="N71" s="132">
        <f t="shared" si="25"/>
        <v>2567599.8843356762</v>
      </c>
      <c r="O71" s="134">
        <f t="shared" si="26"/>
        <v>1.0208069021639147E-6</v>
      </c>
      <c r="P71" s="134">
        <f t="shared" si="27"/>
        <v>2.6210236839251273</v>
      </c>
      <c r="Q71" s="122" t="s">
        <v>32</v>
      </c>
      <c r="R71" s="53">
        <f t="shared" si="28"/>
        <v>0</v>
      </c>
      <c r="S71" s="122">
        <f>INDEX(Model!$AD$54:$AD$118,MATCH($Q71,Model!$AB$54:$AB$118,0)+MATCH(Model!$Z$116,Model!$Z$54:$Z$118,0)-1)</f>
        <v>0.36</v>
      </c>
      <c r="T71" s="136">
        <f t="shared" si="29"/>
        <v>0.94356852621304577</v>
      </c>
      <c r="U71" s="134">
        <f>'Example calcs 2000'!S71*0.8</f>
        <v>0</v>
      </c>
      <c r="V71" s="132">
        <f t="shared" si="30"/>
        <v>0.94356852621304577</v>
      </c>
      <c r="W71" s="134">
        <f t="shared" si="31"/>
        <v>0.95811694694105154</v>
      </c>
      <c r="X71" s="134">
        <f t="shared" si="20"/>
        <v>0.90404899556491092</v>
      </c>
      <c r="Y71" s="112" t="s">
        <v>35</v>
      </c>
      <c r="Z71" s="53">
        <f t="shared" si="32"/>
        <v>1</v>
      </c>
      <c r="AA71" s="112">
        <f>Model!$AC$147</f>
        <v>1</v>
      </c>
      <c r="AB71" s="112"/>
      <c r="AC71" s="136">
        <f>X71*AA71</f>
        <v>0.90404899556491092</v>
      </c>
      <c r="AD71" s="134">
        <f>'Example calcs 2000'!Y71*0.8</f>
        <v>0</v>
      </c>
      <c r="AE71" s="132">
        <f t="shared" si="33"/>
        <v>0.90404899556491092</v>
      </c>
      <c r="AF71" s="134">
        <f t="shared" si="34"/>
        <v>4.2219505916481506E-2</v>
      </c>
      <c r="AG71" s="134">
        <f t="shared" si="21"/>
        <v>3.8168501917041922E-2</v>
      </c>
      <c r="AH71" s="112" t="s">
        <v>67</v>
      </c>
      <c r="AI71" s="53">
        <f t="shared" si="35"/>
        <v>1</v>
      </c>
      <c r="AJ71" s="112">
        <f>Model!$AC$178</f>
        <v>0.52600000000000002</v>
      </c>
      <c r="AK71" s="112"/>
      <c r="AL71" s="123">
        <f t="shared" si="36"/>
        <v>2.0076632008364053E-2</v>
      </c>
      <c r="AM71" s="112">
        <f t="shared" si="37"/>
        <v>0</v>
      </c>
    </row>
    <row r="72" spans="3:39" s="104" customFormat="1" x14ac:dyDescent="0.25">
      <c r="C72" s="154">
        <f>Model!$AD$14</f>
        <v>3321768</v>
      </c>
      <c r="D72" s="55">
        <f>Model!$AD$17</f>
        <v>0.38461538461538458</v>
      </c>
      <c r="E72" s="155">
        <f t="shared" si="22"/>
        <v>1277603.0769230768</v>
      </c>
      <c r="F72" s="55">
        <f>Model!$AD$28</f>
        <v>1</v>
      </c>
      <c r="G72" s="155">
        <f t="shared" si="23"/>
        <v>1277603.0769230768</v>
      </c>
      <c r="H72" s="111">
        <f>INDEX(Model!$AD$33:$AD$36,MATCH($J72,Model!$AB$33:$AB$36,0))</f>
        <v>0.10100000000000001</v>
      </c>
      <c r="I72" s="132">
        <f t="shared" si="24"/>
        <v>129037.91076923076</v>
      </c>
      <c r="J72" s="112" t="s">
        <v>26</v>
      </c>
      <c r="K72" s="122">
        <f>INDEX(Model!$AD$37:$AD$40,MATCH($J72,Model!$AB$33:$AB$36,0))</f>
        <v>111.23110151187905</v>
      </c>
      <c r="L72" s="136">
        <f>K72*I72</f>
        <v>14353028.951653097</v>
      </c>
      <c r="M72" s="134">
        <f>'Example calcs 2000'!N72*0.95</f>
        <v>0</v>
      </c>
      <c r="N72" s="132">
        <f t="shared" si="25"/>
        <v>2567599.8843356762</v>
      </c>
      <c r="O72" s="134">
        <f t="shared" si="26"/>
        <v>1.0208069021639147E-6</v>
      </c>
      <c r="P72" s="134">
        <f t="shared" si="27"/>
        <v>2.6210236839251273</v>
      </c>
      <c r="Q72" s="122" t="s">
        <v>32</v>
      </c>
      <c r="R72" s="53">
        <f t="shared" si="28"/>
        <v>0</v>
      </c>
      <c r="S72" s="122">
        <f>INDEX(Model!$AD$54:$AD$118,MATCH($Q72,Model!$AB$54:$AB$118,0)+MATCH(Model!$Z$116,Model!$Z$54:$Z$118,0)-1)</f>
        <v>0.36</v>
      </c>
      <c r="T72" s="136">
        <f t="shared" si="29"/>
        <v>0.94356852621304577</v>
      </c>
      <c r="U72" s="134">
        <f>'Example calcs 2000'!S72*0.8</f>
        <v>0</v>
      </c>
      <c r="V72" s="132">
        <f t="shared" si="30"/>
        <v>0.94356852621304577</v>
      </c>
      <c r="W72" s="134">
        <f t="shared" si="31"/>
        <v>0.95811694694105154</v>
      </c>
      <c r="X72" s="134">
        <f t="shared" si="20"/>
        <v>0.90404899556491092</v>
      </c>
      <c r="Y72" s="112" t="s">
        <v>35</v>
      </c>
      <c r="Z72" s="53">
        <f t="shared" si="32"/>
        <v>0</v>
      </c>
      <c r="AA72" s="112">
        <f>Model!$AC$147</f>
        <v>1</v>
      </c>
      <c r="AB72" s="112"/>
      <c r="AC72" s="136">
        <f>X72*AA72</f>
        <v>0.90404899556491092</v>
      </c>
      <c r="AD72" s="134">
        <f>'Example calcs 2000'!Y72*0.8</f>
        <v>0</v>
      </c>
      <c r="AE72" s="132">
        <f t="shared" si="33"/>
        <v>0.90404899556491092</v>
      </c>
      <c r="AF72" s="134">
        <f t="shared" si="34"/>
        <v>5.2787131529516608E-7</v>
      </c>
      <c r="AG72" s="134">
        <f t="shared" si="21"/>
        <v>4.7722153238012333E-7</v>
      </c>
      <c r="AH72" s="112" t="s">
        <v>144</v>
      </c>
      <c r="AI72" s="53">
        <f t="shared" si="35"/>
        <v>1</v>
      </c>
      <c r="AJ72" s="112">
        <f>Model!$AC$191</f>
        <v>0.4</v>
      </c>
      <c r="AK72" s="112"/>
      <c r="AL72" s="123">
        <f t="shared" si="36"/>
        <v>1.9088861295204934E-7</v>
      </c>
      <c r="AM72" s="112">
        <f t="shared" si="37"/>
        <v>0</v>
      </c>
    </row>
    <row r="73" spans="3:39" s="104" customFormat="1" x14ac:dyDescent="0.25">
      <c r="C73" s="154">
        <f>Model!$AD$14</f>
        <v>3321768</v>
      </c>
      <c r="D73" s="55">
        <f>Model!$AD$17</f>
        <v>0.38461538461538458</v>
      </c>
      <c r="E73" s="155">
        <f t="shared" si="22"/>
        <v>1277603.0769230768</v>
      </c>
      <c r="F73" s="55">
        <f>Model!$AD$28</f>
        <v>1</v>
      </c>
      <c r="G73" s="155">
        <f t="shared" si="23"/>
        <v>1277603.0769230768</v>
      </c>
      <c r="H73" s="111">
        <f>INDEX(Model!$AD$33:$AD$36,MATCH($J73,Model!$AB$33:$AB$36,0))</f>
        <v>0.10100000000000001</v>
      </c>
      <c r="I73" s="132">
        <f t="shared" si="24"/>
        <v>129037.91076923076</v>
      </c>
      <c r="J73" s="112" t="s">
        <v>26</v>
      </c>
      <c r="K73" s="122">
        <f>INDEX(Model!$AD$37:$AD$40,MATCH($J73,Model!$AB$33:$AB$36,0))</f>
        <v>111.23110151187905</v>
      </c>
      <c r="L73" s="136">
        <f>K73*I73</f>
        <v>14353028.951653097</v>
      </c>
      <c r="M73" s="134">
        <f>'Example calcs 2000'!N73*0.95</f>
        <v>0</v>
      </c>
      <c r="N73" s="132">
        <f t="shared" si="25"/>
        <v>2567599.8843356762</v>
      </c>
      <c r="O73" s="134">
        <f t="shared" si="26"/>
        <v>1.0208069021639147E-6</v>
      </c>
      <c r="P73" s="134">
        <f t="shared" si="27"/>
        <v>2.6210236839251273</v>
      </c>
      <c r="Q73" s="122" t="s">
        <v>32</v>
      </c>
      <c r="R73" s="53">
        <f t="shared" si="28"/>
        <v>0</v>
      </c>
      <c r="S73" s="122">
        <f>INDEX(Model!$AD$54:$AD$118,MATCH($Q73,Model!$AB$54:$AB$118,0)+MATCH(Model!$Z$116,Model!$Z$54:$Z$118,0)-1)</f>
        <v>0.36</v>
      </c>
      <c r="T73" s="136">
        <f t="shared" si="29"/>
        <v>0.94356852621304577</v>
      </c>
      <c r="U73" s="134">
        <f>'Example calcs 2000'!S73*0.8</f>
        <v>0</v>
      </c>
      <c r="V73" s="132">
        <f t="shared" si="30"/>
        <v>0.94356852621304577</v>
      </c>
      <c r="W73" s="134">
        <f t="shared" si="31"/>
        <v>0.95811694694105154</v>
      </c>
      <c r="X73" s="134">
        <f t="shared" si="20"/>
        <v>0.90404899556491092</v>
      </c>
      <c r="Y73" s="112" t="s">
        <v>35</v>
      </c>
      <c r="Z73" s="53">
        <f t="shared" si="32"/>
        <v>0</v>
      </c>
      <c r="AA73" s="112">
        <f>Model!$AC$147</f>
        <v>1</v>
      </c>
      <c r="AB73" s="112"/>
      <c r="AC73" s="136">
        <f>X73*AA73</f>
        <v>0.90404899556491092</v>
      </c>
      <c r="AD73" s="134">
        <f>'Example calcs 2000'!Y73*0.8</f>
        <v>0</v>
      </c>
      <c r="AE73" s="132">
        <f t="shared" si="33"/>
        <v>0.90404899556491092</v>
      </c>
      <c r="AF73" s="134" t="str">
        <f t="shared" si="34"/>
        <v/>
      </c>
      <c r="AG73" s="134">
        <f t="shared" si="21"/>
        <v>0</v>
      </c>
      <c r="AH73" s="112" t="s">
        <v>65</v>
      </c>
      <c r="AI73" s="53">
        <f t="shared" si="35"/>
        <v>1</v>
      </c>
      <c r="AJ73" s="112"/>
      <c r="AK73" s="112">
        <f>Model!$AC$164</f>
        <v>1.613</v>
      </c>
      <c r="AL73" s="123">
        <f t="shared" si="36"/>
        <v>0</v>
      </c>
      <c r="AM73" s="112">
        <f t="shared" si="37"/>
        <v>0</v>
      </c>
    </row>
    <row r="74" spans="3:39" s="104" customFormat="1" x14ac:dyDescent="0.25">
      <c r="C74" s="154">
        <f>Model!$AD$14</f>
        <v>3321768</v>
      </c>
      <c r="D74" s="55">
        <f>Model!$AD$17</f>
        <v>0.38461538461538458</v>
      </c>
      <c r="E74" s="155">
        <f t="shared" si="22"/>
        <v>1277603.0769230768</v>
      </c>
      <c r="F74" s="55">
        <f>Model!$AD$28</f>
        <v>1</v>
      </c>
      <c r="G74" s="155">
        <f t="shared" si="23"/>
        <v>1277603.0769230768</v>
      </c>
      <c r="H74" s="111">
        <f>INDEX(Model!$AD$33:$AD$36,MATCH($J74,Model!$AB$33:$AB$36,0))</f>
        <v>0.10100000000000001</v>
      </c>
      <c r="I74" s="132">
        <f t="shared" si="24"/>
        <v>129037.91076923076</v>
      </c>
      <c r="J74" s="112" t="s">
        <v>26</v>
      </c>
      <c r="K74" s="122">
        <f>INDEX(Model!$AD$37:$AD$40,MATCH($J74,Model!$AB$33:$AB$36,0))</f>
        <v>111.23110151187905</v>
      </c>
      <c r="L74" s="136">
        <f>K74*I74</f>
        <v>14353028.951653097</v>
      </c>
      <c r="M74" s="134">
        <f>'Example calcs 2000'!N74*0.95</f>
        <v>0</v>
      </c>
      <c r="N74" s="132">
        <f t="shared" si="25"/>
        <v>2567599.8843356762</v>
      </c>
      <c r="O74" s="134">
        <f t="shared" si="26"/>
        <v>1.0208069021639147E-6</v>
      </c>
      <c r="P74" s="134">
        <f t="shared" si="27"/>
        <v>2.6210236839251273</v>
      </c>
      <c r="Q74" s="122" t="s">
        <v>32</v>
      </c>
      <c r="R74" s="53">
        <f t="shared" si="28"/>
        <v>0</v>
      </c>
      <c r="S74" s="122">
        <f>INDEX(Model!$AD$54:$AD$118,MATCH($Q74,Model!$AB$54:$AB$118,0)+MATCH(Model!$Z$116,Model!$Z$54:$Z$118,0)-1)</f>
        <v>0.36</v>
      </c>
      <c r="T74" s="136">
        <f t="shared" si="29"/>
        <v>0.94356852621304577</v>
      </c>
      <c r="U74" s="134">
        <f>'Example calcs 2000'!S74*0.8</f>
        <v>0</v>
      </c>
      <c r="V74" s="132">
        <f t="shared" si="30"/>
        <v>0.94356852621304577</v>
      </c>
      <c r="W74" s="134">
        <f t="shared" si="31"/>
        <v>0.95811694694105154</v>
      </c>
      <c r="X74" s="134">
        <f t="shared" si="20"/>
        <v>0.90404899556491092</v>
      </c>
      <c r="Y74" s="112" t="s">
        <v>35</v>
      </c>
      <c r="Z74" s="53">
        <f t="shared" si="32"/>
        <v>0</v>
      </c>
      <c r="AA74" s="112">
        <f>Model!$AC$147</f>
        <v>1</v>
      </c>
      <c r="AB74" s="112"/>
      <c r="AC74" s="136">
        <f>X74*AA74</f>
        <v>0.90404899556491092</v>
      </c>
      <c r="AD74" s="134">
        <f>'Example calcs 2000'!Y74*0.8</f>
        <v>0</v>
      </c>
      <c r="AE74" s="132">
        <f t="shared" si="33"/>
        <v>0.90404899556491092</v>
      </c>
      <c r="AF74" s="134">
        <f t="shared" si="34"/>
        <v>0.95777996621220318</v>
      </c>
      <c r="AG74" s="134">
        <f t="shared" si="21"/>
        <v>0.86588001642633661</v>
      </c>
      <c r="AH74" s="112" t="s">
        <v>66</v>
      </c>
      <c r="AI74" s="53">
        <f t="shared" si="35"/>
        <v>1</v>
      </c>
      <c r="AJ74" s="112"/>
      <c r="AK74" s="112">
        <f>Model!$AC$204</f>
        <v>1.111</v>
      </c>
      <c r="AL74" s="123">
        <f t="shared" si="36"/>
        <v>0</v>
      </c>
      <c r="AM74" s="112">
        <f t="shared" si="37"/>
        <v>0.96199269824965994</v>
      </c>
    </row>
    <row r="75" spans="3:39" s="104" customFormat="1" x14ac:dyDescent="0.25">
      <c r="C75" s="154">
        <f>Model!$AD$14</f>
        <v>3321768</v>
      </c>
      <c r="D75" s="55">
        <f>Model!$AD$17</f>
        <v>0.38461538461538458</v>
      </c>
      <c r="E75" s="155">
        <f t="shared" si="22"/>
        <v>1277603.0769230768</v>
      </c>
      <c r="F75" s="55">
        <f>Model!$AD$28</f>
        <v>1</v>
      </c>
      <c r="G75" s="155">
        <f t="shared" si="23"/>
        <v>1277603.0769230768</v>
      </c>
      <c r="H75" s="111">
        <f>INDEX(Model!$AD$33:$AD$36,MATCH($J75,Model!$AB$33:$AB$36,0))</f>
        <v>0.10100000000000001</v>
      </c>
      <c r="I75" s="132">
        <f t="shared" si="24"/>
        <v>129037.91076923076</v>
      </c>
      <c r="J75" s="112" t="s">
        <v>26</v>
      </c>
      <c r="K75" s="122">
        <f>INDEX(Model!$AD$37:$AD$40,MATCH($J75,Model!$AB$33:$AB$36,0))</f>
        <v>111.23110151187905</v>
      </c>
      <c r="L75" s="136">
        <f>K75*I75</f>
        <v>14353028.951653097</v>
      </c>
      <c r="M75" s="134">
        <f>'Example calcs 2000'!N75*0.95</f>
        <v>0</v>
      </c>
      <c r="N75" s="132">
        <f t="shared" si="25"/>
        <v>2567599.8843356762</v>
      </c>
      <c r="O75" s="134">
        <f t="shared" si="26"/>
        <v>0.9999989751173719</v>
      </c>
      <c r="P75" s="134">
        <f t="shared" si="27"/>
        <v>2567597.2528471588</v>
      </c>
      <c r="Q75" s="122" t="s">
        <v>31</v>
      </c>
      <c r="R75" s="53">
        <f t="shared" si="28"/>
        <v>1</v>
      </c>
      <c r="S75" s="122">
        <f>INDEX(Model!$AD$54:$AD$118,MATCH($Q75,Model!$AB$54:$AB$118,0)+MATCH(Model!$Z$116,Model!$Z$54:$Z$118,0)-1)</f>
        <v>0.51500000000000001</v>
      </c>
      <c r="T75" s="136">
        <f t="shared" si="29"/>
        <v>1322312.5852162868</v>
      </c>
      <c r="U75" s="134">
        <f>'Example calcs 2000'!S75*0.8</f>
        <v>0</v>
      </c>
      <c r="V75" s="132">
        <f t="shared" si="30"/>
        <v>1322312.5852162868</v>
      </c>
      <c r="W75" s="134">
        <f t="shared" si="31"/>
        <v>4.1883053058948572E-2</v>
      </c>
      <c r="X75" s="134">
        <f t="shared" si="20"/>
        <v>55382.488167129195</v>
      </c>
      <c r="Y75" s="112" t="s">
        <v>34</v>
      </c>
      <c r="Z75" s="53">
        <f t="shared" si="32"/>
        <v>1</v>
      </c>
      <c r="AA75" s="112"/>
      <c r="AB75" s="112">
        <f>Model!$AC$137</f>
        <v>1</v>
      </c>
      <c r="AC75" s="136"/>
      <c r="AD75" s="134">
        <f>'Example calcs 2000'!Y75*0.8</f>
        <v>0</v>
      </c>
      <c r="AE75" s="132">
        <f t="shared" si="33"/>
        <v>0</v>
      </c>
      <c r="AF75" s="134" t="str">
        <f t="shared" si="34"/>
        <v/>
      </c>
      <c r="AG75" s="134">
        <f t="shared" si="21"/>
        <v>0</v>
      </c>
      <c r="AH75" s="112"/>
      <c r="AI75" s="53">
        <f t="shared" si="35"/>
        <v>1</v>
      </c>
      <c r="AJ75" s="112"/>
      <c r="AK75" s="112"/>
      <c r="AL75" s="123">
        <f t="shared" si="36"/>
        <v>55382.488167129195</v>
      </c>
      <c r="AM75" s="112">
        <f t="shared" si="37"/>
        <v>0</v>
      </c>
    </row>
    <row r="76" spans="3:39" s="104" customFormat="1" x14ac:dyDescent="0.25">
      <c r="C76" s="154">
        <f>Model!$AD$14</f>
        <v>3321768</v>
      </c>
      <c r="D76" s="55">
        <f>Model!$AD$17</f>
        <v>0.38461538461538458</v>
      </c>
      <c r="E76" s="155">
        <f t="shared" si="22"/>
        <v>1277603.0769230768</v>
      </c>
      <c r="F76" s="55">
        <f>Model!$AD$28</f>
        <v>1</v>
      </c>
      <c r="G76" s="155">
        <f t="shared" si="23"/>
        <v>1277603.0769230768</v>
      </c>
      <c r="H76" s="111">
        <f>INDEX(Model!$AD$33:$AD$36,MATCH($J76,Model!$AB$33:$AB$36,0))</f>
        <v>0.10100000000000001</v>
      </c>
      <c r="I76" s="132">
        <f t="shared" si="24"/>
        <v>129037.91076923076</v>
      </c>
      <c r="J76" s="112" t="s">
        <v>26</v>
      </c>
      <c r="K76" s="122">
        <f>INDEX(Model!$AD$37:$AD$40,MATCH($J76,Model!$AB$33:$AB$36,0))</f>
        <v>111.23110151187905</v>
      </c>
      <c r="L76" s="136">
        <f>K76*I76</f>
        <v>14353028.951653097</v>
      </c>
      <c r="M76" s="134">
        <f>'Example calcs 2000'!N76*0.95</f>
        <v>0</v>
      </c>
      <c r="N76" s="132">
        <f t="shared" si="25"/>
        <v>2567599.8843356762</v>
      </c>
      <c r="O76" s="134">
        <f t="shared" si="26"/>
        <v>0.9999989751173719</v>
      </c>
      <c r="P76" s="134">
        <f t="shared" si="27"/>
        <v>2567597.2528471588</v>
      </c>
      <c r="Q76" s="122" t="s">
        <v>31</v>
      </c>
      <c r="R76" s="53">
        <f t="shared" si="28"/>
        <v>0</v>
      </c>
      <c r="S76" s="122">
        <f>INDEX(Model!$AD$54:$AD$118,MATCH($Q76,Model!$AB$54:$AB$118,0)+MATCH(Model!$Z$116,Model!$Z$54:$Z$118,0)-1)</f>
        <v>0.51500000000000001</v>
      </c>
      <c r="T76" s="136">
        <f t="shared" si="29"/>
        <v>1322312.5852162868</v>
      </c>
      <c r="U76" s="134">
        <f>'Example calcs 2000'!S76*0.8</f>
        <v>0</v>
      </c>
      <c r="V76" s="132">
        <f t="shared" si="30"/>
        <v>1322312.5852162868</v>
      </c>
      <c r="W76" s="134">
        <f t="shared" si="31"/>
        <v>0.95811694694105154</v>
      </c>
      <c r="X76" s="134">
        <f t="shared" si="20"/>
        <v>1266930.0970491578</v>
      </c>
      <c r="Y76" s="112" t="s">
        <v>35</v>
      </c>
      <c r="Z76" s="53">
        <f t="shared" si="32"/>
        <v>1</v>
      </c>
      <c r="AA76" s="112">
        <f>Model!$AC$147</f>
        <v>1</v>
      </c>
      <c r="AB76" s="112"/>
      <c r="AC76" s="136">
        <f>X76*AA76</f>
        <v>1266930.0970491578</v>
      </c>
      <c r="AD76" s="134">
        <f>'Example calcs 2000'!Y76*0.8</f>
        <v>0</v>
      </c>
      <c r="AE76" s="132">
        <f t="shared" si="33"/>
        <v>1266930.0970491578</v>
      </c>
      <c r="AF76" s="134">
        <f t="shared" si="34"/>
        <v>4.2219505916481506E-2</v>
      </c>
      <c r="AG76" s="134">
        <f t="shared" si="21"/>
        <v>53489.162728135409</v>
      </c>
      <c r="AH76" s="112" t="s">
        <v>67</v>
      </c>
      <c r="AI76" s="53">
        <f t="shared" si="35"/>
        <v>1</v>
      </c>
      <c r="AJ76" s="112">
        <f>Model!$AC$178</f>
        <v>0.52600000000000002</v>
      </c>
      <c r="AK76" s="112"/>
      <c r="AL76" s="123">
        <f t="shared" si="36"/>
        <v>28135.299594999226</v>
      </c>
      <c r="AM76" s="112">
        <f t="shared" si="37"/>
        <v>0</v>
      </c>
    </row>
    <row r="77" spans="3:39" s="104" customFormat="1" x14ac:dyDescent="0.25">
      <c r="C77" s="154">
        <f>Model!$AD$14</f>
        <v>3321768</v>
      </c>
      <c r="D77" s="55">
        <f>Model!$AD$17</f>
        <v>0.38461538461538458</v>
      </c>
      <c r="E77" s="155">
        <f t="shared" si="22"/>
        <v>1277603.0769230768</v>
      </c>
      <c r="F77" s="55">
        <f>Model!$AD$28</f>
        <v>1</v>
      </c>
      <c r="G77" s="155">
        <f t="shared" si="23"/>
        <v>1277603.0769230768</v>
      </c>
      <c r="H77" s="111">
        <f>INDEX(Model!$AD$33:$AD$36,MATCH($J77,Model!$AB$33:$AB$36,0))</f>
        <v>0.10100000000000001</v>
      </c>
      <c r="I77" s="132">
        <f t="shared" si="24"/>
        <v>129037.91076923076</v>
      </c>
      <c r="J77" s="112" t="s">
        <v>26</v>
      </c>
      <c r="K77" s="122">
        <f>INDEX(Model!$AD$37:$AD$40,MATCH($J77,Model!$AB$33:$AB$36,0))</f>
        <v>111.23110151187905</v>
      </c>
      <c r="L77" s="136">
        <f>K77*I77</f>
        <v>14353028.951653097</v>
      </c>
      <c r="M77" s="134">
        <f>'Example calcs 2000'!N77*0.95</f>
        <v>0</v>
      </c>
      <c r="N77" s="132">
        <f t="shared" si="25"/>
        <v>2567599.8843356762</v>
      </c>
      <c r="O77" s="134">
        <f t="shared" si="26"/>
        <v>0.9999989751173719</v>
      </c>
      <c r="P77" s="134">
        <f t="shared" si="27"/>
        <v>2567597.2528471588</v>
      </c>
      <c r="Q77" s="122" t="s">
        <v>31</v>
      </c>
      <c r="R77" s="53">
        <f t="shared" si="28"/>
        <v>0</v>
      </c>
      <c r="S77" s="122">
        <f>INDEX(Model!$AD$54:$AD$118,MATCH($Q77,Model!$AB$54:$AB$118,0)+MATCH(Model!$Z$116,Model!$Z$54:$Z$118,0)-1)</f>
        <v>0.51500000000000001</v>
      </c>
      <c r="T77" s="136">
        <f t="shared" si="29"/>
        <v>1322312.5852162868</v>
      </c>
      <c r="U77" s="134">
        <f>'Example calcs 2000'!S77*0.8</f>
        <v>0</v>
      </c>
      <c r="V77" s="132">
        <f t="shared" si="30"/>
        <v>1322312.5852162868</v>
      </c>
      <c r="W77" s="134">
        <f t="shared" si="31"/>
        <v>0.95811694694105154</v>
      </c>
      <c r="X77" s="134">
        <f t="shared" si="20"/>
        <v>1266930.0970491578</v>
      </c>
      <c r="Y77" s="112" t="s">
        <v>35</v>
      </c>
      <c r="Z77" s="53">
        <f t="shared" si="32"/>
        <v>0</v>
      </c>
      <c r="AA77" s="112">
        <f>Model!$AC$147</f>
        <v>1</v>
      </c>
      <c r="AB77" s="112"/>
      <c r="AC77" s="136">
        <f>X77*AA77</f>
        <v>1266930.0970491578</v>
      </c>
      <c r="AD77" s="134">
        <f>'Example calcs 2000'!Y77*0.8</f>
        <v>0</v>
      </c>
      <c r="AE77" s="132">
        <f t="shared" si="33"/>
        <v>1266930.0970491578</v>
      </c>
      <c r="AF77" s="134">
        <f t="shared" si="34"/>
        <v>5.2787131529516608E-7</v>
      </c>
      <c r="AG77" s="134">
        <f t="shared" si="21"/>
        <v>0.6687760567163713</v>
      </c>
      <c r="AH77" s="112" t="s">
        <v>144</v>
      </c>
      <c r="AI77" s="53">
        <f t="shared" si="35"/>
        <v>1</v>
      </c>
      <c r="AJ77" s="112">
        <f>Model!$AC$191</f>
        <v>0.4</v>
      </c>
      <c r="AK77" s="112"/>
      <c r="AL77" s="123">
        <f t="shared" si="36"/>
        <v>0.26751042268654851</v>
      </c>
      <c r="AM77" s="112">
        <f t="shared" si="37"/>
        <v>0</v>
      </c>
    </row>
    <row r="78" spans="3:39" s="104" customFormat="1" x14ac:dyDescent="0.25">
      <c r="C78" s="154">
        <f>Model!$AD$14</f>
        <v>3321768</v>
      </c>
      <c r="D78" s="55">
        <f>Model!$AD$17</f>
        <v>0.38461538461538458</v>
      </c>
      <c r="E78" s="155">
        <f t="shared" si="22"/>
        <v>1277603.0769230768</v>
      </c>
      <c r="F78" s="55">
        <f>Model!$AD$28</f>
        <v>1</v>
      </c>
      <c r="G78" s="155">
        <f t="shared" si="23"/>
        <v>1277603.0769230768</v>
      </c>
      <c r="H78" s="111">
        <f>INDEX(Model!$AD$33:$AD$36,MATCH($J78,Model!$AB$33:$AB$36,0))</f>
        <v>0.10100000000000001</v>
      </c>
      <c r="I78" s="132">
        <f t="shared" si="24"/>
        <v>129037.91076923076</v>
      </c>
      <c r="J78" s="112" t="s">
        <v>26</v>
      </c>
      <c r="K78" s="122">
        <f>INDEX(Model!$AD$37:$AD$40,MATCH($J78,Model!$AB$33:$AB$36,0))</f>
        <v>111.23110151187905</v>
      </c>
      <c r="L78" s="136">
        <f>K78*I78</f>
        <v>14353028.951653097</v>
      </c>
      <c r="M78" s="134">
        <f>'Example calcs 2000'!N78*0.95</f>
        <v>0</v>
      </c>
      <c r="N78" s="132">
        <f t="shared" si="25"/>
        <v>2567599.8843356762</v>
      </c>
      <c r="O78" s="134">
        <f t="shared" si="26"/>
        <v>0.9999989751173719</v>
      </c>
      <c r="P78" s="134">
        <f t="shared" si="27"/>
        <v>2567597.2528471588</v>
      </c>
      <c r="Q78" s="122" t="s">
        <v>31</v>
      </c>
      <c r="R78" s="53">
        <f t="shared" si="28"/>
        <v>0</v>
      </c>
      <c r="S78" s="122">
        <f>INDEX(Model!$AD$54:$AD$118,MATCH($Q78,Model!$AB$54:$AB$118,0)+MATCH(Model!$Z$116,Model!$Z$54:$Z$118,0)-1)</f>
        <v>0.51500000000000001</v>
      </c>
      <c r="T78" s="136">
        <f t="shared" si="29"/>
        <v>1322312.5852162868</v>
      </c>
      <c r="U78" s="134">
        <f>'Example calcs 2000'!S78*0.8</f>
        <v>0</v>
      </c>
      <c r="V78" s="132">
        <f t="shared" si="30"/>
        <v>1322312.5852162868</v>
      </c>
      <c r="W78" s="134">
        <f t="shared" si="31"/>
        <v>0.95811694694105154</v>
      </c>
      <c r="X78" s="134">
        <f t="shared" si="20"/>
        <v>1266930.0970491578</v>
      </c>
      <c r="Y78" s="112" t="s">
        <v>35</v>
      </c>
      <c r="Z78" s="53">
        <f t="shared" si="32"/>
        <v>0</v>
      </c>
      <c r="AA78" s="112">
        <f>Model!$AC$147</f>
        <v>1</v>
      </c>
      <c r="AB78" s="112"/>
      <c r="AC78" s="136">
        <f>X78*AA78</f>
        <v>1266930.0970491578</v>
      </c>
      <c r="AD78" s="134">
        <f>'Example calcs 2000'!Y78*0.8</f>
        <v>0</v>
      </c>
      <c r="AE78" s="132">
        <f t="shared" si="33"/>
        <v>1266930.0970491578</v>
      </c>
      <c r="AF78" s="134" t="str">
        <f t="shared" si="34"/>
        <v/>
      </c>
      <c r="AG78" s="134">
        <f t="shared" si="21"/>
        <v>0</v>
      </c>
      <c r="AH78" s="112" t="s">
        <v>65</v>
      </c>
      <c r="AI78" s="53">
        <f t="shared" si="35"/>
        <v>1</v>
      </c>
      <c r="AJ78" s="112"/>
      <c r="AK78" s="112">
        <f>Model!$AC$164</f>
        <v>1.613</v>
      </c>
      <c r="AL78" s="123">
        <f t="shared" si="36"/>
        <v>0</v>
      </c>
      <c r="AM78" s="112">
        <f t="shared" si="37"/>
        <v>0</v>
      </c>
    </row>
    <row r="79" spans="3:39" s="104" customFormat="1" x14ac:dyDescent="0.25">
      <c r="C79" s="154">
        <f>Model!$AD$14</f>
        <v>3321768</v>
      </c>
      <c r="D79" s="55">
        <f>Model!$AD$17</f>
        <v>0.38461538461538458</v>
      </c>
      <c r="E79" s="155">
        <f t="shared" si="22"/>
        <v>1277603.0769230768</v>
      </c>
      <c r="F79" s="55">
        <f>Model!$AD$28</f>
        <v>1</v>
      </c>
      <c r="G79" s="155">
        <f t="shared" si="23"/>
        <v>1277603.0769230768</v>
      </c>
      <c r="H79" s="111">
        <f>INDEX(Model!$AD$33:$AD$36,MATCH($J79,Model!$AB$33:$AB$36,0))</f>
        <v>0.10100000000000001</v>
      </c>
      <c r="I79" s="132">
        <f t="shared" si="24"/>
        <v>129037.91076923076</v>
      </c>
      <c r="J79" s="112" t="s">
        <v>26</v>
      </c>
      <c r="K79" s="122">
        <f>INDEX(Model!$AD$37:$AD$40,MATCH($J79,Model!$AB$33:$AB$36,0))</f>
        <v>111.23110151187905</v>
      </c>
      <c r="L79" s="136">
        <f>K79*I79</f>
        <v>14353028.951653097</v>
      </c>
      <c r="M79" s="134">
        <f>'Example calcs 2000'!N79*0.95</f>
        <v>0</v>
      </c>
      <c r="N79" s="132">
        <f t="shared" si="25"/>
        <v>2567599.8843356762</v>
      </c>
      <c r="O79" s="134">
        <f t="shared" si="26"/>
        <v>0.9999989751173719</v>
      </c>
      <c r="P79" s="134">
        <f t="shared" si="27"/>
        <v>2567597.2528471588</v>
      </c>
      <c r="Q79" s="122" t="s">
        <v>31</v>
      </c>
      <c r="R79" s="53">
        <f t="shared" si="28"/>
        <v>0</v>
      </c>
      <c r="S79" s="122">
        <f>INDEX(Model!$AD$54:$AD$118,MATCH($Q79,Model!$AB$54:$AB$118,0)+MATCH(Model!$Z$116,Model!$Z$54:$Z$118,0)-1)</f>
        <v>0.51500000000000001</v>
      </c>
      <c r="T79" s="136">
        <f t="shared" si="29"/>
        <v>1322312.5852162868</v>
      </c>
      <c r="U79" s="134">
        <f>'Example calcs 2000'!S79*0.8</f>
        <v>0</v>
      </c>
      <c r="V79" s="132">
        <f t="shared" si="30"/>
        <v>1322312.5852162868</v>
      </c>
      <c r="W79" s="134">
        <f t="shared" si="31"/>
        <v>0.95811694694105154</v>
      </c>
      <c r="X79" s="134">
        <f t="shared" si="20"/>
        <v>1266930.0970491578</v>
      </c>
      <c r="Y79" s="112" t="s">
        <v>35</v>
      </c>
      <c r="Z79" s="53">
        <f t="shared" si="32"/>
        <v>0</v>
      </c>
      <c r="AA79" s="112">
        <f>Model!$AC$147</f>
        <v>1</v>
      </c>
      <c r="AB79" s="112"/>
      <c r="AC79" s="136">
        <f>X79*AA79</f>
        <v>1266930.0970491578</v>
      </c>
      <c r="AD79" s="134">
        <f>'Example calcs 2000'!Y79*0.8</f>
        <v>0</v>
      </c>
      <c r="AE79" s="132">
        <f t="shared" si="33"/>
        <v>1266930.0970491578</v>
      </c>
      <c r="AF79" s="134">
        <f t="shared" si="34"/>
        <v>0.95777996621220318</v>
      </c>
      <c r="AG79" s="134">
        <f t="shared" si="21"/>
        <v>1213440.2655449656</v>
      </c>
      <c r="AH79" s="112" t="s">
        <v>66</v>
      </c>
      <c r="AI79" s="53">
        <f t="shared" si="35"/>
        <v>1</v>
      </c>
      <c r="AJ79" s="112"/>
      <c r="AK79" s="112">
        <f>Model!$AC$204</f>
        <v>1.111</v>
      </c>
      <c r="AL79" s="123">
        <f t="shared" si="36"/>
        <v>0</v>
      </c>
      <c r="AM79" s="112">
        <f t="shared" si="37"/>
        <v>1348132.1350204567</v>
      </c>
    </row>
    <row r="80" spans="3:39" s="104" customFormat="1" x14ac:dyDescent="0.25">
      <c r="C80" s="154">
        <f>Model!$AD$14</f>
        <v>3321768</v>
      </c>
      <c r="D80" s="55">
        <f>Model!$AD$17</f>
        <v>0.38461538461538458</v>
      </c>
      <c r="E80" s="155">
        <f t="shared" si="22"/>
        <v>1277603.0769230768</v>
      </c>
      <c r="F80" s="55">
        <f>Model!$AD$28</f>
        <v>1</v>
      </c>
      <c r="G80" s="155">
        <f t="shared" si="23"/>
        <v>1277603.0769230768</v>
      </c>
      <c r="H80" s="111">
        <f>INDEX(Model!$AD$33:$AD$36,MATCH($J80,Model!$AB$33:$AB$36,0))</f>
        <v>0.71950000000000003</v>
      </c>
      <c r="I80" s="132">
        <f t="shared" si="24"/>
        <v>919235.41384615377</v>
      </c>
      <c r="J80" s="112" t="s">
        <v>25</v>
      </c>
      <c r="K80" s="122">
        <f>INDEX(Model!$AD$37:$AD$40,MATCH($J80,Model!$AB$33:$AB$36,0))</f>
        <v>141.02045602481141</v>
      </c>
      <c r="L80" s="136">
        <f>K80*I80</f>
        <v>129630997.25474085</v>
      </c>
      <c r="M80" s="134">
        <f>'Example calcs 2000'!N80*0.95</f>
        <v>0</v>
      </c>
      <c r="N80" s="132">
        <f t="shared" si="25"/>
        <v>20246263.065694302</v>
      </c>
      <c r="O80" s="134">
        <f t="shared" si="26"/>
        <v>4.0757259630805254E-9</v>
      </c>
      <c r="P80" s="134">
        <f t="shared" si="27"/>
        <v>8.2518220032208586E-2</v>
      </c>
      <c r="Q80" s="122" t="s">
        <v>33</v>
      </c>
      <c r="R80" s="53">
        <f t="shared" si="28"/>
        <v>1</v>
      </c>
      <c r="S80" s="122">
        <f>INDEX(Model!$AD$54:$AD$118,MATCH($Q80,Model!$AB$54:$AB$118,0)+MATCH(Model!$Z$116,Model!$Z$54:$Z$118,0)-1)</f>
        <v>0.309</v>
      </c>
      <c r="T80" s="136">
        <f t="shared" si="29"/>
        <v>2.5498129989952451E-2</v>
      </c>
      <c r="U80" s="134">
        <f>'Example calcs 2000'!S80*0.8</f>
        <v>0</v>
      </c>
      <c r="V80" s="132">
        <f t="shared" si="30"/>
        <v>2.5498129989952451E-2</v>
      </c>
      <c r="W80" s="134">
        <f t="shared" si="31"/>
        <v>4.1883053058948572E-2</v>
      </c>
      <c r="X80" s="134">
        <f t="shared" si="20"/>
        <v>1.0679395312731463E-3</v>
      </c>
      <c r="Y80" s="112" t="s">
        <v>34</v>
      </c>
      <c r="Z80" s="53">
        <f t="shared" si="32"/>
        <v>1</v>
      </c>
      <c r="AA80" s="112"/>
      <c r="AB80" s="112">
        <f>Model!$AC$137</f>
        <v>1</v>
      </c>
      <c r="AC80" s="136"/>
      <c r="AD80" s="134">
        <f>'Example calcs 2000'!Y80*0.8</f>
        <v>0</v>
      </c>
      <c r="AE80" s="132">
        <f t="shared" si="33"/>
        <v>0</v>
      </c>
      <c r="AF80" s="134" t="str">
        <f t="shared" si="34"/>
        <v/>
      </c>
      <c r="AG80" s="134">
        <f t="shared" si="21"/>
        <v>0</v>
      </c>
      <c r="AH80" s="112"/>
      <c r="AI80" s="53">
        <f t="shared" si="35"/>
        <v>1</v>
      </c>
      <c r="AJ80" s="112"/>
      <c r="AK80" s="112"/>
      <c r="AL80" s="123">
        <f t="shared" si="36"/>
        <v>1.0679395312731463E-3</v>
      </c>
      <c r="AM80" s="112">
        <f t="shared" si="37"/>
        <v>0</v>
      </c>
    </row>
    <row r="81" spans="3:39" s="104" customFormat="1" x14ac:dyDescent="0.25">
      <c r="C81" s="154">
        <f>Model!$AD$14</f>
        <v>3321768</v>
      </c>
      <c r="D81" s="55">
        <f>Model!$AD$17</f>
        <v>0.38461538461538458</v>
      </c>
      <c r="E81" s="155">
        <f t="shared" si="22"/>
        <v>1277603.0769230768</v>
      </c>
      <c r="F81" s="55">
        <f>Model!$AD$28</f>
        <v>1</v>
      </c>
      <c r="G81" s="155">
        <f t="shared" si="23"/>
        <v>1277603.0769230768</v>
      </c>
      <c r="H81" s="111">
        <f>INDEX(Model!$AD$33:$AD$36,MATCH($J81,Model!$AB$33:$AB$36,0))</f>
        <v>0.71950000000000003</v>
      </c>
      <c r="I81" s="132">
        <f t="shared" si="24"/>
        <v>919235.41384615377</v>
      </c>
      <c r="J81" s="112" t="s">
        <v>25</v>
      </c>
      <c r="K81" s="122">
        <f>INDEX(Model!$AD$37:$AD$40,MATCH($J81,Model!$AB$33:$AB$36,0))</f>
        <v>141.02045602481141</v>
      </c>
      <c r="L81" s="136">
        <f>K81*I81</f>
        <v>129630997.25474085</v>
      </c>
      <c r="M81" s="134">
        <f>'Example calcs 2000'!N81*0.95</f>
        <v>0</v>
      </c>
      <c r="N81" s="132">
        <f t="shared" si="25"/>
        <v>20246263.065694302</v>
      </c>
      <c r="O81" s="134">
        <f t="shared" si="26"/>
        <v>4.0757259630805254E-9</v>
      </c>
      <c r="P81" s="134">
        <f t="shared" si="27"/>
        <v>8.2518220032208586E-2</v>
      </c>
      <c r="Q81" s="122" t="s">
        <v>33</v>
      </c>
      <c r="R81" s="53">
        <f t="shared" si="28"/>
        <v>0</v>
      </c>
      <c r="S81" s="122">
        <f>INDEX(Model!$AD$54:$AD$118,MATCH($Q81,Model!$AB$54:$AB$118,0)+MATCH(Model!$Z$116,Model!$Z$54:$Z$118,0)-1)</f>
        <v>0.309</v>
      </c>
      <c r="T81" s="136">
        <f t="shared" si="29"/>
        <v>2.5498129989952451E-2</v>
      </c>
      <c r="U81" s="134">
        <f>'Example calcs 2000'!S81*0.8</f>
        <v>0</v>
      </c>
      <c r="V81" s="132">
        <f t="shared" si="30"/>
        <v>2.5498129989952451E-2</v>
      </c>
      <c r="W81" s="134">
        <f t="shared" si="31"/>
        <v>0.95811694694105154</v>
      </c>
      <c r="X81" s="134">
        <f t="shared" si="20"/>
        <v>2.4430190458679307E-2</v>
      </c>
      <c r="Y81" s="112" t="s">
        <v>35</v>
      </c>
      <c r="Z81" s="53">
        <f t="shared" si="32"/>
        <v>1</v>
      </c>
      <c r="AA81" s="112">
        <f>Model!$AC$147</f>
        <v>1</v>
      </c>
      <c r="AB81" s="112"/>
      <c r="AC81" s="136">
        <f>X81*AA81</f>
        <v>2.4430190458679307E-2</v>
      </c>
      <c r="AD81" s="134">
        <f>'Example calcs 2000'!Y81*0.8</f>
        <v>0</v>
      </c>
      <c r="AE81" s="132">
        <f t="shared" si="33"/>
        <v>2.4430190458679307E-2</v>
      </c>
      <c r="AF81" s="134">
        <f t="shared" si="34"/>
        <v>4.2219505916481506E-2</v>
      </c>
      <c r="AG81" s="134">
        <f t="shared" si="21"/>
        <v>1.0314305706109811E-3</v>
      </c>
      <c r="AH81" s="112" t="s">
        <v>67</v>
      </c>
      <c r="AI81" s="53">
        <f t="shared" si="35"/>
        <v>1</v>
      </c>
      <c r="AJ81" s="112">
        <f>Model!$AC$178</f>
        <v>0.52600000000000002</v>
      </c>
      <c r="AK81" s="112"/>
      <c r="AL81" s="123">
        <f t="shared" si="36"/>
        <v>5.4253248014137607E-4</v>
      </c>
      <c r="AM81" s="112">
        <f t="shared" si="37"/>
        <v>0</v>
      </c>
    </row>
    <row r="82" spans="3:39" s="104" customFormat="1" x14ac:dyDescent="0.25">
      <c r="C82" s="154">
        <f>Model!$AD$14</f>
        <v>3321768</v>
      </c>
      <c r="D82" s="55">
        <f>Model!$AD$17</f>
        <v>0.38461538461538458</v>
      </c>
      <c r="E82" s="155">
        <f t="shared" si="22"/>
        <v>1277603.0769230768</v>
      </c>
      <c r="F82" s="55">
        <f>Model!$AD$28</f>
        <v>1</v>
      </c>
      <c r="G82" s="155">
        <f t="shared" si="23"/>
        <v>1277603.0769230768</v>
      </c>
      <c r="H82" s="111">
        <f>INDEX(Model!$AD$33:$AD$36,MATCH($J82,Model!$AB$33:$AB$36,0))</f>
        <v>0.71950000000000003</v>
      </c>
      <c r="I82" s="132">
        <f t="shared" si="24"/>
        <v>919235.41384615377</v>
      </c>
      <c r="J82" s="112" t="s">
        <v>25</v>
      </c>
      <c r="K82" s="122">
        <f>INDEX(Model!$AD$37:$AD$40,MATCH($J82,Model!$AB$33:$AB$36,0))</f>
        <v>141.02045602481141</v>
      </c>
      <c r="L82" s="136">
        <f>K82*I82</f>
        <v>129630997.25474085</v>
      </c>
      <c r="M82" s="134">
        <f>'Example calcs 2000'!N82*0.95</f>
        <v>0</v>
      </c>
      <c r="N82" s="132">
        <f t="shared" si="25"/>
        <v>20246263.065694302</v>
      </c>
      <c r="O82" s="134">
        <f t="shared" si="26"/>
        <v>4.0757259630805254E-9</v>
      </c>
      <c r="P82" s="134">
        <f t="shared" si="27"/>
        <v>8.2518220032208586E-2</v>
      </c>
      <c r="Q82" s="122" t="s">
        <v>33</v>
      </c>
      <c r="R82" s="53">
        <f t="shared" si="28"/>
        <v>0</v>
      </c>
      <c r="S82" s="122">
        <f>INDEX(Model!$AD$54:$AD$118,MATCH($Q82,Model!$AB$54:$AB$118,0)+MATCH(Model!$Z$116,Model!$Z$54:$Z$118,0)-1)</f>
        <v>0.309</v>
      </c>
      <c r="T82" s="136">
        <f t="shared" si="29"/>
        <v>2.5498129989952451E-2</v>
      </c>
      <c r="U82" s="134">
        <f>'Example calcs 2000'!S82*0.8</f>
        <v>0</v>
      </c>
      <c r="V82" s="132">
        <f t="shared" si="30"/>
        <v>2.5498129989952451E-2</v>
      </c>
      <c r="W82" s="134">
        <f t="shared" si="31"/>
        <v>0.95811694694105154</v>
      </c>
      <c r="X82" s="134">
        <f t="shared" si="20"/>
        <v>2.4430190458679307E-2</v>
      </c>
      <c r="Y82" s="112" t="s">
        <v>35</v>
      </c>
      <c r="Z82" s="53">
        <f t="shared" si="32"/>
        <v>0</v>
      </c>
      <c r="AA82" s="112">
        <f>Model!$AC$147</f>
        <v>1</v>
      </c>
      <c r="AB82" s="112"/>
      <c r="AC82" s="136">
        <f>X82*AA82</f>
        <v>2.4430190458679307E-2</v>
      </c>
      <c r="AD82" s="134">
        <f>'Example calcs 2000'!Y82*0.8</f>
        <v>0</v>
      </c>
      <c r="AE82" s="132">
        <f t="shared" si="33"/>
        <v>2.4430190458679307E-2</v>
      </c>
      <c r="AF82" s="134">
        <f t="shared" si="34"/>
        <v>5.2787131529516608E-7</v>
      </c>
      <c r="AG82" s="134">
        <f t="shared" si="21"/>
        <v>1.2895996770334463E-8</v>
      </c>
      <c r="AH82" s="112" t="s">
        <v>144</v>
      </c>
      <c r="AI82" s="53">
        <f t="shared" si="35"/>
        <v>1</v>
      </c>
      <c r="AJ82" s="112">
        <f>Model!$AC$191</f>
        <v>0.4</v>
      </c>
      <c r="AK82" s="112"/>
      <c r="AL82" s="123">
        <f t="shared" si="36"/>
        <v>5.1583987081337856E-9</v>
      </c>
      <c r="AM82" s="112">
        <f t="shared" si="37"/>
        <v>0</v>
      </c>
    </row>
    <row r="83" spans="3:39" s="104" customFormat="1" x14ac:dyDescent="0.25">
      <c r="C83" s="154">
        <f>Model!$AD$14</f>
        <v>3321768</v>
      </c>
      <c r="D83" s="55">
        <f>Model!$AD$17</f>
        <v>0.38461538461538458</v>
      </c>
      <c r="E83" s="155">
        <f t="shared" si="22"/>
        <v>1277603.0769230768</v>
      </c>
      <c r="F83" s="55">
        <f>Model!$AD$28</f>
        <v>1</v>
      </c>
      <c r="G83" s="155">
        <f t="shared" si="23"/>
        <v>1277603.0769230768</v>
      </c>
      <c r="H83" s="111">
        <f>INDEX(Model!$AD$33:$AD$36,MATCH($J83,Model!$AB$33:$AB$36,0))</f>
        <v>0.71950000000000003</v>
      </c>
      <c r="I83" s="132">
        <f t="shared" si="24"/>
        <v>919235.41384615377</v>
      </c>
      <c r="J83" s="112" t="s">
        <v>25</v>
      </c>
      <c r="K83" s="122">
        <f>INDEX(Model!$AD$37:$AD$40,MATCH($J83,Model!$AB$33:$AB$36,0))</f>
        <v>141.02045602481141</v>
      </c>
      <c r="L83" s="136">
        <f>K83*I83</f>
        <v>129630997.25474085</v>
      </c>
      <c r="M83" s="134">
        <f>'Example calcs 2000'!N83*0.95</f>
        <v>0</v>
      </c>
      <c r="N83" s="132">
        <f t="shared" si="25"/>
        <v>20246263.065694302</v>
      </c>
      <c r="O83" s="134">
        <f t="shared" si="26"/>
        <v>4.0757259630805254E-9</v>
      </c>
      <c r="P83" s="134">
        <f t="shared" si="27"/>
        <v>8.2518220032208586E-2</v>
      </c>
      <c r="Q83" s="122" t="s">
        <v>33</v>
      </c>
      <c r="R83" s="53">
        <f t="shared" si="28"/>
        <v>0</v>
      </c>
      <c r="S83" s="122">
        <f>INDEX(Model!$AD$54:$AD$118,MATCH($Q83,Model!$AB$54:$AB$118,0)+MATCH(Model!$Z$116,Model!$Z$54:$Z$118,0)-1)</f>
        <v>0.309</v>
      </c>
      <c r="T83" s="136">
        <f t="shared" si="29"/>
        <v>2.5498129989952451E-2</v>
      </c>
      <c r="U83" s="134">
        <f>'Example calcs 2000'!S83*0.8</f>
        <v>0</v>
      </c>
      <c r="V83" s="132">
        <f t="shared" si="30"/>
        <v>2.5498129989952451E-2</v>
      </c>
      <c r="W83" s="134">
        <f t="shared" si="31"/>
        <v>0.95811694694105154</v>
      </c>
      <c r="X83" s="134">
        <f t="shared" si="20"/>
        <v>2.4430190458679307E-2</v>
      </c>
      <c r="Y83" s="112" t="s">
        <v>35</v>
      </c>
      <c r="Z83" s="53">
        <f t="shared" si="32"/>
        <v>0</v>
      </c>
      <c r="AA83" s="112">
        <f>Model!$AC$147</f>
        <v>1</v>
      </c>
      <c r="AB83" s="112"/>
      <c r="AC83" s="136">
        <f>X83*AA83</f>
        <v>2.4430190458679307E-2</v>
      </c>
      <c r="AD83" s="134">
        <f>'Example calcs 2000'!Y83*0.8</f>
        <v>0</v>
      </c>
      <c r="AE83" s="132">
        <f t="shared" si="33"/>
        <v>2.4430190458679307E-2</v>
      </c>
      <c r="AF83" s="134" t="str">
        <f t="shared" si="34"/>
        <v/>
      </c>
      <c r="AG83" s="134">
        <f t="shared" si="21"/>
        <v>0</v>
      </c>
      <c r="AH83" s="112" t="s">
        <v>65</v>
      </c>
      <c r="AI83" s="53">
        <f t="shared" si="35"/>
        <v>1</v>
      </c>
      <c r="AJ83" s="112"/>
      <c r="AK83" s="112">
        <f>Model!$AC$164</f>
        <v>1.613</v>
      </c>
      <c r="AL83" s="123">
        <f t="shared" si="36"/>
        <v>0</v>
      </c>
      <c r="AM83" s="112">
        <f t="shared" si="37"/>
        <v>0</v>
      </c>
    </row>
    <row r="84" spans="3:39" s="104" customFormat="1" x14ac:dyDescent="0.25">
      <c r="C84" s="154">
        <f>Model!$AD$14</f>
        <v>3321768</v>
      </c>
      <c r="D84" s="55">
        <f>Model!$AD$17</f>
        <v>0.38461538461538458</v>
      </c>
      <c r="E84" s="155">
        <f t="shared" si="22"/>
        <v>1277603.0769230768</v>
      </c>
      <c r="F84" s="55">
        <f>Model!$AD$28</f>
        <v>1</v>
      </c>
      <c r="G84" s="155">
        <f t="shared" si="23"/>
        <v>1277603.0769230768</v>
      </c>
      <c r="H84" s="111">
        <f>INDEX(Model!$AD$33:$AD$36,MATCH($J84,Model!$AB$33:$AB$36,0))</f>
        <v>0.71950000000000003</v>
      </c>
      <c r="I84" s="132">
        <f t="shared" si="24"/>
        <v>919235.41384615377</v>
      </c>
      <c r="J84" s="112" t="s">
        <v>25</v>
      </c>
      <c r="K84" s="122">
        <f>INDEX(Model!$AD$37:$AD$40,MATCH($J84,Model!$AB$33:$AB$36,0))</f>
        <v>141.02045602481141</v>
      </c>
      <c r="L84" s="136">
        <f>K84*I84</f>
        <v>129630997.25474085</v>
      </c>
      <c r="M84" s="134">
        <f>'Example calcs 2000'!N84*0.95</f>
        <v>0</v>
      </c>
      <c r="N84" s="132">
        <f t="shared" si="25"/>
        <v>20246263.065694302</v>
      </c>
      <c r="O84" s="134">
        <f t="shared" si="26"/>
        <v>4.0757259630805254E-9</v>
      </c>
      <c r="P84" s="134">
        <f t="shared" si="27"/>
        <v>8.2518220032208586E-2</v>
      </c>
      <c r="Q84" s="122" t="s">
        <v>33</v>
      </c>
      <c r="R84" s="53">
        <f t="shared" si="28"/>
        <v>0</v>
      </c>
      <c r="S84" s="122">
        <f>INDEX(Model!$AD$54:$AD$118,MATCH($Q84,Model!$AB$54:$AB$118,0)+MATCH(Model!$Z$116,Model!$Z$54:$Z$118,0)-1)</f>
        <v>0.309</v>
      </c>
      <c r="T84" s="136">
        <f t="shared" si="29"/>
        <v>2.5498129989952451E-2</v>
      </c>
      <c r="U84" s="134">
        <f>'Example calcs 2000'!S84*0.8</f>
        <v>0</v>
      </c>
      <c r="V84" s="132">
        <f t="shared" si="30"/>
        <v>2.5498129989952451E-2</v>
      </c>
      <c r="W84" s="134">
        <f t="shared" si="31"/>
        <v>0.95811694694105154</v>
      </c>
      <c r="X84" s="134">
        <f t="shared" si="20"/>
        <v>2.4430190458679307E-2</v>
      </c>
      <c r="Y84" s="112" t="s">
        <v>35</v>
      </c>
      <c r="Z84" s="53">
        <f t="shared" si="32"/>
        <v>0</v>
      </c>
      <c r="AA84" s="112">
        <f>Model!$AC$147</f>
        <v>1</v>
      </c>
      <c r="AB84" s="112"/>
      <c r="AC84" s="136">
        <f>X84*AA84</f>
        <v>2.4430190458679307E-2</v>
      </c>
      <c r="AD84" s="134">
        <f>'Example calcs 2000'!Y84*0.8</f>
        <v>0</v>
      </c>
      <c r="AE84" s="132">
        <f t="shared" si="33"/>
        <v>2.4430190458679307E-2</v>
      </c>
      <c r="AF84" s="134">
        <f t="shared" si="34"/>
        <v>0.95777996621220318</v>
      </c>
      <c r="AG84" s="134">
        <f t="shared" si="21"/>
        <v>2.3398746992071555E-2</v>
      </c>
      <c r="AH84" s="112" t="s">
        <v>66</v>
      </c>
      <c r="AI84" s="53">
        <f t="shared" si="35"/>
        <v>1</v>
      </c>
      <c r="AJ84" s="112"/>
      <c r="AK84" s="112">
        <f>Model!$AC$204</f>
        <v>1.111</v>
      </c>
      <c r="AL84" s="123">
        <f t="shared" si="36"/>
        <v>0</v>
      </c>
      <c r="AM84" s="112">
        <f t="shared" si="37"/>
        <v>2.5996007908191496E-2</v>
      </c>
    </row>
    <row r="85" spans="3:39" s="104" customFormat="1" x14ac:dyDescent="0.25">
      <c r="C85" s="154">
        <f>Model!$AD$14</f>
        <v>3321768</v>
      </c>
      <c r="D85" s="55">
        <f>Model!$AD$17</f>
        <v>0.38461538461538458</v>
      </c>
      <c r="E85" s="155">
        <f t="shared" si="22"/>
        <v>1277603.0769230768</v>
      </c>
      <c r="F85" s="55">
        <f>Model!$AD$28</f>
        <v>1</v>
      </c>
      <c r="G85" s="155">
        <f t="shared" si="23"/>
        <v>1277603.0769230768</v>
      </c>
      <c r="H85" s="111">
        <f>INDEX(Model!$AD$33:$AD$36,MATCH($J85,Model!$AB$33:$AB$36,0))</f>
        <v>0.71950000000000003</v>
      </c>
      <c r="I85" s="132">
        <f t="shared" si="24"/>
        <v>919235.41384615377</v>
      </c>
      <c r="J85" s="112" t="s">
        <v>25</v>
      </c>
      <c r="K85" s="122">
        <f>INDEX(Model!$AD$37:$AD$40,MATCH($J85,Model!$AB$33:$AB$36,0))</f>
        <v>141.02045602481141</v>
      </c>
      <c r="L85" s="136">
        <f>K85*I85</f>
        <v>129630997.25474085</v>
      </c>
      <c r="M85" s="134">
        <f>'Example calcs 2000'!N85*0.95</f>
        <v>91117483.579475775</v>
      </c>
      <c r="N85" s="132">
        <f t="shared" si="25"/>
        <v>20246263.065694302</v>
      </c>
      <c r="O85" s="134" t="str">
        <f t="shared" si="26"/>
        <v/>
      </c>
      <c r="P85" s="134">
        <f t="shared" si="27"/>
        <v>91117483.579475775</v>
      </c>
      <c r="Q85" s="122" t="s">
        <v>29</v>
      </c>
      <c r="R85" s="53">
        <f t="shared" si="28"/>
        <v>1</v>
      </c>
      <c r="S85" s="122">
        <f>INDEX(Model!$AD$54:$AD$118,MATCH($Q85,Model!$AB$54:$AB$118,0)+MATCH(Model!$Z$116,Model!$Z$54:$Z$118,0)-1)</f>
        <v>0.63300000000000001</v>
      </c>
      <c r="T85" s="136">
        <f t="shared" si="29"/>
        <v>57677367.105808169</v>
      </c>
      <c r="U85" s="134">
        <f>'Example calcs 2000'!S85*0.8</f>
        <v>268612.75127569278</v>
      </c>
      <c r="V85" s="132">
        <f t="shared" si="30"/>
        <v>9106952.7009170726</v>
      </c>
      <c r="W85" s="134">
        <f t="shared" si="31"/>
        <v>4.1883053058948572E-2</v>
      </c>
      <c r="X85" s="134">
        <f t="shared" si="20"/>
        <v>650039.7344535375</v>
      </c>
      <c r="Y85" s="112" t="s">
        <v>34</v>
      </c>
      <c r="Z85" s="53">
        <f t="shared" si="32"/>
        <v>1</v>
      </c>
      <c r="AA85" s="112"/>
      <c r="AB85" s="112">
        <f>Model!$AC$137</f>
        <v>1</v>
      </c>
      <c r="AC85" s="136"/>
      <c r="AD85" s="134">
        <f>'Example calcs 2000'!Y85*0.8</f>
        <v>0</v>
      </c>
      <c r="AE85" s="132">
        <f t="shared" si="33"/>
        <v>0</v>
      </c>
      <c r="AF85" s="134" t="str">
        <f t="shared" si="34"/>
        <v/>
      </c>
      <c r="AG85" s="134">
        <f t="shared" si="21"/>
        <v>0</v>
      </c>
      <c r="AH85" s="112"/>
      <c r="AI85" s="53">
        <f t="shared" si="35"/>
        <v>1</v>
      </c>
      <c r="AJ85" s="112"/>
      <c r="AK85" s="112"/>
      <c r="AL85" s="123">
        <f t="shared" si="36"/>
        <v>650039.7344535375</v>
      </c>
      <c r="AM85" s="112">
        <f t="shared" si="37"/>
        <v>0</v>
      </c>
    </row>
    <row r="86" spans="3:39" s="104" customFormat="1" x14ac:dyDescent="0.25">
      <c r="C86" s="154">
        <f>Model!$AD$14</f>
        <v>3321768</v>
      </c>
      <c r="D86" s="55">
        <f>Model!$AD$17</f>
        <v>0.38461538461538458</v>
      </c>
      <c r="E86" s="155">
        <f t="shared" si="22"/>
        <v>1277603.0769230768</v>
      </c>
      <c r="F86" s="55">
        <f>Model!$AD$28</f>
        <v>1</v>
      </c>
      <c r="G86" s="155">
        <f t="shared" si="23"/>
        <v>1277603.0769230768</v>
      </c>
      <c r="H86" s="111">
        <f>INDEX(Model!$AD$33:$AD$36,MATCH($J86,Model!$AB$33:$AB$36,0))</f>
        <v>0.71950000000000003</v>
      </c>
      <c r="I86" s="132">
        <f t="shared" si="24"/>
        <v>919235.41384615377</v>
      </c>
      <c r="J86" s="112" t="s">
        <v>25</v>
      </c>
      <c r="K86" s="122">
        <f>INDEX(Model!$AD$37:$AD$40,MATCH($J86,Model!$AB$33:$AB$36,0))</f>
        <v>141.02045602481141</v>
      </c>
      <c r="L86" s="136">
        <f>K86*I86</f>
        <v>129630997.25474085</v>
      </c>
      <c r="M86" s="134">
        <f>'Example calcs 2000'!N86*0.95</f>
        <v>91117483.579475775</v>
      </c>
      <c r="N86" s="132">
        <f t="shared" si="25"/>
        <v>20246263.065694302</v>
      </c>
      <c r="O86" s="134" t="str">
        <f t="shared" si="26"/>
        <v/>
      </c>
      <c r="P86" s="134">
        <f t="shared" si="27"/>
        <v>91117483.579475775</v>
      </c>
      <c r="Q86" s="122" t="s">
        <v>29</v>
      </c>
      <c r="R86" s="53">
        <f t="shared" si="28"/>
        <v>0</v>
      </c>
      <c r="S86" s="122">
        <f>INDEX(Model!$AD$54:$AD$118,MATCH($Q86,Model!$AB$54:$AB$118,0)+MATCH(Model!$Z$116,Model!$Z$54:$Z$118,0)-1)</f>
        <v>0.63300000000000001</v>
      </c>
      <c r="T86" s="136">
        <f t="shared" si="29"/>
        <v>57677367.105808169</v>
      </c>
      <c r="U86" s="134">
        <f>'Example calcs 2000'!S86*0.8</f>
        <v>48301801.6536154</v>
      </c>
      <c r="V86" s="132">
        <f t="shared" si="30"/>
        <v>9106952.7009170726</v>
      </c>
      <c r="W86" s="134">
        <f t="shared" si="31"/>
        <v>0.95811694694105154</v>
      </c>
      <c r="X86" s="134">
        <f t="shared" si="20"/>
        <v>57027327.371354625</v>
      </c>
      <c r="Y86" s="112" t="s">
        <v>35</v>
      </c>
      <c r="Z86" s="53">
        <f t="shared" si="32"/>
        <v>1</v>
      </c>
      <c r="AA86" s="112">
        <f>Model!$AC$147</f>
        <v>1</v>
      </c>
      <c r="AB86" s="112"/>
      <c r="AC86" s="136">
        <f>X86*AA86</f>
        <v>57027327.371354625</v>
      </c>
      <c r="AD86" s="134">
        <f>'Example calcs 2000'!Y86*0.8</f>
        <v>483018.01653615397</v>
      </c>
      <c r="AE86" s="132">
        <f t="shared" si="33"/>
        <v>8725525.7177392244</v>
      </c>
      <c r="AF86" s="134">
        <f t="shared" si="34"/>
        <v>4.2219505916481506E-2</v>
      </c>
      <c r="AG86" s="134">
        <f t="shared" si="21"/>
        <v>851405.40120065678</v>
      </c>
      <c r="AH86" s="112" t="s">
        <v>67</v>
      </c>
      <c r="AI86" s="53">
        <f t="shared" si="35"/>
        <v>1</v>
      </c>
      <c r="AJ86" s="112">
        <f>Model!$AC$178</f>
        <v>0.52600000000000002</v>
      </c>
      <c r="AK86" s="112"/>
      <c r="AL86" s="123">
        <f t="shared" si="36"/>
        <v>447839.24103154551</v>
      </c>
      <c r="AM86" s="112">
        <f t="shared" si="37"/>
        <v>0</v>
      </c>
    </row>
    <row r="87" spans="3:39" s="104" customFormat="1" x14ac:dyDescent="0.25">
      <c r="C87" s="154">
        <f>Model!$AD$14</f>
        <v>3321768</v>
      </c>
      <c r="D87" s="55">
        <f>Model!$AD$17</f>
        <v>0.38461538461538458</v>
      </c>
      <c r="E87" s="155">
        <f t="shared" si="22"/>
        <v>1277603.0769230768</v>
      </c>
      <c r="F87" s="55">
        <f>Model!$AD$28</f>
        <v>1</v>
      </c>
      <c r="G87" s="155">
        <f t="shared" si="23"/>
        <v>1277603.0769230768</v>
      </c>
      <c r="H87" s="111">
        <f>INDEX(Model!$AD$33:$AD$36,MATCH($J87,Model!$AB$33:$AB$36,0))</f>
        <v>0.71950000000000003</v>
      </c>
      <c r="I87" s="132">
        <f t="shared" si="24"/>
        <v>919235.41384615377</v>
      </c>
      <c r="J87" s="112" t="s">
        <v>25</v>
      </c>
      <c r="K87" s="122">
        <f>INDEX(Model!$AD$37:$AD$40,MATCH($J87,Model!$AB$33:$AB$36,0))</f>
        <v>141.02045602481141</v>
      </c>
      <c r="L87" s="136">
        <f>K87*I87</f>
        <v>129630997.25474085</v>
      </c>
      <c r="M87" s="134">
        <f>'Example calcs 2000'!N87*0.95</f>
        <v>91117483.579475775</v>
      </c>
      <c r="N87" s="132">
        <f t="shared" si="25"/>
        <v>20246263.065694302</v>
      </c>
      <c r="O87" s="134" t="str">
        <f t="shared" si="26"/>
        <v/>
      </c>
      <c r="P87" s="134">
        <f t="shared" si="27"/>
        <v>91117483.579475775</v>
      </c>
      <c r="Q87" s="122" t="s">
        <v>29</v>
      </c>
      <c r="R87" s="53">
        <f t="shared" si="28"/>
        <v>0</v>
      </c>
      <c r="S87" s="122">
        <f>INDEX(Model!$AD$54:$AD$118,MATCH($Q87,Model!$AB$54:$AB$118,0)+MATCH(Model!$Z$116,Model!$Z$54:$Z$118,0)-1)</f>
        <v>0.63300000000000001</v>
      </c>
      <c r="T87" s="136">
        <f t="shared" si="29"/>
        <v>57677367.105808169</v>
      </c>
      <c r="U87" s="134">
        <f>'Example calcs 2000'!S87*0.8</f>
        <v>48301801.6536154</v>
      </c>
      <c r="V87" s="132">
        <f t="shared" si="30"/>
        <v>9106952.7009170726</v>
      </c>
      <c r="W87" s="134">
        <f t="shared" si="31"/>
        <v>0.95811694694105154</v>
      </c>
      <c r="X87" s="134">
        <f t="shared" si="20"/>
        <v>57027327.371354625</v>
      </c>
      <c r="Y87" s="112" t="s">
        <v>35</v>
      </c>
      <c r="Z87" s="53">
        <f t="shared" si="32"/>
        <v>0</v>
      </c>
      <c r="AA87" s="112">
        <f>Model!$AC$147</f>
        <v>1</v>
      </c>
      <c r="AB87" s="112"/>
      <c r="AC87" s="136">
        <f>X87*AA87</f>
        <v>57027327.371354625</v>
      </c>
      <c r="AD87" s="134">
        <f>'Example calcs 2000'!Y87*0.8</f>
        <v>0</v>
      </c>
      <c r="AE87" s="132">
        <f t="shared" si="33"/>
        <v>8725525.7177392244</v>
      </c>
      <c r="AF87" s="134">
        <f t="shared" si="34"/>
        <v>5.2787131529516608E-7</v>
      </c>
      <c r="AG87" s="134">
        <f t="shared" si="21"/>
        <v>4.6059547372648026</v>
      </c>
      <c r="AH87" s="112" t="s">
        <v>144</v>
      </c>
      <c r="AI87" s="53">
        <f t="shared" si="35"/>
        <v>1</v>
      </c>
      <c r="AJ87" s="112">
        <f>Model!$AC$191</f>
        <v>0.4</v>
      </c>
      <c r="AK87" s="112"/>
      <c r="AL87" s="123">
        <f t="shared" si="36"/>
        <v>1.8423818949059212</v>
      </c>
      <c r="AM87" s="112">
        <f t="shared" si="37"/>
        <v>0</v>
      </c>
    </row>
    <row r="88" spans="3:39" s="104" customFormat="1" x14ac:dyDescent="0.25">
      <c r="C88" s="154">
        <f>Model!$AD$14</f>
        <v>3321768</v>
      </c>
      <c r="D88" s="55">
        <f>Model!$AD$17</f>
        <v>0.38461538461538458</v>
      </c>
      <c r="E88" s="155">
        <f t="shared" si="22"/>
        <v>1277603.0769230768</v>
      </c>
      <c r="F88" s="55">
        <f>Model!$AD$28</f>
        <v>1</v>
      </c>
      <c r="G88" s="155">
        <f t="shared" si="23"/>
        <v>1277603.0769230768</v>
      </c>
      <c r="H88" s="111">
        <f>INDEX(Model!$AD$33:$AD$36,MATCH($J88,Model!$AB$33:$AB$36,0))</f>
        <v>0.71950000000000003</v>
      </c>
      <c r="I88" s="132">
        <f t="shared" si="24"/>
        <v>919235.41384615377</v>
      </c>
      <c r="J88" s="112" t="s">
        <v>25</v>
      </c>
      <c r="K88" s="122">
        <f>INDEX(Model!$AD$37:$AD$40,MATCH($J88,Model!$AB$33:$AB$36,0))</f>
        <v>141.02045602481141</v>
      </c>
      <c r="L88" s="136">
        <f>K88*I88</f>
        <v>129630997.25474085</v>
      </c>
      <c r="M88" s="134">
        <f>'Example calcs 2000'!N88*0.95</f>
        <v>91117483.579475775</v>
      </c>
      <c r="N88" s="132">
        <f t="shared" si="25"/>
        <v>20246263.065694302</v>
      </c>
      <c r="O88" s="134" t="str">
        <f t="shared" si="26"/>
        <v/>
      </c>
      <c r="P88" s="134">
        <f t="shared" si="27"/>
        <v>91117483.579475775</v>
      </c>
      <c r="Q88" s="122" t="s">
        <v>29</v>
      </c>
      <c r="R88" s="53">
        <f t="shared" si="28"/>
        <v>0</v>
      </c>
      <c r="S88" s="122">
        <f>INDEX(Model!$AD$54:$AD$118,MATCH($Q88,Model!$AB$54:$AB$118,0)+MATCH(Model!$Z$116,Model!$Z$54:$Z$118,0)-1)</f>
        <v>0.63300000000000001</v>
      </c>
      <c r="T88" s="136">
        <f t="shared" si="29"/>
        <v>57677367.105808169</v>
      </c>
      <c r="U88" s="134">
        <f>'Example calcs 2000'!S88*0.8</f>
        <v>48301801.6536154</v>
      </c>
      <c r="V88" s="132">
        <f t="shared" si="30"/>
        <v>9106952.7009170726</v>
      </c>
      <c r="W88" s="134">
        <f t="shared" si="31"/>
        <v>0.95811694694105154</v>
      </c>
      <c r="X88" s="134">
        <f t="shared" si="20"/>
        <v>57027327.371354625</v>
      </c>
      <c r="Y88" s="112" t="s">
        <v>35</v>
      </c>
      <c r="Z88" s="53">
        <f t="shared" si="32"/>
        <v>0</v>
      </c>
      <c r="AA88" s="112">
        <f>Model!$AC$147</f>
        <v>1</v>
      </c>
      <c r="AB88" s="112"/>
      <c r="AC88" s="136">
        <f>X88*AA88</f>
        <v>57027327.371354625</v>
      </c>
      <c r="AD88" s="134">
        <f>'Example calcs 2000'!Y88*0.8</f>
        <v>45403693.554398477</v>
      </c>
      <c r="AE88" s="132">
        <f t="shared" si="33"/>
        <v>8725525.7177392244</v>
      </c>
      <c r="AF88" s="134" t="str">
        <f t="shared" si="34"/>
        <v/>
      </c>
      <c r="AG88" s="134">
        <f t="shared" si="21"/>
        <v>45403693.554398477</v>
      </c>
      <c r="AH88" s="112" t="s">
        <v>65</v>
      </c>
      <c r="AI88" s="53">
        <f t="shared" si="35"/>
        <v>1</v>
      </c>
      <c r="AJ88" s="112"/>
      <c r="AK88" s="112">
        <f>Model!$AC$164</f>
        <v>1.613</v>
      </c>
      <c r="AL88" s="123">
        <f t="shared" si="36"/>
        <v>0</v>
      </c>
      <c r="AM88" s="112">
        <f t="shared" si="37"/>
        <v>73236157.703244746</v>
      </c>
    </row>
    <row r="89" spans="3:39" s="104" customFormat="1" x14ac:dyDescent="0.25">
      <c r="C89" s="154">
        <f>Model!$AD$14</f>
        <v>3321768</v>
      </c>
      <c r="D89" s="55">
        <f>Model!$AD$17</f>
        <v>0.38461538461538458</v>
      </c>
      <c r="E89" s="155">
        <f t="shared" si="22"/>
        <v>1277603.0769230768</v>
      </c>
      <c r="F89" s="55">
        <f>Model!$AD$28</f>
        <v>1</v>
      </c>
      <c r="G89" s="155">
        <f t="shared" si="23"/>
        <v>1277603.0769230768</v>
      </c>
      <c r="H89" s="111">
        <f>INDEX(Model!$AD$33:$AD$36,MATCH($J89,Model!$AB$33:$AB$36,0))</f>
        <v>0.71950000000000003</v>
      </c>
      <c r="I89" s="132">
        <f t="shared" si="24"/>
        <v>919235.41384615377</v>
      </c>
      <c r="J89" s="112" t="s">
        <v>25</v>
      </c>
      <c r="K89" s="122">
        <f>INDEX(Model!$AD$37:$AD$40,MATCH($J89,Model!$AB$33:$AB$36,0))</f>
        <v>141.02045602481141</v>
      </c>
      <c r="L89" s="136">
        <f>K89*I89</f>
        <v>129630997.25474085</v>
      </c>
      <c r="M89" s="134">
        <f>'Example calcs 2000'!N89*0.95</f>
        <v>91117483.579475775</v>
      </c>
      <c r="N89" s="132">
        <f t="shared" si="25"/>
        <v>20246263.065694302</v>
      </c>
      <c r="O89" s="134" t="str">
        <f t="shared" si="26"/>
        <v/>
      </c>
      <c r="P89" s="134">
        <f t="shared" si="27"/>
        <v>91117483.579475775</v>
      </c>
      <c r="Q89" s="122" t="s">
        <v>29</v>
      </c>
      <c r="R89" s="53">
        <f t="shared" si="28"/>
        <v>0</v>
      </c>
      <c r="S89" s="122">
        <f>INDEX(Model!$AD$54:$AD$118,MATCH($Q89,Model!$AB$54:$AB$118,0)+MATCH(Model!$Z$116,Model!$Z$54:$Z$118,0)-1)</f>
        <v>0.63300000000000001</v>
      </c>
      <c r="T89" s="136">
        <f t="shared" si="29"/>
        <v>57677367.105808169</v>
      </c>
      <c r="U89" s="134">
        <f>'Example calcs 2000'!S89*0.8</f>
        <v>48301801.6536154</v>
      </c>
      <c r="V89" s="132">
        <f t="shared" si="30"/>
        <v>9106952.7009170726</v>
      </c>
      <c r="W89" s="134">
        <f t="shared" si="31"/>
        <v>0.95811694694105154</v>
      </c>
      <c r="X89" s="134">
        <f t="shared" si="20"/>
        <v>57027327.371354625</v>
      </c>
      <c r="Y89" s="112" t="s">
        <v>35</v>
      </c>
      <c r="Z89" s="53">
        <f t="shared" si="32"/>
        <v>0</v>
      </c>
      <c r="AA89" s="112">
        <f>Model!$AC$147</f>
        <v>1</v>
      </c>
      <c r="AB89" s="112"/>
      <c r="AC89" s="136">
        <f>X89*AA89</f>
        <v>57027327.371354625</v>
      </c>
      <c r="AD89" s="134">
        <f>'Example calcs 2000'!Y89*0.8</f>
        <v>2415090.0826807702</v>
      </c>
      <c r="AE89" s="132">
        <f t="shared" si="33"/>
        <v>8725525.7177392244</v>
      </c>
      <c r="AF89" s="134">
        <f t="shared" si="34"/>
        <v>0.95777996621220318</v>
      </c>
      <c r="AG89" s="134">
        <f t="shared" si="21"/>
        <v>10772223.809800755</v>
      </c>
      <c r="AH89" s="112" t="s">
        <v>66</v>
      </c>
      <c r="AI89" s="53">
        <f t="shared" si="35"/>
        <v>1</v>
      </c>
      <c r="AJ89" s="112"/>
      <c r="AK89" s="112">
        <f>Model!$AC$204</f>
        <v>1.111</v>
      </c>
      <c r="AL89" s="123">
        <f t="shared" si="36"/>
        <v>0</v>
      </c>
      <c r="AM89" s="112">
        <f t="shared" si="37"/>
        <v>11967940.652688639</v>
      </c>
    </row>
    <row r="90" spans="3:39" s="104" customFormat="1" x14ac:dyDescent="0.25">
      <c r="C90" s="154">
        <f>Model!$AD$14</f>
        <v>3321768</v>
      </c>
      <c r="D90" s="55">
        <f>Model!$AD$17</f>
        <v>0.38461538461538458</v>
      </c>
      <c r="E90" s="155">
        <f t="shared" si="22"/>
        <v>1277603.0769230768</v>
      </c>
      <c r="F90" s="55">
        <f>Model!$AD$28</f>
        <v>1</v>
      </c>
      <c r="G90" s="155">
        <f t="shared" si="23"/>
        <v>1277603.0769230768</v>
      </c>
      <c r="H90" s="111">
        <f>INDEX(Model!$AD$33:$AD$36,MATCH($J90,Model!$AB$33:$AB$36,0))</f>
        <v>0.71950000000000003</v>
      </c>
      <c r="I90" s="132">
        <f t="shared" si="24"/>
        <v>919235.41384615377</v>
      </c>
      <c r="J90" s="112" t="s">
        <v>25</v>
      </c>
      <c r="K90" s="122">
        <f>INDEX(Model!$AD$37:$AD$40,MATCH($J90,Model!$AB$33:$AB$36,0))</f>
        <v>141.02045602481141</v>
      </c>
      <c r="L90" s="136">
        <f>K90*I90</f>
        <v>129630997.25474085</v>
      </c>
      <c r="M90" s="134">
        <f>'Example calcs 2000'!N90*0.95</f>
        <v>18267250.609570775</v>
      </c>
      <c r="N90" s="132">
        <f t="shared" si="25"/>
        <v>20246263.065694302</v>
      </c>
      <c r="O90" s="134" t="str">
        <f t="shared" si="26"/>
        <v/>
      </c>
      <c r="P90" s="134">
        <f t="shared" si="27"/>
        <v>18267250.609570775</v>
      </c>
      <c r="Q90" s="122" t="s">
        <v>30</v>
      </c>
      <c r="R90" s="53">
        <f t="shared" si="28"/>
        <v>1</v>
      </c>
      <c r="S90" s="122">
        <f>INDEX(Model!$AD$54:$AD$118,MATCH($Q90,Model!$AB$54:$AB$118,0)+MATCH(Model!$Z$116,Model!$Z$54:$Z$118,0)-1)</f>
        <v>0.997</v>
      </c>
      <c r="T90" s="136">
        <f t="shared" si="29"/>
        <v>18212448.857742064</v>
      </c>
      <c r="U90" s="134">
        <f>'Example calcs 2000'!S90*0.8</f>
        <v>84818.295990721555</v>
      </c>
      <c r="V90" s="132">
        <f t="shared" si="30"/>
        <v>2875649.8196434807</v>
      </c>
      <c r="W90" s="134">
        <f t="shared" si="31"/>
        <v>4.1883053058948572E-2</v>
      </c>
      <c r="X90" s="134">
        <f t="shared" si="20"/>
        <v>205259.28996580536</v>
      </c>
      <c r="Y90" s="112" t="s">
        <v>34</v>
      </c>
      <c r="Z90" s="53">
        <f t="shared" si="32"/>
        <v>1</v>
      </c>
      <c r="AA90" s="112"/>
      <c r="AB90" s="112">
        <f>Model!$AC$137</f>
        <v>1</v>
      </c>
      <c r="AC90" s="136"/>
      <c r="AD90" s="134">
        <f>'Example calcs 2000'!Y90*0.8</f>
        <v>0</v>
      </c>
      <c r="AE90" s="132">
        <f t="shared" si="33"/>
        <v>0</v>
      </c>
      <c r="AF90" s="134" t="str">
        <f t="shared" si="34"/>
        <v/>
      </c>
      <c r="AG90" s="134">
        <f t="shared" si="21"/>
        <v>0</v>
      </c>
      <c r="AH90" s="112"/>
      <c r="AI90" s="53">
        <f t="shared" si="35"/>
        <v>1</v>
      </c>
      <c r="AJ90" s="112"/>
      <c r="AK90" s="112"/>
      <c r="AL90" s="123">
        <f t="shared" si="36"/>
        <v>205259.28996580536</v>
      </c>
      <c r="AM90" s="112">
        <f t="shared" si="37"/>
        <v>0</v>
      </c>
    </row>
    <row r="91" spans="3:39" s="104" customFormat="1" x14ac:dyDescent="0.25">
      <c r="C91" s="154">
        <f>Model!$AD$14</f>
        <v>3321768</v>
      </c>
      <c r="D91" s="55">
        <f>Model!$AD$17</f>
        <v>0.38461538461538458</v>
      </c>
      <c r="E91" s="155">
        <f t="shared" si="22"/>
        <v>1277603.0769230768</v>
      </c>
      <c r="F91" s="55">
        <f>Model!$AD$28</f>
        <v>1</v>
      </c>
      <c r="G91" s="155">
        <f t="shared" si="23"/>
        <v>1277603.0769230768</v>
      </c>
      <c r="H91" s="111">
        <f>INDEX(Model!$AD$33:$AD$36,MATCH($J91,Model!$AB$33:$AB$36,0))</f>
        <v>0.71950000000000003</v>
      </c>
      <c r="I91" s="132">
        <f t="shared" si="24"/>
        <v>919235.41384615377</v>
      </c>
      <c r="J91" s="112" t="s">
        <v>25</v>
      </c>
      <c r="K91" s="122">
        <f>INDEX(Model!$AD$37:$AD$40,MATCH($J91,Model!$AB$33:$AB$36,0))</f>
        <v>141.02045602481141</v>
      </c>
      <c r="L91" s="136">
        <f>K91*I91</f>
        <v>129630997.25474085</v>
      </c>
      <c r="M91" s="134">
        <f>'Example calcs 2000'!N91*0.95</f>
        <v>18267250.609570775</v>
      </c>
      <c r="N91" s="132">
        <f t="shared" si="25"/>
        <v>20246263.065694302</v>
      </c>
      <c r="O91" s="134" t="str">
        <f t="shared" si="26"/>
        <v/>
      </c>
      <c r="P91" s="134">
        <f t="shared" si="27"/>
        <v>18267250.609570775</v>
      </c>
      <c r="Q91" s="122" t="s">
        <v>30</v>
      </c>
      <c r="R91" s="53">
        <f t="shared" si="28"/>
        <v>0</v>
      </c>
      <c r="S91" s="122">
        <f>INDEX(Model!$AD$54:$AD$118,MATCH($Q91,Model!$AB$54:$AB$118,0)+MATCH(Model!$Z$116,Model!$Z$54:$Z$118,0)-1)</f>
        <v>0.997</v>
      </c>
      <c r="T91" s="136">
        <f t="shared" si="29"/>
        <v>18212448.857742064</v>
      </c>
      <c r="U91" s="134">
        <f>'Example calcs 2000'!S91*0.8</f>
        <v>15251980.742107861</v>
      </c>
      <c r="V91" s="132">
        <f t="shared" si="30"/>
        <v>2875649.8196434807</v>
      </c>
      <c r="W91" s="134">
        <f t="shared" si="31"/>
        <v>0.95811694694105154</v>
      </c>
      <c r="X91" s="134">
        <f t="shared" si="20"/>
        <v>18007189.567776259</v>
      </c>
      <c r="Y91" s="112" t="s">
        <v>35</v>
      </c>
      <c r="Z91" s="53">
        <f t="shared" si="32"/>
        <v>1</v>
      </c>
      <c r="AA91" s="112">
        <f>Model!$AC$147</f>
        <v>1</v>
      </c>
      <c r="AB91" s="112"/>
      <c r="AC91" s="136">
        <f>X91*AA91</f>
        <v>18007189.567776259</v>
      </c>
      <c r="AD91" s="134">
        <f>'Example calcs 2000'!Y91*0.8</f>
        <v>152519.80742107861</v>
      </c>
      <c r="AE91" s="132">
        <f t="shared" si="33"/>
        <v>2755208.8256684002</v>
      </c>
      <c r="AF91" s="134">
        <f t="shared" si="34"/>
        <v>4.2219505916481506E-2</v>
      </c>
      <c r="AG91" s="134">
        <f t="shared" si="21"/>
        <v>268843.3627375277</v>
      </c>
      <c r="AH91" s="112" t="s">
        <v>67</v>
      </c>
      <c r="AI91" s="53">
        <f t="shared" si="35"/>
        <v>1</v>
      </c>
      <c r="AJ91" s="112">
        <f>Model!$AC$178</f>
        <v>0.52600000000000002</v>
      </c>
      <c r="AK91" s="112"/>
      <c r="AL91" s="123">
        <f t="shared" si="36"/>
        <v>141411.60879993957</v>
      </c>
      <c r="AM91" s="112">
        <f t="shared" si="37"/>
        <v>0</v>
      </c>
    </row>
    <row r="92" spans="3:39" s="104" customFormat="1" x14ac:dyDescent="0.25">
      <c r="C92" s="154">
        <f>Model!$AD$14</f>
        <v>3321768</v>
      </c>
      <c r="D92" s="55">
        <f>Model!$AD$17</f>
        <v>0.38461538461538458</v>
      </c>
      <c r="E92" s="155">
        <f t="shared" si="22"/>
        <v>1277603.0769230768</v>
      </c>
      <c r="F92" s="55">
        <f>Model!$AD$28</f>
        <v>1</v>
      </c>
      <c r="G92" s="155">
        <f t="shared" si="23"/>
        <v>1277603.0769230768</v>
      </c>
      <c r="H92" s="111">
        <f>INDEX(Model!$AD$33:$AD$36,MATCH($J92,Model!$AB$33:$AB$36,0))</f>
        <v>0.71950000000000003</v>
      </c>
      <c r="I92" s="132">
        <f t="shared" si="24"/>
        <v>919235.41384615377</v>
      </c>
      <c r="J92" s="112" t="s">
        <v>25</v>
      </c>
      <c r="K92" s="122">
        <f>INDEX(Model!$AD$37:$AD$40,MATCH($J92,Model!$AB$33:$AB$36,0))</f>
        <v>141.02045602481141</v>
      </c>
      <c r="L92" s="136">
        <f>K92*I92</f>
        <v>129630997.25474085</v>
      </c>
      <c r="M92" s="134">
        <f>'Example calcs 2000'!N92*0.95</f>
        <v>18267250.609570775</v>
      </c>
      <c r="N92" s="132">
        <f t="shared" si="25"/>
        <v>20246263.065694302</v>
      </c>
      <c r="O92" s="134" t="str">
        <f t="shared" si="26"/>
        <v/>
      </c>
      <c r="P92" s="134">
        <f t="shared" si="27"/>
        <v>18267250.609570775</v>
      </c>
      <c r="Q92" s="122" t="s">
        <v>30</v>
      </c>
      <c r="R92" s="53">
        <f t="shared" si="28"/>
        <v>0</v>
      </c>
      <c r="S92" s="122">
        <f>INDEX(Model!$AD$54:$AD$118,MATCH($Q92,Model!$AB$54:$AB$118,0)+MATCH(Model!$Z$116,Model!$Z$54:$Z$118,0)-1)</f>
        <v>0.997</v>
      </c>
      <c r="T92" s="136">
        <f t="shared" si="29"/>
        <v>18212448.857742064</v>
      </c>
      <c r="U92" s="134">
        <f>'Example calcs 2000'!S92*0.8</f>
        <v>15251980.742107861</v>
      </c>
      <c r="V92" s="132">
        <f t="shared" si="30"/>
        <v>2875649.8196434807</v>
      </c>
      <c r="W92" s="134">
        <f t="shared" si="31"/>
        <v>0.95811694694105154</v>
      </c>
      <c r="X92" s="134">
        <f t="shared" si="20"/>
        <v>18007189.567776259</v>
      </c>
      <c r="Y92" s="112" t="s">
        <v>35</v>
      </c>
      <c r="Z92" s="53">
        <f t="shared" si="32"/>
        <v>0</v>
      </c>
      <c r="AA92" s="112">
        <f>Model!$AC$147</f>
        <v>1</v>
      </c>
      <c r="AB92" s="112"/>
      <c r="AC92" s="136">
        <f>X92*AA92</f>
        <v>18007189.567776259</v>
      </c>
      <c r="AD92" s="134">
        <f>'Example calcs 2000'!Y92*0.8</f>
        <v>0</v>
      </c>
      <c r="AE92" s="132">
        <f t="shared" si="33"/>
        <v>2755208.8256684002</v>
      </c>
      <c r="AF92" s="134">
        <f t="shared" si="34"/>
        <v>5.2787131529516608E-7</v>
      </c>
      <c r="AG92" s="134">
        <f t="shared" si="21"/>
        <v>1.4543957067184283</v>
      </c>
      <c r="AH92" s="112" t="s">
        <v>144</v>
      </c>
      <c r="AI92" s="53">
        <f t="shared" si="35"/>
        <v>1</v>
      </c>
      <c r="AJ92" s="112">
        <f>Model!$AC$191</f>
        <v>0.4</v>
      </c>
      <c r="AK92" s="112"/>
      <c r="AL92" s="123">
        <f t="shared" si="36"/>
        <v>0.5817582826873714</v>
      </c>
      <c r="AM92" s="112">
        <f t="shared" si="37"/>
        <v>0</v>
      </c>
    </row>
    <row r="93" spans="3:39" s="104" customFormat="1" x14ac:dyDescent="0.25">
      <c r="C93" s="154">
        <f>Model!$AD$14</f>
        <v>3321768</v>
      </c>
      <c r="D93" s="55">
        <f>Model!$AD$17</f>
        <v>0.38461538461538458</v>
      </c>
      <c r="E93" s="155">
        <f t="shared" si="22"/>
        <v>1277603.0769230768</v>
      </c>
      <c r="F93" s="55">
        <f>Model!$AD$28</f>
        <v>1</v>
      </c>
      <c r="G93" s="155">
        <f t="shared" si="23"/>
        <v>1277603.0769230768</v>
      </c>
      <c r="H93" s="111">
        <f>INDEX(Model!$AD$33:$AD$36,MATCH($J93,Model!$AB$33:$AB$36,0))</f>
        <v>0.71950000000000003</v>
      </c>
      <c r="I93" s="132">
        <f t="shared" si="24"/>
        <v>919235.41384615377</v>
      </c>
      <c r="J93" s="112" t="s">
        <v>25</v>
      </c>
      <c r="K93" s="122">
        <f>INDEX(Model!$AD$37:$AD$40,MATCH($J93,Model!$AB$33:$AB$36,0))</f>
        <v>141.02045602481141</v>
      </c>
      <c r="L93" s="136">
        <f>K93*I93</f>
        <v>129630997.25474085</v>
      </c>
      <c r="M93" s="134">
        <f>'Example calcs 2000'!N93*0.95</f>
        <v>18267250.609570775</v>
      </c>
      <c r="N93" s="132">
        <f t="shared" si="25"/>
        <v>20246263.065694302</v>
      </c>
      <c r="O93" s="134" t="str">
        <f t="shared" si="26"/>
        <v/>
      </c>
      <c r="P93" s="134">
        <f t="shared" si="27"/>
        <v>18267250.609570775</v>
      </c>
      <c r="Q93" s="122" t="s">
        <v>30</v>
      </c>
      <c r="R93" s="53">
        <f t="shared" si="28"/>
        <v>0</v>
      </c>
      <c r="S93" s="122">
        <f>INDEX(Model!$AD$54:$AD$118,MATCH($Q93,Model!$AB$54:$AB$118,0)+MATCH(Model!$Z$116,Model!$Z$54:$Z$118,0)-1)</f>
        <v>0.997</v>
      </c>
      <c r="T93" s="136">
        <f t="shared" si="29"/>
        <v>18212448.857742064</v>
      </c>
      <c r="U93" s="134">
        <f>'Example calcs 2000'!S93*0.8</f>
        <v>15251980.742107861</v>
      </c>
      <c r="V93" s="132">
        <f t="shared" si="30"/>
        <v>2875649.8196434807</v>
      </c>
      <c r="W93" s="134">
        <f t="shared" si="31"/>
        <v>0.95811694694105154</v>
      </c>
      <c r="X93" s="134">
        <f t="shared" si="20"/>
        <v>18007189.567776259</v>
      </c>
      <c r="Y93" s="112" t="s">
        <v>35</v>
      </c>
      <c r="Z93" s="53">
        <f t="shared" si="32"/>
        <v>0</v>
      </c>
      <c r="AA93" s="112">
        <f>Model!$AC$147</f>
        <v>1</v>
      </c>
      <c r="AB93" s="112"/>
      <c r="AC93" s="136">
        <f>X93*AA93</f>
        <v>18007189.567776259</v>
      </c>
      <c r="AD93" s="134">
        <f>'Example calcs 2000'!Y93*0.8</f>
        <v>14336861.897581387</v>
      </c>
      <c r="AE93" s="132">
        <f t="shared" si="33"/>
        <v>2755208.8256684002</v>
      </c>
      <c r="AF93" s="134" t="str">
        <f t="shared" si="34"/>
        <v/>
      </c>
      <c r="AG93" s="134">
        <f t="shared" si="21"/>
        <v>14336861.897581387</v>
      </c>
      <c r="AH93" s="112" t="s">
        <v>65</v>
      </c>
      <c r="AI93" s="53">
        <f t="shared" si="35"/>
        <v>1</v>
      </c>
      <c r="AJ93" s="112"/>
      <c r="AK93" s="112">
        <f>Model!$AC$164</f>
        <v>1.613</v>
      </c>
      <c r="AL93" s="123">
        <f t="shared" si="36"/>
        <v>0</v>
      </c>
      <c r="AM93" s="112">
        <f t="shared" si="37"/>
        <v>23125358.240798779</v>
      </c>
    </row>
    <row r="94" spans="3:39" s="104" customFormat="1" x14ac:dyDescent="0.25">
      <c r="C94" s="154">
        <f>Model!$AD$14</f>
        <v>3321768</v>
      </c>
      <c r="D94" s="55">
        <f>Model!$AD$17</f>
        <v>0.38461538461538458</v>
      </c>
      <c r="E94" s="155">
        <f t="shared" si="22"/>
        <v>1277603.0769230768</v>
      </c>
      <c r="F94" s="55">
        <f>Model!$AD$28</f>
        <v>1</v>
      </c>
      <c r="G94" s="155">
        <f t="shared" si="23"/>
        <v>1277603.0769230768</v>
      </c>
      <c r="H94" s="111">
        <f>INDEX(Model!$AD$33:$AD$36,MATCH($J94,Model!$AB$33:$AB$36,0))</f>
        <v>0.71950000000000003</v>
      </c>
      <c r="I94" s="132">
        <f t="shared" si="24"/>
        <v>919235.41384615377</v>
      </c>
      <c r="J94" s="112" t="s">
        <v>25</v>
      </c>
      <c r="K94" s="122">
        <f>INDEX(Model!$AD$37:$AD$40,MATCH($J94,Model!$AB$33:$AB$36,0))</f>
        <v>141.02045602481141</v>
      </c>
      <c r="L94" s="136">
        <f>K94*I94</f>
        <v>129630997.25474085</v>
      </c>
      <c r="M94" s="134">
        <f>'Example calcs 2000'!N94*0.95</f>
        <v>18267250.609570775</v>
      </c>
      <c r="N94" s="132">
        <f t="shared" si="25"/>
        <v>20246263.065694302</v>
      </c>
      <c r="O94" s="134" t="str">
        <f t="shared" si="26"/>
        <v/>
      </c>
      <c r="P94" s="134">
        <f t="shared" si="27"/>
        <v>18267250.609570775</v>
      </c>
      <c r="Q94" s="122" t="s">
        <v>30</v>
      </c>
      <c r="R94" s="53">
        <f t="shared" si="28"/>
        <v>0</v>
      </c>
      <c r="S94" s="122">
        <f>INDEX(Model!$AD$54:$AD$118,MATCH($Q94,Model!$AB$54:$AB$118,0)+MATCH(Model!$Z$116,Model!$Z$54:$Z$118,0)-1)</f>
        <v>0.997</v>
      </c>
      <c r="T94" s="136">
        <f t="shared" si="29"/>
        <v>18212448.857742064</v>
      </c>
      <c r="U94" s="134">
        <f>'Example calcs 2000'!S94*0.8</f>
        <v>15251980.742107861</v>
      </c>
      <c r="V94" s="132">
        <f t="shared" si="30"/>
        <v>2875649.8196434807</v>
      </c>
      <c r="W94" s="134">
        <f t="shared" si="31"/>
        <v>0.95811694694105154</v>
      </c>
      <c r="X94" s="134">
        <f t="shared" si="20"/>
        <v>18007189.567776259</v>
      </c>
      <c r="Y94" s="112" t="s">
        <v>35</v>
      </c>
      <c r="Z94" s="53">
        <f t="shared" si="32"/>
        <v>0</v>
      </c>
      <c r="AA94" s="112">
        <f>Model!$AC$147</f>
        <v>1</v>
      </c>
      <c r="AB94" s="112"/>
      <c r="AC94" s="136">
        <f>X94*AA94</f>
        <v>18007189.567776259</v>
      </c>
      <c r="AD94" s="134">
        <f>'Example calcs 2000'!Y94*0.8</f>
        <v>762599.03710539313</v>
      </c>
      <c r="AE94" s="132">
        <f t="shared" si="33"/>
        <v>2755208.8256684002</v>
      </c>
      <c r="AF94" s="134">
        <f t="shared" si="34"/>
        <v>0.95777996621220318</v>
      </c>
      <c r="AG94" s="134">
        <f t="shared" si="21"/>
        <v>3401482.8530616374</v>
      </c>
      <c r="AH94" s="112" t="s">
        <v>66</v>
      </c>
      <c r="AI94" s="53">
        <f t="shared" si="35"/>
        <v>1</v>
      </c>
      <c r="AJ94" s="112"/>
      <c r="AK94" s="112">
        <f>Model!$AC$204</f>
        <v>1.111</v>
      </c>
      <c r="AL94" s="123">
        <f t="shared" si="36"/>
        <v>0</v>
      </c>
      <c r="AM94" s="112">
        <f t="shared" si="37"/>
        <v>3779047.4497514791</v>
      </c>
    </row>
    <row r="95" spans="3:39" s="104" customFormat="1" x14ac:dyDescent="0.25">
      <c r="C95" s="154">
        <f>Model!$AD$14</f>
        <v>3321768</v>
      </c>
      <c r="D95" s="55">
        <f>Model!$AD$17</f>
        <v>0.38461538461538458</v>
      </c>
      <c r="E95" s="155">
        <f t="shared" si="22"/>
        <v>1277603.0769230768</v>
      </c>
      <c r="F95" s="55">
        <f>Model!$AD$28</f>
        <v>1</v>
      </c>
      <c r="G95" s="155">
        <f t="shared" si="23"/>
        <v>1277603.0769230768</v>
      </c>
      <c r="H95" s="111">
        <f>INDEX(Model!$AD$33:$AD$36,MATCH($J95,Model!$AB$33:$AB$36,0))</f>
        <v>0.71950000000000003</v>
      </c>
      <c r="I95" s="132">
        <f t="shared" si="24"/>
        <v>919235.41384615377</v>
      </c>
      <c r="J95" s="112" t="s">
        <v>25</v>
      </c>
      <c r="K95" s="122">
        <f>INDEX(Model!$AD$37:$AD$40,MATCH($J95,Model!$AB$33:$AB$36,0))</f>
        <v>141.02045602481141</v>
      </c>
      <c r="L95" s="136">
        <f>K95*I95</f>
        <v>129630997.25474085</v>
      </c>
      <c r="M95" s="134">
        <f>'Example calcs 2000'!N95*0.95</f>
        <v>0</v>
      </c>
      <c r="N95" s="132">
        <f t="shared" si="25"/>
        <v>20246263.065694302</v>
      </c>
      <c r="O95" s="134">
        <f t="shared" si="26"/>
        <v>1.0208069021639147E-6</v>
      </c>
      <c r="P95" s="134">
        <f t="shared" si="27"/>
        <v>20.667525080487085</v>
      </c>
      <c r="Q95" s="122" t="s">
        <v>32</v>
      </c>
      <c r="R95" s="53">
        <f t="shared" si="28"/>
        <v>1</v>
      </c>
      <c r="S95" s="122">
        <f>INDEX(Model!$AD$54:$AD$118,MATCH($Q95,Model!$AB$54:$AB$118,0)+MATCH(Model!$Z$116,Model!$Z$54:$Z$118,0)-1)</f>
        <v>0.36</v>
      </c>
      <c r="T95" s="136">
        <f t="shared" si="29"/>
        <v>7.4403090289753502</v>
      </c>
      <c r="U95" s="134">
        <f>'Example calcs 2000'!S95*0.8</f>
        <v>0</v>
      </c>
      <c r="V95" s="132">
        <f t="shared" si="30"/>
        <v>7.4403090289753502</v>
      </c>
      <c r="W95" s="134">
        <f t="shared" si="31"/>
        <v>4.1883053058948572E-2</v>
      </c>
      <c r="X95" s="134">
        <f t="shared" si="20"/>
        <v>0.31162285783554872</v>
      </c>
      <c r="Y95" s="112" t="s">
        <v>34</v>
      </c>
      <c r="Z95" s="53">
        <f t="shared" si="32"/>
        <v>1</v>
      </c>
      <c r="AA95" s="112"/>
      <c r="AB95" s="112">
        <f>Model!$AC$137</f>
        <v>1</v>
      </c>
      <c r="AC95" s="136"/>
      <c r="AD95" s="134">
        <f>'Example calcs 2000'!Y95*0.8</f>
        <v>0</v>
      </c>
      <c r="AE95" s="132">
        <f t="shared" si="33"/>
        <v>0</v>
      </c>
      <c r="AF95" s="134" t="str">
        <f t="shared" si="34"/>
        <v/>
      </c>
      <c r="AG95" s="134">
        <f t="shared" si="21"/>
        <v>0</v>
      </c>
      <c r="AH95" s="112"/>
      <c r="AI95" s="53">
        <f t="shared" si="35"/>
        <v>1</v>
      </c>
      <c r="AJ95" s="112"/>
      <c r="AK95" s="112"/>
      <c r="AL95" s="123">
        <f t="shared" si="36"/>
        <v>0.31162285783554872</v>
      </c>
      <c r="AM95" s="112">
        <f t="shared" si="37"/>
        <v>0</v>
      </c>
    </row>
    <row r="96" spans="3:39" s="104" customFormat="1" x14ac:dyDescent="0.25">
      <c r="C96" s="154">
        <f>Model!$AD$14</f>
        <v>3321768</v>
      </c>
      <c r="D96" s="55">
        <f>Model!$AD$17</f>
        <v>0.38461538461538458</v>
      </c>
      <c r="E96" s="155">
        <f t="shared" si="22"/>
        <v>1277603.0769230768</v>
      </c>
      <c r="F96" s="55">
        <f>Model!$AD$28</f>
        <v>1</v>
      </c>
      <c r="G96" s="155">
        <f t="shared" si="23"/>
        <v>1277603.0769230768</v>
      </c>
      <c r="H96" s="111">
        <f>INDEX(Model!$AD$33:$AD$36,MATCH($J96,Model!$AB$33:$AB$36,0))</f>
        <v>0.71950000000000003</v>
      </c>
      <c r="I96" s="132">
        <f t="shared" si="24"/>
        <v>919235.41384615377</v>
      </c>
      <c r="J96" s="112" t="s">
        <v>25</v>
      </c>
      <c r="K96" s="122">
        <f>INDEX(Model!$AD$37:$AD$40,MATCH($J96,Model!$AB$33:$AB$36,0))</f>
        <v>141.02045602481141</v>
      </c>
      <c r="L96" s="136">
        <f>K96*I96</f>
        <v>129630997.25474085</v>
      </c>
      <c r="M96" s="134">
        <f>'Example calcs 2000'!N96*0.95</f>
        <v>0</v>
      </c>
      <c r="N96" s="132">
        <f t="shared" si="25"/>
        <v>20246263.065694302</v>
      </c>
      <c r="O96" s="134">
        <f t="shared" si="26"/>
        <v>1.0208069021639147E-6</v>
      </c>
      <c r="P96" s="134">
        <f t="shared" si="27"/>
        <v>20.667525080487085</v>
      </c>
      <c r="Q96" s="122" t="s">
        <v>32</v>
      </c>
      <c r="R96" s="53">
        <f t="shared" si="28"/>
        <v>0</v>
      </c>
      <c r="S96" s="122">
        <f>INDEX(Model!$AD$54:$AD$118,MATCH($Q96,Model!$AB$54:$AB$118,0)+MATCH(Model!$Z$116,Model!$Z$54:$Z$118,0)-1)</f>
        <v>0.36</v>
      </c>
      <c r="T96" s="136">
        <f t="shared" si="29"/>
        <v>7.4403090289753502</v>
      </c>
      <c r="U96" s="134">
        <f>'Example calcs 2000'!S96*0.8</f>
        <v>0</v>
      </c>
      <c r="V96" s="132">
        <f t="shared" si="30"/>
        <v>7.4403090289753502</v>
      </c>
      <c r="W96" s="134">
        <f t="shared" si="31"/>
        <v>0.95811694694105154</v>
      </c>
      <c r="X96" s="134">
        <f t="shared" si="20"/>
        <v>7.128686171139802</v>
      </c>
      <c r="Y96" s="112" t="s">
        <v>35</v>
      </c>
      <c r="Z96" s="53">
        <f t="shared" si="32"/>
        <v>1</v>
      </c>
      <c r="AA96" s="112">
        <f>Model!$AC$147</f>
        <v>1</v>
      </c>
      <c r="AB96" s="112"/>
      <c r="AC96" s="136">
        <f>X96*AA96</f>
        <v>7.128686171139802</v>
      </c>
      <c r="AD96" s="134">
        <f>'Example calcs 2000'!Y96*0.8</f>
        <v>0</v>
      </c>
      <c r="AE96" s="132">
        <f t="shared" si="33"/>
        <v>7.128686171139802</v>
      </c>
      <c r="AF96" s="134">
        <f t="shared" si="34"/>
        <v>4.2219505916481506E-2</v>
      </c>
      <c r="AG96" s="134">
        <f t="shared" si="21"/>
        <v>0.30096960797917677</v>
      </c>
      <c r="AH96" s="112" t="s">
        <v>67</v>
      </c>
      <c r="AI96" s="53">
        <f t="shared" si="35"/>
        <v>1</v>
      </c>
      <c r="AJ96" s="112">
        <f>Model!$AC$178</f>
        <v>0.52600000000000002</v>
      </c>
      <c r="AK96" s="112"/>
      <c r="AL96" s="123">
        <f t="shared" si="36"/>
        <v>0.15831001379704698</v>
      </c>
      <c r="AM96" s="112">
        <f t="shared" si="37"/>
        <v>0</v>
      </c>
    </row>
    <row r="97" spans="3:50" s="104" customFormat="1" x14ac:dyDescent="0.25">
      <c r="C97" s="154">
        <f>Model!$AD$14</f>
        <v>3321768</v>
      </c>
      <c r="D97" s="55">
        <f>Model!$AD$17</f>
        <v>0.38461538461538458</v>
      </c>
      <c r="E97" s="155">
        <f t="shared" si="22"/>
        <v>1277603.0769230768</v>
      </c>
      <c r="F97" s="55">
        <f>Model!$AD$28</f>
        <v>1</v>
      </c>
      <c r="G97" s="155">
        <f t="shared" si="23"/>
        <v>1277603.0769230768</v>
      </c>
      <c r="H97" s="111">
        <f>INDEX(Model!$AD$33:$AD$36,MATCH($J97,Model!$AB$33:$AB$36,0))</f>
        <v>0.71950000000000003</v>
      </c>
      <c r="I97" s="132">
        <f t="shared" si="24"/>
        <v>919235.41384615377</v>
      </c>
      <c r="J97" s="112" t="s">
        <v>25</v>
      </c>
      <c r="K97" s="122">
        <f>INDEX(Model!$AD$37:$AD$40,MATCH($J97,Model!$AB$33:$AB$36,0))</f>
        <v>141.02045602481141</v>
      </c>
      <c r="L97" s="136">
        <f>K97*I97</f>
        <v>129630997.25474085</v>
      </c>
      <c r="M97" s="134">
        <f>'Example calcs 2000'!N97*0.95</f>
        <v>0</v>
      </c>
      <c r="N97" s="132">
        <f t="shared" si="25"/>
        <v>20246263.065694302</v>
      </c>
      <c r="O97" s="134">
        <f t="shared" si="26"/>
        <v>1.0208069021639147E-6</v>
      </c>
      <c r="P97" s="134">
        <f t="shared" si="27"/>
        <v>20.667525080487085</v>
      </c>
      <c r="Q97" s="122" t="s">
        <v>32</v>
      </c>
      <c r="R97" s="53">
        <f t="shared" si="28"/>
        <v>0</v>
      </c>
      <c r="S97" s="122">
        <f>INDEX(Model!$AD$54:$AD$118,MATCH($Q97,Model!$AB$54:$AB$118,0)+MATCH(Model!$Z$116,Model!$Z$54:$Z$118,0)-1)</f>
        <v>0.36</v>
      </c>
      <c r="T97" s="136">
        <f t="shared" si="29"/>
        <v>7.4403090289753502</v>
      </c>
      <c r="U97" s="134">
        <f>'Example calcs 2000'!S97*0.8</f>
        <v>0</v>
      </c>
      <c r="V97" s="132">
        <f t="shared" si="30"/>
        <v>7.4403090289753502</v>
      </c>
      <c r="W97" s="134">
        <f t="shared" si="31"/>
        <v>0.95811694694105154</v>
      </c>
      <c r="X97" s="134">
        <f t="shared" si="20"/>
        <v>7.128686171139802</v>
      </c>
      <c r="Y97" s="112" t="s">
        <v>35</v>
      </c>
      <c r="Z97" s="53">
        <f t="shared" si="32"/>
        <v>0</v>
      </c>
      <c r="AA97" s="112">
        <f>Model!$AC$147</f>
        <v>1</v>
      </c>
      <c r="AB97" s="112"/>
      <c r="AC97" s="136">
        <f>X97*AA97</f>
        <v>7.128686171139802</v>
      </c>
      <c r="AD97" s="134">
        <f>'Example calcs 2000'!Y97*0.8</f>
        <v>0</v>
      </c>
      <c r="AE97" s="132">
        <f t="shared" si="33"/>
        <v>7.128686171139802</v>
      </c>
      <c r="AF97" s="134">
        <f t="shared" si="34"/>
        <v>5.2787131529516608E-7</v>
      </c>
      <c r="AG97" s="134">
        <f t="shared" si="21"/>
        <v>3.7630289454860289E-6</v>
      </c>
      <c r="AH97" s="112" t="s">
        <v>144</v>
      </c>
      <c r="AI97" s="53">
        <f t="shared" si="35"/>
        <v>1</v>
      </c>
      <c r="AJ97" s="112">
        <f>Model!$AC$191</f>
        <v>0.4</v>
      </c>
      <c r="AK97" s="112"/>
      <c r="AL97" s="123">
        <f t="shared" si="36"/>
        <v>1.5052115781944117E-6</v>
      </c>
      <c r="AM97" s="112">
        <f t="shared" si="37"/>
        <v>0</v>
      </c>
    </row>
    <row r="98" spans="3:50" s="104" customFormat="1" x14ac:dyDescent="0.25">
      <c r="C98" s="154">
        <f>Model!$AD$14</f>
        <v>3321768</v>
      </c>
      <c r="D98" s="55">
        <f>Model!$AD$17</f>
        <v>0.38461538461538458</v>
      </c>
      <c r="E98" s="155">
        <f t="shared" si="22"/>
        <v>1277603.0769230768</v>
      </c>
      <c r="F98" s="55">
        <f>Model!$AD$28</f>
        <v>1</v>
      </c>
      <c r="G98" s="155">
        <f t="shared" si="23"/>
        <v>1277603.0769230768</v>
      </c>
      <c r="H98" s="111">
        <f>INDEX(Model!$AD$33:$AD$36,MATCH($J98,Model!$AB$33:$AB$36,0))</f>
        <v>0.71950000000000003</v>
      </c>
      <c r="I98" s="132">
        <f t="shared" si="24"/>
        <v>919235.41384615377</v>
      </c>
      <c r="J98" s="112" t="s">
        <v>25</v>
      </c>
      <c r="K98" s="122">
        <f>INDEX(Model!$AD$37:$AD$40,MATCH($J98,Model!$AB$33:$AB$36,0))</f>
        <v>141.02045602481141</v>
      </c>
      <c r="L98" s="136">
        <f>K98*I98</f>
        <v>129630997.25474085</v>
      </c>
      <c r="M98" s="134">
        <f>'Example calcs 2000'!N98*0.95</f>
        <v>0</v>
      </c>
      <c r="N98" s="132">
        <f t="shared" si="25"/>
        <v>20246263.065694302</v>
      </c>
      <c r="O98" s="134">
        <f t="shared" si="26"/>
        <v>1.0208069021639147E-6</v>
      </c>
      <c r="P98" s="134">
        <f t="shared" si="27"/>
        <v>20.667525080487085</v>
      </c>
      <c r="Q98" s="122" t="s">
        <v>32</v>
      </c>
      <c r="R98" s="53">
        <f t="shared" si="28"/>
        <v>0</v>
      </c>
      <c r="S98" s="122">
        <f>INDEX(Model!$AD$54:$AD$118,MATCH($Q98,Model!$AB$54:$AB$118,0)+MATCH(Model!$Z$116,Model!$Z$54:$Z$118,0)-1)</f>
        <v>0.36</v>
      </c>
      <c r="T98" s="136">
        <f t="shared" si="29"/>
        <v>7.4403090289753502</v>
      </c>
      <c r="U98" s="134">
        <f>'Example calcs 2000'!S98*0.8</f>
        <v>0</v>
      </c>
      <c r="V98" s="132">
        <f t="shared" si="30"/>
        <v>7.4403090289753502</v>
      </c>
      <c r="W98" s="134">
        <f t="shared" si="31"/>
        <v>0.95811694694105154</v>
      </c>
      <c r="X98" s="134">
        <f t="shared" si="20"/>
        <v>7.128686171139802</v>
      </c>
      <c r="Y98" s="112" t="s">
        <v>35</v>
      </c>
      <c r="Z98" s="53">
        <f t="shared" si="32"/>
        <v>0</v>
      </c>
      <c r="AA98" s="112">
        <f>Model!$AC$147</f>
        <v>1</v>
      </c>
      <c r="AB98" s="112"/>
      <c r="AC98" s="136">
        <f>X98*AA98</f>
        <v>7.128686171139802</v>
      </c>
      <c r="AD98" s="134">
        <f>'Example calcs 2000'!Y98*0.8</f>
        <v>0</v>
      </c>
      <c r="AE98" s="132">
        <f t="shared" si="33"/>
        <v>7.128686171139802</v>
      </c>
      <c r="AF98" s="134" t="str">
        <f t="shared" si="34"/>
        <v/>
      </c>
      <c r="AG98" s="134">
        <f t="shared" si="21"/>
        <v>0</v>
      </c>
      <c r="AH98" s="112" t="s">
        <v>65</v>
      </c>
      <c r="AI98" s="53">
        <f t="shared" si="35"/>
        <v>1</v>
      </c>
      <c r="AJ98" s="112"/>
      <c r="AK98" s="112">
        <f>Model!$AC$164</f>
        <v>1.613</v>
      </c>
      <c r="AL98" s="123">
        <f t="shared" si="36"/>
        <v>0</v>
      </c>
      <c r="AM98" s="112">
        <f t="shared" si="37"/>
        <v>0</v>
      </c>
    </row>
    <row r="99" spans="3:50" s="104" customFormat="1" x14ac:dyDescent="0.25">
      <c r="C99" s="154">
        <f>Model!$AD$14</f>
        <v>3321768</v>
      </c>
      <c r="D99" s="55">
        <f>Model!$AD$17</f>
        <v>0.38461538461538458</v>
      </c>
      <c r="E99" s="155">
        <f t="shared" si="22"/>
        <v>1277603.0769230768</v>
      </c>
      <c r="F99" s="55">
        <f>Model!$AD$28</f>
        <v>1</v>
      </c>
      <c r="G99" s="155">
        <f t="shared" si="23"/>
        <v>1277603.0769230768</v>
      </c>
      <c r="H99" s="111">
        <f>INDEX(Model!$AD$33:$AD$36,MATCH($J99,Model!$AB$33:$AB$36,0))</f>
        <v>0.71950000000000003</v>
      </c>
      <c r="I99" s="132">
        <f t="shared" si="24"/>
        <v>919235.41384615377</v>
      </c>
      <c r="J99" s="112" t="s">
        <v>25</v>
      </c>
      <c r="K99" s="122">
        <f>INDEX(Model!$AD$37:$AD$40,MATCH($J99,Model!$AB$33:$AB$36,0))</f>
        <v>141.02045602481141</v>
      </c>
      <c r="L99" s="136">
        <f>K99*I99</f>
        <v>129630997.25474085</v>
      </c>
      <c r="M99" s="134">
        <f>'Example calcs 2000'!N99*0.95</f>
        <v>0</v>
      </c>
      <c r="N99" s="132">
        <f t="shared" si="25"/>
        <v>20246263.065694302</v>
      </c>
      <c r="O99" s="134">
        <f t="shared" si="26"/>
        <v>1.0208069021639147E-6</v>
      </c>
      <c r="P99" s="134">
        <f t="shared" si="27"/>
        <v>20.667525080487085</v>
      </c>
      <c r="Q99" s="122" t="s">
        <v>32</v>
      </c>
      <c r="R99" s="53">
        <f t="shared" si="28"/>
        <v>0</v>
      </c>
      <c r="S99" s="122">
        <f>INDEX(Model!$AD$54:$AD$118,MATCH($Q99,Model!$AB$54:$AB$118,0)+MATCH(Model!$Z$116,Model!$Z$54:$Z$118,0)-1)</f>
        <v>0.36</v>
      </c>
      <c r="T99" s="136">
        <f t="shared" si="29"/>
        <v>7.4403090289753502</v>
      </c>
      <c r="U99" s="134">
        <f>'Example calcs 2000'!S99*0.8</f>
        <v>0</v>
      </c>
      <c r="V99" s="132">
        <f t="shared" si="30"/>
        <v>7.4403090289753502</v>
      </c>
      <c r="W99" s="134">
        <f t="shared" si="31"/>
        <v>0.95811694694105154</v>
      </c>
      <c r="X99" s="134">
        <f t="shared" si="20"/>
        <v>7.128686171139802</v>
      </c>
      <c r="Y99" s="112" t="s">
        <v>35</v>
      </c>
      <c r="Z99" s="53">
        <f t="shared" si="32"/>
        <v>0</v>
      </c>
      <c r="AA99" s="112">
        <f>Model!$AC$147</f>
        <v>1</v>
      </c>
      <c r="AB99" s="112"/>
      <c r="AC99" s="136">
        <f>X99*AA99</f>
        <v>7.128686171139802</v>
      </c>
      <c r="AD99" s="134">
        <f>'Example calcs 2000'!Y99*0.8</f>
        <v>0</v>
      </c>
      <c r="AE99" s="132">
        <f t="shared" si="33"/>
        <v>7.128686171139802</v>
      </c>
      <c r="AF99" s="134">
        <f t="shared" si="34"/>
        <v>0.95777996621220318</v>
      </c>
      <c r="AG99" s="134">
        <f t="shared" si="21"/>
        <v>6.82771280013168</v>
      </c>
      <c r="AH99" s="112" t="s">
        <v>66</v>
      </c>
      <c r="AI99" s="53">
        <f t="shared" si="35"/>
        <v>1</v>
      </c>
      <c r="AJ99" s="112"/>
      <c r="AK99" s="112">
        <f>Model!$AC$204</f>
        <v>1.111</v>
      </c>
      <c r="AL99" s="123">
        <f t="shared" si="36"/>
        <v>0</v>
      </c>
      <c r="AM99" s="112">
        <f t="shared" si="37"/>
        <v>7.5855889209462966</v>
      </c>
    </row>
    <row r="100" spans="3:50" s="104" customFormat="1" x14ac:dyDescent="0.25">
      <c r="C100" s="154">
        <f>Model!$AD$14</f>
        <v>3321768</v>
      </c>
      <c r="D100" s="55">
        <f>Model!$AD$17</f>
        <v>0.38461538461538458</v>
      </c>
      <c r="E100" s="155">
        <f t="shared" si="22"/>
        <v>1277603.0769230768</v>
      </c>
      <c r="F100" s="55">
        <f>Model!$AD$28</f>
        <v>1</v>
      </c>
      <c r="G100" s="155">
        <f t="shared" si="23"/>
        <v>1277603.0769230768</v>
      </c>
      <c r="H100" s="111">
        <f>INDEX(Model!$AD$33:$AD$36,MATCH($J100,Model!$AB$33:$AB$36,0))</f>
        <v>0.71950000000000003</v>
      </c>
      <c r="I100" s="132">
        <f t="shared" si="24"/>
        <v>919235.41384615377</v>
      </c>
      <c r="J100" s="112" t="s">
        <v>25</v>
      </c>
      <c r="K100" s="122">
        <f>INDEX(Model!$AD$37:$AD$40,MATCH($J100,Model!$AB$33:$AB$36,0))</f>
        <v>141.02045602481141</v>
      </c>
      <c r="L100" s="136">
        <f>K100*I100</f>
        <v>129630997.25474085</v>
      </c>
      <c r="M100" s="134">
        <f>'Example calcs 2000'!N100*0.95</f>
        <v>0</v>
      </c>
      <c r="N100" s="132">
        <f t="shared" si="25"/>
        <v>20246263.065694302</v>
      </c>
      <c r="O100" s="134">
        <f t="shared" si="26"/>
        <v>0.9999989751173719</v>
      </c>
      <c r="P100" s="134">
        <f t="shared" si="27"/>
        <v>20246242.315651003</v>
      </c>
      <c r="Q100" s="122" t="s">
        <v>31</v>
      </c>
      <c r="R100" s="53">
        <f t="shared" si="28"/>
        <v>1</v>
      </c>
      <c r="S100" s="122">
        <f>INDEX(Model!$AD$54:$AD$118,MATCH($Q100,Model!$AB$54:$AB$118,0)+MATCH(Model!$Z$116,Model!$Z$54:$Z$118,0)-1)</f>
        <v>0.51500000000000001</v>
      </c>
      <c r="T100" s="136">
        <f t="shared" si="29"/>
        <v>10426814.792560266</v>
      </c>
      <c r="U100" s="134">
        <f>'Example calcs 2000'!S100*0.8</f>
        <v>0</v>
      </c>
      <c r="V100" s="132">
        <f t="shared" si="30"/>
        <v>10426814.792560266</v>
      </c>
      <c r="W100" s="134">
        <f t="shared" si="31"/>
        <v>4.1883053058948572E-2</v>
      </c>
      <c r="X100" s="134">
        <f t="shared" si="20"/>
        <v>436706.8371926315</v>
      </c>
      <c r="Y100" s="112" t="s">
        <v>34</v>
      </c>
      <c r="Z100" s="53">
        <f t="shared" si="32"/>
        <v>1</v>
      </c>
      <c r="AA100" s="112"/>
      <c r="AB100" s="112">
        <f>Model!$AC$137</f>
        <v>1</v>
      </c>
      <c r="AC100" s="136"/>
      <c r="AD100" s="134">
        <f>'Example calcs 2000'!Y100*0.8</f>
        <v>0</v>
      </c>
      <c r="AE100" s="132">
        <f t="shared" si="33"/>
        <v>0</v>
      </c>
      <c r="AF100" s="134" t="str">
        <f t="shared" si="34"/>
        <v/>
      </c>
      <c r="AG100" s="134">
        <f t="shared" si="21"/>
        <v>0</v>
      </c>
      <c r="AH100" s="112"/>
      <c r="AI100" s="53">
        <f t="shared" si="35"/>
        <v>1</v>
      </c>
      <c r="AJ100" s="112"/>
      <c r="AK100" s="112"/>
      <c r="AL100" s="123">
        <f t="shared" si="36"/>
        <v>436706.8371926315</v>
      </c>
      <c r="AM100" s="112">
        <f t="shared" si="37"/>
        <v>0</v>
      </c>
    </row>
    <row r="101" spans="3:50" s="104" customFormat="1" x14ac:dyDescent="0.25">
      <c r="C101" s="154">
        <f>Model!$AD$14</f>
        <v>3321768</v>
      </c>
      <c r="D101" s="55">
        <f>Model!$AD$17</f>
        <v>0.38461538461538458</v>
      </c>
      <c r="E101" s="155">
        <f t="shared" si="22"/>
        <v>1277603.0769230768</v>
      </c>
      <c r="F101" s="55">
        <f>Model!$AD$28</f>
        <v>1</v>
      </c>
      <c r="G101" s="155">
        <f t="shared" si="23"/>
        <v>1277603.0769230768</v>
      </c>
      <c r="H101" s="111">
        <f>INDEX(Model!$AD$33:$AD$36,MATCH($J101,Model!$AB$33:$AB$36,0))</f>
        <v>0.71950000000000003</v>
      </c>
      <c r="I101" s="132">
        <f t="shared" si="24"/>
        <v>919235.41384615377</v>
      </c>
      <c r="J101" s="112" t="s">
        <v>25</v>
      </c>
      <c r="K101" s="122">
        <f>INDEX(Model!$AD$37:$AD$40,MATCH($J101,Model!$AB$33:$AB$36,0))</f>
        <v>141.02045602481141</v>
      </c>
      <c r="L101" s="136">
        <f>K101*I101</f>
        <v>129630997.25474085</v>
      </c>
      <c r="M101" s="134">
        <f>'Example calcs 2000'!N101*0.95</f>
        <v>0</v>
      </c>
      <c r="N101" s="132">
        <f t="shared" si="25"/>
        <v>20246263.065694302</v>
      </c>
      <c r="O101" s="134">
        <f t="shared" si="26"/>
        <v>0.9999989751173719</v>
      </c>
      <c r="P101" s="134">
        <f t="shared" si="27"/>
        <v>20246242.315651003</v>
      </c>
      <c r="Q101" s="122" t="s">
        <v>31</v>
      </c>
      <c r="R101" s="53">
        <f t="shared" si="28"/>
        <v>0</v>
      </c>
      <c r="S101" s="122">
        <f>INDEX(Model!$AD$54:$AD$118,MATCH($Q101,Model!$AB$54:$AB$118,0)+MATCH(Model!$Z$116,Model!$Z$54:$Z$118,0)-1)</f>
        <v>0.51500000000000001</v>
      </c>
      <c r="T101" s="136">
        <f t="shared" si="29"/>
        <v>10426814.792560266</v>
      </c>
      <c r="U101" s="134">
        <f>'Example calcs 2000'!S101*0.8</f>
        <v>0</v>
      </c>
      <c r="V101" s="132">
        <f t="shared" si="30"/>
        <v>10426814.792560266</v>
      </c>
      <c r="W101" s="134">
        <f t="shared" si="31"/>
        <v>0.95811694694105154</v>
      </c>
      <c r="X101" s="134">
        <f t="shared" si="20"/>
        <v>9990107.9553676359</v>
      </c>
      <c r="Y101" s="112" t="s">
        <v>35</v>
      </c>
      <c r="Z101" s="53">
        <f t="shared" si="32"/>
        <v>1</v>
      </c>
      <c r="AA101" s="112">
        <f>Model!$AC$147</f>
        <v>1</v>
      </c>
      <c r="AB101" s="112"/>
      <c r="AC101" s="136">
        <f>X101*AA101</f>
        <v>9990107.9553676359</v>
      </c>
      <c r="AD101" s="134">
        <f>'Example calcs 2000'!Y101*0.8</f>
        <v>0</v>
      </c>
      <c r="AE101" s="132">
        <f t="shared" si="33"/>
        <v>9990107.9553676359</v>
      </c>
      <c r="AF101" s="134">
        <f t="shared" si="34"/>
        <v>4.2219505916481506E-2</v>
      </c>
      <c r="AG101" s="134">
        <f t="shared" si="21"/>
        <v>421777.42192793288</v>
      </c>
      <c r="AH101" s="112" t="s">
        <v>67</v>
      </c>
      <c r="AI101" s="53">
        <f t="shared" si="35"/>
        <v>1</v>
      </c>
      <c r="AJ101" s="112">
        <f>Model!$AC$178</f>
        <v>0.52600000000000002</v>
      </c>
      <c r="AK101" s="112"/>
      <c r="AL101" s="123">
        <f t="shared" si="36"/>
        <v>221854.92393409272</v>
      </c>
      <c r="AM101" s="112">
        <f t="shared" si="37"/>
        <v>0</v>
      </c>
    </row>
    <row r="102" spans="3:50" s="104" customFormat="1" x14ac:dyDescent="0.25">
      <c r="C102" s="154">
        <f>Model!$AD$14</f>
        <v>3321768</v>
      </c>
      <c r="D102" s="55">
        <f>Model!$AD$17</f>
        <v>0.38461538461538458</v>
      </c>
      <c r="E102" s="155">
        <f t="shared" si="22"/>
        <v>1277603.0769230768</v>
      </c>
      <c r="F102" s="55">
        <f>Model!$AD$28</f>
        <v>1</v>
      </c>
      <c r="G102" s="155">
        <f t="shared" si="23"/>
        <v>1277603.0769230768</v>
      </c>
      <c r="H102" s="111">
        <f>INDEX(Model!$AD$33:$AD$36,MATCH($J102,Model!$AB$33:$AB$36,0))</f>
        <v>0.71950000000000003</v>
      </c>
      <c r="I102" s="132">
        <f t="shared" si="24"/>
        <v>919235.41384615377</v>
      </c>
      <c r="J102" s="112" t="s">
        <v>25</v>
      </c>
      <c r="K102" s="122">
        <f>INDEX(Model!$AD$37:$AD$40,MATCH($J102,Model!$AB$33:$AB$36,0))</f>
        <v>141.02045602481141</v>
      </c>
      <c r="L102" s="136">
        <f>K102*I102</f>
        <v>129630997.25474085</v>
      </c>
      <c r="M102" s="134">
        <f>'Example calcs 2000'!N102*0.95</f>
        <v>0</v>
      </c>
      <c r="N102" s="132">
        <f t="shared" si="25"/>
        <v>20246263.065694302</v>
      </c>
      <c r="O102" s="134">
        <f t="shared" si="26"/>
        <v>0.9999989751173719</v>
      </c>
      <c r="P102" s="134">
        <f t="shared" si="27"/>
        <v>20246242.315651003</v>
      </c>
      <c r="Q102" s="122" t="s">
        <v>31</v>
      </c>
      <c r="R102" s="53">
        <f t="shared" si="28"/>
        <v>0</v>
      </c>
      <c r="S102" s="122">
        <f>INDEX(Model!$AD$54:$AD$118,MATCH($Q102,Model!$AB$54:$AB$118,0)+MATCH(Model!$Z$116,Model!$Z$54:$Z$118,0)-1)</f>
        <v>0.51500000000000001</v>
      </c>
      <c r="T102" s="136">
        <f t="shared" si="29"/>
        <v>10426814.792560266</v>
      </c>
      <c r="U102" s="134">
        <f>'Example calcs 2000'!S102*0.8</f>
        <v>0</v>
      </c>
      <c r="V102" s="132">
        <f t="shared" si="30"/>
        <v>10426814.792560266</v>
      </c>
      <c r="W102" s="134">
        <f t="shared" si="31"/>
        <v>0.95811694694105154</v>
      </c>
      <c r="X102" s="134">
        <f t="shared" si="20"/>
        <v>9990107.9553676359</v>
      </c>
      <c r="Y102" s="112" t="s">
        <v>35</v>
      </c>
      <c r="Z102" s="53">
        <f t="shared" si="32"/>
        <v>0</v>
      </c>
      <c r="AA102" s="112">
        <f>Model!$AC$147</f>
        <v>1</v>
      </c>
      <c r="AB102" s="112"/>
      <c r="AC102" s="136">
        <f>X102*AA102</f>
        <v>9990107.9553676359</v>
      </c>
      <c r="AD102" s="134">
        <f>'Example calcs 2000'!Y102*0.8</f>
        <v>0</v>
      </c>
      <c r="AE102" s="132">
        <f t="shared" si="33"/>
        <v>9990107.9553676359</v>
      </c>
      <c r="AF102" s="134">
        <f t="shared" si="34"/>
        <v>5.2787131529516608E-7</v>
      </c>
      <c r="AG102" s="134">
        <f t="shared" si="21"/>
        <v>5.2734914263406161</v>
      </c>
      <c r="AH102" s="112" t="s">
        <v>144</v>
      </c>
      <c r="AI102" s="53">
        <f t="shared" si="35"/>
        <v>1</v>
      </c>
      <c r="AJ102" s="112">
        <f>Model!$AC$191</f>
        <v>0.4</v>
      </c>
      <c r="AK102" s="112"/>
      <c r="AL102" s="123">
        <f t="shared" si="36"/>
        <v>2.1093965705362465</v>
      </c>
      <c r="AM102" s="112">
        <f t="shared" si="37"/>
        <v>0</v>
      </c>
    </row>
    <row r="103" spans="3:50" s="104" customFormat="1" x14ac:dyDescent="0.25">
      <c r="C103" s="154">
        <f>Model!$AD$14</f>
        <v>3321768</v>
      </c>
      <c r="D103" s="55">
        <f>Model!$AD$17</f>
        <v>0.38461538461538458</v>
      </c>
      <c r="E103" s="155">
        <f t="shared" si="22"/>
        <v>1277603.0769230768</v>
      </c>
      <c r="F103" s="55">
        <f>Model!$AD$28</f>
        <v>1</v>
      </c>
      <c r="G103" s="155">
        <f t="shared" si="23"/>
        <v>1277603.0769230768</v>
      </c>
      <c r="H103" s="111">
        <f>INDEX(Model!$AD$33:$AD$36,MATCH($J103,Model!$AB$33:$AB$36,0))</f>
        <v>0.71950000000000003</v>
      </c>
      <c r="I103" s="132">
        <f t="shared" si="24"/>
        <v>919235.41384615377</v>
      </c>
      <c r="J103" s="112" t="s">
        <v>25</v>
      </c>
      <c r="K103" s="122">
        <f>INDEX(Model!$AD$37:$AD$40,MATCH($J103,Model!$AB$33:$AB$36,0))</f>
        <v>141.02045602481141</v>
      </c>
      <c r="L103" s="136">
        <f>K103*I103</f>
        <v>129630997.25474085</v>
      </c>
      <c r="M103" s="134">
        <f>'Example calcs 2000'!N103*0.95</f>
        <v>0</v>
      </c>
      <c r="N103" s="132">
        <f t="shared" si="25"/>
        <v>20246263.065694302</v>
      </c>
      <c r="O103" s="134">
        <f t="shared" si="26"/>
        <v>0.9999989751173719</v>
      </c>
      <c r="P103" s="134">
        <f t="shared" si="27"/>
        <v>20246242.315651003</v>
      </c>
      <c r="Q103" s="122" t="s">
        <v>31</v>
      </c>
      <c r="R103" s="53">
        <f t="shared" si="28"/>
        <v>0</v>
      </c>
      <c r="S103" s="122">
        <f>INDEX(Model!$AD$54:$AD$118,MATCH($Q103,Model!$AB$54:$AB$118,0)+MATCH(Model!$Z$116,Model!$Z$54:$Z$118,0)-1)</f>
        <v>0.51500000000000001</v>
      </c>
      <c r="T103" s="136">
        <f t="shared" si="29"/>
        <v>10426814.792560266</v>
      </c>
      <c r="U103" s="134">
        <f>'Example calcs 2000'!S103*0.8</f>
        <v>0</v>
      </c>
      <c r="V103" s="132">
        <f t="shared" si="30"/>
        <v>10426814.792560266</v>
      </c>
      <c r="W103" s="134">
        <f t="shared" si="31"/>
        <v>0.95811694694105154</v>
      </c>
      <c r="X103" s="134">
        <f t="shared" si="20"/>
        <v>9990107.9553676359</v>
      </c>
      <c r="Y103" s="112" t="s">
        <v>35</v>
      </c>
      <c r="Z103" s="53">
        <f t="shared" si="32"/>
        <v>0</v>
      </c>
      <c r="AA103" s="112">
        <f>Model!$AC$147</f>
        <v>1</v>
      </c>
      <c r="AB103" s="112"/>
      <c r="AC103" s="136">
        <f>X103*AA103</f>
        <v>9990107.9553676359</v>
      </c>
      <c r="AD103" s="134">
        <f>'Example calcs 2000'!Y103*0.8</f>
        <v>0</v>
      </c>
      <c r="AE103" s="132">
        <f t="shared" si="33"/>
        <v>9990107.9553676359</v>
      </c>
      <c r="AF103" s="134" t="str">
        <f t="shared" si="34"/>
        <v/>
      </c>
      <c r="AG103" s="134">
        <f t="shared" si="21"/>
        <v>0</v>
      </c>
      <c r="AH103" s="112" t="s">
        <v>65</v>
      </c>
      <c r="AI103" s="53">
        <f t="shared" si="35"/>
        <v>1</v>
      </c>
      <c r="AJ103" s="112"/>
      <c r="AK103" s="112">
        <f>Model!$AC$164</f>
        <v>1.613</v>
      </c>
      <c r="AL103" s="123">
        <f t="shared" si="36"/>
        <v>0</v>
      </c>
      <c r="AM103" s="112">
        <f t="shared" si="37"/>
        <v>0</v>
      </c>
    </row>
    <row r="104" spans="3:50" s="104" customFormat="1" x14ac:dyDescent="0.25">
      <c r="C104" s="154">
        <f>Model!$AD$14</f>
        <v>3321768</v>
      </c>
      <c r="D104" s="55">
        <f>Model!$AD$17</f>
        <v>0.38461538461538458</v>
      </c>
      <c r="E104" s="155">
        <f t="shared" si="22"/>
        <v>1277603.0769230768</v>
      </c>
      <c r="F104" s="55">
        <f>Model!$AD$28</f>
        <v>1</v>
      </c>
      <c r="G104" s="155">
        <f t="shared" si="23"/>
        <v>1277603.0769230768</v>
      </c>
      <c r="H104" s="111">
        <f>INDEX(Model!$AD$33:$AD$36,MATCH($J104,Model!$AB$33:$AB$36,0))</f>
        <v>0.71950000000000003</v>
      </c>
      <c r="I104" s="132">
        <f t="shared" si="24"/>
        <v>919235.41384615377</v>
      </c>
      <c r="J104" s="112" t="s">
        <v>25</v>
      </c>
      <c r="K104" s="122">
        <f>INDEX(Model!$AD$37:$AD$40,MATCH($J104,Model!$AB$33:$AB$36,0))</f>
        <v>141.02045602481141</v>
      </c>
      <c r="L104" s="136">
        <f>K104*I104</f>
        <v>129630997.25474085</v>
      </c>
      <c r="M104" s="134">
        <f>'Example calcs 2000'!N104*0.95</f>
        <v>0</v>
      </c>
      <c r="N104" s="132">
        <f t="shared" si="25"/>
        <v>20246263.065694302</v>
      </c>
      <c r="O104" s="134">
        <f t="shared" si="26"/>
        <v>0.9999989751173719</v>
      </c>
      <c r="P104" s="134">
        <f t="shared" si="27"/>
        <v>20246242.315651003</v>
      </c>
      <c r="Q104" s="122" t="s">
        <v>31</v>
      </c>
      <c r="R104" s="53">
        <f t="shared" si="28"/>
        <v>0</v>
      </c>
      <c r="S104" s="122">
        <f>INDEX(Model!$AD$54:$AD$118,MATCH($Q104,Model!$AB$54:$AB$118,0)+MATCH(Model!$Z$116,Model!$Z$54:$Z$118,0)-1)</f>
        <v>0.51500000000000001</v>
      </c>
      <c r="T104" s="136">
        <f t="shared" si="29"/>
        <v>10426814.792560266</v>
      </c>
      <c r="U104" s="134">
        <f>'Example calcs 2000'!S104*0.8</f>
        <v>0</v>
      </c>
      <c r="V104" s="132">
        <f t="shared" si="30"/>
        <v>10426814.792560266</v>
      </c>
      <c r="W104" s="134">
        <f t="shared" si="31"/>
        <v>0.95811694694105154</v>
      </c>
      <c r="X104" s="134">
        <f t="shared" si="20"/>
        <v>9990107.9553676359</v>
      </c>
      <c r="Y104" s="112" t="s">
        <v>35</v>
      </c>
      <c r="Z104" s="53">
        <f t="shared" si="32"/>
        <v>0</v>
      </c>
      <c r="AA104" s="112">
        <f>Model!$AC$147</f>
        <v>1</v>
      </c>
      <c r="AB104" s="112"/>
      <c r="AC104" s="136">
        <f>X104*AA104</f>
        <v>9990107.9553676359</v>
      </c>
      <c r="AD104" s="134">
        <f>'Example calcs 2000'!Y104*0.8</f>
        <v>0</v>
      </c>
      <c r="AE104" s="132">
        <f t="shared" si="33"/>
        <v>9990107.9553676359</v>
      </c>
      <c r="AF104" s="134">
        <f t="shared" si="34"/>
        <v>0.95777996621220318</v>
      </c>
      <c r="AG104" s="134">
        <f t="shared" si="21"/>
        <v>9568325.259948276</v>
      </c>
      <c r="AH104" s="112" t="s">
        <v>66</v>
      </c>
      <c r="AI104" s="53">
        <f t="shared" si="35"/>
        <v>1</v>
      </c>
      <c r="AJ104" s="112"/>
      <c r="AK104" s="112">
        <f>Model!$AC$204</f>
        <v>1.111</v>
      </c>
      <c r="AL104" s="123">
        <f t="shared" si="36"/>
        <v>0</v>
      </c>
      <c r="AM104" s="112">
        <f t="shared" si="37"/>
        <v>10630409.363802534</v>
      </c>
      <c r="AP104"/>
      <c r="AQ104"/>
      <c r="AR104"/>
      <c r="AS104"/>
      <c r="AT104"/>
      <c r="AU104"/>
      <c r="AV104"/>
      <c r="AW104"/>
      <c r="AX10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A4223-545B-44CD-9D0E-3AB2A5BC5BBA}">
  <sheetPr codeName="Sheet1">
    <outlinePr summaryBelow="0" summaryRight="0"/>
  </sheetPr>
  <dimension ref="A1:BZ404"/>
  <sheetViews>
    <sheetView zoomScale="85" zoomScaleNormal="85" workbookViewId="0">
      <pane xSplit="5" ySplit="1" topLeftCell="F20" activePane="bottomRight" state="frozen"/>
      <selection pane="topRight" activeCell="E1" sqref="E1"/>
      <selection pane="bottomLeft" activeCell="A3" sqref="A3"/>
      <selection pane="bottomRight" activeCell="C74" sqref="C74"/>
    </sheetView>
  </sheetViews>
  <sheetFormatPr defaultRowHeight="15" x14ac:dyDescent="0.25"/>
  <cols>
    <col min="1" max="1" width="2.7109375" style="3" customWidth="1"/>
    <col min="2" max="2" width="32.7109375" style="17" bestFit="1" customWidth="1"/>
    <col min="3" max="3" width="27.5703125" style="17" customWidth="1"/>
    <col min="4" max="4" width="29.5703125" style="17" bestFit="1" customWidth="1"/>
    <col min="5" max="5" width="23.7109375" style="39" bestFit="1" customWidth="1"/>
    <col min="6" max="9" width="15.7109375" style="44" customWidth="1"/>
    <col min="10" max="16" width="15.7109375" style="43" customWidth="1"/>
    <col min="17" max="17" width="2.7109375" style="17" customWidth="1"/>
    <col min="18" max="68" width="10.28515625" style="53" bestFit="1" customWidth="1"/>
    <col min="69" max="78" width="10.28515625" bestFit="1" customWidth="1"/>
  </cols>
  <sheetData>
    <row r="1" spans="1:78" x14ac:dyDescent="0.25">
      <c r="A1" s="25"/>
      <c r="B1" s="37" t="s">
        <v>9</v>
      </c>
      <c r="C1" s="37" t="s">
        <v>9</v>
      </c>
      <c r="D1" s="37" t="s">
        <v>16</v>
      </c>
      <c r="E1" s="10" t="s">
        <v>98</v>
      </c>
      <c r="F1" s="46">
        <v>2000</v>
      </c>
      <c r="G1" s="46">
        <v>2005</v>
      </c>
      <c r="H1" s="46">
        <v>2010</v>
      </c>
      <c r="I1" s="46">
        <v>2015</v>
      </c>
      <c r="J1" s="46">
        <v>2020</v>
      </c>
      <c r="K1" s="46">
        <v>2025</v>
      </c>
      <c r="L1" s="46">
        <v>2030</v>
      </c>
      <c r="M1" s="46">
        <v>2035</v>
      </c>
      <c r="N1" s="46">
        <v>2040</v>
      </c>
      <c r="O1" s="46">
        <v>2045</v>
      </c>
      <c r="P1" s="46">
        <v>2050</v>
      </c>
      <c r="Q1" s="50"/>
      <c r="R1" s="46">
        <v>2000</v>
      </c>
      <c r="S1" s="46">
        <v>2001</v>
      </c>
      <c r="T1" s="46">
        <v>2002</v>
      </c>
      <c r="U1" s="46">
        <v>2003</v>
      </c>
      <c r="V1" s="46">
        <v>2004</v>
      </c>
      <c r="W1" s="46">
        <v>2005</v>
      </c>
      <c r="X1" s="46">
        <v>2006</v>
      </c>
      <c r="Y1" s="46">
        <v>2007</v>
      </c>
      <c r="Z1" s="46">
        <v>2008</v>
      </c>
      <c r="AA1" s="46">
        <v>2009</v>
      </c>
      <c r="AB1" s="46">
        <v>2010</v>
      </c>
      <c r="AC1" s="46">
        <v>2011</v>
      </c>
      <c r="AD1" s="46">
        <v>2012</v>
      </c>
      <c r="AE1" s="46">
        <v>2013</v>
      </c>
      <c r="AF1" s="46">
        <v>2014</v>
      </c>
      <c r="AG1" s="46">
        <v>2015</v>
      </c>
      <c r="AH1" s="46">
        <v>2016</v>
      </c>
      <c r="AI1" s="46">
        <v>2017</v>
      </c>
      <c r="AJ1" s="46">
        <v>2018</v>
      </c>
      <c r="AK1" s="46">
        <v>2019</v>
      </c>
      <c r="AL1" s="46">
        <v>2020</v>
      </c>
      <c r="AM1" s="46">
        <v>2021</v>
      </c>
      <c r="AN1" s="46">
        <v>2022</v>
      </c>
      <c r="AO1" s="46">
        <v>2023</v>
      </c>
      <c r="AP1" s="46">
        <v>2024</v>
      </c>
      <c r="AQ1" s="46">
        <v>2025</v>
      </c>
      <c r="AR1" s="46">
        <v>2026</v>
      </c>
      <c r="AS1" s="46">
        <v>2027</v>
      </c>
      <c r="AT1" s="46">
        <v>2028</v>
      </c>
      <c r="AU1" s="46">
        <v>2029</v>
      </c>
      <c r="AV1" s="46">
        <v>2030</v>
      </c>
      <c r="AW1" s="46">
        <v>2031</v>
      </c>
      <c r="AX1" s="46">
        <v>2032</v>
      </c>
      <c r="AY1" s="46">
        <v>2033</v>
      </c>
      <c r="AZ1" s="46">
        <v>2034</v>
      </c>
      <c r="BA1" s="46">
        <v>2035</v>
      </c>
      <c r="BB1" s="46">
        <v>2036</v>
      </c>
      <c r="BC1" s="46">
        <v>2037</v>
      </c>
      <c r="BD1" s="46">
        <v>2038</v>
      </c>
      <c r="BE1" s="46">
        <v>2039</v>
      </c>
      <c r="BF1" s="46">
        <v>2040</v>
      </c>
      <c r="BG1" s="46">
        <v>2041</v>
      </c>
      <c r="BH1" s="46">
        <v>2042</v>
      </c>
      <c r="BI1" s="46">
        <v>2043</v>
      </c>
      <c r="BJ1" s="46">
        <v>2044</v>
      </c>
      <c r="BK1" s="46">
        <v>2045</v>
      </c>
      <c r="BL1" s="46">
        <v>2046</v>
      </c>
      <c r="BM1" s="46">
        <v>2047</v>
      </c>
      <c r="BN1" s="46">
        <v>2048</v>
      </c>
      <c r="BO1" s="46">
        <v>2049</v>
      </c>
      <c r="BP1" s="46">
        <v>2050</v>
      </c>
      <c r="BQ1" s="46">
        <v>2051</v>
      </c>
      <c r="BR1" s="46">
        <v>2052</v>
      </c>
      <c r="BS1" s="46">
        <v>2053</v>
      </c>
      <c r="BT1" s="46">
        <v>2054</v>
      </c>
      <c r="BU1" s="46">
        <v>2055</v>
      </c>
      <c r="BV1" s="46">
        <v>2056</v>
      </c>
      <c r="BW1" s="46">
        <v>2057</v>
      </c>
      <c r="BX1" s="46">
        <v>2058</v>
      </c>
      <c r="BY1" s="46">
        <v>2059</v>
      </c>
      <c r="BZ1" s="46">
        <v>2060</v>
      </c>
    </row>
    <row r="2" spans="1:78" x14ac:dyDescent="0.25">
      <c r="A2" s="13"/>
      <c r="B2" s="15"/>
      <c r="C2" s="15"/>
      <c r="D2" s="15"/>
      <c r="E2" s="1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51"/>
    </row>
    <row r="3" spans="1:78" x14ac:dyDescent="0.25">
      <c r="A3" s="7"/>
      <c r="B3" s="38" t="s">
        <v>52</v>
      </c>
      <c r="C3" s="38" t="s">
        <v>60</v>
      </c>
      <c r="D3" s="38" t="s">
        <v>103</v>
      </c>
      <c r="E3" s="40" t="s">
        <v>104</v>
      </c>
      <c r="F3" s="19">
        <f t="shared" ref="F3:I16" si="0">INDEX($R3:$BZ3,MATCH(F$1,$R$1:$BZ$1,0))</f>
        <v>30685730</v>
      </c>
      <c r="G3" s="19">
        <f t="shared" si="0"/>
        <v>32243753</v>
      </c>
      <c r="H3" s="19">
        <f t="shared" si="0"/>
        <v>34004889</v>
      </c>
      <c r="I3" s="19">
        <f t="shared" si="0"/>
        <v>35702908</v>
      </c>
      <c r="J3" s="59">
        <f>J19</f>
        <v>37873700</v>
      </c>
      <c r="K3" s="59">
        <f t="shared" ref="K3:P3" si="1">K19</f>
        <v>39913500</v>
      </c>
      <c r="L3" s="59">
        <f t="shared" si="1"/>
        <v>41888100</v>
      </c>
      <c r="M3" s="59">
        <f t="shared" si="1"/>
        <v>43755500</v>
      </c>
      <c r="N3" s="59">
        <f t="shared" si="1"/>
        <v>45506800</v>
      </c>
      <c r="O3" s="59">
        <f t="shared" si="1"/>
        <v>47156200</v>
      </c>
      <c r="P3" s="59">
        <f t="shared" si="1"/>
        <v>48763100</v>
      </c>
      <c r="Q3" s="52"/>
      <c r="R3" s="53">
        <v>30685730</v>
      </c>
      <c r="S3" s="53">
        <v>31020902</v>
      </c>
      <c r="T3" s="53">
        <v>31360079</v>
      </c>
      <c r="U3" s="53">
        <v>31644028</v>
      </c>
      <c r="V3" s="53">
        <v>31940655</v>
      </c>
      <c r="W3" s="53">
        <v>32243753</v>
      </c>
      <c r="X3" s="53">
        <v>32571174</v>
      </c>
      <c r="Y3" s="53">
        <v>32889025</v>
      </c>
      <c r="Z3" s="53">
        <v>33247118</v>
      </c>
      <c r="AA3" s="53">
        <v>33628895</v>
      </c>
      <c r="AB3" s="53">
        <v>34004889</v>
      </c>
      <c r="AC3" s="53">
        <v>34339328</v>
      </c>
      <c r="AD3" s="53">
        <v>34714222</v>
      </c>
      <c r="AE3" s="53">
        <v>35082954</v>
      </c>
      <c r="AF3" s="53">
        <v>35437435</v>
      </c>
      <c r="AG3" s="53">
        <v>35702908</v>
      </c>
      <c r="AH3" s="53">
        <v>36109487</v>
      </c>
      <c r="AI3" s="53">
        <v>36543321</v>
      </c>
      <c r="AJ3" s="53">
        <v>37057765</v>
      </c>
      <c r="AK3" s="53">
        <v>37589262</v>
      </c>
    </row>
    <row r="4" spans="1:78" x14ac:dyDescent="0.25">
      <c r="A4" s="7"/>
      <c r="B4" s="38"/>
      <c r="C4" s="38" t="s">
        <v>107</v>
      </c>
      <c r="D4" s="38" t="s">
        <v>103</v>
      </c>
      <c r="E4" s="40" t="s">
        <v>104</v>
      </c>
      <c r="F4" s="19">
        <f t="shared" si="0"/>
        <v>527966</v>
      </c>
      <c r="G4" s="19">
        <f t="shared" si="0"/>
        <v>514332</v>
      </c>
      <c r="H4" s="19">
        <f t="shared" si="0"/>
        <v>522009</v>
      </c>
      <c r="I4" s="19">
        <f t="shared" si="0"/>
        <v>528117</v>
      </c>
      <c r="J4" s="59">
        <f t="shared" ref="J4:P4" si="2">J20</f>
        <v>522299.99999999994</v>
      </c>
      <c r="K4" s="59">
        <f t="shared" si="2"/>
        <v>513400</v>
      </c>
      <c r="L4" s="59">
        <f t="shared" si="2"/>
        <v>502000</v>
      </c>
      <c r="M4" s="59">
        <f t="shared" si="2"/>
        <v>487400</v>
      </c>
      <c r="N4" s="59">
        <f t="shared" si="2"/>
        <v>470100</v>
      </c>
      <c r="O4" s="59">
        <f t="shared" si="2"/>
        <v>487138.83683317655</v>
      </c>
      <c r="P4" s="59">
        <f t="shared" si="2"/>
        <v>503738.63488533581</v>
      </c>
      <c r="Q4" s="52"/>
      <c r="R4" s="53">
        <v>527966</v>
      </c>
      <c r="S4" s="53">
        <v>522046</v>
      </c>
      <c r="T4" s="53">
        <v>519481</v>
      </c>
      <c r="U4" s="53">
        <v>518459</v>
      </c>
      <c r="V4" s="53">
        <v>517423</v>
      </c>
      <c r="W4" s="53">
        <v>514332</v>
      </c>
      <c r="X4" s="53">
        <v>510592</v>
      </c>
      <c r="Y4" s="53">
        <v>509055</v>
      </c>
      <c r="Z4" s="53">
        <v>511581</v>
      </c>
      <c r="AA4" s="53">
        <v>516751</v>
      </c>
      <c r="AB4" s="53">
        <v>522009</v>
      </c>
      <c r="AC4" s="53">
        <v>524999</v>
      </c>
      <c r="AD4" s="53">
        <v>526345</v>
      </c>
      <c r="AE4" s="53">
        <v>527114</v>
      </c>
      <c r="AF4" s="53">
        <v>528159</v>
      </c>
      <c r="AG4" s="53">
        <v>528117</v>
      </c>
      <c r="AH4" s="53">
        <v>529426</v>
      </c>
      <c r="AI4" s="53">
        <v>528356</v>
      </c>
      <c r="AJ4" s="53">
        <v>525604</v>
      </c>
      <c r="AK4" s="53">
        <v>521542</v>
      </c>
    </row>
    <row r="5" spans="1:78" x14ac:dyDescent="0.25">
      <c r="A5" s="7"/>
      <c r="B5" s="38"/>
      <c r="C5" s="38" t="s">
        <v>108</v>
      </c>
      <c r="D5" s="38" t="s">
        <v>103</v>
      </c>
      <c r="E5" s="40" t="s">
        <v>104</v>
      </c>
      <c r="F5" s="19">
        <f t="shared" si="0"/>
        <v>136470</v>
      </c>
      <c r="G5" s="19">
        <f t="shared" si="0"/>
        <v>138064</v>
      </c>
      <c r="H5" s="19">
        <f t="shared" si="0"/>
        <v>141654</v>
      </c>
      <c r="I5" s="19">
        <f t="shared" si="0"/>
        <v>144546</v>
      </c>
      <c r="J5" s="59">
        <f t="shared" ref="J5:P5" si="3">J21</f>
        <v>157400</v>
      </c>
      <c r="K5" s="59">
        <f t="shared" si="3"/>
        <v>167800</v>
      </c>
      <c r="L5" s="59">
        <f t="shared" si="3"/>
        <v>177600</v>
      </c>
      <c r="M5" s="59">
        <f t="shared" si="3"/>
        <v>186300</v>
      </c>
      <c r="N5" s="59">
        <f t="shared" si="3"/>
        <v>193600</v>
      </c>
      <c r="O5" s="59">
        <f t="shared" si="3"/>
        <v>200617.05767050199</v>
      </c>
      <c r="P5" s="59">
        <f t="shared" si="3"/>
        <v>207453.30719804514</v>
      </c>
      <c r="Q5" s="52"/>
      <c r="R5" s="53">
        <v>136470</v>
      </c>
      <c r="S5" s="53">
        <v>136665</v>
      </c>
      <c r="T5" s="53">
        <v>136880</v>
      </c>
      <c r="U5" s="53">
        <v>137227</v>
      </c>
      <c r="V5" s="53">
        <v>137680</v>
      </c>
      <c r="W5" s="53">
        <v>138064</v>
      </c>
      <c r="X5" s="53">
        <v>137867</v>
      </c>
      <c r="Y5" s="53">
        <v>137711</v>
      </c>
      <c r="Z5" s="53">
        <v>138749</v>
      </c>
      <c r="AA5" s="53">
        <v>139891</v>
      </c>
      <c r="AB5" s="53">
        <v>141654</v>
      </c>
      <c r="AC5" s="53">
        <v>143963</v>
      </c>
      <c r="AD5" s="53">
        <v>144530</v>
      </c>
      <c r="AE5" s="53">
        <v>144094</v>
      </c>
      <c r="AF5" s="53">
        <v>144283</v>
      </c>
      <c r="AG5" s="53">
        <v>144546</v>
      </c>
      <c r="AH5" s="53">
        <v>146969</v>
      </c>
      <c r="AI5" s="53">
        <v>150483</v>
      </c>
      <c r="AJ5" s="53">
        <v>153584</v>
      </c>
      <c r="AK5" s="53">
        <v>156947</v>
      </c>
    </row>
    <row r="6" spans="1:78" x14ac:dyDescent="0.25">
      <c r="A6" s="7"/>
      <c r="B6" s="38"/>
      <c r="C6" s="38" t="s">
        <v>109</v>
      </c>
      <c r="D6" s="38" t="s">
        <v>103</v>
      </c>
      <c r="E6" s="40" t="s">
        <v>104</v>
      </c>
      <c r="F6" s="19">
        <f t="shared" si="0"/>
        <v>933821</v>
      </c>
      <c r="G6" s="19">
        <f t="shared" si="0"/>
        <v>937926</v>
      </c>
      <c r="H6" s="19">
        <f t="shared" si="0"/>
        <v>942107</v>
      </c>
      <c r="I6" s="19">
        <f t="shared" si="0"/>
        <v>936525</v>
      </c>
      <c r="J6" s="59">
        <f t="shared" ref="J6:P6" si="4">J22</f>
        <v>967100</v>
      </c>
      <c r="K6" s="59">
        <f t="shared" si="4"/>
        <v>983900</v>
      </c>
      <c r="L6" s="59">
        <f t="shared" si="4"/>
        <v>996100</v>
      </c>
      <c r="M6" s="59">
        <f t="shared" si="4"/>
        <v>1001200</v>
      </c>
      <c r="N6" s="59">
        <f t="shared" si="4"/>
        <v>998700</v>
      </c>
      <c r="O6" s="59">
        <f t="shared" si="4"/>
        <v>1034898.0139231939</v>
      </c>
      <c r="P6" s="59">
        <f t="shared" si="4"/>
        <v>1070163.3155923949</v>
      </c>
      <c r="Q6" s="52"/>
      <c r="R6" s="53">
        <v>933821</v>
      </c>
      <c r="S6" s="53">
        <v>932494</v>
      </c>
      <c r="T6" s="53">
        <v>935179</v>
      </c>
      <c r="U6" s="53">
        <v>937717</v>
      </c>
      <c r="V6" s="53">
        <v>939664</v>
      </c>
      <c r="W6" s="53">
        <v>937926</v>
      </c>
      <c r="X6" s="53">
        <v>937882</v>
      </c>
      <c r="Y6" s="53">
        <v>935115</v>
      </c>
      <c r="Z6" s="53">
        <v>935897</v>
      </c>
      <c r="AA6" s="53">
        <v>938208</v>
      </c>
      <c r="AB6" s="53">
        <v>942107</v>
      </c>
      <c r="AC6" s="53">
        <v>944274</v>
      </c>
      <c r="AD6" s="53">
        <v>943635</v>
      </c>
      <c r="AE6" s="53">
        <v>940434</v>
      </c>
      <c r="AF6" s="53">
        <v>938545</v>
      </c>
      <c r="AG6" s="53">
        <v>936525</v>
      </c>
      <c r="AH6" s="53">
        <v>942790</v>
      </c>
      <c r="AI6" s="53">
        <v>950401</v>
      </c>
      <c r="AJ6" s="53">
        <v>959500</v>
      </c>
      <c r="AK6" s="53">
        <v>971395</v>
      </c>
    </row>
    <row r="7" spans="1:78" x14ac:dyDescent="0.25">
      <c r="A7" s="7"/>
      <c r="B7" s="38"/>
      <c r="C7" s="38" t="s">
        <v>110</v>
      </c>
      <c r="D7" s="38" t="s">
        <v>103</v>
      </c>
      <c r="E7" s="40" t="s">
        <v>104</v>
      </c>
      <c r="F7" s="19">
        <f t="shared" si="0"/>
        <v>750517</v>
      </c>
      <c r="G7" s="19">
        <f t="shared" si="0"/>
        <v>748057</v>
      </c>
      <c r="H7" s="19">
        <f t="shared" si="0"/>
        <v>753035</v>
      </c>
      <c r="I7" s="19">
        <f t="shared" si="0"/>
        <v>758842</v>
      </c>
      <c r="J7" s="59">
        <f t="shared" ref="J7:P7" si="5">J23</f>
        <v>775600</v>
      </c>
      <c r="K7" s="59">
        <f t="shared" si="5"/>
        <v>787700</v>
      </c>
      <c r="L7" s="59">
        <f t="shared" si="5"/>
        <v>796600</v>
      </c>
      <c r="M7" s="59">
        <f t="shared" si="5"/>
        <v>800300</v>
      </c>
      <c r="N7" s="59">
        <f t="shared" si="5"/>
        <v>798100</v>
      </c>
      <c r="O7" s="59">
        <f t="shared" si="5"/>
        <v>827027.24032452295</v>
      </c>
      <c r="P7" s="59">
        <f t="shared" si="5"/>
        <v>855209.11402251967</v>
      </c>
      <c r="Q7" s="52"/>
      <c r="R7" s="53">
        <v>750517</v>
      </c>
      <c r="S7" s="53">
        <v>749820</v>
      </c>
      <c r="T7" s="53">
        <v>749372</v>
      </c>
      <c r="U7" s="53">
        <v>749441</v>
      </c>
      <c r="V7" s="53">
        <v>749419</v>
      </c>
      <c r="W7" s="53">
        <v>748057</v>
      </c>
      <c r="X7" s="53">
        <v>745621</v>
      </c>
      <c r="Y7" s="53">
        <v>745433</v>
      </c>
      <c r="Z7" s="53">
        <v>746877</v>
      </c>
      <c r="AA7" s="53">
        <v>749956</v>
      </c>
      <c r="AB7" s="53">
        <v>753035</v>
      </c>
      <c r="AC7" s="53">
        <v>755705</v>
      </c>
      <c r="AD7" s="53">
        <v>758378</v>
      </c>
      <c r="AE7" s="53">
        <v>758544</v>
      </c>
      <c r="AF7" s="53">
        <v>758976</v>
      </c>
      <c r="AG7" s="53">
        <v>758842</v>
      </c>
      <c r="AH7" s="53">
        <v>763350</v>
      </c>
      <c r="AI7" s="53">
        <v>766762</v>
      </c>
      <c r="AJ7" s="53">
        <v>770921</v>
      </c>
      <c r="AK7" s="53">
        <v>776827</v>
      </c>
    </row>
    <row r="8" spans="1:78" x14ac:dyDescent="0.25">
      <c r="A8" s="7"/>
      <c r="B8" s="38"/>
      <c r="C8" s="38" t="s">
        <v>111</v>
      </c>
      <c r="D8" s="38" t="s">
        <v>103</v>
      </c>
      <c r="E8" s="40" t="s">
        <v>104</v>
      </c>
      <c r="F8" s="19">
        <f t="shared" si="0"/>
        <v>7356951</v>
      </c>
      <c r="G8" s="19">
        <f t="shared" si="0"/>
        <v>7581476</v>
      </c>
      <c r="H8" s="19">
        <f t="shared" si="0"/>
        <v>7929222</v>
      </c>
      <c r="I8" s="19">
        <f t="shared" si="0"/>
        <v>8175272</v>
      </c>
      <c r="J8" s="59">
        <f t="shared" ref="J8:P8" si="6">J24</f>
        <v>8494500</v>
      </c>
      <c r="K8" s="59">
        <f t="shared" si="6"/>
        <v>8738500</v>
      </c>
      <c r="L8" s="59">
        <f t="shared" si="6"/>
        <v>8958900</v>
      </c>
      <c r="M8" s="59">
        <f t="shared" si="6"/>
        <v>9159100</v>
      </c>
      <c r="N8" s="59">
        <f t="shared" si="6"/>
        <v>9353100</v>
      </c>
      <c r="O8" s="59">
        <f t="shared" si="6"/>
        <v>9692104.3496796079</v>
      </c>
      <c r="P8" s="59">
        <f t="shared" si="6"/>
        <v>10022373.592737788</v>
      </c>
      <c r="Q8" s="52"/>
      <c r="R8" s="53">
        <v>7356951</v>
      </c>
      <c r="S8" s="53">
        <v>7396456</v>
      </c>
      <c r="T8" s="53">
        <v>7441656</v>
      </c>
      <c r="U8" s="53">
        <v>7485753</v>
      </c>
      <c r="V8" s="53">
        <v>7535590</v>
      </c>
      <c r="W8" s="53">
        <v>7581476</v>
      </c>
      <c r="X8" s="53">
        <v>7631966</v>
      </c>
      <c r="Y8" s="53">
        <v>7692916</v>
      </c>
      <c r="Z8" s="53">
        <v>7761725</v>
      </c>
      <c r="AA8" s="53">
        <v>7843383</v>
      </c>
      <c r="AB8" s="53">
        <v>7929222</v>
      </c>
      <c r="AC8" s="53">
        <v>8005090</v>
      </c>
      <c r="AD8" s="53">
        <v>8061101</v>
      </c>
      <c r="AE8" s="53">
        <v>8110880</v>
      </c>
      <c r="AF8" s="53">
        <v>8150183</v>
      </c>
      <c r="AG8" s="53">
        <v>8175272</v>
      </c>
      <c r="AH8" s="53">
        <v>8225950</v>
      </c>
      <c r="AI8" s="53">
        <v>8298827</v>
      </c>
      <c r="AJ8" s="53">
        <v>8387632</v>
      </c>
      <c r="AK8" s="53">
        <v>8484965</v>
      </c>
    </row>
    <row r="9" spans="1:78" x14ac:dyDescent="0.25">
      <c r="A9" s="7"/>
      <c r="B9" s="38"/>
      <c r="C9" s="38" t="s">
        <v>112</v>
      </c>
      <c r="D9" s="38" t="s">
        <v>103</v>
      </c>
      <c r="E9" s="40" t="s">
        <v>104</v>
      </c>
      <c r="F9" s="19">
        <f t="shared" si="0"/>
        <v>11683290</v>
      </c>
      <c r="G9" s="19">
        <f t="shared" si="0"/>
        <v>12528663</v>
      </c>
      <c r="H9" s="19">
        <f t="shared" si="0"/>
        <v>13135778</v>
      </c>
      <c r="I9" s="19">
        <f t="shared" si="0"/>
        <v>13707118</v>
      </c>
      <c r="J9" s="59">
        <f t="shared" ref="J9:P9" si="7">J25</f>
        <v>14677900</v>
      </c>
      <c r="K9" s="59">
        <f t="shared" si="7"/>
        <v>15561600</v>
      </c>
      <c r="L9" s="59">
        <f t="shared" si="7"/>
        <v>16411599.999999998</v>
      </c>
      <c r="M9" s="59">
        <f t="shared" si="7"/>
        <v>17195100</v>
      </c>
      <c r="N9" s="59">
        <f t="shared" si="7"/>
        <v>17892000</v>
      </c>
      <c r="O9" s="59">
        <f t="shared" si="7"/>
        <v>18540497.912399907</v>
      </c>
      <c r="P9" s="59">
        <f t="shared" si="7"/>
        <v>19172286.014397848</v>
      </c>
      <c r="Q9" s="52"/>
      <c r="R9" s="53">
        <v>11683290</v>
      </c>
      <c r="S9" s="53">
        <v>11897534</v>
      </c>
      <c r="T9" s="53">
        <v>12094174</v>
      </c>
      <c r="U9" s="53">
        <v>12245039</v>
      </c>
      <c r="V9" s="53">
        <v>12391421</v>
      </c>
      <c r="W9" s="53">
        <v>12528663</v>
      </c>
      <c r="X9" s="53">
        <v>12661878</v>
      </c>
      <c r="Y9" s="53">
        <v>12764806</v>
      </c>
      <c r="Z9" s="53">
        <v>12883583</v>
      </c>
      <c r="AA9" s="53">
        <v>12998345</v>
      </c>
      <c r="AB9" s="53">
        <v>13135778</v>
      </c>
      <c r="AC9" s="53">
        <v>13261381</v>
      </c>
      <c r="AD9" s="53">
        <v>13390632</v>
      </c>
      <c r="AE9" s="53">
        <v>13510781</v>
      </c>
      <c r="AF9" s="53">
        <v>13617553</v>
      </c>
      <c r="AG9" s="53">
        <v>13707118</v>
      </c>
      <c r="AH9" s="53">
        <v>13875394</v>
      </c>
      <c r="AI9" s="53">
        <v>14072615</v>
      </c>
      <c r="AJ9" s="53">
        <v>14318545</v>
      </c>
      <c r="AK9" s="53">
        <v>14566547</v>
      </c>
    </row>
    <row r="10" spans="1:78" x14ac:dyDescent="0.25">
      <c r="A10" s="7"/>
      <c r="B10" s="38"/>
      <c r="C10" s="38" t="s">
        <v>113</v>
      </c>
      <c r="D10" s="38" t="s">
        <v>103</v>
      </c>
      <c r="E10" s="40" t="s">
        <v>104</v>
      </c>
      <c r="F10" s="19">
        <f t="shared" si="0"/>
        <v>1147313</v>
      </c>
      <c r="G10" s="19">
        <f t="shared" si="0"/>
        <v>1178264</v>
      </c>
      <c r="H10" s="19">
        <f t="shared" si="0"/>
        <v>1220780</v>
      </c>
      <c r="I10" s="19">
        <f t="shared" si="0"/>
        <v>1292227</v>
      </c>
      <c r="J10" s="59">
        <f t="shared" ref="J10:P10" si="8">J26</f>
        <v>1381900</v>
      </c>
      <c r="K10" s="59">
        <f t="shared" si="8"/>
        <v>1457800</v>
      </c>
      <c r="L10" s="59">
        <f t="shared" si="8"/>
        <v>1534800</v>
      </c>
      <c r="M10" s="59">
        <f t="shared" si="8"/>
        <v>1612800</v>
      </c>
      <c r="N10" s="59">
        <f t="shared" si="8"/>
        <v>1692500</v>
      </c>
      <c r="O10" s="59">
        <f t="shared" si="8"/>
        <v>1753844.886917999</v>
      </c>
      <c r="P10" s="59">
        <f t="shared" si="8"/>
        <v>1813609.1034746456</v>
      </c>
      <c r="Q10" s="52"/>
      <c r="R10" s="53">
        <v>1147313</v>
      </c>
      <c r="S10" s="53">
        <v>1151454</v>
      </c>
      <c r="T10" s="53">
        <v>1156680</v>
      </c>
      <c r="U10" s="53">
        <v>1163596</v>
      </c>
      <c r="V10" s="53">
        <v>1173238</v>
      </c>
      <c r="W10" s="53">
        <v>1178264</v>
      </c>
      <c r="X10" s="53">
        <v>1183562</v>
      </c>
      <c r="Y10" s="53">
        <v>1189451</v>
      </c>
      <c r="Z10" s="53">
        <v>1197775</v>
      </c>
      <c r="AA10" s="53">
        <v>1208556</v>
      </c>
      <c r="AB10" s="53">
        <v>1220780</v>
      </c>
      <c r="AC10" s="53">
        <v>1233649</v>
      </c>
      <c r="AD10" s="53">
        <v>1249975</v>
      </c>
      <c r="AE10" s="53">
        <v>1264620</v>
      </c>
      <c r="AF10" s="53">
        <v>1279014</v>
      </c>
      <c r="AG10" s="53">
        <v>1292227</v>
      </c>
      <c r="AH10" s="53">
        <v>1314139</v>
      </c>
      <c r="AI10" s="53">
        <v>1335018</v>
      </c>
      <c r="AJ10" s="53">
        <v>1353403</v>
      </c>
      <c r="AK10" s="53">
        <v>1369465</v>
      </c>
    </row>
    <row r="11" spans="1:78" x14ac:dyDescent="0.25">
      <c r="A11" s="7"/>
      <c r="B11" s="38"/>
      <c r="C11" s="38" t="s">
        <v>114</v>
      </c>
      <c r="D11" s="38" t="s">
        <v>103</v>
      </c>
      <c r="E11" s="40" t="s">
        <v>104</v>
      </c>
      <c r="F11" s="19">
        <f t="shared" si="0"/>
        <v>1007565</v>
      </c>
      <c r="G11" s="19">
        <f t="shared" si="0"/>
        <v>993500</v>
      </c>
      <c r="H11" s="19">
        <f t="shared" si="0"/>
        <v>1051443</v>
      </c>
      <c r="I11" s="19">
        <f t="shared" si="0"/>
        <v>1120967</v>
      </c>
      <c r="J11" s="59">
        <f t="shared" ref="J11:P11" si="9">J27</f>
        <v>1195100</v>
      </c>
      <c r="K11" s="59">
        <f t="shared" si="9"/>
        <v>1287000</v>
      </c>
      <c r="L11" s="59">
        <f t="shared" si="9"/>
        <v>1380400</v>
      </c>
      <c r="M11" s="59">
        <f t="shared" si="9"/>
        <v>1468800</v>
      </c>
      <c r="N11" s="59">
        <f t="shared" si="9"/>
        <v>1548700</v>
      </c>
      <c r="O11" s="59">
        <f t="shared" si="9"/>
        <v>1604832.8368507563</v>
      </c>
      <c r="P11" s="59">
        <f t="shared" si="9"/>
        <v>1659519.3019504778</v>
      </c>
      <c r="Q11" s="52"/>
      <c r="R11" s="53">
        <v>1007565</v>
      </c>
      <c r="S11" s="53">
        <v>1000239</v>
      </c>
      <c r="T11" s="53">
        <v>996807</v>
      </c>
      <c r="U11" s="53">
        <v>996386</v>
      </c>
      <c r="V11" s="53">
        <v>997283</v>
      </c>
      <c r="W11" s="53">
        <v>993500</v>
      </c>
      <c r="X11" s="53">
        <v>992314</v>
      </c>
      <c r="Y11" s="53">
        <v>1002086</v>
      </c>
      <c r="Z11" s="53">
        <v>1017404</v>
      </c>
      <c r="AA11" s="53">
        <v>1034819</v>
      </c>
      <c r="AB11" s="53">
        <v>1051443</v>
      </c>
      <c r="AC11" s="53">
        <v>1066026</v>
      </c>
      <c r="AD11" s="53">
        <v>1083755</v>
      </c>
      <c r="AE11" s="53">
        <v>1099736</v>
      </c>
      <c r="AF11" s="53">
        <v>1112979</v>
      </c>
      <c r="AG11" s="53">
        <v>1120967</v>
      </c>
      <c r="AH11" s="53">
        <v>1135987</v>
      </c>
      <c r="AI11" s="53">
        <v>1150926</v>
      </c>
      <c r="AJ11" s="53">
        <v>1162978</v>
      </c>
      <c r="AK11" s="53">
        <v>1174462</v>
      </c>
    </row>
    <row r="12" spans="1:78" x14ac:dyDescent="0.25">
      <c r="A12" s="7"/>
      <c r="B12" s="38"/>
      <c r="C12" s="38" t="s">
        <v>5</v>
      </c>
      <c r="D12" s="38" t="s">
        <v>103</v>
      </c>
      <c r="E12" s="40" t="s">
        <v>104</v>
      </c>
      <c r="F12" s="19">
        <f>INDEX($R12:$BZ12,MATCH(F$1,$R$1:$BZ$1,0))</f>
        <v>3004198</v>
      </c>
      <c r="G12" s="19">
        <f t="shared" si="0"/>
        <v>3321768</v>
      </c>
      <c r="H12" s="19">
        <f t="shared" si="0"/>
        <v>3732082</v>
      </c>
      <c r="I12" s="19">
        <f t="shared" si="0"/>
        <v>4144491</v>
      </c>
      <c r="J12" s="59">
        <f t="shared" ref="J12:P12" si="10">J28</f>
        <v>4472800</v>
      </c>
      <c r="K12" s="59">
        <f t="shared" si="10"/>
        <v>4908500</v>
      </c>
      <c r="L12" s="59">
        <f t="shared" si="10"/>
        <v>5360500</v>
      </c>
      <c r="M12" s="59">
        <f t="shared" si="10"/>
        <v>5830000</v>
      </c>
      <c r="N12" s="59">
        <f t="shared" si="10"/>
        <v>6317800</v>
      </c>
      <c r="O12" s="59">
        <f t="shared" si="10"/>
        <v>6546789.4987122808</v>
      </c>
      <c r="P12" s="59">
        <f t="shared" si="10"/>
        <v>6769878.6374783553</v>
      </c>
      <c r="Q12" s="52"/>
      <c r="R12" s="53">
        <v>3004198</v>
      </c>
      <c r="S12" s="53">
        <v>3058108</v>
      </c>
      <c r="T12" s="53">
        <v>3128429</v>
      </c>
      <c r="U12" s="53">
        <v>3183065</v>
      </c>
      <c r="V12" s="53">
        <v>3238668</v>
      </c>
      <c r="W12" s="53">
        <v>3321768</v>
      </c>
      <c r="X12" s="53">
        <v>3421434</v>
      </c>
      <c r="Y12" s="53">
        <v>3514147</v>
      </c>
      <c r="Z12" s="53">
        <v>3595856</v>
      </c>
      <c r="AA12" s="53">
        <v>3678996</v>
      </c>
      <c r="AB12" s="53">
        <v>3732082</v>
      </c>
      <c r="AC12" s="53">
        <v>3789030</v>
      </c>
      <c r="AD12" s="53">
        <v>3874548</v>
      </c>
      <c r="AE12" s="53">
        <v>3981011</v>
      </c>
      <c r="AF12" s="53">
        <v>4083648</v>
      </c>
      <c r="AG12" s="53">
        <v>4144491</v>
      </c>
      <c r="AH12" s="53">
        <v>4196061</v>
      </c>
      <c r="AI12" s="53">
        <v>4243543</v>
      </c>
      <c r="AJ12" s="53">
        <v>4300721</v>
      </c>
      <c r="AK12" s="53">
        <v>4371316</v>
      </c>
    </row>
    <row r="13" spans="1:78" x14ac:dyDescent="0.25">
      <c r="A13" s="7"/>
      <c r="B13" s="38"/>
      <c r="C13" s="38" t="s">
        <v>76</v>
      </c>
      <c r="D13" s="38" t="s">
        <v>103</v>
      </c>
      <c r="E13" s="40" t="s">
        <v>104</v>
      </c>
      <c r="F13" s="19">
        <f t="shared" ref="F13:F16" si="11">INDEX($R13:$BZ13,MATCH(F$1,$R$1:$BZ$1,0))</f>
        <v>4039230</v>
      </c>
      <c r="G13" s="19">
        <f t="shared" si="0"/>
        <v>4196062</v>
      </c>
      <c r="H13" s="19">
        <f t="shared" si="0"/>
        <v>4465546</v>
      </c>
      <c r="I13" s="19">
        <f t="shared" si="0"/>
        <v>4776388</v>
      </c>
      <c r="J13" s="59">
        <f t="shared" ref="J13:P13" si="12">J29</f>
        <v>5103500</v>
      </c>
      <c r="K13" s="59">
        <f t="shared" si="12"/>
        <v>5375800</v>
      </c>
      <c r="L13" s="59">
        <f t="shared" si="12"/>
        <v>5632900</v>
      </c>
      <c r="M13" s="59">
        <f t="shared" si="12"/>
        <v>5872900</v>
      </c>
      <c r="N13" s="59">
        <f t="shared" si="12"/>
        <v>6096400</v>
      </c>
      <c r="O13" s="59">
        <f t="shared" si="12"/>
        <v>6317364.8263556212</v>
      </c>
      <c r="P13" s="59">
        <f t="shared" si="12"/>
        <v>6532636.064060756</v>
      </c>
      <c r="Q13" s="52"/>
      <c r="R13" s="53">
        <v>4039230</v>
      </c>
      <c r="S13" s="53">
        <v>4076950</v>
      </c>
      <c r="T13" s="53">
        <v>4100564</v>
      </c>
      <c r="U13" s="53">
        <v>4124482</v>
      </c>
      <c r="V13" s="53">
        <v>4155651</v>
      </c>
      <c r="W13" s="53">
        <v>4196062</v>
      </c>
      <c r="X13" s="53">
        <v>4241794</v>
      </c>
      <c r="Y13" s="53">
        <v>4290984</v>
      </c>
      <c r="Z13" s="53">
        <v>4349336</v>
      </c>
      <c r="AA13" s="53">
        <v>4410506</v>
      </c>
      <c r="AB13" s="53">
        <v>4465546</v>
      </c>
      <c r="AC13" s="53">
        <v>4502104</v>
      </c>
      <c r="AD13" s="53">
        <v>4566769</v>
      </c>
      <c r="AE13" s="53">
        <v>4630077</v>
      </c>
      <c r="AF13" s="53">
        <v>4707103</v>
      </c>
      <c r="AG13" s="53">
        <v>4776388</v>
      </c>
      <c r="AH13" s="53">
        <v>4859250</v>
      </c>
      <c r="AI13" s="53">
        <v>4924233</v>
      </c>
      <c r="AJ13" s="53">
        <v>5001170</v>
      </c>
      <c r="AK13" s="53">
        <v>5071336</v>
      </c>
    </row>
    <row r="14" spans="1:78" x14ac:dyDescent="0.25">
      <c r="A14" s="7"/>
      <c r="B14" s="38"/>
      <c r="C14" s="38" t="s">
        <v>115</v>
      </c>
      <c r="D14" s="38" t="s">
        <v>103</v>
      </c>
      <c r="E14" s="40" t="s">
        <v>104</v>
      </c>
      <c r="F14" s="19">
        <f t="shared" si="11"/>
        <v>30431</v>
      </c>
      <c r="G14" s="19">
        <f t="shared" si="0"/>
        <v>31902</v>
      </c>
      <c r="H14" s="19">
        <f t="shared" si="0"/>
        <v>34596</v>
      </c>
      <c r="I14" s="19">
        <f t="shared" si="0"/>
        <v>37690</v>
      </c>
      <c r="J14" s="59">
        <f t="shared" ref="J14:P14" si="13">J30</f>
        <v>41300</v>
      </c>
      <c r="K14" s="59">
        <f t="shared" si="13"/>
        <v>43500</v>
      </c>
      <c r="L14" s="59">
        <f t="shared" si="13"/>
        <v>45400</v>
      </c>
      <c r="M14" s="59">
        <f t="shared" si="13"/>
        <v>47000</v>
      </c>
      <c r="N14" s="59">
        <f t="shared" si="13"/>
        <v>48300</v>
      </c>
      <c r="O14" s="59">
        <f t="shared" si="13"/>
        <v>50050.63990436594</v>
      </c>
      <c r="P14" s="59">
        <f t="shared" si="13"/>
        <v>51756.171165627995</v>
      </c>
      <c r="Q14" s="52"/>
      <c r="R14" s="53">
        <v>30431</v>
      </c>
      <c r="S14" s="53">
        <v>30158</v>
      </c>
      <c r="T14" s="53">
        <v>30336</v>
      </c>
      <c r="U14" s="53">
        <v>30941</v>
      </c>
      <c r="V14" s="53">
        <v>31455</v>
      </c>
      <c r="W14" s="53">
        <v>31902</v>
      </c>
      <c r="X14" s="53">
        <v>32272</v>
      </c>
      <c r="Y14" s="53">
        <v>32554</v>
      </c>
      <c r="Z14" s="53">
        <v>33083</v>
      </c>
      <c r="AA14" s="53">
        <v>33731</v>
      </c>
      <c r="AB14" s="53">
        <v>34596</v>
      </c>
      <c r="AC14" s="53">
        <v>35411</v>
      </c>
      <c r="AD14" s="53">
        <v>36234</v>
      </c>
      <c r="AE14" s="53">
        <v>36521</v>
      </c>
      <c r="AF14" s="53">
        <v>37137</v>
      </c>
      <c r="AG14" s="53">
        <v>37690</v>
      </c>
      <c r="AH14" s="53">
        <v>38547</v>
      </c>
      <c r="AI14" s="53">
        <v>39690</v>
      </c>
      <c r="AJ14" s="53">
        <v>40612</v>
      </c>
      <c r="AK14" s="53">
        <v>40854</v>
      </c>
    </row>
    <row r="15" spans="1:78" x14ac:dyDescent="0.25">
      <c r="A15" s="7"/>
      <c r="B15" s="38"/>
      <c r="C15" s="38" t="s">
        <v>117</v>
      </c>
      <c r="D15" s="38" t="s">
        <v>103</v>
      </c>
      <c r="E15" s="40" t="s">
        <v>104</v>
      </c>
      <c r="F15" s="19">
        <f t="shared" si="11"/>
        <v>40480</v>
      </c>
      <c r="G15" s="19">
        <f t="shared" si="0"/>
        <v>43400</v>
      </c>
      <c r="H15" s="19">
        <f t="shared" si="0"/>
        <v>43285</v>
      </c>
      <c r="I15" s="19">
        <f t="shared" si="0"/>
        <v>44237</v>
      </c>
      <c r="J15" s="59">
        <f t="shared" ref="J15:P15" si="14">J31</f>
        <v>45100</v>
      </c>
      <c r="K15" s="59">
        <f t="shared" si="14"/>
        <v>46400</v>
      </c>
      <c r="L15" s="59">
        <f t="shared" si="14"/>
        <v>47400</v>
      </c>
      <c r="M15" s="59">
        <f t="shared" si="14"/>
        <v>48200</v>
      </c>
      <c r="N15" s="59">
        <f t="shared" si="14"/>
        <v>48600</v>
      </c>
      <c r="O15" s="59">
        <f t="shared" si="14"/>
        <v>50361.513444144613</v>
      </c>
      <c r="P15" s="59">
        <f t="shared" si="14"/>
        <v>52077.638067277854</v>
      </c>
      <c r="Q15" s="52"/>
      <c r="R15" s="53">
        <v>40480</v>
      </c>
      <c r="S15" s="53">
        <v>40845</v>
      </c>
      <c r="T15" s="53">
        <v>41699</v>
      </c>
      <c r="U15" s="53">
        <v>42600</v>
      </c>
      <c r="V15" s="53">
        <v>43306</v>
      </c>
      <c r="W15" s="53">
        <v>43400</v>
      </c>
      <c r="X15" s="53">
        <v>43179</v>
      </c>
      <c r="Y15" s="53">
        <v>43372</v>
      </c>
      <c r="Z15" s="53">
        <v>43360</v>
      </c>
      <c r="AA15" s="53">
        <v>43156</v>
      </c>
      <c r="AB15" s="53">
        <v>43285</v>
      </c>
      <c r="AC15" s="53">
        <v>43504</v>
      </c>
      <c r="AD15" s="53">
        <v>43648</v>
      </c>
      <c r="AE15" s="53">
        <v>43805</v>
      </c>
      <c r="AF15" s="53">
        <v>43884</v>
      </c>
      <c r="AG15" s="53">
        <v>44237</v>
      </c>
      <c r="AH15" s="53">
        <v>44649</v>
      </c>
      <c r="AI15" s="53">
        <v>44908</v>
      </c>
      <c r="AJ15" s="53">
        <v>44956</v>
      </c>
      <c r="AK15" s="53">
        <v>44826</v>
      </c>
    </row>
    <row r="16" spans="1:78" x14ac:dyDescent="0.25">
      <c r="A16" s="7"/>
      <c r="B16" s="38"/>
      <c r="C16" s="38" t="s">
        <v>116</v>
      </c>
      <c r="D16" s="38" t="s">
        <v>103</v>
      </c>
      <c r="E16" s="40" t="s">
        <v>104</v>
      </c>
      <c r="F16" s="19">
        <f t="shared" si="11"/>
        <v>27498</v>
      </c>
      <c r="G16" s="19">
        <f t="shared" si="0"/>
        <v>30339</v>
      </c>
      <c r="H16" s="19">
        <f t="shared" si="0"/>
        <v>33352</v>
      </c>
      <c r="I16" s="19">
        <f t="shared" si="0"/>
        <v>36488</v>
      </c>
      <c r="J16" s="59">
        <f t="shared" ref="J16:P16" si="15">J32</f>
        <v>39300</v>
      </c>
      <c r="K16" s="59">
        <f t="shared" si="15"/>
        <v>41600</v>
      </c>
      <c r="L16" s="59">
        <f t="shared" si="15"/>
        <v>43900</v>
      </c>
      <c r="M16" s="59">
        <f t="shared" si="15"/>
        <v>46400</v>
      </c>
      <c r="N16" s="59">
        <f t="shared" si="15"/>
        <v>48800</v>
      </c>
      <c r="O16" s="59">
        <f t="shared" si="15"/>
        <v>50568.762470663722</v>
      </c>
      <c r="P16" s="59">
        <f t="shared" si="15"/>
        <v>52291.949335044432</v>
      </c>
      <c r="Q16" s="52"/>
      <c r="R16" s="53">
        <v>27498</v>
      </c>
      <c r="S16" s="53">
        <v>28133</v>
      </c>
      <c r="T16" s="53">
        <v>28822</v>
      </c>
      <c r="U16" s="53">
        <v>29322</v>
      </c>
      <c r="V16" s="53">
        <v>29857</v>
      </c>
      <c r="W16" s="53">
        <v>30339</v>
      </c>
      <c r="X16" s="53">
        <v>30813</v>
      </c>
      <c r="Y16" s="53">
        <v>31395</v>
      </c>
      <c r="Z16" s="53">
        <v>31892</v>
      </c>
      <c r="AA16" s="53">
        <v>32597</v>
      </c>
      <c r="AB16" s="53">
        <v>33352</v>
      </c>
      <c r="AC16" s="53">
        <v>34192</v>
      </c>
      <c r="AD16" s="53">
        <v>34672</v>
      </c>
      <c r="AE16" s="53">
        <v>35337</v>
      </c>
      <c r="AF16" s="53">
        <v>35971</v>
      </c>
      <c r="AG16" s="53">
        <v>36488</v>
      </c>
      <c r="AH16" s="53">
        <v>36975</v>
      </c>
      <c r="AI16" s="53">
        <v>37559</v>
      </c>
      <c r="AJ16" s="53">
        <v>38139</v>
      </c>
      <c r="AK16" s="53">
        <v>38780</v>
      </c>
    </row>
    <row r="17" spans="1:78" x14ac:dyDescent="0.25">
      <c r="A17" s="7"/>
      <c r="B17" s="38"/>
      <c r="C17" s="38"/>
      <c r="D17" s="38"/>
      <c r="E17" s="40"/>
      <c r="F17" s="19"/>
      <c r="G17" s="19"/>
      <c r="H17" s="19"/>
      <c r="I17" s="19"/>
      <c r="Q17" s="52"/>
    </row>
    <row r="18" spans="1:78" x14ac:dyDescent="0.25">
      <c r="A18" s="7"/>
      <c r="B18" s="38"/>
      <c r="C18" s="38"/>
      <c r="D18" s="38"/>
      <c r="E18" s="40"/>
      <c r="F18" s="19"/>
      <c r="G18" s="19"/>
      <c r="H18" s="19"/>
      <c r="I18" s="19"/>
      <c r="Q18" s="52"/>
    </row>
    <row r="19" spans="1:78" x14ac:dyDescent="0.25">
      <c r="A19" s="7"/>
      <c r="B19" s="5" t="s">
        <v>121</v>
      </c>
      <c r="C19" s="38" t="s">
        <v>60</v>
      </c>
      <c r="D19" s="38" t="s">
        <v>103</v>
      </c>
      <c r="E19" s="56" t="s">
        <v>118</v>
      </c>
      <c r="F19" s="5"/>
      <c r="G19" s="5"/>
      <c r="H19" s="5"/>
      <c r="I19" s="5"/>
      <c r="J19" s="19">
        <f t="shared" ref="J19:P32" si="16">INDEX($R19:$BZ19,MATCH(J$1,$R$1:$BZ$1,0))</f>
        <v>37873700</v>
      </c>
      <c r="K19" s="19">
        <f t="shared" si="16"/>
        <v>39913500</v>
      </c>
      <c r="L19" s="19">
        <f t="shared" si="16"/>
        <v>41888100</v>
      </c>
      <c r="M19" s="19">
        <f t="shared" si="16"/>
        <v>43755500</v>
      </c>
      <c r="N19" s="19">
        <f t="shared" si="16"/>
        <v>45506800</v>
      </c>
      <c r="O19" s="19">
        <f t="shared" si="16"/>
        <v>47156200</v>
      </c>
      <c r="P19" s="19">
        <f t="shared" si="16"/>
        <v>48763100</v>
      </c>
      <c r="Q19" s="52"/>
      <c r="AJ19" s="53">
        <v>37058900</v>
      </c>
      <c r="AK19" s="53">
        <v>37466800</v>
      </c>
      <c r="AL19" s="53">
        <v>37873700</v>
      </c>
      <c r="AM19" s="53">
        <v>38284600</v>
      </c>
      <c r="AN19" s="53">
        <v>38694300</v>
      </c>
      <c r="AO19" s="53">
        <v>39102600</v>
      </c>
      <c r="AP19" s="53">
        <v>39509100</v>
      </c>
      <c r="AQ19" s="53">
        <v>39913500</v>
      </c>
      <c r="AR19" s="53">
        <v>40315200</v>
      </c>
      <c r="AS19" s="53">
        <v>40713900</v>
      </c>
      <c r="AT19" s="53">
        <v>41109200</v>
      </c>
      <c r="AU19" s="53">
        <v>41500700</v>
      </c>
      <c r="AV19" s="53">
        <v>41888100</v>
      </c>
      <c r="AW19" s="53">
        <v>42271000</v>
      </c>
      <c r="AX19" s="53">
        <v>42649300</v>
      </c>
      <c r="AY19" s="53">
        <v>43022800</v>
      </c>
      <c r="AZ19" s="53">
        <v>43391500</v>
      </c>
      <c r="BA19" s="53">
        <v>43755500</v>
      </c>
      <c r="BB19" s="53">
        <v>44114700</v>
      </c>
      <c r="BC19" s="53">
        <v>44469400</v>
      </c>
      <c r="BD19" s="53">
        <v>44819500</v>
      </c>
      <c r="BE19" s="53">
        <v>45165300</v>
      </c>
      <c r="BF19" s="53">
        <v>45506800</v>
      </c>
      <c r="BG19" s="53">
        <v>45843900</v>
      </c>
      <c r="BH19" s="53">
        <v>46176900</v>
      </c>
      <c r="BI19" s="53">
        <v>46505600</v>
      </c>
      <c r="BJ19" s="53">
        <v>46831800</v>
      </c>
      <c r="BK19" s="53">
        <v>47156200</v>
      </c>
      <c r="BL19" s="53">
        <v>47479100</v>
      </c>
      <c r="BM19" s="53">
        <v>47800800</v>
      </c>
      <c r="BN19" s="53">
        <v>48121700</v>
      </c>
      <c r="BO19" s="53">
        <v>48442300</v>
      </c>
      <c r="BP19" s="53">
        <v>48763100</v>
      </c>
      <c r="BQ19" s="53">
        <v>49084700</v>
      </c>
      <c r="BR19" s="53">
        <v>49407900</v>
      </c>
      <c r="BS19" s="53">
        <v>49733200</v>
      </c>
      <c r="BT19" s="53">
        <v>50061400</v>
      </c>
      <c r="BU19" s="53">
        <v>50393200</v>
      </c>
      <c r="BV19" s="53">
        <v>50729200</v>
      </c>
      <c r="BW19" s="53">
        <v>51070000</v>
      </c>
      <c r="BX19" s="53">
        <v>51416000</v>
      </c>
      <c r="BY19" s="53">
        <v>51767600</v>
      </c>
      <c r="BZ19" s="53">
        <v>52125000</v>
      </c>
    </row>
    <row r="20" spans="1:78" x14ac:dyDescent="0.25">
      <c r="A20" s="7"/>
      <c r="B20" s="5"/>
      <c r="C20" s="38" t="s">
        <v>107</v>
      </c>
      <c r="D20" s="38" t="s">
        <v>103</v>
      </c>
      <c r="E20" s="56" t="s">
        <v>118</v>
      </c>
      <c r="F20" s="5"/>
      <c r="G20" s="5"/>
      <c r="H20" s="5"/>
      <c r="I20" s="5"/>
      <c r="J20" s="19">
        <f t="shared" si="16"/>
        <v>522299.99999999994</v>
      </c>
      <c r="K20" s="19">
        <f t="shared" si="16"/>
        <v>513400</v>
      </c>
      <c r="L20" s="19">
        <f t="shared" si="16"/>
        <v>502000</v>
      </c>
      <c r="M20" s="19">
        <f t="shared" si="16"/>
        <v>487400</v>
      </c>
      <c r="N20" s="19">
        <f t="shared" si="16"/>
        <v>470100</v>
      </c>
      <c r="O20" s="57">
        <f>$N20*O$19/$N$19</f>
        <v>487138.83683317655</v>
      </c>
      <c r="P20" s="57">
        <f t="shared" ref="P20:P32" si="17">$N20*P$19/$N$19</f>
        <v>503738.63488533581</v>
      </c>
      <c r="Q20" s="52"/>
      <c r="AJ20" s="53">
        <v>525400</v>
      </c>
      <c r="AK20" s="53">
        <v>523900</v>
      </c>
      <c r="AL20" s="53">
        <v>522299.99999999994</v>
      </c>
      <c r="AM20" s="53">
        <v>520600</v>
      </c>
      <c r="AN20" s="53">
        <v>518900</v>
      </c>
      <c r="AO20" s="53">
        <v>517200.00000000006</v>
      </c>
      <c r="AP20" s="53">
        <v>515299.99999999994</v>
      </c>
      <c r="AQ20" s="53">
        <v>513400</v>
      </c>
      <c r="AR20" s="53">
        <v>511300</v>
      </c>
      <c r="AS20" s="53">
        <v>509200</v>
      </c>
      <c r="AT20" s="53">
        <v>506900</v>
      </c>
      <c r="AU20" s="53">
        <v>504500</v>
      </c>
      <c r="AV20" s="53">
        <v>502000</v>
      </c>
      <c r="AW20" s="53">
        <v>499300</v>
      </c>
      <c r="AX20" s="53">
        <v>496500</v>
      </c>
      <c r="AY20" s="53">
        <v>493600</v>
      </c>
      <c r="AZ20" s="53">
        <v>490600</v>
      </c>
      <c r="BA20" s="53">
        <v>487400</v>
      </c>
      <c r="BB20" s="53">
        <v>484200</v>
      </c>
      <c r="BC20" s="53">
        <v>480800</v>
      </c>
      <c r="BD20" s="53">
        <v>477300</v>
      </c>
      <c r="BE20" s="53">
        <v>473700</v>
      </c>
      <c r="BF20" s="53">
        <v>470100</v>
      </c>
      <c r="BG20" s="53">
        <v>466300</v>
      </c>
      <c r="BH20" s="53">
        <v>462500</v>
      </c>
      <c r="BQ20" s="53"/>
      <c r="BR20" s="53"/>
      <c r="BS20" s="53"/>
      <c r="BT20" s="53"/>
      <c r="BU20" s="53"/>
      <c r="BV20" s="53"/>
      <c r="BW20" s="53"/>
      <c r="BX20" s="53"/>
      <c r="BY20" s="53"/>
      <c r="BZ20" s="53"/>
    </row>
    <row r="21" spans="1:78" x14ac:dyDescent="0.25">
      <c r="A21" s="7"/>
      <c r="B21" s="5"/>
      <c r="C21" s="38" t="s">
        <v>108</v>
      </c>
      <c r="D21" s="38" t="s">
        <v>103</v>
      </c>
      <c r="E21" s="56" t="s">
        <v>118</v>
      </c>
      <c r="F21" s="5"/>
      <c r="G21" s="5"/>
      <c r="H21" s="5"/>
      <c r="I21" s="5"/>
      <c r="J21" s="19">
        <f t="shared" si="16"/>
        <v>157400</v>
      </c>
      <c r="K21" s="19">
        <f t="shared" si="16"/>
        <v>167800</v>
      </c>
      <c r="L21" s="19">
        <f t="shared" si="16"/>
        <v>177600</v>
      </c>
      <c r="M21" s="19">
        <f t="shared" si="16"/>
        <v>186300</v>
      </c>
      <c r="N21" s="19">
        <f t="shared" si="16"/>
        <v>193600</v>
      </c>
      <c r="O21" s="57">
        <f t="shared" ref="O21:O32" si="18">$N21*O$19/$N$19</f>
        <v>200617.05767050199</v>
      </c>
      <c r="P21" s="57">
        <f t="shared" si="17"/>
        <v>207453.30719804514</v>
      </c>
      <c r="Q21" s="52"/>
      <c r="AJ21" s="53">
        <v>153200</v>
      </c>
      <c r="AK21" s="53">
        <v>155300</v>
      </c>
      <c r="AL21" s="53">
        <v>157400</v>
      </c>
      <c r="AM21" s="53">
        <v>159500</v>
      </c>
      <c r="AN21" s="53">
        <v>161600</v>
      </c>
      <c r="AO21" s="53">
        <v>163700</v>
      </c>
      <c r="AP21" s="53">
        <v>165800</v>
      </c>
      <c r="AQ21" s="53">
        <v>167800</v>
      </c>
      <c r="AR21" s="53">
        <v>169900</v>
      </c>
      <c r="AS21" s="53">
        <v>171900</v>
      </c>
      <c r="AT21" s="53">
        <v>173800</v>
      </c>
      <c r="AU21" s="53">
        <v>175800</v>
      </c>
      <c r="AV21" s="53">
        <v>177600</v>
      </c>
      <c r="AW21" s="53">
        <v>179500</v>
      </c>
      <c r="AX21" s="53">
        <v>181200</v>
      </c>
      <c r="AY21" s="53">
        <v>183000</v>
      </c>
      <c r="AZ21" s="53">
        <v>184700</v>
      </c>
      <c r="BA21" s="53">
        <v>186300</v>
      </c>
      <c r="BB21" s="53">
        <v>187900</v>
      </c>
      <c r="BC21" s="53">
        <v>189400</v>
      </c>
      <c r="BD21" s="53">
        <v>190900</v>
      </c>
      <c r="BE21" s="53">
        <v>192300</v>
      </c>
      <c r="BF21" s="53">
        <v>193600</v>
      </c>
      <c r="BG21" s="53">
        <v>194900</v>
      </c>
      <c r="BH21" s="53">
        <v>196200</v>
      </c>
      <c r="BQ21" s="53"/>
      <c r="BR21" s="53"/>
      <c r="BS21" s="53"/>
      <c r="BT21" s="53"/>
      <c r="BU21" s="53"/>
      <c r="BV21" s="53"/>
      <c r="BW21" s="53"/>
      <c r="BX21" s="53"/>
      <c r="BY21" s="53"/>
      <c r="BZ21" s="53"/>
    </row>
    <row r="22" spans="1:78" x14ac:dyDescent="0.25">
      <c r="A22" s="7"/>
      <c r="B22" s="5"/>
      <c r="C22" s="38" t="s">
        <v>109</v>
      </c>
      <c r="D22" s="38" t="s">
        <v>103</v>
      </c>
      <c r="E22" s="56" t="s">
        <v>118</v>
      </c>
      <c r="F22" s="5"/>
      <c r="G22" s="5"/>
      <c r="H22" s="5"/>
      <c r="I22" s="5"/>
      <c r="J22" s="19">
        <f t="shared" si="16"/>
        <v>967100</v>
      </c>
      <c r="K22" s="19">
        <f t="shared" si="16"/>
        <v>983900</v>
      </c>
      <c r="L22" s="19">
        <f t="shared" si="16"/>
        <v>996100</v>
      </c>
      <c r="M22" s="19">
        <f t="shared" si="16"/>
        <v>1001200</v>
      </c>
      <c r="N22" s="19">
        <f t="shared" si="16"/>
        <v>998700</v>
      </c>
      <c r="O22" s="57">
        <f t="shared" si="18"/>
        <v>1034898.0139231939</v>
      </c>
      <c r="P22" s="57">
        <f t="shared" si="17"/>
        <v>1070163.3155923949</v>
      </c>
      <c r="Q22" s="52"/>
      <c r="AJ22" s="53">
        <v>959900</v>
      </c>
      <c r="AK22" s="53">
        <v>963500</v>
      </c>
      <c r="AL22" s="53">
        <v>967100</v>
      </c>
      <c r="AM22" s="53">
        <v>970600</v>
      </c>
      <c r="AN22" s="53">
        <v>974100</v>
      </c>
      <c r="AO22" s="53">
        <v>977500</v>
      </c>
      <c r="AP22" s="53">
        <v>980800</v>
      </c>
      <c r="AQ22" s="53">
        <v>983900</v>
      </c>
      <c r="AR22" s="53">
        <v>986800</v>
      </c>
      <c r="AS22" s="53">
        <v>989500</v>
      </c>
      <c r="AT22" s="53">
        <v>992000</v>
      </c>
      <c r="AU22" s="53">
        <v>994200</v>
      </c>
      <c r="AV22" s="53">
        <v>996100</v>
      </c>
      <c r="AW22" s="53">
        <v>997800</v>
      </c>
      <c r="AX22" s="53">
        <v>999100</v>
      </c>
      <c r="AY22" s="53">
        <v>1000100</v>
      </c>
      <c r="AZ22" s="53">
        <v>1000800</v>
      </c>
      <c r="BA22" s="53">
        <v>1001200</v>
      </c>
      <c r="BB22" s="53">
        <v>1001300</v>
      </c>
      <c r="BC22" s="53">
        <v>1001100</v>
      </c>
      <c r="BD22" s="53">
        <v>1000600</v>
      </c>
      <c r="BE22" s="53">
        <v>999800</v>
      </c>
      <c r="BF22" s="53">
        <v>998700</v>
      </c>
      <c r="BG22" s="53">
        <v>997400</v>
      </c>
      <c r="BH22" s="53">
        <v>995700</v>
      </c>
      <c r="BQ22" s="53"/>
      <c r="BR22" s="53"/>
      <c r="BS22" s="53"/>
      <c r="BT22" s="53"/>
      <c r="BU22" s="53"/>
      <c r="BV22" s="53"/>
      <c r="BW22" s="53"/>
      <c r="BX22" s="53"/>
      <c r="BY22" s="53"/>
      <c r="BZ22" s="53"/>
    </row>
    <row r="23" spans="1:78" x14ac:dyDescent="0.25">
      <c r="A23" s="7"/>
      <c r="B23" s="5"/>
      <c r="C23" s="38" t="s">
        <v>110</v>
      </c>
      <c r="D23" s="38" t="s">
        <v>103</v>
      </c>
      <c r="E23" s="56" t="s">
        <v>118</v>
      </c>
      <c r="F23" s="5"/>
      <c r="G23" s="5"/>
      <c r="H23" s="5"/>
      <c r="I23" s="5"/>
      <c r="J23" s="19">
        <f t="shared" si="16"/>
        <v>775600</v>
      </c>
      <c r="K23" s="19">
        <f t="shared" si="16"/>
        <v>787700</v>
      </c>
      <c r="L23" s="19">
        <f t="shared" si="16"/>
        <v>796600</v>
      </c>
      <c r="M23" s="19">
        <f t="shared" si="16"/>
        <v>800300</v>
      </c>
      <c r="N23" s="19">
        <f t="shared" si="16"/>
        <v>798100</v>
      </c>
      <c r="O23" s="57">
        <f t="shared" si="18"/>
        <v>827027.24032452295</v>
      </c>
      <c r="P23" s="57">
        <f t="shared" si="17"/>
        <v>855209.11402251967</v>
      </c>
      <c r="Q23" s="52"/>
      <c r="AJ23" s="53">
        <v>770600</v>
      </c>
      <c r="AK23" s="53">
        <v>773100</v>
      </c>
      <c r="AL23" s="53">
        <v>775600</v>
      </c>
      <c r="AM23" s="53">
        <v>778100</v>
      </c>
      <c r="AN23" s="53">
        <v>780600</v>
      </c>
      <c r="AO23" s="53">
        <v>783100</v>
      </c>
      <c r="AP23" s="53">
        <v>785500</v>
      </c>
      <c r="AQ23" s="53">
        <v>787700</v>
      </c>
      <c r="AR23" s="53">
        <v>789800</v>
      </c>
      <c r="AS23" s="53">
        <v>791800</v>
      </c>
      <c r="AT23" s="53">
        <v>793600</v>
      </c>
      <c r="AU23" s="53">
        <v>795200</v>
      </c>
      <c r="AV23" s="53">
        <v>796600</v>
      </c>
      <c r="AW23" s="53">
        <v>797800</v>
      </c>
      <c r="AX23" s="53">
        <v>798700</v>
      </c>
      <c r="AY23" s="53">
        <v>799500</v>
      </c>
      <c r="AZ23" s="53">
        <v>800000</v>
      </c>
      <c r="BA23" s="53">
        <v>800300</v>
      </c>
      <c r="BB23" s="53">
        <v>800300</v>
      </c>
      <c r="BC23" s="53">
        <v>800100</v>
      </c>
      <c r="BD23" s="53">
        <v>799700</v>
      </c>
      <c r="BE23" s="53">
        <v>799000</v>
      </c>
      <c r="BF23" s="53">
        <v>798100</v>
      </c>
      <c r="BG23" s="53">
        <v>797000</v>
      </c>
      <c r="BH23" s="53">
        <v>795600</v>
      </c>
      <c r="BQ23" s="53"/>
      <c r="BR23" s="53"/>
      <c r="BS23" s="53"/>
      <c r="BT23" s="53"/>
      <c r="BU23" s="53"/>
      <c r="BV23" s="53"/>
      <c r="BW23" s="53"/>
      <c r="BX23" s="53"/>
      <c r="BY23" s="53"/>
      <c r="BZ23" s="53"/>
    </row>
    <row r="24" spans="1:78" x14ac:dyDescent="0.25">
      <c r="A24" s="7"/>
      <c r="B24" s="5"/>
      <c r="C24" s="38" t="s">
        <v>111</v>
      </c>
      <c r="D24" s="38" t="s">
        <v>103</v>
      </c>
      <c r="E24" s="56" t="s">
        <v>118</v>
      </c>
      <c r="F24" s="5"/>
      <c r="G24" s="5"/>
      <c r="H24" s="5"/>
      <c r="I24" s="5"/>
      <c r="J24" s="19">
        <f t="shared" si="16"/>
        <v>8494500</v>
      </c>
      <c r="K24" s="19">
        <f t="shared" si="16"/>
        <v>8738500</v>
      </c>
      <c r="L24" s="19">
        <f t="shared" si="16"/>
        <v>8958900</v>
      </c>
      <c r="M24" s="19">
        <f t="shared" si="16"/>
        <v>9159100</v>
      </c>
      <c r="N24" s="19">
        <f t="shared" si="16"/>
        <v>9353100</v>
      </c>
      <c r="O24" s="57">
        <f t="shared" si="18"/>
        <v>9692104.3496796079</v>
      </c>
      <c r="P24" s="57">
        <f t="shared" si="17"/>
        <v>10022373.592737788</v>
      </c>
      <c r="Q24" s="52"/>
      <c r="AJ24" s="53">
        <v>8390500</v>
      </c>
      <c r="AK24" s="53">
        <v>8443200</v>
      </c>
      <c r="AL24" s="53">
        <v>8494500</v>
      </c>
      <c r="AM24" s="53">
        <v>8545300</v>
      </c>
      <c r="AN24" s="53">
        <v>8595000</v>
      </c>
      <c r="AO24" s="53">
        <v>8643800</v>
      </c>
      <c r="AP24" s="53">
        <v>8691600</v>
      </c>
      <c r="AQ24" s="53">
        <v>8738500</v>
      </c>
      <c r="AR24" s="53">
        <v>8784500</v>
      </c>
      <c r="AS24" s="53">
        <v>8829500</v>
      </c>
      <c r="AT24" s="53">
        <v>8873600</v>
      </c>
      <c r="AU24" s="53">
        <v>8916700</v>
      </c>
      <c r="AV24" s="53">
        <v>8958900</v>
      </c>
      <c r="AW24" s="53">
        <v>9000300</v>
      </c>
      <c r="AX24" s="53">
        <v>9040800</v>
      </c>
      <c r="AY24" s="53">
        <v>9080700</v>
      </c>
      <c r="AZ24" s="53">
        <v>9120100</v>
      </c>
      <c r="BA24" s="53">
        <v>9159100</v>
      </c>
      <c r="BB24" s="53">
        <v>9197800</v>
      </c>
      <c r="BC24" s="53">
        <v>9236500</v>
      </c>
      <c r="BD24" s="53">
        <v>9275200</v>
      </c>
      <c r="BE24" s="53">
        <v>9314000</v>
      </c>
      <c r="BF24" s="53">
        <v>9353100</v>
      </c>
      <c r="BG24" s="53">
        <v>9392500</v>
      </c>
      <c r="BH24" s="53">
        <v>9432200</v>
      </c>
      <c r="BQ24" s="53"/>
      <c r="BR24" s="53"/>
      <c r="BS24" s="53"/>
      <c r="BT24" s="53"/>
      <c r="BU24" s="53"/>
      <c r="BV24" s="53"/>
      <c r="BW24" s="53"/>
      <c r="BX24" s="53"/>
      <c r="BY24" s="53"/>
      <c r="BZ24" s="53"/>
    </row>
    <row r="25" spans="1:78" x14ac:dyDescent="0.25">
      <c r="A25" s="7"/>
      <c r="B25" s="5"/>
      <c r="C25" s="38" t="s">
        <v>112</v>
      </c>
      <c r="D25" s="38" t="s">
        <v>103</v>
      </c>
      <c r="E25" s="56" t="s">
        <v>118</v>
      </c>
      <c r="F25" s="5"/>
      <c r="G25" s="5"/>
      <c r="H25" s="5"/>
      <c r="I25" s="5"/>
      <c r="J25" s="19">
        <f t="shared" si="16"/>
        <v>14677900</v>
      </c>
      <c r="K25" s="19">
        <f t="shared" si="16"/>
        <v>15561600</v>
      </c>
      <c r="L25" s="19">
        <f t="shared" si="16"/>
        <v>16411599.999999998</v>
      </c>
      <c r="M25" s="19">
        <f t="shared" si="16"/>
        <v>17195100</v>
      </c>
      <c r="N25" s="19">
        <f t="shared" si="16"/>
        <v>17892000</v>
      </c>
      <c r="O25" s="57">
        <f t="shared" si="18"/>
        <v>18540497.912399907</v>
      </c>
      <c r="P25" s="57">
        <f t="shared" si="17"/>
        <v>19172286.014397848</v>
      </c>
      <c r="Q25" s="52"/>
      <c r="AJ25" s="53">
        <v>14322800</v>
      </c>
      <c r="AK25" s="53">
        <v>14501100</v>
      </c>
      <c r="AL25" s="53">
        <v>14677900</v>
      </c>
      <c r="AM25" s="53">
        <v>14856200</v>
      </c>
      <c r="AN25" s="53">
        <v>15033700</v>
      </c>
      <c r="AO25" s="53">
        <v>15210600</v>
      </c>
      <c r="AP25" s="53">
        <v>15386600</v>
      </c>
      <c r="AQ25" s="53">
        <v>15561600</v>
      </c>
      <c r="AR25" s="53">
        <v>15735300</v>
      </c>
      <c r="AS25" s="53">
        <v>15907500</v>
      </c>
      <c r="AT25" s="53">
        <v>16077800</v>
      </c>
      <c r="AU25" s="53">
        <v>16245900</v>
      </c>
      <c r="AV25" s="53">
        <v>16411599.999999998</v>
      </c>
      <c r="AW25" s="53">
        <v>16574500</v>
      </c>
      <c r="AX25" s="53">
        <v>16734500</v>
      </c>
      <c r="AY25" s="53">
        <v>16891400</v>
      </c>
      <c r="AZ25" s="53">
        <v>17044900</v>
      </c>
      <c r="BA25" s="53">
        <v>17195100</v>
      </c>
      <c r="BB25" s="53">
        <v>17341700</v>
      </c>
      <c r="BC25" s="53">
        <v>17484800</v>
      </c>
      <c r="BD25" s="53">
        <v>17624200</v>
      </c>
      <c r="BE25" s="53">
        <v>17759900</v>
      </c>
      <c r="BF25" s="53">
        <v>17892000</v>
      </c>
      <c r="BG25" s="53">
        <v>18020200</v>
      </c>
      <c r="BH25" s="53">
        <v>18144600</v>
      </c>
      <c r="BQ25" s="53"/>
      <c r="BR25" s="53"/>
      <c r="BS25" s="53"/>
      <c r="BT25" s="53"/>
      <c r="BU25" s="53"/>
      <c r="BV25" s="53"/>
      <c r="BW25" s="53"/>
      <c r="BX25" s="53"/>
      <c r="BY25" s="53"/>
      <c r="BZ25" s="53"/>
    </row>
    <row r="26" spans="1:78" x14ac:dyDescent="0.25">
      <c r="A26" s="7"/>
      <c r="B26" s="5"/>
      <c r="C26" s="38" t="s">
        <v>113</v>
      </c>
      <c r="D26" s="38" t="s">
        <v>103</v>
      </c>
      <c r="E26" s="56" t="s">
        <v>118</v>
      </c>
      <c r="F26" s="5"/>
      <c r="G26" s="5"/>
      <c r="H26" s="5"/>
      <c r="I26" s="5"/>
      <c r="J26" s="19">
        <f t="shared" si="16"/>
        <v>1381900</v>
      </c>
      <c r="K26" s="19">
        <f t="shared" si="16"/>
        <v>1457800</v>
      </c>
      <c r="L26" s="19">
        <f t="shared" si="16"/>
        <v>1534800</v>
      </c>
      <c r="M26" s="19">
        <f t="shared" si="16"/>
        <v>1612800</v>
      </c>
      <c r="N26" s="19">
        <f t="shared" si="16"/>
        <v>1692500</v>
      </c>
      <c r="O26" s="57">
        <f t="shared" si="18"/>
        <v>1753844.886917999</v>
      </c>
      <c r="P26" s="57">
        <f t="shared" si="17"/>
        <v>1813609.1034746456</v>
      </c>
      <c r="Q26" s="52"/>
      <c r="AJ26" s="53">
        <v>1352200</v>
      </c>
      <c r="AK26" s="53">
        <v>1367000</v>
      </c>
      <c r="AL26" s="53">
        <v>1381900</v>
      </c>
      <c r="AM26" s="53">
        <v>1397000</v>
      </c>
      <c r="AN26" s="53">
        <v>1412100</v>
      </c>
      <c r="AO26" s="53">
        <v>1427300</v>
      </c>
      <c r="AP26" s="53">
        <v>1442500</v>
      </c>
      <c r="AQ26" s="53">
        <v>1457800</v>
      </c>
      <c r="AR26" s="53">
        <v>1473100</v>
      </c>
      <c r="AS26" s="53">
        <v>1488500</v>
      </c>
      <c r="AT26" s="53">
        <v>1503900</v>
      </c>
      <c r="AU26" s="53">
        <v>1519300</v>
      </c>
      <c r="AV26" s="53">
        <v>1534800</v>
      </c>
      <c r="AW26" s="53">
        <v>1550300</v>
      </c>
      <c r="AX26" s="53">
        <v>1565900</v>
      </c>
      <c r="AY26" s="53">
        <v>1581500</v>
      </c>
      <c r="AZ26" s="53">
        <v>1597100</v>
      </c>
      <c r="BA26" s="53">
        <v>1612800</v>
      </c>
      <c r="BB26" s="53">
        <v>1628600</v>
      </c>
      <c r="BC26" s="53">
        <v>1644500</v>
      </c>
      <c r="BD26" s="53">
        <v>1660400</v>
      </c>
      <c r="BE26" s="53">
        <v>1676400</v>
      </c>
      <c r="BF26" s="53">
        <v>1692500</v>
      </c>
      <c r="BG26" s="53">
        <v>1708700</v>
      </c>
      <c r="BH26" s="53">
        <v>1725000</v>
      </c>
      <c r="BQ26" s="53"/>
      <c r="BR26" s="53"/>
      <c r="BS26" s="53"/>
      <c r="BT26" s="53"/>
      <c r="BU26" s="53"/>
      <c r="BV26" s="53"/>
      <c r="BW26" s="53"/>
      <c r="BX26" s="53"/>
      <c r="BY26" s="53"/>
      <c r="BZ26" s="53"/>
    </row>
    <row r="27" spans="1:78" x14ac:dyDescent="0.25">
      <c r="A27" s="7"/>
      <c r="B27" s="5"/>
      <c r="C27" s="38" t="s">
        <v>114</v>
      </c>
      <c r="D27" s="38" t="s">
        <v>103</v>
      </c>
      <c r="E27" s="56" t="s">
        <v>118</v>
      </c>
      <c r="F27" s="5"/>
      <c r="G27" s="5"/>
      <c r="H27" s="5"/>
      <c r="I27" s="5"/>
      <c r="J27" s="19">
        <f t="shared" si="16"/>
        <v>1195100</v>
      </c>
      <c r="K27" s="19">
        <f t="shared" si="16"/>
        <v>1287000</v>
      </c>
      <c r="L27" s="19">
        <f t="shared" si="16"/>
        <v>1380400</v>
      </c>
      <c r="M27" s="19">
        <f t="shared" si="16"/>
        <v>1468800</v>
      </c>
      <c r="N27" s="19">
        <f t="shared" si="16"/>
        <v>1548700</v>
      </c>
      <c r="O27" s="57">
        <f t="shared" si="18"/>
        <v>1604832.8368507563</v>
      </c>
      <c r="P27" s="57">
        <f t="shared" si="17"/>
        <v>1659519.3019504778</v>
      </c>
      <c r="Q27" s="52"/>
      <c r="AJ27" s="53">
        <v>1162100</v>
      </c>
      <c r="AK27" s="53">
        <v>1178200</v>
      </c>
      <c r="AL27" s="53">
        <v>1195100</v>
      </c>
      <c r="AM27" s="53">
        <v>1212900</v>
      </c>
      <c r="AN27" s="53">
        <v>1231100</v>
      </c>
      <c r="AO27" s="53">
        <v>1249500</v>
      </c>
      <c r="AP27" s="53">
        <v>1268200</v>
      </c>
      <c r="AQ27" s="53">
        <v>1287000</v>
      </c>
      <c r="AR27" s="53">
        <v>1305800</v>
      </c>
      <c r="AS27" s="53">
        <v>1324600</v>
      </c>
      <c r="AT27" s="53">
        <v>1343300</v>
      </c>
      <c r="AU27" s="53">
        <v>1361900</v>
      </c>
      <c r="AV27" s="53">
        <v>1380400</v>
      </c>
      <c r="AW27" s="53">
        <v>1398600</v>
      </c>
      <c r="AX27" s="53">
        <v>1416600</v>
      </c>
      <c r="AY27" s="53">
        <v>1434300</v>
      </c>
      <c r="AZ27" s="53">
        <v>1451700</v>
      </c>
      <c r="BA27" s="53">
        <v>1468800</v>
      </c>
      <c r="BB27" s="53">
        <v>1485600</v>
      </c>
      <c r="BC27" s="53">
        <v>1501900</v>
      </c>
      <c r="BD27" s="53">
        <v>1517900</v>
      </c>
      <c r="BE27" s="53">
        <v>1533500</v>
      </c>
      <c r="BF27" s="53">
        <v>1548700</v>
      </c>
      <c r="BG27" s="53">
        <v>1563400</v>
      </c>
      <c r="BH27" s="53">
        <v>1577500</v>
      </c>
      <c r="BQ27" s="53"/>
      <c r="BR27" s="53"/>
      <c r="BS27" s="53"/>
      <c r="BT27" s="53"/>
      <c r="BU27" s="53"/>
      <c r="BV27" s="53"/>
      <c r="BW27" s="53"/>
      <c r="BX27" s="53"/>
      <c r="BY27" s="53"/>
      <c r="BZ27" s="53"/>
    </row>
    <row r="28" spans="1:78" x14ac:dyDescent="0.25">
      <c r="A28" s="7"/>
      <c r="B28" s="5"/>
      <c r="C28" s="38" t="s">
        <v>5</v>
      </c>
      <c r="D28" s="38" t="s">
        <v>103</v>
      </c>
      <c r="E28" s="56" t="s">
        <v>118</v>
      </c>
      <c r="F28" s="5"/>
      <c r="G28" s="5"/>
      <c r="H28" s="5"/>
      <c r="I28" s="5"/>
      <c r="J28" s="19">
        <f t="shared" si="16"/>
        <v>4472800</v>
      </c>
      <c r="K28" s="19">
        <f t="shared" si="16"/>
        <v>4908500</v>
      </c>
      <c r="L28" s="19">
        <f t="shared" si="16"/>
        <v>5360500</v>
      </c>
      <c r="M28" s="19">
        <f t="shared" si="16"/>
        <v>5830000</v>
      </c>
      <c r="N28" s="19">
        <f t="shared" si="16"/>
        <v>6317800</v>
      </c>
      <c r="O28" s="57">
        <f t="shared" si="18"/>
        <v>6546789.4987122808</v>
      </c>
      <c r="P28" s="57">
        <f t="shared" si="17"/>
        <v>6769878.6374783553</v>
      </c>
      <c r="Q28" s="52"/>
      <c r="AJ28" s="53">
        <v>4307100</v>
      </c>
      <c r="AK28" s="53">
        <v>4389000</v>
      </c>
      <c r="AL28" s="53">
        <v>4472800</v>
      </c>
      <c r="AM28" s="53">
        <v>4558400</v>
      </c>
      <c r="AN28" s="53">
        <v>4644900</v>
      </c>
      <c r="AO28" s="53">
        <v>4732100</v>
      </c>
      <c r="AP28" s="53">
        <v>4820000</v>
      </c>
      <c r="AQ28" s="53">
        <v>4908500</v>
      </c>
      <c r="AR28" s="53">
        <v>4997600</v>
      </c>
      <c r="AS28" s="53">
        <v>5087300</v>
      </c>
      <c r="AT28" s="53">
        <v>5177700</v>
      </c>
      <c r="AU28" s="53">
        <v>5268700</v>
      </c>
      <c r="AV28" s="53">
        <v>5360500</v>
      </c>
      <c r="AW28" s="53">
        <v>5453000</v>
      </c>
      <c r="AX28" s="53">
        <v>5546200</v>
      </c>
      <c r="AY28" s="53">
        <v>5640100</v>
      </c>
      <c r="AZ28" s="53">
        <v>5734700</v>
      </c>
      <c r="BA28" s="53">
        <v>5830000</v>
      </c>
      <c r="BB28" s="53">
        <v>5926100</v>
      </c>
      <c r="BC28" s="53">
        <v>6022900</v>
      </c>
      <c r="BD28" s="53">
        <v>6120500</v>
      </c>
      <c r="BE28" s="53">
        <v>6218800</v>
      </c>
      <c r="BF28" s="53">
        <v>6317800</v>
      </c>
      <c r="BG28" s="53">
        <v>6417600</v>
      </c>
      <c r="BH28" s="53">
        <v>6518100</v>
      </c>
      <c r="BQ28" s="53"/>
      <c r="BR28" s="53"/>
      <c r="BS28" s="53"/>
      <c r="BT28" s="53"/>
      <c r="BU28" s="53"/>
      <c r="BV28" s="53"/>
      <c r="BW28" s="53"/>
      <c r="BX28" s="53"/>
      <c r="BY28" s="53"/>
      <c r="BZ28" s="53"/>
    </row>
    <row r="29" spans="1:78" x14ac:dyDescent="0.25">
      <c r="A29" s="7"/>
      <c r="B29" s="5"/>
      <c r="C29" s="38" t="s">
        <v>76</v>
      </c>
      <c r="D29" s="38" t="s">
        <v>103</v>
      </c>
      <c r="E29" s="56" t="s">
        <v>118</v>
      </c>
      <c r="F29" s="5"/>
      <c r="G29" s="5"/>
      <c r="H29" s="5"/>
      <c r="I29" s="5"/>
      <c r="J29" s="19">
        <f t="shared" si="16"/>
        <v>5103500</v>
      </c>
      <c r="K29" s="19">
        <f t="shared" si="16"/>
        <v>5375800</v>
      </c>
      <c r="L29" s="19">
        <f t="shared" si="16"/>
        <v>5632900</v>
      </c>
      <c r="M29" s="19">
        <f t="shared" si="16"/>
        <v>5872900</v>
      </c>
      <c r="N29" s="19">
        <f t="shared" si="16"/>
        <v>6096400</v>
      </c>
      <c r="O29" s="57">
        <f t="shared" si="18"/>
        <v>6317364.8263556212</v>
      </c>
      <c r="P29" s="57">
        <f t="shared" si="17"/>
        <v>6532636.064060756</v>
      </c>
      <c r="Q29" s="52"/>
      <c r="AJ29" s="53">
        <v>4991700</v>
      </c>
      <c r="AK29" s="53">
        <v>5048000</v>
      </c>
      <c r="AL29" s="53">
        <v>5103500</v>
      </c>
      <c r="AM29" s="53">
        <v>5159100</v>
      </c>
      <c r="AN29" s="53">
        <v>5214100</v>
      </c>
      <c r="AO29" s="53">
        <v>5268600</v>
      </c>
      <c r="AP29" s="53">
        <v>5322500</v>
      </c>
      <c r="AQ29" s="53">
        <v>5375800</v>
      </c>
      <c r="AR29" s="53">
        <v>5428500</v>
      </c>
      <c r="AS29" s="53">
        <v>5480600</v>
      </c>
      <c r="AT29" s="53">
        <v>5532000</v>
      </c>
      <c r="AU29" s="53">
        <v>5582800</v>
      </c>
      <c r="AV29" s="53">
        <v>5632900</v>
      </c>
      <c r="AW29" s="53">
        <v>5682300</v>
      </c>
      <c r="AX29" s="53">
        <v>5731000</v>
      </c>
      <c r="AY29" s="53">
        <v>5779000</v>
      </c>
      <c r="AZ29" s="53">
        <v>5826300</v>
      </c>
      <c r="BA29" s="53">
        <v>5872900</v>
      </c>
      <c r="BB29" s="53">
        <v>5918800</v>
      </c>
      <c r="BC29" s="53">
        <v>5964100</v>
      </c>
      <c r="BD29" s="53">
        <v>6008800</v>
      </c>
      <c r="BE29" s="53">
        <v>6052900</v>
      </c>
      <c r="BF29" s="53">
        <v>6096400</v>
      </c>
      <c r="BG29" s="53">
        <v>6139500</v>
      </c>
      <c r="BH29" s="53">
        <v>6182100</v>
      </c>
      <c r="BQ29" s="53"/>
      <c r="BR29" s="53"/>
      <c r="BS29" s="53"/>
      <c r="BT29" s="53"/>
      <c r="BU29" s="53"/>
      <c r="BV29" s="53"/>
      <c r="BW29" s="53"/>
      <c r="BX29" s="53"/>
      <c r="BY29" s="53"/>
      <c r="BZ29" s="53"/>
    </row>
    <row r="30" spans="1:78" x14ac:dyDescent="0.25">
      <c r="A30" s="7"/>
      <c r="B30" s="5"/>
      <c r="C30" s="38" t="s">
        <v>115</v>
      </c>
      <c r="D30" s="38" t="s">
        <v>103</v>
      </c>
      <c r="E30" s="56" t="s">
        <v>118</v>
      </c>
      <c r="F30" s="5"/>
      <c r="G30" s="5"/>
      <c r="H30" s="5"/>
      <c r="I30" s="5"/>
      <c r="J30" s="19">
        <f t="shared" si="16"/>
        <v>41300</v>
      </c>
      <c r="K30" s="19">
        <f t="shared" si="16"/>
        <v>43500</v>
      </c>
      <c r="L30" s="19">
        <f t="shared" si="16"/>
        <v>45400</v>
      </c>
      <c r="M30" s="19">
        <f t="shared" si="16"/>
        <v>47000</v>
      </c>
      <c r="N30" s="19">
        <f t="shared" si="16"/>
        <v>48300</v>
      </c>
      <c r="O30" s="57">
        <f t="shared" si="18"/>
        <v>50050.63990436594</v>
      </c>
      <c r="P30" s="57">
        <f t="shared" si="17"/>
        <v>51756.171165627995</v>
      </c>
      <c r="Q30" s="52"/>
      <c r="AJ30" s="53">
        <v>40500</v>
      </c>
      <c r="AK30" s="53">
        <v>40900</v>
      </c>
      <c r="AL30" s="53">
        <v>41300</v>
      </c>
      <c r="AM30" s="53">
        <v>41800</v>
      </c>
      <c r="AN30" s="53">
        <v>42200</v>
      </c>
      <c r="AO30" s="53">
        <v>42600</v>
      </c>
      <c r="AP30" s="53">
        <v>43100</v>
      </c>
      <c r="AQ30" s="53">
        <v>43500</v>
      </c>
      <c r="AR30" s="53">
        <v>43900</v>
      </c>
      <c r="AS30" s="53">
        <v>44300</v>
      </c>
      <c r="AT30" s="53">
        <v>44600</v>
      </c>
      <c r="AU30" s="53">
        <v>45000</v>
      </c>
      <c r="AV30" s="53">
        <v>45400</v>
      </c>
      <c r="AW30" s="53">
        <v>45700</v>
      </c>
      <c r="AX30" s="53">
        <v>46000</v>
      </c>
      <c r="AY30" s="53">
        <v>46400</v>
      </c>
      <c r="AZ30" s="53">
        <v>46700</v>
      </c>
      <c r="BA30" s="53">
        <v>47000</v>
      </c>
      <c r="BB30" s="53">
        <v>47300</v>
      </c>
      <c r="BC30" s="53">
        <v>47600</v>
      </c>
      <c r="BD30" s="53">
        <v>47800</v>
      </c>
      <c r="BE30" s="53">
        <v>48100</v>
      </c>
      <c r="BF30" s="53">
        <v>48300</v>
      </c>
      <c r="BG30" s="53">
        <v>48600</v>
      </c>
      <c r="BH30" s="53">
        <v>48800</v>
      </c>
      <c r="BQ30" s="53"/>
      <c r="BR30" s="53"/>
      <c r="BS30" s="53"/>
      <c r="BT30" s="53"/>
      <c r="BU30" s="53"/>
      <c r="BV30" s="53"/>
      <c r="BW30" s="53"/>
      <c r="BX30" s="53"/>
      <c r="BY30" s="53"/>
      <c r="BZ30" s="53"/>
    </row>
    <row r="31" spans="1:78" x14ac:dyDescent="0.25">
      <c r="A31" s="7"/>
      <c r="B31" s="5"/>
      <c r="C31" s="38" t="s">
        <v>117</v>
      </c>
      <c r="D31" s="38" t="s">
        <v>103</v>
      </c>
      <c r="E31" s="56" t="s">
        <v>118</v>
      </c>
      <c r="F31" s="5"/>
      <c r="G31" s="5"/>
      <c r="H31" s="5"/>
      <c r="I31" s="5"/>
      <c r="J31" s="19">
        <f t="shared" si="16"/>
        <v>45100</v>
      </c>
      <c r="K31" s="19">
        <f t="shared" si="16"/>
        <v>46400</v>
      </c>
      <c r="L31" s="19">
        <f t="shared" si="16"/>
        <v>47400</v>
      </c>
      <c r="M31" s="19">
        <f t="shared" si="16"/>
        <v>48200</v>
      </c>
      <c r="N31" s="19">
        <f t="shared" si="16"/>
        <v>48600</v>
      </c>
      <c r="O31" s="57">
        <f t="shared" si="18"/>
        <v>50361.513444144613</v>
      </c>
      <c r="P31" s="57">
        <f t="shared" si="17"/>
        <v>52077.638067277854</v>
      </c>
      <c r="Q31" s="52"/>
      <c r="AJ31" s="53">
        <v>44500</v>
      </c>
      <c r="AK31" s="53">
        <v>44800</v>
      </c>
      <c r="AL31" s="53">
        <v>45100</v>
      </c>
      <c r="AM31" s="53">
        <v>45300</v>
      </c>
      <c r="AN31" s="53">
        <v>45600</v>
      </c>
      <c r="AO31" s="53">
        <v>45900</v>
      </c>
      <c r="AP31" s="53">
        <v>46100</v>
      </c>
      <c r="AQ31" s="53">
        <v>46400</v>
      </c>
      <c r="AR31" s="53">
        <v>46600</v>
      </c>
      <c r="AS31" s="53">
        <v>46800</v>
      </c>
      <c r="AT31" s="53">
        <v>47000</v>
      </c>
      <c r="AU31" s="53">
        <v>47200</v>
      </c>
      <c r="AV31" s="53">
        <v>47400</v>
      </c>
      <c r="AW31" s="53">
        <v>47600</v>
      </c>
      <c r="AX31" s="53">
        <v>47800</v>
      </c>
      <c r="AY31" s="53">
        <v>47900</v>
      </c>
      <c r="AZ31" s="53">
        <v>48100</v>
      </c>
      <c r="BA31" s="53">
        <v>48200</v>
      </c>
      <c r="BB31" s="53">
        <v>48300</v>
      </c>
      <c r="BC31" s="53">
        <v>48400</v>
      </c>
      <c r="BD31" s="53">
        <v>48500</v>
      </c>
      <c r="BE31" s="53">
        <v>48500</v>
      </c>
      <c r="BF31" s="53">
        <v>48600</v>
      </c>
      <c r="BG31" s="53">
        <v>48600</v>
      </c>
      <c r="BH31" s="53">
        <v>48600</v>
      </c>
      <c r="BQ31" s="53"/>
      <c r="BR31" s="53"/>
      <c r="BS31" s="53"/>
      <c r="BT31" s="53"/>
      <c r="BU31" s="53"/>
      <c r="BV31" s="53"/>
      <c r="BW31" s="53"/>
      <c r="BX31" s="53"/>
      <c r="BY31" s="53"/>
      <c r="BZ31" s="53"/>
    </row>
    <row r="32" spans="1:78" x14ac:dyDescent="0.25">
      <c r="A32" s="7"/>
      <c r="B32" s="5"/>
      <c r="C32" s="38" t="s">
        <v>116</v>
      </c>
      <c r="D32" s="38" t="s">
        <v>103</v>
      </c>
      <c r="E32" s="56" t="s">
        <v>118</v>
      </c>
      <c r="F32" s="5"/>
      <c r="G32" s="5"/>
      <c r="H32" s="5"/>
      <c r="I32" s="5"/>
      <c r="J32" s="19">
        <f t="shared" si="16"/>
        <v>39300</v>
      </c>
      <c r="K32" s="19">
        <f t="shared" si="16"/>
        <v>41600</v>
      </c>
      <c r="L32" s="19">
        <f t="shared" si="16"/>
        <v>43900</v>
      </c>
      <c r="M32" s="19">
        <f t="shared" si="16"/>
        <v>46400</v>
      </c>
      <c r="N32" s="19">
        <f t="shared" si="16"/>
        <v>48800</v>
      </c>
      <c r="O32" s="57">
        <f t="shared" si="18"/>
        <v>50568.762470663722</v>
      </c>
      <c r="P32" s="57">
        <f t="shared" si="17"/>
        <v>52291.949335044432</v>
      </c>
      <c r="Q32" s="52"/>
      <c r="AJ32" s="53">
        <v>38400</v>
      </c>
      <c r="AK32" s="53">
        <v>38900</v>
      </c>
      <c r="AL32" s="53">
        <v>39300</v>
      </c>
      <c r="AM32" s="53">
        <v>39800</v>
      </c>
      <c r="AN32" s="53">
        <v>40200</v>
      </c>
      <c r="AO32" s="53">
        <v>40700</v>
      </c>
      <c r="AP32" s="53">
        <v>41200</v>
      </c>
      <c r="AQ32" s="53">
        <v>41600</v>
      </c>
      <c r="AR32" s="53">
        <v>42100</v>
      </c>
      <c r="AS32" s="53">
        <v>42500</v>
      </c>
      <c r="AT32" s="53">
        <v>43000</v>
      </c>
      <c r="AU32" s="53">
        <v>43400</v>
      </c>
      <c r="AV32" s="53">
        <v>43900</v>
      </c>
      <c r="AW32" s="53">
        <v>44400</v>
      </c>
      <c r="AX32" s="53">
        <v>44900</v>
      </c>
      <c r="AY32" s="53">
        <v>45400</v>
      </c>
      <c r="AZ32" s="53">
        <v>45900</v>
      </c>
      <c r="BA32" s="53">
        <v>46400</v>
      </c>
      <c r="BB32" s="53">
        <v>46800</v>
      </c>
      <c r="BC32" s="53">
        <v>47300</v>
      </c>
      <c r="BD32" s="53">
        <v>47800</v>
      </c>
      <c r="BE32" s="53">
        <v>48300</v>
      </c>
      <c r="BF32" s="53">
        <v>48800</v>
      </c>
      <c r="BG32" s="53">
        <v>49300</v>
      </c>
      <c r="BH32" s="53">
        <v>49800</v>
      </c>
      <c r="BQ32" s="53"/>
      <c r="BR32" s="53"/>
      <c r="BS32" s="53"/>
      <c r="BT32" s="53"/>
      <c r="BU32" s="53"/>
      <c r="BV32" s="53"/>
      <c r="BW32" s="53"/>
      <c r="BX32" s="53"/>
      <c r="BY32" s="53"/>
      <c r="BZ32" s="53"/>
    </row>
    <row r="33" spans="1:17" x14ac:dyDescent="0.25">
      <c r="A33" s="7"/>
      <c r="B33" s="5"/>
      <c r="C33" s="5"/>
      <c r="D33" s="5"/>
      <c r="E33" s="16"/>
      <c r="F33" s="5"/>
      <c r="G33" s="5"/>
      <c r="H33" s="5"/>
      <c r="I33" s="5"/>
      <c r="J33" s="47"/>
      <c r="K33" s="47"/>
      <c r="L33" s="47"/>
      <c r="M33" s="47"/>
      <c r="N33" s="47"/>
      <c r="O33" s="47"/>
      <c r="P33" s="47"/>
      <c r="Q33" s="52"/>
    </row>
    <row r="34" spans="1:17" x14ac:dyDescent="0.25">
      <c r="A34" s="7"/>
      <c r="B34" s="5"/>
      <c r="C34" s="5"/>
      <c r="D34" s="5"/>
      <c r="E34" s="16"/>
      <c r="F34" s="5"/>
      <c r="G34" s="5"/>
      <c r="H34" s="5"/>
      <c r="I34" s="5"/>
      <c r="J34" s="47"/>
      <c r="K34" s="47"/>
      <c r="L34" s="47"/>
      <c r="M34" s="47"/>
      <c r="N34" s="47"/>
      <c r="O34" s="47"/>
      <c r="P34" s="47"/>
      <c r="Q34" s="52"/>
    </row>
    <row r="35" spans="1:17" x14ac:dyDescent="0.25">
      <c r="A35" s="7"/>
      <c r="B35" s="5" t="s">
        <v>120</v>
      </c>
      <c r="C35" s="38" t="s">
        <v>60</v>
      </c>
      <c r="D35" s="38" t="s">
        <v>119</v>
      </c>
      <c r="E35" s="18" t="s">
        <v>105</v>
      </c>
      <c r="F35" s="43"/>
      <c r="G35" s="60">
        <f>(G3/F3)^(1/5)-1</f>
        <v>9.9545387219122095E-3</v>
      </c>
      <c r="H35" s="60">
        <f t="shared" ref="H35:P35" si="19">(H3/G3)^(1/5)-1</f>
        <v>1.069276116045037E-2</v>
      </c>
      <c r="I35" s="60">
        <f t="shared" si="19"/>
        <v>9.7932094088573063E-3</v>
      </c>
      <c r="J35" s="60">
        <f t="shared" si="19"/>
        <v>1.1874913081660665E-2</v>
      </c>
      <c r="K35" s="60">
        <f t="shared" si="19"/>
        <v>1.054676367092533E-2</v>
      </c>
      <c r="L35" s="60">
        <f t="shared" si="19"/>
        <v>9.7042163883949151E-3</v>
      </c>
      <c r="M35" s="60">
        <f t="shared" si="19"/>
        <v>8.7612656083213558E-3</v>
      </c>
      <c r="N35" s="60">
        <f t="shared" si="19"/>
        <v>7.8797725083630255E-3</v>
      </c>
      <c r="O35" s="60">
        <f t="shared" si="19"/>
        <v>7.1461588604009307E-3</v>
      </c>
      <c r="P35" s="60">
        <f t="shared" si="19"/>
        <v>6.7241832107722832E-3</v>
      </c>
      <c r="Q35" s="52"/>
    </row>
    <row r="36" spans="1:17" x14ac:dyDescent="0.25">
      <c r="A36" s="7"/>
      <c r="B36" s="5"/>
      <c r="C36" s="38" t="s">
        <v>107</v>
      </c>
      <c r="D36" s="38" t="s">
        <v>119</v>
      </c>
      <c r="E36" s="18" t="s">
        <v>105</v>
      </c>
      <c r="F36" s="43"/>
      <c r="G36" s="60">
        <f t="shared" ref="G36:P36" si="20">(G4/F4)^(1/5)-1</f>
        <v>-5.2189171537836421E-3</v>
      </c>
      <c r="H36" s="60">
        <f t="shared" si="20"/>
        <v>2.9675660871815168E-3</v>
      </c>
      <c r="I36" s="60">
        <f t="shared" si="20"/>
        <v>2.329312834649544E-3</v>
      </c>
      <c r="J36" s="60">
        <f t="shared" si="20"/>
        <v>-2.2126913065653175E-3</v>
      </c>
      <c r="K36" s="60">
        <f t="shared" si="20"/>
        <v>-3.4314723963486671E-3</v>
      </c>
      <c r="L36" s="60">
        <f t="shared" si="20"/>
        <v>-4.4809601548809752E-3</v>
      </c>
      <c r="M36" s="60">
        <f t="shared" si="20"/>
        <v>-5.8856072524747782E-3</v>
      </c>
      <c r="N36" s="60">
        <f t="shared" si="20"/>
        <v>-7.2018818907896298E-3</v>
      </c>
      <c r="O36" s="60">
        <f t="shared" si="20"/>
        <v>7.1461588604009307E-3</v>
      </c>
      <c r="P36" s="60">
        <f t="shared" si="20"/>
        <v>6.7241832107722832E-3</v>
      </c>
      <c r="Q36" s="52"/>
    </row>
    <row r="37" spans="1:17" x14ac:dyDescent="0.25">
      <c r="A37" s="7"/>
      <c r="B37" s="5"/>
      <c r="C37" s="38" t="s">
        <v>108</v>
      </c>
      <c r="D37" s="38" t="s">
        <v>119</v>
      </c>
      <c r="E37" s="18" t="s">
        <v>105</v>
      </c>
      <c r="F37" s="43"/>
      <c r="G37" s="60">
        <f t="shared" ref="G37:P37" si="21">(G5/F5)^(1/5)-1</f>
        <v>2.3252062119700767E-3</v>
      </c>
      <c r="H37" s="60">
        <f t="shared" si="21"/>
        <v>5.147225428461466E-3</v>
      </c>
      <c r="I37" s="60">
        <f t="shared" si="21"/>
        <v>4.0502464677787398E-3</v>
      </c>
      <c r="J37" s="60">
        <f t="shared" si="21"/>
        <v>1.7184491309354177E-2</v>
      </c>
      <c r="K37" s="60">
        <f t="shared" si="21"/>
        <v>1.2878717066848067E-2</v>
      </c>
      <c r="L37" s="60">
        <f t="shared" si="21"/>
        <v>1.1416888135353132E-2</v>
      </c>
      <c r="M37" s="60">
        <f t="shared" si="21"/>
        <v>9.6107791580339885E-3</v>
      </c>
      <c r="N37" s="60">
        <f t="shared" si="21"/>
        <v>7.7168016660342786E-3</v>
      </c>
      <c r="O37" s="60">
        <f t="shared" si="21"/>
        <v>7.1461588604009307E-3</v>
      </c>
      <c r="P37" s="60">
        <f t="shared" si="21"/>
        <v>6.7241832107722832E-3</v>
      </c>
      <c r="Q37" s="52"/>
    </row>
    <row r="38" spans="1:17" x14ac:dyDescent="0.25">
      <c r="A38" s="7"/>
      <c r="B38" s="5"/>
      <c r="C38" s="38" t="s">
        <v>109</v>
      </c>
      <c r="D38" s="38" t="s">
        <v>119</v>
      </c>
      <c r="E38" s="18" t="s">
        <v>105</v>
      </c>
      <c r="F38" s="43"/>
      <c r="G38" s="60">
        <f t="shared" ref="G38:P38" si="22">(G6/F6)^(1/5)-1</f>
        <v>8.7764162153214365E-4</v>
      </c>
      <c r="H38" s="60">
        <f t="shared" si="22"/>
        <v>8.8995609612352311E-4</v>
      </c>
      <c r="I38" s="60">
        <f t="shared" si="22"/>
        <v>-1.1878218937966256E-3</v>
      </c>
      <c r="J38" s="60">
        <f t="shared" si="22"/>
        <v>6.4458226834105403E-3</v>
      </c>
      <c r="K38" s="60">
        <f t="shared" si="22"/>
        <v>3.4504116425735365E-3</v>
      </c>
      <c r="L38" s="60">
        <f t="shared" si="22"/>
        <v>2.4677174707286031E-3</v>
      </c>
      <c r="M38" s="60">
        <f t="shared" si="22"/>
        <v>1.021902868589164E-3</v>
      </c>
      <c r="N38" s="60">
        <f t="shared" si="22"/>
        <v>-4.9990026990875958E-4</v>
      </c>
      <c r="O38" s="60">
        <f t="shared" si="22"/>
        <v>7.1461588604009307E-3</v>
      </c>
      <c r="P38" s="60">
        <f t="shared" si="22"/>
        <v>6.7241832107722832E-3</v>
      </c>
      <c r="Q38" s="52"/>
    </row>
    <row r="39" spans="1:17" x14ac:dyDescent="0.25">
      <c r="A39" s="7"/>
      <c r="B39" s="5"/>
      <c r="C39" s="38" t="s">
        <v>110</v>
      </c>
      <c r="D39" s="38" t="s">
        <v>119</v>
      </c>
      <c r="E39" s="18" t="s">
        <v>105</v>
      </c>
      <c r="F39" s="43"/>
      <c r="G39" s="60">
        <f t="shared" ref="G39:P39" si="23">(G7/F7)^(1/5)-1</f>
        <v>-6.5640928967547474E-4</v>
      </c>
      <c r="H39" s="60">
        <f t="shared" si="23"/>
        <v>1.3273860347549071E-3</v>
      </c>
      <c r="I39" s="60">
        <f t="shared" si="23"/>
        <v>1.5375567539832602E-3</v>
      </c>
      <c r="J39" s="60">
        <f t="shared" si="23"/>
        <v>4.3782237953629011E-3</v>
      </c>
      <c r="K39" s="60">
        <f t="shared" si="23"/>
        <v>3.1008744636937813E-3</v>
      </c>
      <c r="L39" s="60">
        <f t="shared" si="23"/>
        <v>2.2495993678550708E-3</v>
      </c>
      <c r="M39" s="60">
        <f t="shared" si="23"/>
        <v>9.2722693444224902E-4</v>
      </c>
      <c r="N39" s="60">
        <f t="shared" si="23"/>
        <v>-5.5039937287038043E-4</v>
      </c>
      <c r="O39" s="60">
        <f t="shared" si="23"/>
        <v>7.1461588604009307E-3</v>
      </c>
      <c r="P39" s="60">
        <f t="shared" si="23"/>
        <v>6.7241832107722832E-3</v>
      </c>
      <c r="Q39" s="52"/>
    </row>
    <row r="40" spans="1:17" x14ac:dyDescent="0.25">
      <c r="A40" s="7"/>
      <c r="B40" s="5"/>
      <c r="C40" s="38" t="s">
        <v>111</v>
      </c>
      <c r="D40" s="38" t="s">
        <v>119</v>
      </c>
      <c r="E40" s="18" t="s">
        <v>105</v>
      </c>
      <c r="F40" s="43"/>
      <c r="G40" s="60">
        <f t="shared" ref="G40:P40" si="24">(G8/F8)^(1/5)-1</f>
        <v>6.0305757544720784E-3</v>
      </c>
      <c r="H40" s="60">
        <f t="shared" si="24"/>
        <v>9.0097493833043441E-3</v>
      </c>
      <c r="I40" s="60">
        <f t="shared" si="24"/>
        <v>6.1305284421402373E-3</v>
      </c>
      <c r="J40" s="60">
        <f t="shared" si="24"/>
        <v>7.690401767234345E-3</v>
      </c>
      <c r="K40" s="60">
        <f t="shared" si="24"/>
        <v>5.680001380246269E-3</v>
      </c>
      <c r="L40" s="60">
        <f t="shared" si="24"/>
        <v>4.9942099732189771E-3</v>
      </c>
      <c r="M40" s="60">
        <f t="shared" si="24"/>
        <v>4.4298768213724138E-3</v>
      </c>
      <c r="N40" s="60">
        <f t="shared" si="24"/>
        <v>4.2007823676668554E-3</v>
      </c>
      <c r="O40" s="60">
        <f t="shared" si="24"/>
        <v>7.1461588604009307E-3</v>
      </c>
      <c r="P40" s="60">
        <f t="shared" si="24"/>
        <v>6.7241832107722832E-3</v>
      </c>
      <c r="Q40" s="52"/>
    </row>
    <row r="41" spans="1:17" x14ac:dyDescent="0.25">
      <c r="A41" s="7"/>
      <c r="B41" s="5"/>
      <c r="C41" s="38" t="s">
        <v>112</v>
      </c>
      <c r="D41" s="38" t="s">
        <v>119</v>
      </c>
      <c r="E41" s="18" t="s">
        <v>105</v>
      </c>
      <c r="F41" s="43"/>
      <c r="G41" s="60">
        <f t="shared" ref="G41:P41" si="25">(G9/F9)^(1/5)-1</f>
        <v>1.4069951710261597E-2</v>
      </c>
      <c r="H41" s="60">
        <f t="shared" si="25"/>
        <v>9.5090450166854801E-3</v>
      </c>
      <c r="I41" s="60">
        <f t="shared" si="25"/>
        <v>8.551478269280377E-3</v>
      </c>
      <c r="J41" s="60">
        <f t="shared" si="25"/>
        <v>1.377961592086363E-2</v>
      </c>
      <c r="K41" s="60">
        <f t="shared" si="25"/>
        <v>1.1761302560298281E-2</v>
      </c>
      <c r="L41" s="60">
        <f t="shared" si="25"/>
        <v>1.0693179850291612E-2</v>
      </c>
      <c r="M41" s="60">
        <f t="shared" si="25"/>
        <v>9.3708455208736385E-3</v>
      </c>
      <c r="N41" s="60">
        <f t="shared" si="25"/>
        <v>7.9774972183463966E-3</v>
      </c>
      <c r="O41" s="60">
        <f t="shared" si="25"/>
        <v>7.1461588604009307E-3</v>
      </c>
      <c r="P41" s="60">
        <f t="shared" si="25"/>
        <v>6.7241832107722832E-3</v>
      </c>
      <c r="Q41" s="52"/>
    </row>
    <row r="42" spans="1:17" x14ac:dyDescent="0.25">
      <c r="A42" s="7"/>
      <c r="B42" s="5"/>
      <c r="C42" s="38" t="s">
        <v>113</v>
      </c>
      <c r="D42" s="38" t="s">
        <v>119</v>
      </c>
      <c r="E42" s="18" t="s">
        <v>105</v>
      </c>
      <c r="F42" s="43"/>
      <c r="G42" s="60">
        <f t="shared" ref="G42:P42" si="26">(G10/F10)^(1/5)-1</f>
        <v>5.338093533967081E-3</v>
      </c>
      <c r="H42" s="60">
        <f t="shared" si="26"/>
        <v>7.1147564544709052E-3</v>
      </c>
      <c r="I42" s="60">
        <f t="shared" si="26"/>
        <v>1.14403636533007E-2</v>
      </c>
      <c r="J42" s="60">
        <f t="shared" si="26"/>
        <v>1.3508886965546418E-2</v>
      </c>
      <c r="K42" s="60">
        <f t="shared" si="26"/>
        <v>1.075120045736111E-2</v>
      </c>
      <c r="L42" s="60">
        <f t="shared" si="26"/>
        <v>1.0347494746893116E-2</v>
      </c>
      <c r="M42" s="60">
        <f t="shared" si="26"/>
        <v>9.9636538321570267E-3</v>
      </c>
      <c r="N42" s="60">
        <f t="shared" si="26"/>
        <v>9.6936675386265492E-3</v>
      </c>
      <c r="O42" s="60">
        <f t="shared" si="26"/>
        <v>7.1461588604009307E-3</v>
      </c>
      <c r="P42" s="60">
        <f t="shared" si="26"/>
        <v>6.7241832107722832E-3</v>
      </c>
      <c r="Q42" s="52"/>
    </row>
    <row r="43" spans="1:17" x14ac:dyDescent="0.25">
      <c r="A43" s="7"/>
      <c r="B43" s="5"/>
      <c r="C43" s="38" t="s">
        <v>114</v>
      </c>
      <c r="D43" s="38" t="s">
        <v>119</v>
      </c>
      <c r="E43" s="18" t="s">
        <v>105</v>
      </c>
      <c r="F43" s="43"/>
      <c r="G43" s="60">
        <f t="shared" ref="G43:P43" si="27">(G11/F11)^(1/5)-1</f>
        <v>-2.8076004725260395E-3</v>
      </c>
      <c r="H43" s="60">
        <f t="shared" si="27"/>
        <v>1.1401451378031835E-2</v>
      </c>
      <c r="I43" s="60">
        <f t="shared" si="27"/>
        <v>1.2887983164340922E-2</v>
      </c>
      <c r="J43" s="60">
        <f t="shared" si="27"/>
        <v>1.2890000636277321E-2</v>
      </c>
      <c r="K43" s="60">
        <f t="shared" si="27"/>
        <v>1.4927126073860153E-2</v>
      </c>
      <c r="L43" s="60">
        <f t="shared" si="27"/>
        <v>1.4110503179086908E-2</v>
      </c>
      <c r="M43" s="60">
        <f t="shared" si="27"/>
        <v>1.2491865334220531E-2</v>
      </c>
      <c r="N43" s="60">
        <f t="shared" si="27"/>
        <v>1.0650341074533554E-2</v>
      </c>
      <c r="O43" s="60">
        <f t="shared" si="27"/>
        <v>7.1461588604009307E-3</v>
      </c>
      <c r="P43" s="60">
        <f t="shared" si="27"/>
        <v>6.7241832107722832E-3</v>
      </c>
      <c r="Q43" s="52"/>
    </row>
    <row r="44" spans="1:17" x14ac:dyDescent="0.25">
      <c r="A44" s="7"/>
      <c r="B44" s="5"/>
      <c r="C44" s="38" t="s">
        <v>5</v>
      </c>
      <c r="D44" s="38" t="s">
        <v>119</v>
      </c>
      <c r="E44" s="18" t="s">
        <v>105</v>
      </c>
      <c r="F44" s="43"/>
      <c r="G44" s="60">
        <f t="shared" ref="G44:P44" si="28">(G12/F12)^(1/5)-1</f>
        <v>2.0300616049666598E-2</v>
      </c>
      <c r="H44" s="60">
        <f t="shared" si="28"/>
        <v>2.3567236532474389E-2</v>
      </c>
      <c r="I44" s="60">
        <f t="shared" si="28"/>
        <v>2.1184007253333803E-2</v>
      </c>
      <c r="J44" s="60">
        <f t="shared" si="28"/>
        <v>1.5363753015578352E-2</v>
      </c>
      <c r="K44" s="60">
        <f t="shared" si="28"/>
        <v>1.8764641082132716E-2</v>
      </c>
      <c r="L44" s="60">
        <f t="shared" si="28"/>
        <v>1.7773879984306573E-2</v>
      </c>
      <c r="M44" s="60">
        <f t="shared" si="28"/>
        <v>1.693372644913671E-2</v>
      </c>
      <c r="N44" s="60">
        <f t="shared" si="28"/>
        <v>1.6200639198488354E-2</v>
      </c>
      <c r="O44" s="60">
        <f t="shared" si="28"/>
        <v>7.1461588604009307E-3</v>
      </c>
      <c r="P44" s="60">
        <f t="shared" si="28"/>
        <v>6.7241832107722832E-3</v>
      </c>
      <c r="Q44" s="52"/>
    </row>
    <row r="45" spans="1:17" x14ac:dyDescent="0.25">
      <c r="A45" s="7"/>
      <c r="B45" s="5"/>
      <c r="C45" s="38" t="s">
        <v>76</v>
      </c>
      <c r="D45" s="38" t="s">
        <v>119</v>
      </c>
      <c r="E45" s="18" t="s">
        <v>105</v>
      </c>
      <c r="F45" s="43"/>
      <c r="G45" s="60">
        <f t="shared" ref="G45:P45" si="29">(G13/F13)^(1/5)-1</f>
        <v>7.6475717673321064E-3</v>
      </c>
      <c r="H45" s="60">
        <f t="shared" si="29"/>
        <v>1.2526816395749707E-2</v>
      </c>
      <c r="I45" s="60">
        <f t="shared" si="29"/>
        <v>1.3549599164150106E-2</v>
      </c>
      <c r="J45" s="60">
        <f t="shared" si="29"/>
        <v>1.3336542117141637E-2</v>
      </c>
      <c r="K45" s="60">
        <f t="shared" si="29"/>
        <v>1.0450392130632036E-2</v>
      </c>
      <c r="L45" s="60">
        <f t="shared" si="29"/>
        <v>9.3871872537927281E-3</v>
      </c>
      <c r="M45" s="60">
        <f t="shared" si="29"/>
        <v>8.3797435527874775E-3</v>
      </c>
      <c r="N45" s="60">
        <f t="shared" si="29"/>
        <v>7.4979466190987498E-3</v>
      </c>
      <c r="O45" s="60">
        <f t="shared" si="29"/>
        <v>7.1461588604009307E-3</v>
      </c>
      <c r="P45" s="60">
        <f t="shared" si="29"/>
        <v>6.7241832107722832E-3</v>
      </c>
      <c r="Q45" s="52"/>
    </row>
    <row r="46" spans="1:17" x14ac:dyDescent="0.25">
      <c r="A46" s="7"/>
      <c r="B46" s="5"/>
      <c r="C46" s="38" t="s">
        <v>115</v>
      </c>
      <c r="D46" s="38" t="s">
        <v>119</v>
      </c>
      <c r="E46" s="18" t="s">
        <v>105</v>
      </c>
      <c r="F46" s="43"/>
      <c r="G46" s="60">
        <f t="shared" ref="G46:P46" si="30">(G14/F14)^(1/5)-1</f>
        <v>9.4860860000329783E-3</v>
      </c>
      <c r="H46" s="60">
        <f t="shared" si="30"/>
        <v>1.6346031075593404E-2</v>
      </c>
      <c r="I46" s="60">
        <f t="shared" si="30"/>
        <v>1.7278930866397202E-2</v>
      </c>
      <c r="J46" s="60">
        <f t="shared" si="30"/>
        <v>1.8461890330144337E-2</v>
      </c>
      <c r="K46" s="60">
        <f t="shared" si="30"/>
        <v>1.043374344876602E-2</v>
      </c>
      <c r="L46" s="60">
        <f t="shared" si="30"/>
        <v>8.5868910387139064E-3</v>
      </c>
      <c r="M46" s="60">
        <f t="shared" si="30"/>
        <v>6.9511471803411773E-3</v>
      </c>
      <c r="N46" s="60">
        <f t="shared" si="30"/>
        <v>5.4717071957588459E-3</v>
      </c>
      <c r="O46" s="60">
        <f t="shared" si="30"/>
        <v>7.1461588604009307E-3</v>
      </c>
      <c r="P46" s="60">
        <f t="shared" si="30"/>
        <v>6.7241832107722832E-3</v>
      </c>
      <c r="Q46" s="52"/>
    </row>
    <row r="47" spans="1:17" x14ac:dyDescent="0.25">
      <c r="A47" s="7"/>
      <c r="B47" s="5"/>
      <c r="C47" s="38" t="s">
        <v>117</v>
      </c>
      <c r="D47" s="38" t="s">
        <v>119</v>
      </c>
      <c r="E47" s="18" t="s">
        <v>105</v>
      </c>
      <c r="F47" s="43"/>
      <c r="G47" s="60">
        <f t="shared" ref="G47:P47" si="31">(G15/F15)^(1/5)-1</f>
        <v>1.4027761729257904E-2</v>
      </c>
      <c r="H47" s="60">
        <f t="shared" si="31"/>
        <v>-5.3051651404789624E-4</v>
      </c>
      <c r="I47" s="60">
        <f t="shared" si="31"/>
        <v>4.3605573447920154E-3</v>
      </c>
      <c r="J47" s="60">
        <f t="shared" si="31"/>
        <v>3.8716161230409885E-3</v>
      </c>
      <c r="K47" s="60">
        <f t="shared" si="31"/>
        <v>5.6996239451236885E-3</v>
      </c>
      <c r="L47" s="60">
        <f t="shared" si="31"/>
        <v>4.2736600436747985E-3</v>
      </c>
      <c r="M47" s="60">
        <f t="shared" si="31"/>
        <v>3.3529671317917842E-3</v>
      </c>
      <c r="N47" s="60">
        <f t="shared" si="31"/>
        <v>1.6542687653957611E-3</v>
      </c>
      <c r="O47" s="60">
        <f t="shared" si="31"/>
        <v>7.1461588604009307E-3</v>
      </c>
      <c r="P47" s="60">
        <f t="shared" si="31"/>
        <v>6.7241832107722832E-3</v>
      </c>
      <c r="Q47" s="52"/>
    </row>
    <row r="48" spans="1:17" x14ac:dyDescent="0.25">
      <c r="A48" s="7"/>
      <c r="B48" s="5"/>
      <c r="C48" s="38" t="s">
        <v>116</v>
      </c>
      <c r="D48" s="38" t="s">
        <v>119</v>
      </c>
      <c r="E48" s="18" t="s">
        <v>105</v>
      </c>
      <c r="F48" s="43"/>
      <c r="G48" s="60">
        <f t="shared" ref="G48:P48" si="32">(G16/F16)^(1/5)-1</f>
        <v>1.98587606594538E-2</v>
      </c>
      <c r="H48" s="60">
        <f t="shared" si="32"/>
        <v>1.9117182726834603E-2</v>
      </c>
      <c r="I48" s="60">
        <f t="shared" si="32"/>
        <v>1.8135628661466674E-2</v>
      </c>
      <c r="J48" s="60">
        <f t="shared" si="32"/>
        <v>1.4958998278574498E-2</v>
      </c>
      <c r="K48" s="60">
        <f t="shared" si="32"/>
        <v>1.1440072476652574E-2</v>
      </c>
      <c r="L48" s="60">
        <f t="shared" si="32"/>
        <v>1.0820958175685957E-2</v>
      </c>
      <c r="M48" s="60">
        <f t="shared" si="32"/>
        <v>1.1138605257920542E-2</v>
      </c>
      <c r="N48" s="60">
        <f t="shared" si="32"/>
        <v>1.013720758985226E-2</v>
      </c>
      <c r="O48" s="60">
        <f t="shared" si="32"/>
        <v>7.1461588604009307E-3</v>
      </c>
      <c r="P48" s="60">
        <f t="shared" si="32"/>
        <v>6.7241832107722832E-3</v>
      </c>
      <c r="Q48" s="52"/>
    </row>
    <row r="49" spans="1:68" x14ac:dyDescent="0.25">
      <c r="A49" s="7"/>
      <c r="B49" s="38"/>
      <c r="C49" s="38"/>
      <c r="D49" s="38"/>
      <c r="E49" s="18"/>
      <c r="F49" s="43"/>
      <c r="G49" s="43"/>
      <c r="H49" s="43"/>
      <c r="I49" s="43"/>
      <c r="J49" s="19"/>
      <c r="K49" s="19"/>
      <c r="L49" s="19"/>
      <c r="M49" s="19"/>
      <c r="N49" s="19"/>
      <c r="O49" s="19"/>
      <c r="P49" s="19"/>
      <c r="Q49" s="52"/>
    </row>
    <row r="50" spans="1:68" s="67" customFormat="1" ht="15.75" thickBot="1" x14ac:dyDescent="0.3">
      <c r="A50" s="61"/>
      <c r="B50" s="62"/>
      <c r="C50" s="62"/>
      <c r="D50" s="62"/>
      <c r="E50" s="63"/>
      <c r="F50" s="64"/>
      <c r="G50" s="64"/>
      <c r="H50" s="64"/>
      <c r="I50" s="64"/>
      <c r="J50" s="65"/>
      <c r="K50" s="65"/>
      <c r="L50" s="65"/>
      <c r="M50" s="65"/>
      <c r="N50" s="65"/>
      <c r="O50" s="65"/>
      <c r="P50" s="65"/>
      <c r="Q50" s="61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</row>
    <row r="51" spans="1:68" x14ac:dyDescent="0.25">
      <c r="A51" s="7"/>
      <c r="B51" s="38"/>
      <c r="C51" s="38"/>
      <c r="D51" s="38"/>
      <c r="E51" s="18"/>
      <c r="F51" s="43"/>
      <c r="G51" s="43"/>
      <c r="H51" s="43"/>
      <c r="I51" s="43"/>
      <c r="J51" s="19"/>
      <c r="K51" s="19"/>
      <c r="L51" s="19"/>
      <c r="M51" s="19"/>
      <c r="N51" s="19"/>
      <c r="O51" s="19"/>
      <c r="P51" s="19"/>
      <c r="Q51" s="52"/>
    </row>
    <row r="52" spans="1:68" x14ac:dyDescent="0.25">
      <c r="A52" s="7"/>
      <c r="B52" s="38" t="s">
        <v>53</v>
      </c>
      <c r="C52" s="38" t="s">
        <v>60</v>
      </c>
      <c r="D52" s="38" t="s">
        <v>122</v>
      </c>
      <c r="E52" s="40" t="s">
        <v>104</v>
      </c>
      <c r="F52" s="19">
        <f t="shared" ref="F52:I65" si="33">INDEX($R52:$BZ52,MATCH(F$1,$R$1:$BZ$1,0))</f>
        <v>1459303</v>
      </c>
      <c r="G52" s="19">
        <f t="shared" si="33"/>
        <v>1650884</v>
      </c>
      <c r="H52" s="19">
        <f t="shared" si="33"/>
        <v>1739847</v>
      </c>
      <c r="I52" s="19">
        <f t="shared" si="33"/>
        <v>1932903</v>
      </c>
      <c r="J52" s="57">
        <f>J$69*$I52/$I$69</f>
        <v>2141643.4253889425</v>
      </c>
      <c r="K52" s="57">
        <f t="shared" ref="K52:P52" si="34">K$69*$I52/$I$69</f>
        <v>2316572.3239389705</v>
      </c>
      <c r="L52" s="57">
        <f t="shared" si="34"/>
        <v>2525561.0785171753</v>
      </c>
      <c r="M52" s="57">
        <f t="shared" si="34"/>
        <v>2770764.330310679</v>
      </c>
      <c r="N52" s="57">
        <f t="shared" si="34"/>
        <v>3048468.9778990773</v>
      </c>
      <c r="O52" s="57">
        <f t="shared" si="34"/>
        <v>3358311.465306255</v>
      </c>
      <c r="P52" s="57">
        <f t="shared" si="34"/>
        <v>3698121.897248189</v>
      </c>
      <c r="Q52" s="52"/>
      <c r="R52" s="53">
        <v>1459303</v>
      </c>
      <c r="S52" s="53">
        <v>1480882</v>
      </c>
      <c r="T52" s="53">
        <v>1523798</v>
      </c>
      <c r="U52" s="53">
        <v>1552248</v>
      </c>
      <c r="V52" s="53">
        <v>1599109</v>
      </c>
      <c r="W52" s="53">
        <v>1650884</v>
      </c>
      <c r="X52" s="53">
        <v>1690842</v>
      </c>
      <c r="Y52" s="53">
        <v>1728715</v>
      </c>
      <c r="Z52" s="53">
        <v>1745965</v>
      </c>
      <c r="AA52" s="53">
        <v>1690588</v>
      </c>
      <c r="AB52" s="53">
        <v>1739847</v>
      </c>
      <c r="AC52" s="53">
        <v>1794205</v>
      </c>
      <c r="AD52" s="53">
        <v>1822826</v>
      </c>
      <c r="AE52" s="53">
        <v>1866725</v>
      </c>
      <c r="AF52" s="53">
        <v>1921118</v>
      </c>
      <c r="AG52" s="53">
        <v>1932903</v>
      </c>
      <c r="AH52" s="53">
        <v>1948574</v>
      </c>
      <c r="AI52" s="53">
        <v>2016000</v>
      </c>
    </row>
    <row r="53" spans="1:68" x14ac:dyDescent="0.25">
      <c r="A53" s="7"/>
      <c r="B53" s="38"/>
      <c r="C53" s="38" t="s">
        <v>107</v>
      </c>
      <c r="D53" s="38" t="s">
        <v>122</v>
      </c>
      <c r="E53" s="40" t="s">
        <v>104</v>
      </c>
      <c r="F53" s="19">
        <f t="shared" si="33"/>
        <v>24966</v>
      </c>
      <c r="G53" s="19">
        <f t="shared" si="33"/>
        <v>30675</v>
      </c>
      <c r="H53" s="19">
        <f t="shared" si="33"/>
        <v>31709</v>
      </c>
      <c r="I53" s="19">
        <f t="shared" si="33"/>
        <v>32777</v>
      </c>
      <c r="J53" s="57">
        <f>$I53/SUM($I$53:$I$65)*J$52</f>
        <v>36329.493481584082</v>
      </c>
      <c r="K53" s="57">
        <f t="shared" ref="K53:P65" si="35">$I53/SUM($I$53:$I$65)*K$52</f>
        <v>39296.877409401008</v>
      </c>
      <c r="L53" s="57">
        <f t="shared" si="35"/>
        <v>42842.031335197222</v>
      </c>
      <c r="M53" s="57">
        <f t="shared" si="35"/>
        <v>47001.505238317914</v>
      </c>
      <c r="N53" s="57">
        <f t="shared" si="35"/>
        <v>51712.312399195354</v>
      </c>
      <c r="O53" s="57">
        <f t="shared" si="35"/>
        <v>56968.285682671616</v>
      </c>
      <c r="P53" s="57">
        <f t="shared" si="35"/>
        <v>62732.616348485775</v>
      </c>
      <c r="Q53" s="52"/>
      <c r="R53" s="53">
        <v>24966</v>
      </c>
      <c r="S53" s="53">
        <v>25392</v>
      </c>
      <c r="T53" s="53">
        <v>28283</v>
      </c>
      <c r="U53" s="53">
        <v>30138</v>
      </c>
      <c r="V53" s="53">
        <v>29901</v>
      </c>
      <c r="W53" s="53">
        <v>30675</v>
      </c>
      <c r="X53" s="53">
        <v>31308</v>
      </c>
      <c r="Y53" s="53">
        <v>33976</v>
      </c>
      <c r="Z53" s="53">
        <v>33515</v>
      </c>
      <c r="AA53" s="53">
        <v>30298</v>
      </c>
      <c r="AB53" s="53">
        <v>31709</v>
      </c>
      <c r="AC53" s="53">
        <v>32998</v>
      </c>
      <c r="AD53" s="53">
        <v>32034</v>
      </c>
      <c r="AE53" s="53">
        <v>33546</v>
      </c>
      <c r="AF53" s="53">
        <v>33278</v>
      </c>
      <c r="AG53" s="53">
        <v>32777</v>
      </c>
      <c r="AH53" s="53">
        <v>34182</v>
      </c>
      <c r="AI53" s="53">
        <v>34531</v>
      </c>
    </row>
    <row r="54" spans="1:68" x14ac:dyDescent="0.25">
      <c r="A54" s="7"/>
      <c r="B54" s="38"/>
      <c r="C54" s="38" t="s">
        <v>108</v>
      </c>
      <c r="D54" s="38" t="s">
        <v>122</v>
      </c>
      <c r="E54" s="40" t="s">
        <v>104</v>
      </c>
      <c r="F54" s="19">
        <f t="shared" si="33"/>
        <v>4547</v>
      </c>
      <c r="G54" s="19">
        <f t="shared" si="33"/>
        <v>5096</v>
      </c>
      <c r="H54" s="19">
        <f t="shared" si="33"/>
        <v>5416</v>
      </c>
      <c r="I54" s="19">
        <f t="shared" si="33"/>
        <v>5846</v>
      </c>
      <c r="J54" s="57">
        <f t="shared" ref="J54:J65" si="36">$I54/SUM($I$53:$I$65)*J$52</f>
        <v>6479.6112790475208</v>
      </c>
      <c r="K54" s="57">
        <f t="shared" si="35"/>
        <v>7008.8643053164815</v>
      </c>
      <c r="L54" s="57">
        <f t="shared" si="35"/>
        <v>7641.1665248669187</v>
      </c>
      <c r="M54" s="57">
        <f t="shared" si="35"/>
        <v>8383.0368741253496</v>
      </c>
      <c r="N54" s="57">
        <f t="shared" si="35"/>
        <v>9223.2412449490821</v>
      </c>
      <c r="O54" s="57">
        <f t="shared" si="35"/>
        <v>10160.67968700303</v>
      </c>
      <c r="P54" s="57">
        <f t="shared" si="35"/>
        <v>11188.787112098358</v>
      </c>
      <c r="Q54" s="52"/>
      <c r="R54" s="53">
        <v>4547</v>
      </c>
      <c r="S54" s="53">
        <v>4481</v>
      </c>
      <c r="T54" s="53">
        <v>4663</v>
      </c>
      <c r="U54" s="53">
        <v>4784</v>
      </c>
      <c r="V54" s="53">
        <v>4939</v>
      </c>
      <c r="W54" s="53">
        <v>5096</v>
      </c>
      <c r="X54" s="53">
        <v>5234</v>
      </c>
      <c r="Y54" s="53">
        <v>5226</v>
      </c>
      <c r="Z54" s="53">
        <v>5240</v>
      </c>
      <c r="AA54" s="53">
        <v>5303</v>
      </c>
      <c r="AB54" s="53">
        <v>5416</v>
      </c>
      <c r="AC54" s="53">
        <v>5525</v>
      </c>
      <c r="AD54" s="53">
        <v>5572</v>
      </c>
      <c r="AE54" s="53">
        <v>5717</v>
      </c>
      <c r="AF54" s="53">
        <v>5735</v>
      </c>
      <c r="AG54" s="53">
        <v>5846</v>
      </c>
      <c r="AH54" s="53">
        <v>5944</v>
      </c>
      <c r="AI54" s="53">
        <v>6151</v>
      </c>
    </row>
    <row r="55" spans="1:68" x14ac:dyDescent="0.25">
      <c r="A55" s="7"/>
      <c r="B55" s="38"/>
      <c r="C55" s="38" t="s">
        <v>109</v>
      </c>
      <c r="D55" s="38" t="s">
        <v>122</v>
      </c>
      <c r="E55" s="40" t="s">
        <v>104</v>
      </c>
      <c r="F55" s="19">
        <f t="shared" si="33"/>
        <v>32641</v>
      </c>
      <c r="G55" s="19">
        <f t="shared" si="33"/>
        <v>35996</v>
      </c>
      <c r="H55" s="19">
        <f t="shared" si="33"/>
        <v>38443</v>
      </c>
      <c r="I55" s="19">
        <f t="shared" si="33"/>
        <v>38279</v>
      </c>
      <c r="J55" s="57">
        <f t="shared" si="36"/>
        <v>42427.820757896006</v>
      </c>
      <c r="K55" s="57">
        <f t="shared" si="35"/>
        <v>45893.314530141906</v>
      </c>
      <c r="L55" s="57">
        <f t="shared" si="35"/>
        <v>50033.563702596781</v>
      </c>
      <c r="M55" s="57">
        <f t="shared" si="35"/>
        <v>54891.253592994224</v>
      </c>
      <c r="N55" s="57">
        <f t="shared" si="35"/>
        <v>60392.8244295939</v>
      </c>
      <c r="O55" s="57">
        <f t="shared" si="35"/>
        <v>66531.073851999477</v>
      </c>
      <c r="P55" s="57">
        <f t="shared" si="35"/>
        <v>73263.014345537638</v>
      </c>
      <c r="Q55" s="52"/>
      <c r="R55" s="53">
        <v>32641</v>
      </c>
      <c r="S55" s="53">
        <v>33660</v>
      </c>
      <c r="T55" s="53">
        <v>34864</v>
      </c>
      <c r="U55" s="53">
        <v>35289</v>
      </c>
      <c r="V55" s="53">
        <v>35586</v>
      </c>
      <c r="W55" s="53">
        <v>35996</v>
      </c>
      <c r="X55" s="53">
        <v>36113</v>
      </c>
      <c r="Y55" s="53">
        <v>36436</v>
      </c>
      <c r="Z55" s="53">
        <v>37137</v>
      </c>
      <c r="AA55" s="53">
        <v>37295</v>
      </c>
      <c r="AB55" s="53">
        <v>38443</v>
      </c>
      <c r="AC55" s="53">
        <v>38670</v>
      </c>
      <c r="AD55" s="53">
        <v>37835</v>
      </c>
      <c r="AE55" s="53">
        <v>37674</v>
      </c>
      <c r="AF55" s="53">
        <v>37947</v>
      </c>
      <c r="AG55" s="53">
        <v>38279</v>
      </c>
      <c r="AH55" s="53">
        <v>38778</v>
      </c>
      <c r="AI55" s="53">
        <v>39360</v>
      </c>
    </row>
    <row r="56" spans="1:68" x14ac:dyDescent="0.25">
      <c r="A56" s="7"/>
      <c r="B56" s="38"/>
      <c r="C56" s="38" t="s">
        <v>110</v>
      </c>
      <c r="D56" s="38" t="s">
        <v>122</v>
      </c>
      <c r="E56" s="40" t="s">
        <v>104</v>
      </c>
      <c r="F56" s="19">
        <f t="shared" si="33"/>
        <v>27011</v>
      </c>
      <c r="G56" s="19">
        <f t="shared" si="33"/>
        <v>30221</v>
      </c>
      <c r="H56" s="19">
        <f t="shared" si="33"/>
        <v>31836</v>
      </c>
      <c r="I56" s="19">
        <f t="shared" si="33"/>
        <v>31882</v>
      </c>
      <c r="J56" s="57">
        <f t="shared" si="36"/>
        <v>35337.490044234182</v>
      </c>
      <c r="K56" s="57">
        <f t="shared" si="35"/>
        <v>38223.847379763945</v>
      </c>
      <c r="L56" s="57">
        <f t="shared" si="35"/>
        <v>41672.198280158584</v>
      </c>
      <c r="M56" s="57">
        <f t="shared" si="35"/>
        <v>45718.094700797868</v>
      </c>
      <c r="N56" s="57">
        <f t="shared" si="35"/>
        <v>50300.26982064089</v>
      </c>
      <c r="O56" s="57">
        <f t="shared" si="35"/>
        <v>55412.724902673719</v>
      </c>
      <c r="P56" s="57">
        <f t="shared" si="35"/>
        <v>61019.656296257235</v>
      </c>
      <c r="Q56" s="52"/>
      <c r="R56" s="53">
        <v>27011</v>
      </c>
      <c r="S56" s="53">
        <v>27561</v>
      </c>
      <c r="T56" s="53">
        <v>28649</v>
      </c>
      <c r="U56" s="53">
        <v>29349</v>
      </c>
      <c r="V56" s="53">
        <v>30072</v>
      </c>
      <c r="W56" s="53">
        <v>30221</v>
      </c>
      <c r="X56" s="53">
        <v>30599</v>
      </c>
      <c r="Y56" s="53">
        <v>30983</v>
      </c>
      <c r="Z56" s="53">
        <v>31275</v>
      </c>
      <c r="AA56" s="53">
        <v>31227</v>
      </c>
      <c r="AB56" s="53">
        <v>31836</v>
      </c>
      <c r="AC56" s="53">
        <v>32008</v>
      </c>
      <c r="AD56" s="53">
        <v>31723</v>
      </c>
      <c r="AE56" s="53">
        <v>31643</v>
      </c>
      <c r="AF56" s="53">
        <v>31709</v>
      </c>
      <c r="AG56" s="53">
        <v>31882</v>
      </c>
      <c r="AH56" s="53">
        <v>32069</v>
      </c>
      <c r="AI56" s="53">
        <v>32608</v>
      </c>
    </row>
    <row r="57" spans="1:68" x14ac:dyDescent="0.25">
      <c r="A57" s="7"/>
      <c r="B57" s="38"/>
      <c r="C57" s="38" t="s">
        <v>111</v>
      </c>
      <c r="D57" s="38" t="s">
        <v>122</v>
      </c>
      <c r="E57" s="40" t="s">
        <v>104</v>
      </c>
      <c r="F57" s="19">
        <f t="shared" si="33"/>
        <v>294335</v>
      </c>
      <c r="G57" s="19">
        <f t="shared" si="33"/>
        <v>323424</v>
      </c>
      <c r="H57" s="19">
        <f t="shared" si="33"/>
        <v>342996</v>
      </c>
      <c r="I57" s="19">
        <f t="shared" si="33"/>
        <v>367812</v>
      </c>
      <c r="J57" s="57">
        <f t="shared" si="36"/>
        <v>407676.83608775685</v>
      </c>
      <c r="K57" s="57">
        <f t="shared" si="35"/>
        <v>440975.77794510184</v>
      </c>
      <c r="L57" s="57">
        <f t="shared" si="35"/>
        <v>480758.25211158925</v>
      </c>
      <c r="M57" s="57">
        <f t="shared" si="35"/>
        <v>527434.40963834978</v>
      </c>
      <c r="N57" s="57">
        <f t="shared" si="35"/>
        <v>580297.43564611906</v>
      </c>
      <c r="O57" s="57">
        <f t="shared" si="35"/>
        <v>639278.12470680091</v>
      </c>
      <c r="P57" s="57">
        <f t="shared" si="35"/>
        <v>703963.42204500875</v>
      </c>
      <c r="Q57" s="52"/>
      <c r="R57" s="53">
        <v>294335</v>
      </c>
      <c r="S57" s="53">
        <v>299187</v>
      </c>
      <c r="T57" s="53">
        <v>307772</v>
      </c>
      <c r="U57" s="53">
        <v>311268</v>
      </c>
      <c r="V57" s="53">
        <v>318850</v>
      </c>
      <c r="W57" s="53">
        <v>323424</v>
      </c>
      <c r="X57" s="53">
        <v>327491</v>
      </c>
      <c r="Y57" s="53">
        <v>333711</v>
      </c>
      <c r="Z57" s="53">
        <v>340158</v>
      </c>
      <c r="AA57" s="53">
        <v>338182</v>
      </c>
      <c r="AB57" s="53">
        <v>342996</v>
      </c>
      <c r="AC57" s="53">
        <v>350583</v>
      </c>
      <c r="AD57" s="53">
        <v>354049</v>
      </c>
      <c r="AE57" s="53">
        <v>358453</v>
      </c>
      <c r="AF57" s="53">
        <v>364157</v>
      </c>
      <c r="AG57" s="53">
        <v>367812</v>
      </c>
      <c r="AH57" s="53">
        <v>371936</v>
      </c>
      <c r="AI57" s="53">
        <v>382478</v>
      </c>
    </row>
    <row r="58" spans="1:68" x14ac:dyDescent="0.25">
      <c r="A58" s="7"/>
      <c r="B58" s="38"/>
      <c r="C58" s="38" t="s">
        <v>112</v>
      </c>
      <c r="D58" s="38" t="s">
        <v>122</v>
      </c>
      <c r="E58" s="40" t="s">
        <v>104</v>
      </c>
      <c r="F58" s="19">
        <f t="shared" si="33"/>
        <v>575390</v>
      </c>
      <c r="G58" s="19">
        <f t="shared" si="33"/>
        <v>645906</v>
      </c>
      <c r="H58" s="19">
        <f t="shared" si="33"/>
        <v>656803</v>
      </c>
      <c r="I58" s="19">
        <f t="shared" si="33"/>
        <v>722653</v>
      </c>
      <c r="J58" s="57">
        <f t="shared" si="36"/>
        <v>800976.82682817779</v>
      </c>
      <c r="K58" s="57">
        <f t="shared" si="35"/>
        <v>866400.41341598879</v>
      </c>
      <c r="L58" s="57">
        <f t="shared" si="35"/>
        <v>944562.4209193727</v>
      </c>
      <c r="M58" s="57">
        <f t="shared" si="35"/>
        <v>1036268.6873413112</v>
      </c>
      <c r="N58" s="57">
        <f t="shared" si="35"/>
        <v>1140130.5089610312</v>
      </c>
      <c r="O58" s="57">
        <f t="shared" si="35"/>
        <v>1256011.9154724255</v>
      </c>
      <c r="P58" s="57">
        <f t="shared" si="35"/>
        <v>1383101.363824703</v>
      </c>
      <c r="Q58" s="52"/>
      <c r="R58" s="53">
        <v>575390</v>
      </c>
      <c r="S58" s="53">
        <v>584145</v>
      </c>
      <c r="T58" s="53">
        <v>603328</v>
      </c>
      <c r="U58" s="53">
        <v>610627</v>
      </c>
      <c r="V58" s="53">
        <v>626495</v>
      </c>
      <c r="W58" s="53">
        <v>645906</v>
      </c>
      <c r="X58" s="53">
        <v>656283</v>
      </c>
      <c r="Y58" s="53">
        <v>662132</v>
      </c>
      <c r="Z58" s="53">
        <v>662169</v>
      </c>
      <c r="AA58" s="53">
        <v>637620</v>
      </c>
      <c r="AB58" s="53">
        <v>656803</v>
      </c>
      <c r="AC58" s="53">
        <v>672653</v>
      </c>
      <c r="AD58" s="53">
        <v>680096</v>
      </c>
      <c r="AE58" s="53">
        <v>688834</v>
      </c>
      <c r="AF58" s="53">
        <v>706541</v>
      </c>
      <c r="AG58" s="53">
        <v>722653</v>
      </c>
      <c r="AH58" s="53">
        <v>737256</v>
      </c>
      <c r="AI58" s="53">
        <v>759808</v>
      </c>
    </row>
    <row r="59" spans="1:68" x14ac:dyDescent="0.25">
      <c r="A59" s="7"/>
      <c r="B59" s="38"/>
      <c r="C59" s="38" t="s">
        <v>113</v>
      </c>
      <c r="D59" s="38" t="s">
        <v>122</v>
      </c>
      <c r="E59" s="40" t="s">
        <v>104</v>
      </c>
      <c r="F59" s="19">
        <f t="shared" si="33"/>
        <v>46947</v>
      </c>
      <c r="G59" s="19">
        <f t="shared" si="33"/>
        <v>51205</v>
      </c>
      <c r="H59" s="19">
        <f t="shared" si="33"/>
        <v>56641</v>
      </c>
      <c r="I59" s="19">
        <f t="shared" si="33"/>
        <v>63310</v>
      </c>
      <c r="J59" s="57">
        <f t="shared" si="36"/>
        <v>70171.773875555678</v>
      </c>
      <c r="K59" s="57">
        <f t="shared" si="35"/>
        <v>75903.386789186872</v>
      </c>
      <c r="L59" s="57">
        <f t="shared" si="35"/>
        <v>82750.984038543393</v>
      </c>
      <c r="M59" s="57">
        <f t="shared" si="35"/>
        <v>90785.163274183345</v>
      </c>
      <c r="N59" s="57">
        <f t="shared" si="35"/>
        <v>99884.263294171484</v>
      </c>
      <c r="O59" s="57">
        <f t="shared" si="35"/>
        <v>110036.37204655522</v>
      </c>
      <c r="P59" s="57">
        <f t="shared" si="35"/>
        <v>121170.39207440079</v>
      </c>
      <c r="Q59" s="52"/>
      <c r="R59" s="53">
        <v>46947</v>
      </c>
      <c r="S59" s="53">
        <v>47374</v>
      </c>
      <c r="T59" s="53">
        <v>48393</v>
      </c>
      <c r="U59" s="53">
        <v>49121</v>
      </c>
      <c r="V59" s="53">
        <v>50039</v>
      </c>
      <c r="W59" s="53">
        <v>51205</v>
      </c>
      <c r="X59" s="53">
        <v>53330</v>
      </c>
      <c r="Y59" s="53">
        <v>54114</v>
      </c>
      <c r="Z59" s="53">
        <v>56171</v>
      </c>
      <c r="AA59" s="53">
        <v>54952</v>
      </c>
      <c r="AB59" s="53">
        <v>56641</v>
      </c>
      <c r="AC59" s="53">
        <v>58242</v>
      </c>
      <c r="AD59" s="53">
        <v>59782</v>
      </c>
      <c r="AE59" s="53">
        <v>61155</v>
      </c>
      <c r="AF59" s="53">
        <v>62487</v>
      </c>
      <c r="AG59" s="53">
        <v>63310</v>
      </c>
      <c r="AH59" s="53">
        <v>64146</v>
      </c>
      <c r="AI59" s="53">
        <v>66489</v>
      </c>
    </row>
    <row r="60" spans="1:68" x14ac:dyDescent="0.25">
      <c r="A60" s="7"/>
      <c r="B60" s="38"/>
      <c r="C60" s="38" t="s">
        <v>114</v>
      </c>
      <c r="D60" s="38" t="s">
        <v>122</v>
      </c>
      <c r="E60" s="40" t="s">
        <v>104</v>
      </c>
      <c r="F60" s="19">
        <f t="shared" si="33"/>
        <v>63257</v>
      </c>
      <c r="G60" s="19">
        <f t="shared" si="33"/>
        <v>70293</v>
      </c>
      <c r="H60" s="19">
        <f t="shared" si="33"/>
        <v>74199</v>
      </c>
      <c r="I60" s="19">
        <f t="shared" si="33"/>
        <v>82793</v>
      </c>
      <c r="J60" s="57">
        <f t="shared" si="36"/>
        <v>91766.414065374847</v>
      </c>
      <c r="K60" s="57">
        <f t="shared" si="35"/>
        <v>99261.87178071629</v>
      </c>
      <c r="L60" s="57">
        <f t="shared" si="35"/>
        <v>108216.74650928956</v>
      </c>
      <c r="M60" s="57">
        <f t="shared" si="35"/>
        <v>118723.3616010024</v>
      </c>
      <c r="N60" s="57">
        <f t="shared" si="35"/>
        <v>130622.61587291643</v>
      </c>
      <c r="O60" s="57">
        <f t="shared" si="35"/>
        <v>143898.93146186142</v>
      </c>
      <c r="P60" s="57">
        <f t="shared" si="35"/>
        <v>158459.33140129308</v>
      </c>
      <c r="Q60" s="52"/>
      <c r="R60" s="53">
        <v>63257</v>
      </c>
      <c r="S60" s="53">
        <v>61834</v>
      </c>
      <c r="T60" s="53">
        <v>61856</v>
      </c>
      <c r="U60" s="53">
        <v>64989</v>
      </c>
      <c r="V60" s="53">
        <v>68181</v>
      </c>
      <c r="W60" s="53">
        <v>70293</v>
      </c>
      <c r="X60" s="53">
        <v>68205</v>
      </c>
      <c r="Y60" s="53">
        <v>70671</v>
      </c>
      <c r="Z60" s="53">
        <v>73059</v>
      </c>
      <c r="AA60" s="53">
        <v>71130</v>
      </c>
      <c r="AB60" s="53">
        <v>74199</v>
      </c>
      <c r="AC60" s="53">
        <v>77129</v>
      </c>
      <c r="AD60" s="53">
        <v>77958</v>
      </c>
      <c r="AE60" s="53">
        <v>82323</v>
      </c>
      <c r="AF60" s="53">
        <v>83677</v>
      </c>
      <c r="AG60" s="53">
        <v>82793</v>
      </c>
      <c r="AH60" s="53">
        <v>81835</v>
      </c>
      <c r="AI60" s="53">
        <v>84223</v>
      </c>
    </row>
    <row r="61" spans="1:68" x14ac:dyDescent="0.25">
      <c r="A61" s="7"/>
      <c r="B61" s="15"/>
      <c r="C61" s="38" t="s">
        <v>5</v>
      </c>
      <c r="D61" s="38" t="s">
        <v>122</v>
      </c>
      <c r="E61" s="40" t="s">
        <v>104</v>
      </c>
      <c r="F61" s="19">
        <f t="shared" si="33"/>
        <v>217724</v>
      </c>
      <c r="G61" s="19">
        <f t="shared" si="33"/>
        <v>263911</v>
      </c>
      <c r="H61" s="19">
        <f t="shared" si="33"/>
        <v>283544</v>
      </c>
      <c r="I61" s="19">
        <f t="shared" si="33"/>
        <v>337590</v>
      </c>
      <c r="J61" s="57">
        <f t="shared" si="36"/>
        <v>374179.26303346775</v>
      </c>
      <c r="K61" s="57">
        <f t="shared" si="35"/>
        <v>404742.13151416194</v>
      </c>
      <c r="L61" s="57">
        <f t="shared" si="35"/>
        <v>441255.80005641858</v>
      </c>
      <c r="M61" s="57">
        <f t="shared" si="35"/>
        <v>484096.7188395444</v>
      </c>
      <c r="N61" s="57">
        <f t="shared" si="35"/>
        <v>532616.14982592559</v>
      </c>
      <c r="O61" s="57">
        <f t="shared" si="35"/>
        <v>586750.57398825744</v>
      </c>
      <c r="P61" s="57">
        <f t="shared" si="35"/>
        <v>646120.87601322006</v>
      </c>
      <c r="Q61" s="52"/>
      <c r="R61" s="53">
        <v>217724</v>
      </c>
      <c r="S61" s="53">
        <v>223717</v>
      </c>
      <c r="T61" s="53">
        <v>228975</v>
      </c>
      <c r="U61" s="53">
        <v>237326</v>
      </c>
      <c r="V61" s="53">
        <v>250886</v>
      </c>
      <c r="W61" s="53">
        <v>263911</v>
      </c>
      <c r="X61" s="53">
        <v>281029</v>
      </c>
      <c r="Y61" s="53">
        <v>284721</v>
      </c>
      <c r="Z61" s="53">
        <v>288433</v>
      </c>
      <c r="AA61" s="53">
        <v>271625</v>
      </c>
      <c r="AB61" s="53">
        <v>283544</v>
      </c>
      <c r="AC61" s="53">
        <v>300516</v>
      </c>
      <c r="AD61" s="53">
        <v>312486</v>
      </c>
      <c r="AE61" s="53">
        <v>330595</v>
      </c>
      <c r="AF61" s="53">
        <v>349946</v>
      </c>
      <c r="AG61" s="53">
        <v>337590</v>
      </c>
      <c r="AH61" s="53">
        <v>324642</v>
      </c>
      <c r="AI61" s="53">
        <v>342361</v>
      </c>
    </row>
    <row r="62" spans="1:68" x14ac:dyDescent="0.25">
      <c r="A62" s="7"/>
      <c r="B62" s="15"/>
      <c r="C62" s="38" t="s">
        <v>76</v>
      </c>
      <c r="D62" s="38" t="s">
        <v>122</v>
      </c>
      <c r="E62" s="40" t="s">
        <v>104</v>
      </c>
      <c r="F62" s="19">
        <f t="shared" si="33"/>
        <v>164117</v>
      </c>
      <c r="G62" s="19">
        <f t="shared" si="33"/>
        <v>191715</v>
      </c>
      <c r="H62" s="19">
        <f t="shared" si="33"/>
        <v>208500</v>
      </c>
      <c r="I62" s="19">
        <f t="shared" si="33"/>
        <v>239696</v>
      </c>
      <c r="J62" s="57">
        <f t="shared" si="36"/>
        <v>265675.14627823717</v>
      </c>
      <c r="K62" s="57">
        <f t="shared" si="35"/>
        <v>287375.42568031803</v>
      </c>
      <c r="L62" s="57">
        <f t="shared" si="35"/>
        <v>313300.89827993512</v>
      </c>
      <c r="M62" s="57">
        <f t="shared" si="35"/>
        <v>343718.85162168142</v>
      </c>
      <c r="N62" s="57">
        <f t="shared" si="35"/>
        <v>378168.66805496329</v>
      </c>
      <c r="O62" s="57">
        <f t="shared" si="35"/>
        <v>416605.24773449847</v>
      </c>
      <c r="P62" s="57">
        <f t="shared" si="35"/>
        <v>458759.41081449331</v>
      </c>
      <c r="Q62" s="52"/>
      <c r="R62" s="53">
        <v>164117</v>
      </c>
      <c r="S62" s="53">
        <v>166728</v>
      </c>
      <c r="T62" s="53">
        <v>172134</v>
      </c>
      <c r="U62" s="53">
        <v>176096</v>
      </c>
      <c r="V62" s="53">
        <v>183030</v>
      </c>
      <c r="W62" s="53">
        <v>191715</v>
      </c>
      <c r="X62" s="53">
        <v>200462</v>
      </c>
      <c r="Y62" s="53">
        <v>206871</v>
      </c>
      <c r="Z62" s="53">
        <v>208881</v>
      </c>
      <c r="AA62" s="53">
        <v>203259</v>
      </c>
      <c r="AB62" s="53">
        <v>208500</v>
      </c>
      <c r="AC62" s="53">
        <v>216411</v>
      </c>
      <c r="AD62" s="53">
        <v>221415</v>
      </c>
      <c r="AE62" s="53">
        <v>226476</v>
      </c>
      <c r="AF62" s="53">
        <v>235155</v>
      </c>
      <c r="AG62" s="53">
        <v>239696</v>
      </c>
      <c r="AH62" s="53">
        <v>247245</v>
      </c>
      <c r="AI62" s="53">
        <v>256856</v>
      </c>
    </row>
    <row r="63" spans="1:68" x14ac:dyDescent="0.25">
      <c r="A63" s="7"/>
      <c r="B63" s="38"/>
      <c r="C63" s="38" t="s">
        <v>115</v>
      </c>
      <c r="D63" s="38" t="s">
        <v>122</v>
      </c>
      <c r="E63" s="40" t="s">
        <v>104</v>
      </c>
      <c r="F63" s="19">
        <f t="shared" si="33"/>
        <v>1505</v>
      </c>
      <c r="G63" s="19">
        <f t="shared" si="33"/>
        <v>1655</v>
      </c>
      <c r="H63" s="19">
        <f t="shared" si="33"/>
        <v>2327</v>
      </c>
      <c r="I63" s="19">
        <f t="shared" si="33"/>
        <v>2431</v>
      </c>
      <c r="J63" s="57">
        <f t="shared" si="36"/>
        <v>2694.4808449135344</v>
      </c>
      <c r="K63" s="57">
        <f t="shared" si="35"/>
        <v>2914.5653654164157</v>
      </c>
      <c r="L63" s="57">
        <f t="shared" si="35"/>
        <v>3177.5018511719945</v>
      </c>
      <c r="M63" s="57">
        <f t="shared" si="35"/>
        <v>3486.0011359902028</v>
      </c>
      <c r="N63" s="57">
        <f t="shared" si="35"/>
        <v>3835.3916295708555</v>
      </c>
      <c r="O63" s="57">
        <f t="shared" si="35"/>
        <v>4225.2159286870283</v>
      </c>
      <c r="P63" s="57">
        <f t="shared" si="35"/>
        <v>4652.7440077849997</v>
      </c>
      <c r="Q63" s="52"/>
      <c r="R63" s="53">
        <v>1505</v>
      </c>
      <c r="S63" s="53">
        <v>1552</v>
      </c>
      <c r="T63" s="53">
        <v>1557</v>
      </c>
      <c r="U63" s="53">
        <v>1548</v>
      </c>
      <c r="V63" s="53">
        <v>1625</v>
      </c>
      <c r="W63" s="53">
        <v>1655</v>
      </c>
      <c r="X63" s="53">
        <v>1764</v>
      </c>
      <c r="Y63" s="53">
        <v>1907</v>
      </c>
      <c r="Z63" s="53">
        <v>2101</v>
      </c>
      <c r="AA63" s="53">
        <v>2247</v>
      </c>
      <c r="AB63" s="53">
        <v>2327</v>
      </c>
      <c r="AC63" s="53">
        <v>2433</v>
      </c>
      <c r="AD63" s="53">
        <v>2554</v>
      </c>
      <c r="AE63" s="53">
        <v>2614</v>
      </c>
      <c r="AF63" s="53">
        <v>2642</v>
      </c>
      <c r="AG63" s="53">
        <v>2431</v>
      </c>
      <c r="AH63" s="53">
        <v>2605</v>
      </c>
      <c r="AI63" s="53">
        <v>2663</v>
      </c>
    </row>
    <row r="64" spans="1:68" x14ac:dyDescent="0.25">
      <c r="A64" s="7"/>
      <c r="B64" s="38"/>
      <c r="C64" s="38" t="s">
        <v>117</v>
      </c>
      <c r="D64" s="38" t="s">
        <v>122</v>
      </c>
      <c r="E64" s="40" t="s">
        <v>104</v>
      </c>
      <c r="F64" s="19">
        <f t="shared" si="33"/>
        <v>3337</v>
      </c>
      <c r="G64" s="19">
        <f t="shared" si="33"/>
        <v>5086</v>
      </c>
      <c r="H64" s="19">
        <f t="shared" si="33"/>
        <v>4789</v>
      </c>
      <c r="I64" s="19">
        <f t="shared" si="33"/>
        <v>4809</v>
      </c>
      <c r="J64" s="57">
        <f t="shared" si="36"/>
        <v>5330.2173521962923</v>
      </c>
      <c r="K64" s="57">
        <f t="shared" si="35"/>
        <v>5765.5881704185695</v>
      </c>
      <c r="L64" s="57">
        <f t="shared" si="35"/>
        <v>6285.7286722690751</v>
      </c>
      <c r="M64" s="57">
        <f t="shared" si="35"/>
        <v>6896.0014245071507</v>
      </c>
      <c r="N64" s="57">
        <f t="shared" si="35"/>
        <v>7587.1650952720047</v>
      </c>
      <c r="O64" s="57">
        <f t="shared" si="35"/>
        <v>8358.3148502903805</v>
      </c>
      <c r="P64" s="57">
        <f t="shared" si="35"/>
        <v>9204.0501577285322</v>
      </c>
      <c r="Q64" s="52"/>
      <c r="R64" s="53">
        <v>3337</v>
      </c>
      <c r="S64" s="53">
        <v>4045</v>
      </c>
      <c r="T64" s="53">
        <v>4382</v>
      </c>
      <c r="U64" s="53">
        <v>4962</v>
      </c>
      <c r="V64" s="53">
        <v>5084</v>
      </c>
      <c r="W64" s="53">
        <v>5086</v>
      </c>
      <c r="X64" s="53">
        <v>5034</v>
      </c>
      <c r="Y64" s="53">
        <v>5751</v>
      </c>
      <c r="Z64" s="53">
        <v>5299</v>
      </c>
      <c r="AA64" s="53">
        <v>4707</v>
      </c>
      <c r="AB64" s="53">
        <v>4789</v>
      </c>
      <c r="AC64" s="53">
        <v>4386</v>
      </c>
      <c r="AD64" s="53">
        <v>4392</v>
      </c>
      <c r="AE64" s="53">
        <v>4553</v>
      </c>
      <c r="AF64" s="53">
        <v>4777</v>
      </c>
      <c r="AG64" s="53">
        <v>4809</v>
      </c>
      <c r="AH64" s="53">
        <v>4727</v>
      </c>
      <c r="AI64" s="53">
        <v>4911</v>
      </c>
    </row>
    <row r="65" spans="1:78" x14ac:dyDescent="0.25">
      <c r="A65" s="7"/>
      <c r="B65" s="38"/>
      <c r="C65" s="38" t="s">
        <v>116</v>
      </c>
      <c r="D65" s="38" t="s">
        <v>122</v>
      </c>
      <c r="E65" s="40" t="s">
        <v>104</v>
      </c>
      <c r="F65" s="19">
        <f t="shared" si="33"/>
        <v>1374</v>
      </c>
      <c r="G65" s="19">
        <f t="shared" si="33"/>
        <v>1561</v>
      </c>
      <c r="H65" s="19">
        <f t="shared" si="33"/>
        <v>2153</v>
      </c>
      <c r="I65" s="19">
        <f t="shared" si="33"/>
        <v>2344</v>
      </c>
      <c r="J65" s="57">
        <f t="shared" si="36"/>
        <v>2598.0514605007502</v>
      </c>
      <c r="K65" s="57">
        <f t="shared" si="35"/>
        <v>2810.259653038288</v>
      </c>
      <c r="L65" s="57">
        <f t="shared" si="35"/>
        <v>3063.7862357660033</v>
      </c>
      <c r="M65" s="57">
        <f t="shared" si="35"/>
        <v>3361.2450278737283</v>
      </c>
      <c r="N65" s="57">
        <f t="shared" si="35"/>
        <v>3698.1316247281302</v>
      </c>
      <c r="O65" s="57">
        <f t="shared" si="35"/>
        <v>4074.0049925308072</v>
      </c>
      <c r="P65" s="57">
        <f t="shared" si="35"/>
        <v>4486.232807177309</v>
      </c>
      <c r="Q65" s="52"/>
      <c r="R65" s="53">
        <v>1374</v>
      </c>
      <c r="S65" s="53">
        <v>1458</v>
      </c>
      <c r="T65" s="53">
        <v>1493</v>
      </c>
      <c r="U65" s="53">
        <v>1491</v>
      </c>
      <c r="V65" s="53">
        <v>1579</v>
      </c>
      <c r="W65" s="53">
        <v>1561</v>
      </c>
      <c r="X65" s="53">
        <v>1592</v>
      </c>
      <c r="Y65" s="53">
        <v>1801</v>
      </c>
      <c r="Z65" s="53">
        <v>2058</v>
      </c>
      <c r="AA65" s="53">
        <v>1936</v>
      </c>
      <c r="AB65" s="53">
        <v>2153</v>
      </c>
      <c r="AC65" s="53">
        <v>2212</v>
      </c>
      <c r="AD65" s="53">
        <v>2198</v>
      </c>
      <c r="AE65" s="53">
        <v>2441</v>
      </c>
      <c r="AF65" s="53">
        <v>2379</v>
      </c>
      <c r="AG65" s="53">
        <v>2344</v>
      </c>
      <c r="AH65" s="53">
        <v>2476</v>
      </c>
      <c r="AI65" s="53">
        <v>2802</v>
      </c>
    </row>
    <row r="66" spans="1:78" x14ac:dyDescent="0.25">
      <c r="A66" s="7"/>
      <c r="B66" s="38"/>
      <c r="C66" s="38"/>
      <c r="D66" s="38"/>
      <c r="E66" s="18"/>
      <c r="F66" s="43"/>
      <c r="G66" s="43"/>
      <c r="H66" s="43"/>
      <c r="I66" s="43"/>
      <c r="Q66" s="52"/>
    </row>
    <row r="67" spans="1:78" x14ac:dyDescent="0.25">
      <c r="A67" s="7"/>
      <c r="B67" s="38"/>
      <c r="C67" s="38"/>
      <c r="D67" s="38"/>
      <c r="E67" s="18"/>
      <c r="F67" s="43"/>
      <c r="G67" s="43"/>
      <c r="H67" s="43"/>
      <c r="I67" s="43"/>
      <c r="Q67" s="52"/>
    </row>
    <row r="68" spans="1:78" x14ac:dyDescent="0.25">
      <c r="A68" s="7"/>
      <c r="B68" s="38" t="s">
        <v>53</v>
      </c>
      <c r="C68" s="38" t="s">
        <v>60</v>
      </c>
      <c r="D68" s="38" t="s">
        <v>124</v>
      </c>
      <c r="E68" s="56" t="s">
        <v>123</v>
      </c>
      <c r="F68" s="19">
        <f t="shared" ref="F68:P68" si="37">INDEX($R68:$BZ68,MATCH(F$1,$R$1:$BZ$1,0))</f>
        <v>1132705.89645008</v>
      </c>
      <c r="G68" s="19">
        <f t="shared" si="37"/>
        <v>1286063.4678481901</v>
      </c>
      <c r="H68" s="19">
        <f t="shared" si="37"/>
        <v>1361085.7914598</v>
      </c>
      <c r="I68" s="19">
        <f t="shared" si="37"/>
        <v>1520564.3540934401</v>
      </c>
      <c r="J68" s="19">
        <f t="shared" si="37"/>
        <v>1684775</v>
      </c>
      <c r="K68" s="19">
        <f t="shared" si="37"/>
        <v>1822387</v>
      </c>
      <c r="L68" s="19">
        <f t="shared" si="37"/>
        <v>1986793</v>
      </c>
      <c r="M68" s="19">
        <f t="shared" si="37"/>
        <v>2179688</v>
      </c>
      <c r="N68" s="19">
        <f t="shared" si="37"/>
        <v>2398151</v>
      </c>
      <c r="O68" s="19">
        <f t="shared" si="37"/>
        <v>2641896</v>
      </c>
      <c r="P68" s="19">
        <f t="shared" si="37"/>
        <v>2909216</v>
      </c>
      <c r="Q68" s="52"/>
      <c r="R68" s="53">
        <v>1132705.89645008</v>
      </c>
      <c r="S68" s="53">
        <v>1152763.6406050599</v>
      </c>
      <c r="T68" s="53">
        <v>1187462.2410732401</v>
      </c>
      <c r="U68" s="53">
        <v>1208863.5600324799</v>
      </c>
      <c r="V68" s="53">
        <v>1246168.8411499001</v>
      </c>
      <c r="W68" s="53">
        <v>1286063.4678481901</v>
      </c>
      <c r="X68" s="53">
        <v>1319802.0051478599</v>
      </c>
      <c r="Y68" s="53">
        <v>1347026.40898272</v>
      </c>
      <c r="Z68" s="53">
        <v>1360501.5354522199</v>
      </c>
      <c r="AA68" s="53">
        <v>1320372.56431132</v>
      </c>
      <c r="AB68" s="53">
        <v>1361085.7914598</v>
      </c>
      <c r="AC68" s="53">
        <v>1403840.49042381</v>
      </c>
      <c r="AD68" s="53">
        <v>1428344.7866189501</v>
      </c>
      <c r="AE68" s="53">
        <v>1463696.5553417699</v>
      </c>
      <c r="AF68" s="53">
        <v>1505495.47140106</v>
      </c>
      <c r="AG68" s="53">
        <v>1520564.3540934401</v>
      </c>
      <c r="AH68" s="53">
        <v>1542066.2592517899</v>
      </c>
      <c r="AI68" s="53">
        <v>1588338.69301313</v>
      </c>
      <c r="AJ68" s="53">
        <v>1621635.5389815201</v>
      </c>
      <c r="AK68" s="53">
        <v>1657928.8942838099</v>
      </c>
      <c r="AL68" s="53">
        <v>1684775</v>
      </c>
      <c r="AM68" s="53">
        <v>1710503</v>
      </c>
      <c r="AN68" s="53">
        <v>1736864</v>
      </c>
      <c r="AO68" s="53">
        <v>1764255</v>
      </c>
      <c r="AP68" s="53">
        <v>1792774</v>
      </c>
      <c r="AQ68" s="53">
        <v>1822387</v>
      </c>
      <c r="AR68" s="53">
        <v>1852965</v>
      </c>
      <c r="AS68" s="53">
        <v>1884677</v>
      </c>
      <c r="AT68" s="53">
        <v>1917532</v>
      </c>
      <c r="AU68" s="53">
        <v>1951559</v>
      </c>
      <c r="AV68" s="53">
        <v>1986793</v>
      </c>
      <c r="AW68" s="53">
        <v>2023273</v>
      </c>
      <c r="AX68" s="53">
        <v>2060808</v>
      </c>
      <c r="AY68" s="53">
        <v>2099401</v>
      </c>
      <c r="AZ68" s="53">
        <v>2139034</v>
      </c>
      <c r="BA68" s="53">
        <v>2179688</v>
      </c>
      <c r="BB68" s="53">
        <v>2221353</v>
      </c>
      <c r="BC68" s="53">
        <v>2264030</v>
      </c>
      <c r="BD68" s="53">
        <v>2307720</v>
      </c>
      <c r="BE68" s="53">
        <v>2352425</v>
      </c>
      <c r="BF68" s="53">
        <v>2398151</v>
      </c>
      <c r="BG68" s="53">
        <v>2444905</v>
      </c>
      <c r="BH68" s="53">
        <v>2492690</v>
      </c>
      <c r="BI68" s="53">
        <v>2541479</v>
      </c>
      <c r="BJ68" s="53">
        <v>2591227</v>
      </c>
      <c r="BK68" s="53">
        <v>2641896</v>
      </c>
      <c r="BL68" s="53">
        <v>2693479</v>
      </c>
      <c r="BM68" s="53">
        <v>2745988</v>
      </c>
      <c r="BN68" s="53">
        <v>2799434</v>
      </c>
      <c r="BO68" s="53">
        <v>2853831</v>
      </c>
      <c r="BP68" s="53">
        <v>2909216</v>
      </c>
      <c r="BQ68">
        <v>2965657</v>
      </c>
      <c r="BR68">
        <v>3023227</v>
      </c>
      <c r="BS68">
        <v>3081985</v>
      </c>
      <c r="BT68">
        <v>3141981</v>
      </c>
      <c r="BU68">
        <v>3203277</v>
      </c>
      <c r="BV68">
        <v>3265966</v>
      </c>
      <c r="BW68">
        <v>3330145</v>
      </c>
      <c r="BX68">
        <v>3395881</v>
      </c>
      <c r="BY68">
        <v>3463205</v>
      </c>
      <c r="BZ68">
        <v>3532133</v>
      </c>
    </row>
    <row r="69" spans="1:78" x14ac:dyDescent="0.25">
      <c r="A69" s="7"/>
      <c r="B69" s="15"/>
      <c r="C69" s="15"/>
      <c r="D69" s="38" t="s">
        <v>125</v>
      </c>
      <c r="E69" s="11" t="s">
        <v>105</v>
      </c>
      <c r="F69" s="70">
        <f>F68*F72</f>
        <v>1390475.7773052247</v>
      </c>
      <c r="G69" s="70">
        <f t="shared" ref="G69:I69" si="38">G68*G72</f>
        <v>1560823.2113731487</v>
      </c>
      <c r="H69" s="70">
        <f t="shared" si="38"/>
        <v>1662703.763933083</v>
      </c>
      <c r="I69" s="70">
        <f t="shared" si="38"/>
        <v>1897670.3961660294</v>
      </c>
      <c r="J69" s="71">
        <f t="shared" ref="J69" si="39">J68*J72</f>
        <v>2102605.9390999996</v>
      </c>
      <c r="K69" s="71">
        <f t="shared" ref="K69" si="40">K68*K72</f>
        <v>2274346.2655479996</v>
      </c>
      <c r="L69" s="71">
        <f t="shared" ref="L69" si="41">L68*L72</f>
        <v>2479525.6111719999</v>
      </c>
      <c r="M69" s="71">
        <f t="shared" ref="M69" si="42">M68*M72</f>
        <v>2720259.3427519999</v>
      </c>
      <c r="N69" s="71">
        <f t="shared" ref="N69" si="43">N68*N72</f>
        <v>2992902.0406039995</v>
      </c>
      <c r="O69" s="71">
        <f t="shared" ref="O69" si="44">O68*O72</f>
        <v>3297096.7755839997</v>
      </c>
      <c r="P69" s="71">
        <f t="shared" ref="P69" si="45">P68*P72</f>
        <v>3630713.2048639995</v>
      </c>
      <c r="Q69" s="52"/>
    </row>
    <row r="70" spans="1:78" x14ac:dyDescent="0.25">
      <c r="A70" s="7"/>
      <c r="B70" s="15"/>
      <c r="C70" s="15"/>
      <c r="D70" s="15"/>
      <c r="E70" s="11"/>
      <c r="F70" s="69">
        <f>F52/F69</f>
        <v>1.0494990447285346</v>
      </c>
      <c r="G70" s="69">
        <f t="shared" ref="G70:I70" si="46">G52/G69</f>
        <v>1.0577008260580771</v>
      </c>
      <c r="H70" s="69">
        <f t="shared" si="46"/>
        <v>1.0463962599594028</v>
      </c>
      <c r="I70" s="69">
        <f t="shared" si="46"/>
        <v>1.0185662399040176</v>
      </c>
      <c r="J70" s="42"/>
      <c r="K70" s="42"/>
      <c r="L70" s="42"/>
      <c r="M70" s="42"/>
      <c r="N70" s="42"/>
      <c r="O70" s="42"/>
      <c r="P70" s="42"/>
      <c r="Q70" s="52"/>
    </row>
    <row r="71" spans="1:78" x14ac:dyDescent="0.25">
      <c r="A71" s="7"/>
      <c r="B71" s="38"/>
      <c r="C71" s="38"/>
      <c r="D71" s="38"/>
      <c r="E71" s="18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52"/>
    </row>
    <row r="72" spans="1:78" x14ac:dyDescent="0.25">
      <c r="A72" s="7"/>
      <c r="B72" s="38" t="s">
        <v>126</v>
      </c>
      <c r="C72" s="38" t="s">
        <v>60</v>
      </c>
      <c r="D72" s="38" t="s">
        <v>127</v>
      </c>
      <c r="E72" s="56" t="s">
        <v>128</v>
      </c>
      <c r="F72" s="47">
        <f t="shared" ref="F72:I72" si="47">INDEX($R72:$BZ72,MATCH(F$1,$R$1:$BZ$1,0))</f>
        <v>1.2275700000000001</v>
      </c>
      <c r="G72" s="47">
        <f t="shared" si="47"/>
        <v>1.2136439999999999</v>
      </c>
      <c r="H72" s="47">
        <f t="shared" si="47"/>
        <v>1.2216009999999999</v>
      </c>
      <c r="I72" s="47">
        <f t="shared" si="47"/>
        <v>1.2480039999999999</v>
      </c>
      <c r="J72" s="68">
        <f>I72</f>
        <v>1.2480039999999999</v>
      </c>
      <c r="K72" s="68">
        <f t="shared" ref="K72:P72" si="48">J72</f>
        <v>1.2480039999999999</v>
      </c>
      <c r="L72" s="68">
        <f t="shared" si="48"/>
        <v>1.2480039999999999</v>
      </c>
      <c r="M72" s="68">
        <f t="shared" si="48"/>
        <v>1.2480039999999999</v>
      </c>
      <c r="N72" s="68">
        <f t="shared" si="48"/>
        <v>1.2480039999999999</v>
      </c>
      <c r="O72" s="68">
        <f t="shared" si="48"/>
        <v>1.2480039999999999</v>
      </c>
      <c r="P72" s="68">
        <f t="shared" si="48"/>
        <v>1.2480039999999999</v>
      </c>
      <c r="Q72" s="52"/>
      <c r="R72" s="55">
        <v>1.2275700000000001</v>
      </c>
      <c r="S72" s="55">
        <v>1.221141</v>
      </c>
      <c r="T72" s="55">
        <v>1.229333</v>
      </c>
      <c r="U72" s="55">
        <v>1.2261249999999999</v>
      </c>
      <c r="V72" s="55">
        <v>1.2331460000000001</v>
      </c>
      <c r="W72" s="55">
        <v>1.2136439999999999</v>
      </c>
      <c r="X72" s="55">
        <v>1.2056549999999999</v>
      </c>
      <c r="Y72" s="55">
        <v>1.2130810000000001</v>
      </c>
      <c r="Z72" s="55">
        <v>1.2343900000000001</v>
      </c>
      <c r="AA72" s="55">
        <v>1.2013100000000001</v>
      </c>
      <c r="AB72" s="55">
        <v>1.2216009999999999</v>
      </c>
      <c r="AC72" s="55">
        <v>1.2399039999999999</v>
      </c>
      <c r="AD72" s="55">
        <v>1.244607</v>
      </c>
      <c r="AE72" s="55">
        <v>1.224</v>
      </c>
      <c r="AF72" s="55">
        <v>1.2303580000000001</v>
      </c>
      <c r="AG72" s="55">
        <v>1.2480039999999999</v>
      </c>
      <c r="AH72" s="55">
        <v>1.2451639999999999</v>
      </c>
      <c r="AI72" s="55">
        <v>1.252006</v>
      </c>
      <c r="AJ72" s="55">
        <v>1.244715</v>
      </c>
    </row>
    <row r="73" spans="1:78" x14ac:dyDescent="0.25">
      <c r="A73" s="7"/>
      <c r="B73" s="38"/>
      <c r="C73" s="38"/>
      <c r="D73" s="38"/>
      <c r="E73" s="18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52"/>
    </row>
    <row r="74" spans="1:78" x14ac:dyDescent="0.25">
      <c r="A74" s="7"/>
      <c r="B74" s="38" t="s">
        <v>137</v>
      </c>
      <c r="C74" s="38" t="s">
        <v>60</v>
      </c>
      <c r="D74" s="95"/>
      <c r="E74" s="91"/>
      <c r="F74" s="96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52"/>
    </row>
    <row r="75" spans="1:78" x14ac:dyDescent="0.25">
      <c r="A75" s="7"/>
      <c r="B75" s="38"/>
      <c r="C75" s="38"/>
      <c r="D75" s="38"/>
      <c r="E75" s="18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52"/>
    </row>
    <row r="76" spans="1:78" x14ac:dyDescent="0.25">
      <c r="A76" s="7"/>
      <c r="B76" s="38"/>
      <c r="C76" s="38"/>
      <c r="D76" s="38"/>
      <c r="E76" s="18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52"/>
    </row>
    <row r="77" spans="1:78" x14ac:dyDescent="0.25">
      <c r="A77" s="7"/>
      <c r="B77" s="38"/>
      <c r="C77" s="38"/>
      <c r="D77" s="38"/>
      <c r="E77" s="18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52"/>
    </row>
    <row r="78" spans="1:78" x14ac:dyDescent="0.25">
      <c r="A78" s="7"/>
      <c r="B78" s="38"/>
      <c r="C78" s="38"/>
      <c r="D78" s="38"/>
      <c r="E78" s="18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52"/>
    </row>
    <row r="79" spans="1:78" x14ac:dyDescent="0.25">
      <c r="A79" s="7"/>
      <c r="B79" s="38"/>
      <c r="C79" s="38"/>
      <c r="D79" s="38"/>
      <c r="E79" s="18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52"/>
    </row>
    <row r="80" spans="1:78" x14ac:dyDescent="0.25">
      <c r="A80" s="7"/>
      <c r="B80" s="38"/>
      <c r="C80" s="38"/>
      <c r="D80" s="38"/>
      <c r="E80" s="18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52"/>
    </row>
    <row r="81" spans="1:17" x14ac:dyDescent="0.25">
      <c r="A81" s="7"/>
      <c r="B81" s="38"/>
      <c r="C81" s="38"/>
      <c r="D81" s="38"/>
      <c r="E81" s="18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52"/>
    </row>
    <row r="82" spans="1:17" x14ac:dyDescent="0.25">
      <c r="A82" s="7"/>
      <c r="B82" s="38"/>
      <c r="C82" s="38"/>
      <c r="D82" s="38"/>
      <c r="E82" s="18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52"/>
    </row>
    <row r="83" spans="1:17" x14ac:dyDescent="0.25">
      <c r="A83" s="7"/>
      <c r="B83" s="38"/>
      <c r="C83" s="38"/>
      <c r="D83" s="38"/>
      <c r="E83" s="18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52"/>
    </row>
    <row r="84" spans="1:17" x14ac:dyDescent="0.25">
      <c r="A84" s="7"/>
      <c r="B84" s="38"/>
      <c r="C84" s="38"/>
      <c r="D84" s="38"/>
      <c r="E84" s="18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52"/>
    </row>
    <row r="85" spans="1:17" x14ac:dyDescent="0.25">
      <c r="A85" s="7"/>
      <c r="B85" s="38"/>
      <c r="C85" s="38"/>
      <c r="D85" s="38"/>
      <c r="E85" s="18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52"/>
    </row>
    <row r="86" spans="1:17" x14ac:dyDescent="0.25">
      <c r="A86" s="7"/>
      <c r="B86" s="38"/>
      <c r="C86" s="38"/>
      <c r="D86" s="38"/>
      <c r="E86" s="18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52"/>
    </row>
    <row r="87" spans="1:17" x14ac:dyDescent="0.25">
      <c r="A87" s="7"/>
      <c r="B87" s="38"/>
      <c r="C87" s="38"/>
      <c r="D87" s="38"/>
      <c r="E87" s="18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52"/>
    </row>
    <row r="88" spans="1:17" x14ac:dyDescent="0.25">
      <c r="A88" s="7"/>
      <c r="B88" s="38"/>
      <c r="C88" s="38"/>
      <c r="D88" s="38"/>
      <c r="E88" s="18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52"/>
    </row>
    <row r="89" spans="1:17" x14ac:dyDescent="0.25">
      <c r="A89" s="7"/>
      <c r="B89" s="38"/>
      <c r="C89" s="38"/>
      <c r="D89" s="38"/>
      <c r="E89" s="18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52"/>
    </row>
    <row r="90" spans="1:17" x14ac:dyDescent="0.25">
      <c r="A90" s="7"/>
      <c r="B90" s="38"/>
      <c r="C90" s="38"/>
      <c r="D90" s="38"/>
      <c r="E90" s="18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52"/>
    </row>
    <row r="91" spans="1:17" x14ac:dyDescent="0.25">
      <c r="A91" s="7"/>
      <c r="B91" s="38"/>
      <c r="C91" s="38"/>
      <c r="D91" s="38"/>
      <c r="E91" s="18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52"/>
    </row>
    <row r="92" spans="1:17" x14ac:dyDescent="0.25">
      <c r="A92" s="7"/>
      <c r="B92" s="38"/>
      <c r="C92" s="38"/>
      <c r="D92" s="38"/>
      <c r="E92" s="18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52"/>
    </row>
    <row r="93" spans="1:17" x14ac:dyDescent="0.25">
      <c r="A93" s="7"/>
      <c r="B93" s="38"/>
      <c r="C93" s="38"/>
      <c r="D93" s="38"/>
      <c r="E93" s="18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52"/>
    </row>
    <row r="94" spans="1:17" x14ac:dyDescent="0.25">
      <c r="A94" s="7"/>
      <c r="B94" s="38"/>
      <c r="C94" s="38"/>
      <c r="D94" s="38"/>
      <c r="E94" s="18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52"/>
    </row>
    <row r="95" spans="1:17" x14ac:dyDescent="0.25">
      <c r="A95" s="7"/>
      <c r="B95" s="38"/>
      <c r="C95" s="38"/>
      <c r="D95" s="38"/>
      <c r="E95" s="18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52"/>
    </row>
    <row r="96" spans="1:17" x14ac:dyDescent="0.25">
      <c r="A96" s="7"/>
      <c r="B96" s="38"/>
      <c r="C96" s="38"/>
      <c r="D96" s="38"/>
      <c r="E96" s="18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52"/>
    </row>
    <row r="97" spans="1:17" x14ac:dyDescent="0.25">
      <c r="A97" s="7"/>
      <c r="B97" s="38"/>
      <c r="C97" s="38"/>
      <c r="D97" s="38"/>
      <c r="E97" s="18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52"/>
    </row>
    <row r="98" spans="1:17" x14ac:dyDescent="0.25">
      <c r="A98" s="7"/>
      <c r="B98" s="38"/>
      <c r="C98" s="38"/>
      <c r="D98" s="38"/>
      <c r="E98" s="18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52"/>
    </row>
    <row r="99" spans="1:17" x14ac:dyDescent="0.25">
      <c r="A99" s="7"/>
      <c r="B99" s="38"/>
      <c r="C99" s="38"/>
      <c r="D99" s="38"/>
      <c r="E99" s="18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52"/>
    </row>
    <row r="100" spans="1:17" x14ac:dyDescent="0.25">
      <c r="A100" s="7"/>
      <c r="B100" s="38"/>
      <c r="C100" s="38"/>
      <c r="D100" s="38"/>
      <c r="E100" s="18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52"/>
    </row>
    <row r="101" spans="1:17" x14ac:dyDescent="0.25">
      <c r="A101" s="7"/>
      <c r="B101" s="38"/>
      <c r="C101" s="38"/>
      <c r="D101" s="38"/>
      <c r="E101" s="18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52"/>
    </row>
    <row r="102" spans="1:17" x14ac:dyDescent="0.25">
      <c r="A102" s="7"/>
      <c r="B102" s="38"/>
      <c r="C102" s="38"/>
      <c r="D102" s="38"/>
      <c r="E102" s="18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52"/>
    </row>
    <row r="103" spans="1:17" x14ac:dyDescent="0.25">
      <c r="A103" s="7"/>
      <c r="B103" s="38"/>
      <c r="C103" s="38"/>
      <c r="D103" s="38"/>
      <c r="E103" s="18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52"/>
    </row>
    <row r="104" spans="1:17" x14ac:dyDescent="0.25">
      <c r="A104" s="7"/>
      <c r="B104" s="38"/>
      <c r="C104" s="38"/>
      <c r="D104" s="38"/>
      <c r="E104" s="18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52"/>
    </row>
    <row r="105" spans="1:17" x14ac:dyDescent="0.25">
      <c r="A105" s="7"/>
      <c r="B105" s="38"/>
      <c r="C105" s="38"/>
      <c r="D105" s="38"/>
      <c r="E105" s="18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52"/>
    </row>
    <row r="106" spans="1:17" x14ac:dyDescent="0.25">
      <c r="A106" s="7"/>
      <c r="B106" s="38"/>
      <c r="C106" s="38"/>
      <c r="D106" s="38"/>
      <c r="E106" s="18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52"/>
    </row>
    <row r="107" spans="1:17" x14ac:dyDescent="0.25">
      <c r="A107" s="7"/>
      <c r="B107" s="38"/>
      <c r="C107" s="38"/>
      <c r="D107" s="38"/>
      <c r="E107" s="18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52"/>
    </row>
    <row r="108" spans="1:17" x14ac:dyDescent="0.25">
      <c r="A108" s="7"/>
      <c r="B108" s="38"/>
      <c r="C108" s="38"/>
      <c r="D108" s="38"/>
      <c r="E108" s="18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52"/>
    </row>
    <row r="109" spans="1:17" x14ac:dyDescent="0.25">
      <c r="A109" s="7"/>
      <c r="B109" s="38"/>
      <c r="C109" s="38"/>
      <c r="D109" s="38"/>
      <c r="E109" s="18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52"/>
    </row>
    <row r="110" spans="1:17" x14ac:dyDescent="0.25">
      <c r="A110" s="7"/>
      <c r="B110" s="38"/>
      <c r="C110" s="38"/>
      <c r="D110" s="38"/>
      <c r="E110" s="18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52"/>
    </row>
    <row r="111" spans="1:17" x14ac:dyDescent="0.25">
      <c r="A111" s="7"/>
      <c r="B111" s="38"/>
      <c r="C111" s="38"/>
      <c r="D111" s="38"/>
      <c r="E111" s="18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52"/>
    </row>
    <row r="112" spans="1:17" x14ac:dyDescent="0.25">
      <c r="A112" s="7"/>
      <c r="B112" s="38"/>
      <c r="C112" s="38"/>
      <c r="D112" s="38"/>
      <c r="E112" s="18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52"/>
    </row>
    <row r="113" spans="1:17" x14ac:dyDescent="0.25">
      <c r="A113" s="7"/>
      <c r="B113" s="38"/>
      <c r="C113" s="38"/>
      <c r="D113" s="38"/>
      <c r="E113" s="18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52"/>
    </row>
    <row r="114" spans="1:17" x14ac:dyDescent="0.25">
      <c r="A114" s="7"/>
      <c r="B114" s="38"/>
      <c r="C114" s="38"/>
      <c r="D114" s="38"/>
      <c r="E114" s="18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52"/>
    </row>
    <row r="115" spans="1:17" x14ac:dyDescent="0.25">
      <c r="A115" s="7"/>
      <c r="B115" s="38"/>
      <c r="C115" s="38"/>
      <c r="D115" s="38"/>
      <c r="E115" s="18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52"/>
    </row>
    <row r="116" spans="1:17" x14ac:dyDescent="0.25">
      <c r="A116" s="7"/>
      <c r="B116" s="38"/>
      <c r="C116" s="38"/>
      <c r="D116" s="38"/>
      <c r="E116" s="18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52"/>
    </row>
    <row r="117" spans="1:17" x14ac:dyDescent="0.25">
      <c r="A117" s="7"/>
      <c r="B117" s="38"/>
      <c r="C117" s="38"/>
      <c r="D117" s="38"/>
      <c r="E117" s="18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52"/>
    </row>
    <row r="118" spans="1:17" x14ac:dyDescent="0.25">
      <c r="A118" s="7"/>
      <c r="B118" s="38"/>
      <c r="C118" s="38"/>
      <c r="D118" s="38"/>
      <c r="E118" s="18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52"/>
    </row>
    <row r="119" spans="1:17" x14ac:dyDescent="0.25">
      <c r="A119" s="7"/>
      <c r="B119" s="38"/>
      <c r="C119" s="38"/>
      <c r="D119" s="38"/>
      <c r="E119" s="18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52"/>
    </row>
    <row r="120" spans="1:17" x14ac:dyDescent="0.25">
      <c r="A120" s="7"/>
      <c r="B120" s="38"/>
      <c r="C120" s="38"/>
      <c r="D120" s="38"/>
      <c r="E120" s="18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52"/>
    </row>
    <row r="121" spans="1:17" x14ac:dyDescent="0.25">
      <c r="A121" s="7"/>
      <c r="B121" s="38"/>
      <c r="C121" s="38"/>
      <c r="D121" s="38"/>
      <c r="E121" s="18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52"/>
    </row>
    <row r="122" spans="1:17" x14ac:dyDescent="0.25">
      <c r="A122" s="7"/>
      <c r="B122" s="38"/>
      <c r="C122" s="38"/>
      <c r="D122" s="38"/>
      <c r="E122" s="18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52"/>
    </row>
    <row r="123" spans="1:17" x14ac:dyDescent="0.25">
      <c r="A123" s="7"/>
      <c r="B123" s="38"/>
      <c r="C123" s="38"/>
      <c r="D123" s="38"/>
      <c r="E123" s="18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52"/>
    </row>
    <row r="124" spans="1:17" x14ac:dyDescent="0.25">
      <c r="A124" s="7"/>
      <c r="B124" s="38"/>
      <c r="C124" s="38"/>
      <c r="D124" s="38"/>
      <c r="E124" s="18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52"/>
    </row>
    <row r="125" spans="1:17" x14ac:dyDescent="0.25">
      <c r="A125" s="7"/>
      <c r="B125" s="38"/>
      <c r="C125" s="38"/>
      <c r="D125" s="38"/>
      <c r="E125" s="18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52"/>
    </row>
    <row r="126" spans="1:17" x14ac:dyDescent="0.25">
      <c r="A126" s="7"/>
      <c r="B126" s="38"/>
      <c r="C126" s="38"/>
      <c r="D126" s="38"/>
      <c r="E126" s="18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52"/>
    </row>
    <row r="127" spans="1:17" x14ac:dyDescent="0.25">
      <c r="A127" s="7"/>
      <c r="B127" s="38"/>
      <c r="C127" s="38"/>
      <c r="D127" s="38"/>
      <c r="E127" s="18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52"/>
    </row>
    <row r="128" spans="1:17" x14ac:dyDescent="0.25">
      <c r="A128" s="7"/>
      <c r="B128" s="38"/>
      <c r="C128" s="38"/>
      <c r="D128" s="38"/>
      <c r="E128" s="18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52"/>
    </row>
    <row r="129" spans="1:17" x14ac:dyDescent="0.25">
      <c r="A129" s="7"/>
      <c r="B129" s="38"/>
      <c r="C129" s="38"/>
      <c r="D129" s="38"/>
      <c r="E129" s="18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52"/>
    </row>
    <row r="130" spans="1:17" x14ac:dyDescent="0.25">
      <c r="A130" s="7"/>
      <c r="B130" s="38"/>
      <c r="C130" s="38"/>
      <c r="D130" s="38"/>
      <c r="E130" s="18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52"/>
    </row>
    <row r="131" spans="1:17" x14ac:dyDescent="0.25">
      <c r="A131" s="7"/>
      <c r="B131" s="38"/>
      <c r="C131" s="38"/>
      <c r="D131" s="38"/>
      <c r="E131" s="18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52"/>
    </row>
    <row r="132" spans="1:17" x14ac:dyDescent="0.25">
      <c r="A132" s="7"/>
      <c r="B132" s="38"/>
      <c r="C132" s="38"/>
      <c r="D132" s="38"/>
      <c r="E132" s="18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52"/>
    </row>
    <row r="133" spans="1:17" x14ac:dyDescent="0.25">
      <c r="A133" s="7"/>
      <c r="B133" s="38"/>
      <c r="C133" s="38"/>
      <c r="D133" s="38"/>
      <c r="E133" s="18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52"/>
    </row>
    <row r="134" spans="1:17" x14ac:dyDescent="0.25">
      <c r="A134" s="7"/>
      <c r="B134" s="38"/>
      <c r="C134" s="38"/>
      <c r="D134" s="38"/>
      <c r="E134" s="18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52"/>
    </row>
    <row r="135" spans="1:17" x14ac:dyDescent="0.25">
      <c r="A135" s="7"/>
      <c r="B135" s="38"/>
      <c r="C135" s="38"/>
      <c r="D135" s="38"/>
      <c r="E135" s="18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52"/>
    </row>
    <row r="136" spans="1:17" x14ac:dyDescent="0.25">
      <c r="A136" s="7"/>
      <c r="B136" s="38"/>
      <c r="C136" s="38"/>
      <c r="D136" s="38"/>
      <c r="E136" s="18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52"/>
    </row>
    <row r="137" spans="1:17" x14ac:dyDescent="0.25">
      <c r="A137" s="7"/>
      <c r="B137" s="15"/>
      <c r="C137" s="15"/>
      <c r="D137" s="15"/>
      <c r="E137" s="11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52"/>
    </row>
    <row r="138" spans="1:17" x14ac:dyDescent="0.25">
      <c r="A138" s="7"/>
      <c r="B138" s="15"/>
      <c r="C138" s="15"/>
      <c r="D138" s="15"/>
      <c r="E138" s="11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52"/>
    </row>
    <row r="139" spans="1:17" x14ac:dyDescent="0.25">
      <c r="A139" s="7"/>
      <c r="B139" s="38"/>
      <c r="C139" s="38"/>
      <c r="D139" s="38"/>
      <c r="E139" s="18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52"/>
    </row>
    <row r="140" spans="1:17" x14ac:dyDescent="0.25">
      <c r="A140" s="7"/>
      <c r="B140" s="38"/>
      <c r="C140" s="38"/>
      <c r="D140" s="38"/>
      <c r="E140" s="18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52"/>
    </row>
    <row r="141" spans="1:17" x14ac:dyDescent="0.25">
      <c r="A141" s="7"/>
      <c r="B141" s="38"/>
      <c r="C141" s="38"/>
      <c r="D141" s="38"/>
      <c r="E141" s="18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52"/>
    </row>
    <row r="142" spans="1:17" x14ac:dyDescent="0.25">
      <c r="A142" s="7"/>
      <c r="B142" s="38"/>
      <c r="C142" s="38"/>
      <c r="D142" s="38"/>
      <c r="E142" s="18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52"/>
    </row>
    <row r="143" spans="1:17" x14ac:dyDescent="0.25">
      <c r="A143" s="7"/>
      <c r="B143" s="38"/>
      <c r="C143" s="38"/>
      <c r="D143" s="38"/>
      <c r="E143" s="18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52"/>
    </row>
    <row r="144" spans="1:17" x14ac:dyDescent="0.25">
      <c r="A144" s="7"/>
      <c r="B144" s="38"/>
      <c r="C144" s="38"/>
      <c r="D144" s="38"/>
      <c r="E144" s="18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52"/>
    </row>
    <row r="145" spans="1:17" x14ac:dyDescent="0.25">
      <c r="A145" s="7"/>
      <c r="B145" s="38"/>
      <c r="C145" s="38"/>
      <c r="D145" s="38"/>
      <c r="E145" s="18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52"/>
    </row>
    <row r="146" spans="1:17" x14ac:dyDescent="0.25">
      <c r="A146" s="7"/>
      <c r="B146" s="38"/>
      <c r="C146" s="38"/>
      <c r="D146" s="38"/>
      <c r="E146" s="18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52"/>
    </row>
    <row r="147" spans="1:17" x14ac:dyDescent="0.25">
      <c r="A147" s="7"/>
      <c r="B147" s="38"/>
      <c r="C147" s="38"/>
      <c r="D147" s="38"/>
      <c r="E147" s="18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52"/>
    </row>
    <row r="148" spans="1:17" x14ac:dyDescent="0.25">
      <c r="A148" s="7"/>
      <c r="B148" s="38"/>
      <c r="C148" s="38"/>
      <c r="D148" s="38"/>
      <c r="E148" s="18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52"/>
    </row>
    <row r="149" spans="1:17" x14ac:dyDescent="0.25">
      <c r="A149" s="7"/>
      <c r="B149" s="38"/>
      <c r="C149" s="38"/>
      <c r="D149" s="38"/>
      <c r="E149" s="18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52"/>
    </row>
    <row r="150" spans="1:17" x14ac:dyDescent="0.25">
      <c r="A150" s="7"/>
      <c r="B150" s="38"/>
      <c r="C150" s="38"/>
      <c r="D150" s="38"/>
      <c r="E150" s="18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52"/>
    </row>
    <row r="151" spans="1:17" x14ac:dyDescent="0.25">
      <c r="A151" s="7"/>
      <c r="B151" s="38"/>
      <c r="C151" s="38"/>
      <c r="D151" s="38"/>
      <c r="E151" s="18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52"/>
    </row>
    <row r="152" spans="1:17" x14ac:dyDescent="0.25">
      <c r="A152" s="7"/>
      <c r="B152" s="38"/>
      <c r="C152" s="38"/>
      <c r="D152" s="38"/>
      <c r="E152" s="18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52"/>
    </row>
    <row r="153" spans="1:17" x14ac:dyDescent="0.25">
      <c r="A153" s="7"/>
      <c r="B153" s="38"/>
      <c r="C153" s="38"/>
      <c r="D153" s="38"/>
      <c r="E153" s="18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52"/>
    </row>
    <row r="154" spans="1:17" x14ac:dyDescent="0.25">
      <c r="A154" s="7"/>
      <c r="B154" s="38"/>
      <c r="C154" s="38"/>
      <c r="D154" s="38"/>
      <c r="E154" s="18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52"/>
    </row>
    <row r="155" spans="1:17" x14ac:dyDescent="0.25">
      <c r="A155" s="7"/>
      <c r="B155" s="38"/>
      <c r="C155" s="38"/>
      <c r="D155" s="38"/>
      <c r="E155" s="18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52"/>
    </row>
    <row r="156" spans="1:17" x14ac:dyDescent="0.25">
      <c r="A156" s="7"/>
      <c r="B156" s="38"/>
      <c r="C156" s="38"/>
      <c r="D156" s="38"/>
      <c r="E156" s="18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52"/>
    </row>
    <row r="157" spans="1:17" x14ac:dyDescent="0.25">
      <c r="A157" s="7"/>
      <c r="B157" s="38"/>
      <c r="C157" s="38"/>
      <c r="D157" s="38"/>
      <c r="E157" s="18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52"/>
    </row>
    <row r="158" spans="1:17" x14ac:dyDescent="0.25">
      <c r="A158" s="7"/>
      <c r="B158" s="38"/>
      <c r="C158" s="38"/>
      <c r="D158" s="38"/>
      <c r="E158" s="18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52"/>
    </row>
    <row r="159" spans="1:17" x14ac:dyDescent="0.25">
      <c r="A159" s="7"/>
      <c r="B159" s="38"/>
      <c r="C159" s="38"/>
      <c r="D159" s="38"/>
      <c r="E159" s="18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52"/>
    </row>
    <row r="160" spans="1:17" x14ac:dyDescent="0.25">
      <c r="A160" s="7"/>
      <c r="B160" s="38"/>
      <c r="C160" s="38"/>
      <c r="D160" s="38"/>
      <c r="E160" s="18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52"/>
    </row>
    <row r="161" spans="1:17" x14ac:dyDescent="0.25">
      <c r="A161" s="7"/>
      <c r="B161" s="38"/>
      <c r="C161" s="38"/>
      <c r="D161" s="38"/>
      <c r="E161" s="18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52"/>
    </row>
    <row r="162" spans="1:17" x14ac:dyDescent="0.25">
      <c r="A162" s="7"/>
      <c r="B162" s="38"/>
      <c r="C162" s="38"/>
      <c r="D162" s="38"/>
      <c r="E162" s="18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52"/>
    </row>
    <row r="163" spans="1:17" x14ac:dyDescent="0.25">
      <c r="A163" s="7"/>
      <c r="B163" s="38"/>
      <c r="C163" s="38"/>
      <c r="D163" s="38"/>
      <c r="E163" s="18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52"/>
    </row>
    <row r="164" spans="1:17" x14ac:dyDescent="0.25">
      <c r="A164" s="7"/>
      <c r="B164" s="38"/>
      <c r="C164" s="38"/>
      <c r="D164" s="38"/>
      <c r="E164" s="18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52"/>
    </row>
    <row r="165" spans="1:17" x14ac:dyDescent="0.25">
      <c r="A165" s="7"/>
      <c r="B165" s="15"/>
      <c r="C165" s="15"/>
      <c r="D165" s="15"/>
      <c r="E165" s="11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52"/>
    </row>
    <row r="166" spans="1:17" x14ac:dyDescent="0.25">
      <c r="A166" s="7"/>
      <c r="B166" s="15"/>
      <c r="C166" s="15"/>
      <c r="D166" s="15"/>
      <c r="E166" s="11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52"/>
    </row>
    <row r="167" spans="1:17" x14ac:dyDescent="0.25">
      <c r="A167" s="7"/>
      <c r="B167" s="38"/>
      <c r="C167" s="38"/>
      <c r="D167" s="38"/>
      <c r="E167" s="18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52"/>
    </row>
    <row r="168" spans="1:17" x14ac:dyDescent="0.25">
      <c r="A168" s="7"/>
      <c r="B168" s="38"/>
      <c r="C168" s="38"/>
      <c r="D168" s="38"/>
      <c r="E168" s="18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52"/>
    </row>
    <row r="169" spans="1:17" x14ac:dyDescent="0.25">
      <c r="A169" s="7"/>
      <c r="B169" s="38"/>
      <c r="C169" s="38"/>
      <c r="D169" s="38"/>
      <c r="E169" s="18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52"/>
    </row>
    <row r="170" spans="1:17" x14ac:dyDescent="0.25">
      <c r="A170" s="7"/>
      <c r="B170" s="38"/>
      <c r="C170" s="38"/>
      <c r="D170" s="38"/>
      <c r="E170" s="18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52"/>
    </row>
    <row r="171" spans="1:17" x14ac:dyDescent="0.25">
      <c r="A171" s="7"/>
      <c r="B171" s="38"/>
      <c r="C171" s="38"/>
      <c r="D171" s="38"/>
      <c r="E171" s="18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52"/>
    </row>
    <row r="172" spans="1:17" x14ac:dyDescent="0.25">
      <c r="A172" s="7"/>
      <c r="B172" s="38"/>
      <c r="C172" s="38"/>
      <c r="D172" s="38"/>
      <c r="E172" s="18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52"/>
    </row>
    <row r="173" spans="1:17" x14ac:dyDescent="0.25">
      <c r="A173" s="7"/>
      <c r="B173" s="38"/>
      <c r="C173" s="38"/>
      <c r="D173" s="38"/>
      <c r="E173" s="18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52"/>
    </row>
    <row r="174" spans="1:17" x14ac:dyDescent="0.25">
      <c r="A174" s="7"/>
      <c r="B174" s="38"/>
      <c r="C174" s="38"/>
      <c r="D174" s="38"/>
      <c r="E174" s="18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52"/>
    </row>
    <row r="175" spans="1:17" x14ac:dyDescent="0.25">
      <c r="A175" s="7"/>
      <c r="B175" s="38"/>
      <c r="C175" s="38"/>
      <c r="D175" s="38"/>
      <c r="E175" s="18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52"/>
    </row>
    <row r="176" spans="1:17" x14ac:dyDescent="0.25">
      <c r="A176" s="7"/>
      <c r="B176" s="38"/>
      <c r="C176" s="38"/>
      <c r="D176" s="38"/>
      <c r="E176" s="18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52"/>
    </row>
    <row r="177" spans="1:17" x14ac:dyDescent="0.25">
      <c r="A177" s="7"/>
      <c r="B177" s="38"/>
      <c r="C177" s="38"/>
      <c r="D177" s="38"/>
      <c r="E177" s="18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52"/>
    </row>
    <row r="178" spans="1:17" x14ac:dyDescent="0.25">
      <c r="A178" s="7"/>
      <c r="B178" s="38"/>
      <c r="C178" s="38"/>
      <c r="D178" s="38"/>
      <c r="E178" s="18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52"/>
    </row>
    <row r="179" spans="1:17" x14ac:dyDescent="0.25">
      <c r="A179" s="7"/>
      <c r="B179" s="38"/>
      <c r="C179" s="38"/>
      <c r="D179" s="38"/>
      <c r="E179" s="18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52"/>
    </row>
    <row r="180" spans="1:17" x14ac:dyDescent="0.25">
      <c r="A180" s="7"/>
      <c r="B180" s="38"/>
      <c r="C180" s="38"/>
      <c r="D180" s="38"/>
      <c r="E180" s="18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52"/>
    </row>
    <row r="181" spans="1:17" x14ac:dyDescent="0.25">
      <c r="A181" s="7"/>
      <c r="B181" s="38"/>
      <c r="C181" s="38"/>
      <c r="D181" s="38"/>
      <c r="E181" s="18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52"/>
    </row>
    <row r="182" spans="1:17" x14ac:dyDescent="0.25">
      <c r="A182" s="7"/>
      <c r="B182" s="38"/>
      <c r="C182" s="38"/>
      <c r="D182" s="38"/>
      <c r="E182" s="18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52"/>
    </row>
    <row r="183" spans="1:17" x14ac:dyDescent="0.25">
      <c r="A183" s="7"/>
      <c r="B183" s="38"/>
      <c r="C183" s="38"/>
      <c r="D183" s="38"/>
      <c r="E183" s="18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52"/>
    </row>
    <row r="184" spans="1:17" x14ac:dyDescent="0.25">
      <c r="A184" s="7"/>
      <c r="B184" s="38"/>
      <c r="C184" s="38"/>
      <c r="D184" s="38"/>
      <c r="E184" s="18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52"/>
    </row>
    <row r="185" spans="1:17" x14ac:dyDescent="0.25">
      <c r="A185" s="7"/>
      <c r="B185" s="38"/>
      <c r="C185" s="38"/>
      <c r="D185" s="38"/>
      <c r="E185" s="18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52"/>
    </row>
    <row r="186" spans="1:17" x14ac:dyDescent="0.25">
      <c r="A186" s="7"/>
      <c r="B186" s="38"/>
      <c r="C186" s="38"/>
      <c r="D186" s="38"/>
      <c r="E186" s="18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52"/>
    </row>
    <row r="187" spans="1:17" x14ac:dyDescent="0.25">
      <c r="A187" s="7"/>
      <c r="B187" s="38"/>
      <c r="C187" s="38"/>
      <c r="D187" s="38"/>
      <c r="E187" s="18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52"/>
    </row>
    <row r="188" spans="1:17" x14ac:dyDescent="0.25">
      <c r="A188" s="7"/>
      <c r="B188" s="38"/>
      <c r="C188" s="38"/>
      <c r="D188" s="38"/>
      <c r="E188" s="18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52"/>
    </row>
    <row r="189" spans="1:17" x14ac:dyDescent="0.25">
      <c r="A189" s="7"/>
      <c r="B189" s="38"/>
      <c r="C189" s="38"/>
      <c r="D189" s="38"/>
      <c r="E189" s="18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52"/>
    </row>
    <row r="190" spans="1:17" x14ac:dyDescent="0.25">
      <c r="A190" s="7"/>
      <c r="B190" s="38"/>
      <c r="C190" s="38"/>
      <c r="D190" s="38"/>
      <c r="E190" s="18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52"/>
    </row>
    <row r="191" spans="1:17" x14ac:dyDescent="0.25">
      <c r="A191" s="7"/>
      <c r="B191" s="38"/>
      <c r="C191" s="38"/>
      <c r="D191" s="38"/>
      <c r="E191" s="18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52"/>
    </row>
    <row r="192" spans="1:17" x14ac:dyDescent="0.25">
      <c r="A192" s="7"/>
      <c r="B192" s="38"/>
      <c r="C192" s="38"/>
      <c r="D192" s="38"/>
      <c r="E192" s="18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52"/>
    </row>
    <row r="193" spans="1:17" x14ac:dyDescent="0.25">
      <c r="A193" s="7"/>
      <c r="B193" s="38"/>
      <c r="C193" s="38"/>
      <c r="D193" s="38"/>
      <c r="E193" s="18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52"/>
    </row>
    <row r="194" spans="1:17" x14ac:dyDescent="0.25">
      <c r="A194" s="7"/>
      <c r="B194" s="38"/>
      <c r="C194" s="38"/>
      <c r="D194" s="38"/>
      <c r="E194" s="18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52"/>
    </row>
    <row r="195" spans="1:17" x14ac:dyDescent="0.25">
      <c r="A195" s="7"/>
      <c r="B195" s="38"/>
      <c r="C195" s="38"/>
      <c r="D195" s="38"/>
      <c r="E195" s="18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52"/>
    </row>
    <row r="196" spans="1:17" x14ac:dyDescent="0.25">
      <c r="A196" s="7"/>
      <c r="B196" s="38"/>
      <c r="C196" s="38"/>
      <c r="D196" s="38"/>
      <c r="E196" s="18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52"/>
    </row>
    <row r="197" spans="1:17" x14ac:dyDescent="0.25">
      <c r="A197" s="7"/>
      <c r="B197" s="38"/>
      <c r="C197" s="38"/>
      <c r="D197" s="38"/>
      <c r="E197" s="18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52"/>
    </row>
    <row r="198" spans="1:17" x14ac:dyDescent="0.25">
      <c r="A198" s="7"/>
      <c r="B198" s="38"/>
      <c r="C198" s="38"/>
      <c r="D198" s="38"/>
      <c r="E198" s="18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52"/>
    </row>
    <row r="199" spans="1:17" x14ac:dyDescent="0.25">
      <c r="A199" s="7"/>
      <c r="B199" s="38"/>
      <c r="C199" s="38"/>
      <c r="D199" s="38"/>
      <c r="E199" s="18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52"/>
    </row>
    <row r="200" spans="1:17" x14ac:dyDescent="0.25">
      <c r="A200" s="7"/>
      <c r="B200" s="38"/>
      <c r="C200" s="38"/>
      <c r="D200" s="38"/>
      <c r="E200" s="18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52"/>
    </row>
    <row r="201" spans="1:17" x14ac:dyDescent="0.25">
      <c r="A201" s="7"/>
      <c r="B201" s="38"/>
      <c r="C201" s="38"/>
      <c r="D201" s="38"/>
      <c r="E201" s="18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52"/>
    </row>
    <row r="202" spans="1:17" x14ac:dyDescent="0.25">
      <c r="A202" s="7"/>
      <c r="B202" s="38"/>
      <c r="C202" s="38"/>
      <c r="D202" s="38"/>
      <c r="E202" s="18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52"/>
    </row>
    <row r="203" spans="1:17" x14ac:dyDescent="0.25">
      <c r="A203" s="7"/>
      <c r="B203" s="38"/>
      <c r="C203" s="38"/>
      <c r="D203" s="38"/>
      <c r="E203" s="18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52"/>
    </row>
    <row r="204" spans="1:17" x14ac:dyDescent="0.25">
      <c r="A204" s="7"/>
      <c r="B204" s="38"/>
      <c r="C204" s="38"/>
      <c r="D204" s="38"/>
      <c r="E204" s="18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52"/>
    </row>
    <row r="205" spans="1:17" x14ac:dyDescent="0.25">
      <c r="A205" s="7"/>
      <c r="B205" s="38"/>
      <c r="C205" s="38"/>
      <c r="D205" s="38"/>
      <c r="E205" s="18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52"/>
    </row>
    <row r="206" spans="1:17" x14ac:dyDescent="0.25">
      <c r="A206" s="7"/>
      <c r="B206" s="38"/>
      <c r="C206" s="38"/>
      <c r="D206" s="38"/>
      <c r="E206" s="18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52"/>
    </row>
    <row r="207" spans="1:17" x14ac:dyDescent="0.25">
      <c r="A207" s="7"/>
      <c r="B207" s="38"/>
      <c r="C207" s="38"/>
      <c r="D207" s="38"/>
      <c r="E207" s="18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52"/>
    </row>
    <row r="208" spans="1:17" x14ac:dyDescent="0.25">
      <c r="A208" s="7"/>
      <c r="B208" s="38"/>
      <c r="C208" s="38"/>
      <c r="D208" s="38"/>
      <c r="E208" s="18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52"/>
    </row>
    <row r="209" spans="1:17" x14ac:dyDescent="0.25">
      <c r="A209" s="7"/>
      <c r="B209" s="38"/>
      <c r="C209" s="38"/>
      <c r="D209" s="38"/>
      <c r="E209" s="18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52"/>
    </row>
    <row r="210" spans="1:17" x14ac:dyDescent="0.25">
      <c r="A210" s="7"/>
      <c r="B210" s="38"/>
      <c r="C210" s="38"/>
      <c r="D210" s="38"/>
      <c r="E210" s="18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52"/>
    </row>
    <row r="211" spans="1:17" x14ac:dyDescent="0.25">
      <c r="A211" s="7"/>
      <c r="B211" s="38"/>
      <c r="C211" s="38"/>
      <c r="D211" s="38"/>
      <c r="E211" s="18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52"/>
    </row>
    <row r="212" spans="1:17" x14ac:dyDescent="0.25">
      <c r="A212" s="7"/>
      <c r="B212" s="38"/>
      <c r="C212" s="38"/>
      <c r="D212" s="38"/>
      <c r="E212" s="18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52"/>
    </row>
    <row r="213" spans="1:17" x14ac:dyDescent="0.25">
      <c r="A213" s="7"/>
      <c r="B213" s="38"/>
      <c r="C213" s="38"/>
      <c r="D213" s="38"/>
      <c r="E213" s="18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52"/>
    </row>
    <row r="214" spans="1:17" x14ac:dyDescent="0.25">
      <c r="A214" s="7"/>
      <c r="B214" s="38"/>
      <c r="C214" s="38"/>
      <c r="D214" s="38"/>
      <c r="E214" s="18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52"/>
    </row>
    <row r="215" spans="1:17" x14ac:dyDescent="0.25">
      <c r="A215" s="7"/>
      <c r="B215" s="38"/>
      <c r="C215" s="38"/>
      <c r="D215" s="38"/>
      <c r="E215" s="18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52"/>
    </row>
    <row r="216" spans="1:17" x14ac:dyDescent="0.25">
      <c r="A216" s="7"/>
      <c r="B216" s="38"/>
      <c r="C216" s="38"/>
      <c r="D216" s="38"/>
      <c r="E216" s="18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52"/>
    </row>
    <row r="217" spans="1:17" x14ac:dyDescent="0.25">
      <c r="A217" s="7"/>
      <c r="B217" s="38"/>
      <c r="C217" s="38"/>
      <c r="D217" s="38"/>
      <c r="E217" s="18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52"/>
    </row>
    <row r="218" spans="1:17" x14ac:dyDescent="0.25">
      <c r="A218" s="7"/>
      <c r="B218" s="38"/>
      <c r="C218" s="38"/>
      <c r="D218" s="38"/>
      <c r="E218" s="18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52"/>
    </row>
    <row r="219" spans="1:17" x14ac:dyDescent="0.25">
      <c r="A219" s="7"/>
      <c r="B219" s="38"/>
      <c r="C219" s="38"/>
      <c r="D219" s="38"/>
      <c r="E219" s="18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52"/>
    </row>
    <row r="220" spans="1:17" x14ac:dyDescent="0.25">
      <c r="A220" s="7"/>
      <c r="B220" s="38"/>
      <c r="C220" s="38"/>
      <c r="D220" s="38"/>
      <c r="E220" s="18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52"/>
    </row>
    <row r="221" spans="1:17" x14ac:dyDescent="0.25">
      <c r="A221" s="7"/>
      <c r="B221" s="38"/>
      <c r="C221" s="38"/>
      <c r="D221" s="38"/>
      <c r="E221" s="18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52"/>
    </row>
    <row r="222" spans="1:17" x14ac:dyDescent="0.25">
      <c r="A222" s="7"/>
      <c r="B222" s="38"/>
      <c r="C222" s="38"/>
      <c r="D222" s="38"/>
      <c r="E222" s="18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52"/>
    </row>
    <row r="223" spans="1:17" x14ac:dyDescent="0.25">
      <c r="A223" s="7"/>
      <c r="B223" s="15"/>
      <c r="C223" s="15"/>
      <c r="D223" s="15"/>
      <c r="E223" s="11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52"/>
    </row>
    <row r="224" spans="1:17" x14ac:dyDescent="0.25">
      <c r="A224" s="7"/>
      <c r="B224" s="15"/>
      <c r="C224" s="15"/>
      <c r="D224" s="15"/>
      <c r="E224" s="11"/>
      <c r="F224" s="42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52"/>
    </row>
    <row r="225" spans="1:17" x14ac:dyDescent="0.25">
      <c r="A225" s="7"/>
      <c r="B225" s="15"/>
      <c r="C225" s="15"/>
      <c r="D225" s="15"/>
      <c r="E225" s="11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52"/>
    </row>
    <row r="226" spans="1:17" x14ac:dyDescent="0.25">
      <c r="A226" s="7"/>
      <c r="B226" s="15"/>
      <c r="C226" s="15"/>
      <c r="D226" s="15"/>
      <c r="E226" s="11"/>
      <c r="F226" s="42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52"/>
    </row>
    <row r="227" spans="1:17" x14ac:dyDescent="0.25">
      <c r="A227" s="7"/>
      <c r="B227" s="15"/>
      <c r="C227" s="15"/>
      <c r="D227" s="15"/>
      <c r="E227" s="11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52"/>
    </row>
    <row r="228" spans="1:17" x14ac:dyDescent="0.25">
      <c r="A228" s="7"/>
      <c r="B228" s="15"/>
      <c r="C228" s="15"/>
      <c r="D228" s="15"/>
      <c r="E228" s="11"/>
      <c r="F228" s="42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52"/>
    </row>
    <row r="229" spans="1:17" x14ac:dyDescent="0.25">
      <c r="A229" s="7"/>
      <c r="B229" s="15"/>
      <c r="C229" s="15"/>
      <c r="D229" s="15"/>
      <c r="E229" s="11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52"/>
    </row>
    <row r="230" spans="1:17" x14ac:dyDescent="0.25">
      <c r="A230" s="7"/>
      <c r="B230" s="15"/>
      <c r="C230" s="15"/>
      <c r="D230" s="15"/>
      <c r="E230" s="11"/>
      <c r="F230" s="42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52"/>
    </row>
    <row r="231" spans="1:17" x14ac:dyDescent="0.25">
      <c r="A231" s="7"/>
      <c r="B231" s="15"/>
      <c r="C231" s="15"/>
      <c r="D231" s="15"/>
      <c r="E231" s="11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52"/>
    </row>
    <row r="232" spans="1:17" x14ac:dyDescent="0.25">
      <c r="A232" s="7"/>
      <c r="B232" s="15"/>
      <c r="C232" s="15"/>
      <c r="D232" s="15"/>
      <c r="E232" s="11"/>
      <c r="F232" s="42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52"/>
    </row>
    <row r="233" spans="1:17" x14ac:dyDescent="0.25">
      <c r="A233" s="7"/>
      <c r="B233" s="15"/>
      <c r="C233" s="15"/>
      <c r="D233" s="15"/>
      <c r="E233" s="11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52"/>
    </row>
    <row r="234" spans="1:17" x14ac:dyDescent="0.25">
      <c r="A234" s="7"/>
      <c r="B234" s="15"/>
      <c r="C234" s="15"/>
      <c r="D234" s="15"/>
      <c r="E234" s="11"/>
      <c r="F234" s="42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52"/>
    </row>
    <row r="235" spans="1:17" x14ac:dyDescent="0.25">
      <c r="A235" s="7"/>
      <c r="B235" s="15"/>
      <c r="C235" s="15"/>
      <c r="D235" s="15"/>
      <c r="E235" s="11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52"/>
    </row>
    <row r="236" spans="1:17" x14ac:dyDescent="0.25">
      <c r="A236" s="7"/>
      <c r="B236" s="15"/>
      <c r="C236" s="15"/>
      <c r="D236" s="15"/>
      <c r="E236" s="11"/>
      <c r="F236" s="42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52"/>
    </row>
    <row r="237" spans="1:17" x14ac:dyDescent="0.25">
      <c r="A237" s="7"/>
      <c r="B237" s="15"/>
      <c r="C237" s="15"/>
      <c r="D237" s="15"/>
      <c r="E237" s="11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52"/>
    </row>
    <row r="238" spans="1:17" x14ac:dyDescent="0.25">
      <c r="A238" s="7"/>
      <c r="B238" s="15"/>
      <c r="C238" s="15"/>
      <c r="D238" s="15"/>
      <c r="E238" s="11"/>
      <c r="F238" s="42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52"/>
    </row>
    <row r="239" spans="1:17" x14ac:dyDescent="0.25">
      <c r="A239" s="7"/>
      <c r="B239" s="15"/>
      <c r="C239" s="15"/>
      <c r="D239" s="15"/>
      <c r="E239" s="11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52"/>
    </row>
    <row r="240" spans="1:17" x14ac:dyDescent="0.25">
      <c r="A240" s="7"/>
      <c r="B240" s="15"/>
      <c r="C240" s="15"/>
      <c r="D240" s="15"/>
      <c r="E240" s="11"/>
      <c r="F240" s="42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52"/>
    </row>
    <row r="241" spans="1:17" x14ac:dyDescent="0.25">
      <c r="A241" s="7"/>
      <c r="B241" s="15"/>
      <c r="C241" s="15"/>
      <c r="D241" s="15"/>
      <c r="E241" s="11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52"/>
    </row>
    <row r="242" spans="1:17" x14ac:dyDescent="0.25">
      <c r="A242" s="7"/>
      <c r="B242" s="15"/>
      <c r="C242" s="15"/>
      <c r="D242" s="15"/>
      <c r="E242" s="11"/>
      <c r="F242" s="42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52"/>
    </row>
    <row r="243" spans="1:17" x14ac:dyDescent="0.25">
      <c r="A243" s="7"/>
      <c r="B243" s="15"/>
      <c r="C243" s="15"/>
      <c r="D243" s="15"/>
      <c r="E243" s="11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52"/>
    </row>
    <row r="244" spans="1:17" x14ac:dyDescent="0.25">
      <c r="A244" s="7"/>
      <c r="B244" s="15"/>
      <c r="C244" s="15"/>
      <c r="D244" s="15"/>
      <c r="E244" s="11"/>
      <c r="F244" s="42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52"/>
    </row>
    <row r="245" spans="1:17" x14ac:dyDescent="0.25">
      <c r="A245" s="7"/>
      <c r="B245" s="15"/>
      <c r="C245" s="15"/>
      <c r="D245" s="15"/>
      <c r="E245" s="11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52"/>
    </row>
    <row r="246" spans="1:17" x14ac:dyDescent="0.25">
      <c r="A246" s="7"/>
      <c r="B246" s="15"/>
      <c r="C246" s="15"/>
      <c r="D246" s="15"/>
      <c r="E246" s="11"/>
      <c r="F246" s="42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52"/>
    </row>
    <row r="247" spans="1:17" x14ac:dyDescent="0.25">
      <c r="A247" s="7"/>
      <c r="B247" s="15"/>
      <c r="C247" s="15"/>
      <c r="D247" s="15"/>
      <c r="E247" s="11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52"/>
    </row>
    <row r="248" spans="1:17" x14ac:dyDescent="0.25">
      <c r="A248" s="7"/>
      <c r="B248" s="15"/>
      <c r="C248" s="15"/>
      <c r="D248" s="15"/>
      <c r="E248" s="11"/>
      <c r="F248" s="42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52"/>
    </row>
    <row r="249" spans="1:17" x14ac:dyDescent="0.25">
      <c r="A249" s="7"/>
      <c r="B249" s="15"/>
      <c r="C249" s="15"/>
      <c r="D249" s="15"/>
      <c r="E249" s="11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52"/>
    </row>
    <row r="250" spans="1:17" x14ac:dyDescent="0.25">
      <c r="A250" s="7"/>
      <c r="B250" s="15"/>
      <c r="C250" s="15"/>
      <c r="D250" s="15"/>
      <c r="E250" s="11"/>
      <c r="F250" s="42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52"/>
    </row>
    <row r="251" spans="1:17" x14ac:dyDescent="0.25">
      <c r="A251" s="7"/>
      <c r="B251" s="15"/>
      <c r="C251" s="15"/>
      <c r="D251" s="15"/>
      <c r="E251" s="11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52"/>
    </row>
    <row r="252" spans="1:17" x14ac:dyDescent="0.25">
      <c r="A252" s="7"/>
      <c r="B252" s="15"/>
      <c r="C252" s="15"/>
      <c r="D252" s="15"/>
      <c r="E252" s="11"/>
      <c r="F252" s="42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52"/>
    </row>
    <row r="253" spans="1:17" x14ac:dyDescent="0.25">
      <c r="A253" s="7"/>
      <c r="B253" s="15"/>
      <c r="C253" s="15"/>
      <c r="D253" s="15"/>
      <c r="E253" s="11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52"/>
    </row>
    <row r="254" spans="1:17" x14ac:dyDescent="0.25">
      <c r="A254" s="7"/>
      <c r="B254" s="15"/>
      <c r="C254" s="15"/>
      <c r="D254" s="15"/>
      <c r="E254" s="11"/>
      <c r="F254" s="42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52"/>
    </row>
    <row r="255" spans="1:17" x14ac:dyDescent="0.25">
      <c r="A255" s="7"/>
      <c r="B255" s="15"/>
      <c r="C255" s="15"/>
      <c r="D255" s="15"/>
      <c r="E255" s="11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52"/>
    </row>
    <row r="256" spans="1:17" x14ac:dyDescent="0.25">
      <c r="A256" s="7"/>
      <c r="B256" s="15"/>
      <c r="C256" s="15"/>
      <c r="D256" s="15"/>
      <c r="E256" s="11"/>
      <c r="F256" s="45"/>
      <c r="G256" s="45"/>
      <c r="H256" s="45"/>
      <c r="I256" s="45"/>
      <c r="J256" s="42"/>
      <c r="K256" s="42"/>
      <c r="L256" s="42"/>
      <c r="M256" s="42"/>
      <c r="N256" s="42"/>
      <c r="O256" s="42"/>
      <c r="P256" s="42"/>
      <c r="Q256" s="52"/>
    </row>
    <row r="257" spans="1:17" x14ac:dyDescent="0.25">
      <c r="A257" s="7"/>
      <c r="B257" s="15"/>
      <c r="C257" s="15"/>
      <c r="D257" s="15"/>
      <c r="E257" s="11"/>
      <c r="F257" s="45"/>
      <c r="G257" s="45"/>
      <c r="H257" s="45"/>
      <c r="I257" s="45"/>
      <c r="J257" s="42"/>
      <c r="K257" s="42"/>
      <c r="L257" s="42"/>
      <c r="M257" s="42"/>
      <c r="N257" s="42"/>
      <c r="O257" s="42"/>
      <c r="P257" s="42"/>
      <c r="Q257" s="52"/>
    </row>
    <row r="258" spans="1:17" x14ac:dyDescent="0.25">
      <c r="A258" s="7"/>
      <c r="B258" s="15"/>
      <c r="C258" s="15"/>
      <c r="D258" s="15"/>
      <c r="E258" s="11"/>
      <c r="F258" s="45"/>
      <c r="G258" s="45"/>
      <c r="H258" s="45"/>
      <c r="I258" s="45"/>
      <c r="J258" s="42"/>
      <c r="K258" s="42"/>
      <c r="L258" s="42"/>
      <c r="M258" s="42"/>
      <c r="N258" s="42"/>
      <c r="O258" s="42"/>
      <c r="P258" s="42"/>
      <c r="Q258" s="52"/>
    </row>
    <row r="259" spans="1:17" x14ac:dyDescent="0.25">
      <c r="A259" s="7"/>
      <c r="B259" s="15"/>
      <c r="C259" s="15"/>
      <c r="D259" s="15"/>
      <c r="E259" s="11"/>
      <c r="F259" s="45"/>
      <c r="G259" s="45"/>
      <c r="H259" s="45"/>
      <c r="I259" s="45"/>
      <c r="J259" s="42"/>
      <c r="K259" s="42"/>
      <c r="L259" s="42"/>
      <c r="M259" s="42"/>
      <c r="N259" s="42"/>
      <c r="O259" s="42"/>
      <c r="P259" s="42"/>
      <c r="Q259" s="52"/>
    </row>
    <row r="260" spans="1:17" x14ac:dyDescent="0.25">
      <c r="A260" s="7"/>
      <c r="B260" s="15"/>
      <c r="C260" s="15"/>
      <c r="D260" s="15"/>
      <c r="E260" s="11"/>
      <c r="F260" s="45"/>
      <c r="G260" s="45"/>
      <c r="H260" s="45"/>
      <c r="I260" s="45"/>
      <c r="J260" s="42"/>
      <c r="K260" s="42"/>
      <c r="L260" s="42"/>
      <c r="M260" s="42"/>
      <c r="N260" s="42"/>
      <c r="O260" s="42"/>
      <c r="P260" s="42"/>
      <c r="Q260" s="52"/>
    </row>
    <row r="261" spans="1:17" x14ac:dyDescent="0.25">
      <c r="A261" s="7"/>
      <c r="B261" s="15"/>
      <c r="C261" s="15"/>
      <c r="D261" s="15"/>
      <c r="E261" s="11"/>
      <c r="F261" s="45"/>
      <c r="G261" s="45"/>
      <c r="H261" s="45"/>
      <c r="I261" s="45"/>
      <c r="J261" s="42"/>
      <c r="K261" s="42"/>
      <c r="L261" s="42"/>
      <c r="M261" s="42"/>
      <c r="N261" s="42"/>
      <c r="O261" s="42"/>
      <c r="P261" s="42"/>
      <c r="Q261" s="52"/>
    </row>
    <row r="262" spans="1:17" x14ac:dyDescent="0.25">
      <c r="A262" s="7"/>
      <c r="B262" s="15"/>
      <c r="C262" s="15"/>
      <c r="D262" s="15"/>
      <c r="E262" s="11"/>
      <c r="F262" s="45"/>
      <c r="G262" s="45"/>
      <c r="H262" s="45"/>
      <c r="I262" s="45"/>
      <c r="J262" s="42"/>
      <c r="K262" s="42"/>
      <c r="L262" s="42"/>
      <c r="M262" s="42"/>
      <c r="N262" s="42"/>
      <c r="O262" s="42"/>
      <c r="P262" s="42"/>
      <c r="Q262" s="52"/>
    </row>
    <row r="263" spans="1:17" x14ac:dyDescent="0.25">
      <c r="A263" s="7"/>
      <c r="B263" s="15"/>
      <c r="C263" s="15"/>
      <c r="D263" s="15"/>
      <c r="E263" s="11"/>
      <c r="F263" s="45"/>
      <c r="G263" s="45"/>
      <c r="H263" s="45"/>
      <c r="I263" s="45"/>
      <c r="J263" s="42"/>
      <c r="K263" s="42"/>
      <c r="L263" s="42"/>
      <c r="M263" s="42"/>
      <c r="N263" s="42"/>
      <c r="O263" s="42"/>
      <c r="P263" s="42"/>
      <c r="Q263" s="52"/>
    </row>
    <row r="264" spans="1:17" x14ac:dyDescent="0.25">
      <c r="A264" s="7"/>
      <c r="B264" s="15"/>
      <c r="C264" s="15"/>
      <c r="D264" s="15"/>
      <c r="E264" s="11"/>
      <c r="F264" s="45"/>
      <c r="G264" s="45"/>
      <c r="H264" s="45"/>
      <c r="I264" s="45"/>
      <c r="J264" s="42"/>
      <c r="K264" s="42"/>
      <c r="L264" s="42"/>
      <c r="M264" s="42"/>
      <c r="N264" s="42"/>
      <c r="O264" s="42"/>
      <c r="P264" s="42"/>
      <c r="Q264" s="52"/>
    </row>
    <row r="265" spans="1:17" x14ac:dyDescent="0.25">
      <c r="A265" s="7"/>
      <c r="B265" s="15"/>
      <c r="C265" s="15"/>
      <c r="D265" s="15"/>
      <c r="E265" s="11"/>
      <c r="F265" s="45"/>
      <c r="G265" s="45"/>
      <c r="H265" s="45"/>
      <c r="I265" s="45"/>
      <c r="J265" s="42"/>
      <c r="K265" s="42"/>
      <c r="L265" s="42"/>
      <c r="M265" s="42"/>
      <c r="N265" s="42"/>
      <c r="O265" s="42"/>
      <c r="P265" s="42"/>
      <c r="Q265" s="52"/>
    </row>
    <row r="266" spans="1:17" x14ac:dyDescent="0.25">
      <c r="A266" s="7"/>
      <c r="B266" s="15"/>
      <c r="C266" s="15"/>
      <c r="D266" s="15"/>
      <c r="E266" s="11"/>
      <c r="F266" s="45"/>
      <c r="G266" s="45"/>
      <c r="H266" s="45"/>
      <c r="I266" s="45"/>
      <c r="J266" s="42"/>
      <c r="K266" s="42"/>
      <c r="L266" s="42"/>
      <c r="M266" s="42"/>
      <c r="N266" s="42"/>
      <c r="O266" s="42"/>
      <c r="P266" s="42"/>
      <c r="Q266" s="52"/>
    </row>
    <row r="267" spans="1:17" x14ac:dyDescent="0.25">
      <c r="A267" s="7"/>
      <c r="B267" s="15"/>
      <c r="C267" s="15"/>
      <c r="D267" s="15"/>
      <c r="E267" s="11"/>
      <c r="F267" s="45"/>
      <c r="G267" s="45"/>
      <c r="H267" s="45"/>
      <c r="I267" s="45"/>
      <c r="J267" s="42"/>
      <c r="K267" s="42"/>
      <c r="L267" s="42"/>
      <c r="M267" s="42"/>
      <c r="N267" s="42"/>
      <c r="O267" s="42"/>
      <c r="P267" s="42"/>
      <c r="Q267" s="52"/>
    </row>
    <row r="268" spans="1:17" x14ac:dyDescent="0.25">
      <c r="A268" s="7"/>
      <c r="B268" s="15"/>
      <c r="C268" s="15"/>
      <c r="D268" s="15"/>
      <c r="E268" s="11"/>
      <c r="F268" s="45"/>
      <c r="G268" s="45"/>
      <c r="H268" s="45"/>
      <c r="I268" s="45"/>
      <c r="J268" s="42"/>
      <c r="K268" s="42"/>
      <c r="L268" s="42"/>
      <c r="M268" s="42"/>
      <c r="N268" s="42"/>
      <c r="O268" s="42"/>
      <c r="P268" s="42"/>
      <c r="Q268" s="52"/>
    </row>
    <row r="269" spans="1:17" x14ac:dyDescent="0.25">
      <c r="A269" s="7"/>
      <c r="B269" s="15"/>
      <c r="C269" s="15"/>
      <c r="D269" s="15"/>
      <c r="E269" s="11"/>
      <c r="F269" s="45"/>
      <c r="G269" s="45"/>
      <c r="H269" s="45"/>
      <c r="I269" s="45"/>
      <c r="J269" s="42"/>
      <c r="K269" s="42"/>
      <c r="L269" s="42"/>
      <c r="M269" s="42"/>
      <c r="N269" s="42"/>
      <c r="O269" s="42"/>
      <c r="P269" s="42"/>
      <c r="Q269" s="52"/>
    </row>
    <row r="270" spans="1:17" x14ac:dyDescent="0.25">
      <c r="A270" s="7"/>
      <c r="B270" s="15"/>
      <c r="C270" s="15"/>
      <c r="D270" s="15"/>
      <c r="E270" s="11"/>
      <c r="F270" s="45"/>
      <c r="G270" s="45"/>
      <c r="H270" s="45"/>
      <c r="I270" s="45"/>
      <c r="J270" s="42"/>
      <c r="K270" s="42"/>
      <c r="L270" s="42"/>
      <c r="M270" s="42"/>
      <c r="N270" s="42"/>
      <c r="O270" s="42"/>
      <c r="P270" s="42"/>
      <c r="Q270" s="52"/>
    </row>
    <row r="271" spans="1:17" x14ac:dyDescent="0.25">
      <c r="A271" s="7"/>
      <c r="B271" s="15"/>
      <c r="C271" s="15"/>
      <c r="D271" s="15"/>
      <c r="E271" s="11"/>
      <c r="F271" s="45"/>
      <c r="G271" s="45"/>
      <c r="H271" s="45"/>
      <c r="I271" s="45"/>
      <c r="J271" s="42"/>
      <c r="K271" s="42"/>
      <c r="L271" s="42"/>
      <c r="M271" s="42"/>
      <c r="N271" s="42"/>
      <c r="O271" s="42"/>
      <c r="P271" s="42"/>
      <c r="Q271" s="52"/>
    </row>
    <row r="272" spans="1:17" x14ac:dyDescent="0.25">
      <c r="A272" s="7"/>
      <c r="B272" s="15"/>
      <c r="C272" s="15"/>
      <c r="D272" s="15"/>
      <c r="E272" s="11"/>
      <c r="F272" s="45"/>
      <c r="G272" s="45"/>
      <c r="H272" s="45"/>
      <c r="I272" s="45"/>
      <c r="J272" s="42"/>
      <c r="K272" s="42"/>
      <c r="L272" s="42"/>
      <c r="M272" s="42"/>
      <c r="N272" s="42"/>
      <c r="O272" s="42"/>
      <c r="P272" s="42"/>
      <c r="Q272" s="52"/>
    </row>
    <row r="273" spans="1:17" x14ac:dyDescent="0.25">
      <c r="A273" s="7"/>
      <c r="B273" s="15"/>
      <c r="C273" s="15"/>
      <c r="D273" s="15"/>
      <c r="E273" s="11"/>
      <c r="F273" s="45"/>
      <c r="G273" s="45"/>
      <c r="H273" s="45"/>
      <c r="I273" s="45"/>
      <c r="J273" s="42"/>
      <c r="K273" s="42"/>
      <c r="L273" s="42"/>
      <c r="M273" s="42"/>
      <c r="N273" s="42"/>
      <c r="O273" s="42"/>
      <c r="P273" s="42"/>
      <c r="Q273" s="52"/>
    </row>
    <row r="274" spans="1:17" x14ac:dyDescent="0.25">
      <c r="A274" s="7"/>
      <c r="B274" s="15"/>
      <c r="C274" s="15"/>
      <c r="D274" s="15"/>
      <c r="E274" s="11"/>
      <c r="F274" s="45"/>
      <c r="G274" s="45"/>
      <c r="H274" s="45"/>
      <c r="I274" s="45"/>
      <c r="J274" s="42"/>
      <c r="K274" s="42"/>
      <c r="L274" s="42"/>
      <c r="M274" s="42"/>
      <c r="N274" s="42"/>
      <c r="O274" s="42"/>
      <c r="P274" s="42"/>
      <c r="Q274" s="52"/>
    </row>
    <row r="275" spans="1:17" x14ac:dyDescent="0.25">
      <c r="A275" s="7"/>
      <c r="B275" s="15"/>
      <c r="C275" s="15"/>
      <c r="D275" s="15"/>
      <c r="E275" s="11"/>
      <c r="F275" s="45"/>
      <c r="G275" s="45"/>
      <c r="H275" s="45"/>
      <c r="I275" s="45"/>
      <c r="J275" s="42"/>
      <c r="K275" s="42"/>
      <c r="L275" s="42"/>
      <c r="M275" s="42"/>
      <c r="N275" s="42"/>
      <c r="O275" s="42"/>
      <c r="P275" s="42"/>
      <c r="Q275" s="52"/>
    </row>
    <row r="276" spans="1:17" x14ac:dyDescent="0.25">
      <c r="A276" s="7"/>
      <c r="B276" s="15"/>
      <c r="C276" s="15"/>
      <c r="D276" s="15"/>
      <c r="E276" s="11"/>
      <c r="F276" s="45"/>
      <c r="G276" s="45"/>
      <c r="H276" s="45"/>
      <c r="I276" s="45"/>
      <c r="J276" s="42"/>
      <c r="K276" s="42"/>
      <c r="L276" s="42"/>
      <c r="M276" s="42"/>
      <c r="N276" s="42"/>
      <c r="O276" s="42"/>
      <c r="P276" s="42"/>
      <c r="Q276" s="52"/>
    </row>
    <row r="277" spans="1:17" x14ac:dyDescent="0.25">
      <c r="A277" s="7"/>
      <c r="B277" s="15"/>
      <c r="C277" s="15"/>
      <c r="D277" s="15"/>
      <c r="E277" s="11"/>
      <c r="F277" s="45"/>
      <c r="G277" s="45"/>
      <c r="H277" s="45"/>
      <c r="I277" s="45"/>
      <c r="J277" s="42"/>
      <c r="K277" s="42"/>
      <c r="L277" s="42"/>
      <c r="M277" s="42"/>
      <c r="N277" s="42"/>
      <c r="O277" s="42"/>
      <c r="P277" s="42"/>
      <c r="Q277" s="52"/>
    </row>
    <row r="278" spans="1:17" x14ac:dyDescent="0.25">
      <c r="A278" s="7"/>
      <c r="B278" s="15"/>
      <c r="C278" s="15"/>
      <c r="D278" s="15"/>
      <c r="E278" s="11"/>
      <c r="F278" s="45"/>
      <c r="G278" s="45"/>
      <c r="H278" s="45"/>
      <c r="I278" s="45"/>
      <c r="J278" s="42"/>
      <c r="K278" s="42"/>
      <c r="L278" s="42"/>
      <c r="M278" s="42"/>
      <c r="N278" s="42"/>
      <c r="O278" s="42"/>
      <c r="P278" s="42"/>
      <c r="Q278" s="52"/>
    </row>
    <row r="279" spans="1:17" x14ac:dyDescent="0.25">
      <c r="A279" s="7"/>
      <c r="B279" s="15"/>
      <c r="C279" s="15"/>
      <c r="D279" s="15"/>
      <c r="E279" s="11"/>
      <c r="F279" s="45"/>
      <c r="G279" s="45"/>
      <c r="H279" s="45"/>
      <c r="I279" s="45"/>
      <c r="J279" s="42"/>
      <c r="K279" s="42"/>
      <c r="L279" s="42"/>
      <c r="M279" s="42"/>
      <c r="N279" s="42"/>
      <c r="O279" s="42"/>
      <c r="P279" s="42"/>
      <c r="Q279" s="52"/>
    </row>
    <row r="280" spans="1:17" x14ac:dyDescent="0.25">
      <c r="A280" s="7"/>
      <c r="B280" s="15"/>
      <c r="C280" s="15"/>
      <c r="D280" s="15"/>
      <c r="E280" s="11"/>
      <c r="F280" s="45"/>
      <c r="G280" s="45"/>
      <c r="H280" s="45"/>
      <c r="I280" s="45"/>
      <c r="J280" s="42"/>
      <c r="K280" s="42"/>
      <c r="L280" s="42"/>
      <c r="M280" s="42"/>
      <c r="N280" s="42"/>
      <c r="O280" s="42"/>
      <c r="P280" s="42"/>
      <c r="Q280" s="52"/>
    </row>
    <row r="281" spans="1:17" x14ac:dyDescent="0.25">
      <c r="A281" s="7"/>
      <c r="B281" s="15"/>
      <c r="C281" s="15"/>
      <c r="D281" s="15"/>
      <c r="E281" s="11"/>
      <c r="F281" s="45"/>
      <c r="G281" s="45"/>
      <c r="H281" s="45"/>
      <c r="I281" s="45"/>
      <c r="J281" s="42"/>
      <c r="K281" s="42"/>
      <c r="L281" s="42"/>
      <c r="M281" s="42"/>
      <c r="N281" s="42"/>
      <c r="O281" s="42"/>
      <c r="P281" s="42"/>
      <c r="Q281" s="52"/>
    </row>
    <row r="282" spans="1:17" x14ac:dyDescent="0.25">
      <c r="A282" s="7"/>
      <c r="B282" s="15"/>
      <c r="C282" s="15"/>
      <c r="D282" s="15"/>
      <c r="E282" s="11"/>
      <c r="F282" s="45"/>
      <c r="G282" s="45"/>
      <c r="H282" s="45"/>
      <c r="I282" s="45"/>
      <c r="J282" s="42"/>
      <c r="K282" s="42"/>
      <c r="L282" s="42"/>
      <c r="M282" s="42"/>
      <c r="N282" s="42"/>
      <c r="O282" s="42"/>
      <c r="P282" s="42"/>
      <c r="Q282" s="52"/>
    </row>
    <row r="283" spans="1:17" x14ac:dyDescent="0.25">
      <c r="A283" s="7"/>
      <c r="B283" s="15"/>
      <c r="C283" s="15"/>
      <c r="D283" s="15"/>
      <c r="E283" s="11"/>
      <c r="F283" s="45"/>
      <c r="G283" s="45"/>
      <c r="H283" s="45"/>
      <c r="I283" s="45"/>
      <c r="J283" s="42"/>
      <c r="K283" s="42"/>
      <c r="L283" s="42"/>
      <c r="M283" s="42"/>
      <c r="N283" s="42"/>
      <c r="O283" s="42"/>
      <c r="P283" s="42"/>
      <c r="Q283" s="52"/>
    </row>
    <row r="284" spans="1:17" x14ac:dyDescent="0.25">
      <c r="A284" s="7"/>
      <c r="B284" s="15"/>
      <c r="C284" s="15"/>
      <c r="D284" s="15"/>
      <c r="E284" s="11"/>
      <c r="F284" s="45"/>
      <c r="G284" s="45"/>
      <c r="H284" s="45"/>
      <c r="I284" s="45"/>
      <c r="J284" s="42"/>
      <c r="K284" s="42"/>
      <c r="L284" s="42"/>
      <c r="M284" s="42"/>
      <c r="N284" s="42"/>
      <c r="O284" s="42"/>
      <c r="P284" s="42"/>
      <c r="Q284" s="52"/>
    </row>
    <row r="285" spans="1:17" x14ac:dyDescent="0.25">
      <c r="A285" s="7"/>
      <c r="B285" s="15"/>
      <c r="C285" s="15"/>
      <c r="D285" s="15"/>
      <c r="E285" s="11"/>
      <c r="F285" s="45"/>
      <c r="G285" s="45"/>
      <c r="H285" s="45"/>
      <c r="I285" s="45"/>
      <c r="J285" s="42"/>
      <c r="K285" s="42"/>
      <c r="L285" s="42"/>
      <c r="M285" s="42"/>
      <c r="N285" s="42"/>
      <c r="O285" s="42"/>
      <c r="P285" s="42"/>
      <c r="Q285" s="52"/>
    </row>
    <row r="286" spans="1:17" x14ac:dyDescent="0.25">
      <c r="A286" s="7"/>
      <c r="B286" s="15"/>
      <c r="C286" s="15"/>
      <c r="D286" s="15"/>
      <c r="E286" s="11"/>
      <c r="F286" s="45"/>
      <c r="G286" s="45"/>
      <c r="H286" s="45"/>
      <c r="I286" s="45"/>
      <c r="J286" s="42"/>
      <c r="K286" s="42"/>
      <c r="L286" s="42"/>
      <c r="M286" s="42"/>
      <c r="N286" s="42"/>
      <c r="O286" s="42"/>
      <c r="P286" s="42"/>
      <c r="Q286" s="52"/>
    </row>
    <row r="287" spans="1:17" x14ac:dyDescent="0.25">
      <c r="A287" s="7"/>
      <c r="B287" s="15"/>
      <c r="C287" s="15"/>
      <c r="D287" s="15"/>
      <c r="E287" s="11"/>
      <c r="F287" s="45"/>
      <c r="G287" s="45"/>
      <c r="H287" s="45"/>
      <c r="I287" s="45"/>
      <c r="J287" s="42"/>
      <c r="K287" s="42"/>
      <c r="L287" s="42"/>
      <c r="M287" s="42"/>
      <c r="N287" s="42"/>
      <c r="O287" s="42"/>
      <c r="P287" s="42"/>
      <c r="Q287" s="52"/>
    </row>
    <row r="288" spans="1:17" x14ac:dyDescent="0.25">
      <c r="A288" s="7"/>
      <c r="B288" s="15"/>
      <c r="C288" s="15"/>
      <c r="D288" s="15"/>
      <c r="E288" s="11"/>
      <c r="F288" s="45"/>
      <c r="G288" s="45"/>
      <c r="H288" s="45"/>
      <c r="I288" s="45"/>
      <c r="J288" s="42"/>
      <c r="K288" s="42"/>
      <c r="L288" s="42"/>
      <c r="M288" s="42"/>
      <c r="N288" s="42"/>
      <c r="O288" s="42"/>
      <c r="P288" s="42"/>
      <c r="Q288" s="52"/>
    </row>
    <row r="289" spans="1:17" x14ac:dyDescent="0.25">
      <c r="A289" s="7"/>
      <c r="B289" s="15"/>
      <c r="C289" s="15"/>
      <c r="D289" s="15"/>
      <c r="E289" s="11"/>
      <c r="F289" s="45"/>
      <c r="G289" s="45"/>
      <c r="H289" s="45"/>
      <c r="I289" s="45"/>
      <c r="J289" s="42"/>
      <c r="K289" s="42"/>
      <c r="L289" s="42"/>
      <c r="M289" s="42"/>
      <c r="N289" s="42"/>
      <c r="O289" s="42"/>
      <c r="P289" s="42"/>
      <c r="Q289" s="52"/>
    </row>
    <row r="290" spans="1:17" x14ac:dyDescent="0.25">
      <c r="A290" s="7"/>
      <c r="B290" s="15"/>
      <c r="C290" s="15"/>
      <c r="D290" s="15"/>
      <c r="E290" s="11"/>
      <c r="F290" s="45"/>
      <c r="G290" s="45"/>
      <c r="H290" s="45"/>
      <c r="I290" s="45"/>
      <c r="J290" s="42"/>
      <c r="K290" s="42"/>
      <c r="L290" s="42"/>
      <c r="M290" s="42"/>
      <c r="N290" s="42"/>
      <c r="O290" s="42"/>
      <c r="P290" s="42"/>
      <c r="Q290" s="52"/>
    </row>
    <row r="291" spans="1:17" x14ac:dyDescent="0.25">
      <c r="A291" s="7"/>
      <c r="B291" s="15"/>
      <c r="C291" s="15"/>
      <c r="D291" s="15"/>
      <c r="E291" s="11"/>
      <c r="F291" s="45"/>
      <c r="G291" s="45"/>
      <c r="H291" s="45"/>
      <c r="I291" s="45"/>
      <c r="J291" s="42"/>
      <c r="K291" s="42"/>
      <c r="L291" s="42"/>
      <c r="M291" s="42"/>
      <c r="N291" s="42"/>
      <c r="O291" s="42"/>
      <c r="P291" s="42"/>
      <c r="Q291" s="52"/>
    </row>
    <row r="292" spans="1:17" x14ac:dyDescent="0.25">
      <c r="A292" s="7"/>
      <c r="B292" s="15"/>
      <c r="C292" s="15"/>
      <c r="D292" s="15"/>
      <c r="E292" s="11"/>
      <c r="F292" s="45"/>
      <c r="G292" s="45"/>
      <c r="H292" s="45"/>
      <c r="I292" s="45"/>
      <c r="J292" s="42"/>
      <c r="K292" s="42"/>
      <c r="L292" s="42"/>
      <c r="M292" s="42"/>
      <c r="N292" s="42"/>
      <c r="O292" s="42"/>
      <c r="P292" s="42"/>
      <c r="Q292" s="52"/>
    </row>
    <row r="293" spans="1:17" x14ac:dyDescent="0.25">
      <c r="A293" s="7"/>
      <c r="B293" s="15"/>
      <c r="C293" s="15"/>
      <c r="D293" s="15"/>
      <c r="E293" s="11"/>
      <c r="F293" s="45"/>
      <c r="G293" s="45"/>
      <c r="H293" s="45"/>
      <c r="I293" s="45"/>
      <c r="J293" s="42"/>
      <c r="K293" s="42"/>
      <c r="L293" s="42"/>
      <c r="M293" s="42"/>
      <c r="N293" s="42"/>
      <c r="O293" s="42"/>
      <c r="P293" s="42"/>
      <c r="Q293" s="52"/>
    </row>
    <row r="294" spans="1:17" x14ac:dyDescent="0.25">
      <c r="A294" s="7"/>
      <c r="B294" s="15"/>
      <c r="C294" s="15"/>
      <c r="D294" s="15"/>
      <c r="E294" s="11"/>
      <c r="F294" s="45"/>
      <c r="G294" s="45"/>
      <c r="H294" s="45"/>
      <c r="I294" s="45"/>
      <c r="J294" s="42"/>
      <c r="K294" s="42"/>
      <c r="L294" s="42"/>
      <c r="M294" s="42"/>
      <c r="N294" s="42"/>
      <c r="O294" s="42"/>
      <c r="P294" s="42"/>
      <c r="Q294" s="52"/>
    </row>
    <row r="295" spans="1:17" x14ac:dyDescent="0.25">
      <c r="A295" s="7"/>
      <c r="B295" s="15"/>
      <c r="C295" s="15"/>
      <c r="D295" s="15"/>
      <c r="E295" s="11"/>
      <c r="F295" s="45"/>
      <c r="G295" s="45"/>
      <c r="H295" s="45"/>
      <c r="I295" s="45"/>
      <c r="J295" s="42"/>
      <c r="K295" s="42"/>
      <c r="L295" s="42"/>
      <c r="M295" s="42"/>
      <c r="N295" s="42"/>
      <c r="O295" s="42"/>
      <c r="P295" s="42"/>
      <c r="Q295" s="52"/>
    </row>
    <row r="296" spans="1:17" x14ac:dyDescent="0.25">
      <c r="A296" s="7"/>
      <c r="B296" s="15"/>
      <c r="C296" s="15"/>
      <c r="D296" s="15"/>
      <c r="E296" s="11"/>
      <c r="F296" s="45"/>
      <c r="G296" s="45"/>
      <c r="H296" s="45"/>
      <c r="I296" s="45"/>
      <c r="J296" s="42"/>
      <c r="K296" s="42"/>
      <c r="L296" s="42"/>
      <c r="M296" s="42"/>
      <c r="N296" s="42"/>
      <c r="O296" s="42"/>
      <c r="P296" s="42"/>
      <c r="Q296" s="52"/>
    </row>
    <row r="297" spans="1:17" x14ac:dyDescent="0.25">
      <c r="A297" s="7"/>
      <c r="B297" s="15"/>
      <c r="C297" s="15"/>
      <c r="D297" s="15"/>
      <c r="E297" s="11"/>
      <c r="F297" s="45"/>
      <c r="G297" s="45"/>
      <c r="H297" s="45"/>
      <c r="I297" s="45"/>
      <c r="J297" s="42"/>
      <c r="K297" s="42"/>
      <c r="L297" s="42"/>
      <c r="M297" s="42"/>
      <c r="N297" s="42"/>
      <c r="O297" s="42"/>
      <c r="P297" s="42"/>
      <c r="Q297" s="52"/>
    </row>
    <row r="298" spans="1:17" x14ac:dyDescent="0.25">
      <c r="A298" s="7"/>
      <c r="B298" s="15"/>
      <c r="C298" s="15"/>
      <c r="D298" s="15"/>
      <c r="E298" s="11"/>
      <c r="F298" s="45"/>
      <c r="G298" s="45"/>
      <c r="H298" s="45"/>
      <c r="I298" s="45"/>
      <c r="J298" s="42"/>
      <c r="K298" s="42"/>
      <c r="L298" s="42"/>
      <c r="M298" s="42"/>
      <c r="N298" s="42"/>
      <c r="O298" s="42"/>
      <c r="P298" s="42"/>
      <c r="Q298" s="52"/>
    </row>
    <row r="299" spans="1:17" x14ac:dyDescent="0.25">
      <c r="A299" s="7"/>
      <c r="B299" s="15"/>
      <c r="C299" s="15"/>
      <c r="D299" s="15"/>
      <c r="E299" s="11"/>
      <c r="F299" s="45"/>
      <c r="G299" s="45"/>
      <c r="H299" s="45"/>
      <c r="I299" s="45"/>
      <c r="J299" s="42"/>
      <c r="K299" s="42"/>
      <c r="L299" s="42"/>
      <c r="M299" s="42"/>
      <c r="N299" s="42"/>
      <c r="O299" s="42"/>
      <c r="P299" s="42"/>
      <c r="Q299" s="52"/>
    </row>
    <row r="300" spans="1:17" x14ac:dyDescent="0.25">
      <c r="A300" s="7"/>
      <c r="B300" s="15"/>
      <c r="C300" s="15"/>
      <c r="D300" s="15"/>
      <c r="E300" s="11"/>
      <c r="F300" s="45"/>
      <c r="G300" s="45"/>
      <c r="H300" s="45"/>
      <c r="I300" s="45"/>
      <c r="J300" s="42"/>
      <c r="K300" s="42"/>
      <c r="L300" s="42"/>
      <c r="M300" s="42"/>
      <c r="N300" s="42"/>
      <c r="O300" s="42"/>
      <c r="P300" s="42"/>
      <c r="Q300" s="52"/>
    </row>
    <row r="301" spans="1:17" x14ac:dyDescent="0.25">
      <c r="A301" s="7"/>
      <c r="B301" s="15"/>
      <c r="C301" s="15"/>
      <c r="D301" s="15"/>
      <c r="E301" s="11"/>
      <c r="F301" s="45"/>
      <c r="G301" s="45"/>
      <c r="H301" s="45"/>
      <c r="I301" s="45"/>
      <c r="J301" s="42"/>
      <c r="K301" s="42"/>
      <c r="L301" s="42"/>
      <c r="M301" s="42"/>
      <c r="N301" s="42"/>
      <c r="O301" s="42"/>
      <c r="P301" s="42"/>
      <c r="Q301" s="52"/>
    </row>
    <row r="302" spans="1:17" x14ac:dyDescent="0.25">
      <c r="A302" s="7"/>
      <c r="B302" s="15"/>
      <c r="C302" s="15"/>
      <c r="D302" s="15"/>
      <c r="E302" s="11"/>
      <c r="F302" s="45"/>
      <c r="G302" s="45"/>
      <c r="H302" s="45"/>
      <c r="I302" s="45"/>
      <c r="J302" s="42"/>
      <c r="K302" s="42"/>
      <c r="L302" s="42"/>
      <c r="M302" s="42"/>
      <c r="N302" s="42"/>
      <c r="O302" s="42"/>
      <c r="P302" s="42"/>
      <c r="Q302" s="52"/>
    </row>
    <row r="303" spans="1:17" x14ac:dyDescent="0.25">
      <c r="A303" s="7"/>
      <c r="B303" s="15"/>
      <c r="C303" s="15"/>
      <c r="D303" s="15"/>
      <c r="E303" s="11"/>
      <c r="F303" s="45"/>
      <c r="G303" s="45"/>
      <c r="H303" s="45"/>
      <c r="I303" s="45"/>
      <c r="J303" s="42"/>
      <c r="K303" s="42"/>
      <c r="L303" s="42"/>
      <c r="M303" s="42"/>
      <c r="N303" s="42"/>
      <c r="O303" s="42"/>
      <c r="P303" s="42"/>
      <c r="Q303" s="52"/>
    </row>
    <row r="304" spans="1:17" x14ac:dyDescent="0.25">
      <c r="A304" s="7"/>
      <c r="B304" s="15"/>
      <c r="C304" s="15"/>
      <c r="D304" s="15"/>
      <c r="E304" s="11"/>
      <c r="F304" s="45"/>
      <c r="G304" s="45"/>
      <c r="H304" s="45"/>
      <c r="I304" s="45"/>
      <c r="J304" s="42"/>
      <c r="K304" s="42"/>
      <c r="L304" s="42"/>
      <c r="M304" s="42"/>
      <c r="N304" s="42"/>
      <c r="O304" s="42"/>
      <c r="P304" s="42"/>
      <c r="Q304" s="52"/>
    </row>
    <row r="305" spans="1:17" x14ac:dyDescent="0.25">
      <c r="A305" s="7"/>
      <c r="B305" s="15"/>
      <c r="C305" s="15"/>
      <c r="D305" s="15"/>
      <c r="E305" s="11"/>
      <c r="F305" s="45"/>
      <c r="G305" s="45"/>
      <c r="H305" s="45"/>
      <c r="I305" s="45"/>
      <c r="J305" s="42"/>
      <c r="K305" s="42"/>
      <c r="L305" s="42"/>
      <c r="M305" s="42"/>
      <c r="N305" s="42"/>
      <c r="O305" s="42"/>
      <c r="P305" s="42"/>
      <c r="Q305" s="52"/>
    </row>
    <row r="306" spans="1:17" x14ac:dyDescent="0.25">
      <c r="A306" s="7"/>
      <c r="B306" s="15"/>
      <c r="C306" s="15"/>
      <c r="D306" s="15"/>
      <c r="E306" s="11"/>
      <c r="F306" s="45"/>
      <c r="G306" s="45"/>
      <c r="H306" s="45"/>
      <c r="I306" s="45"/>
      <c r="J306" s="42"/>
      <c r="K306" s="42"/>
      <c r="L306" s="42"/>
      <c r="M306" s="42"/>
      <c r="N306" s="42"/>
      <c r="O306" s="42"/>
      <c r="P306" s="42"/>
      <c r="Q306" s="52"/>
    </row>
    <row r="307" spans="1:17" x14ac:dyDescent="0.25">
      <c r="A307" s="7"/>
      <c r="B307" s="15"/>
      <c r="C307" s="15"/>
      <c r="D307" s="15"/>
      <c r="E307" s="11"/>
      <c r="F307" s="45"/>
      <c r="G307" s="45"/>
      <c r="H307" s="45"/>
      <c r="I307" s="45"/>
      <c r="J307" s="42"/>
      <c r="K307" s="42"/>
      <c r="L307" s="42"/>
      <c r="M307" s="42"/>
      <c r="N307" s="42"/>
      <c r="O307" s="42"/>
      <c r="P307" s="42"/>
      <c r="Q307" s="52"/>
    </row>
    <row r="308" spans="1:17" x14ac:dyDescent="0.25">
      <c r="A308" s="7"/>
      <c r="B308" s="15"/>
      <c r="C308" s="15"/>
      <c r="D308" s="15"/>
      <c r="E308" s="11"/>
      <c r="F308" s="45"/>
      <c r="G308" s="45"/>
      <c r="H308" s="45"/>
      <c r="I308" s="45"/>
      <c r="J308" s="42"/>
      <c r="K308" s="42"/>
      <c r="L308" s="42"/>
      <c r="M308" s="42"/>
      <c r="N308" s="42"/>
      <c r="O308" s="42"/>
      <c r="P308" s="42"/>
      <c r="Q308" s="52"/>
    </row>
    <row r="309" spans="1:17" x14ac:dyDescent="0.25">
      <c r="A309" s="7"/>
      <c r="B309" s="15"/>
      <c r="C309" s="15"/>
      <c r="D309" s="15"/>
      <c r="E309" s="11"/>
      <c r="F309" s="45"/>
      <c r="G309" s="45"/>
      <c r="H309" s="45"/>
      <c r="I309" s="45"/>
      <c r="J309" s="42"/>
      <c r="K309" s="42"/>
      <c r="L309" s="42"/>
      <c r="M309" s="42"/>
      <c r="N309" s="42"/>
      <c r="O309" s="42"/>
      <c r="P309" s="42"/>
      <c r="Q309" s="52"/>
    </row>
    <row r="310" spans="1:17" x14ac:dyDescent="0.25">
      <c r="A310" s="7"/>
      <c r="B310" s="15"/>
      <c r="C310" s="15"/>
      <c r="D310" s="15"/>
      <c r="E310" s="11"/>
      <c r="F310" s="45"/>
      <c r="G310" s="45"/>
      <c r="H310" s="45"/>
      <c r="I310" s="45"/>
      <c r="J310" s="42"/>
      <c r="K310" s="42"/>
      <c r="L310" s="42"/>
      <c r="M310" s="42"/>
      <c r="N310" s="42"/>
      <c r="O310" s="42"/>
      <c r="P310" s="42"/>
      <c r="Q310" s="52"/>
    </row>
    <row r="311" spans="1:17" x14ac:dyDescent="0.25">
      <c r="A311" s="7"/>
      <c r="B311" s="15"/>
      <c r="C311" s="15"/>
      <c r="D311" s="15"/>
      <c r="E311" s="11"/>
      <c r="F311" s="45"/>
      <c r="G311" s="45"/>
      <c r="H311" s="45"/>
      <c r="I311" s="45"/>
      <c r="J311" s="42"/>
      <c r="K311" s="42"/>
      <c r="L311" s="42"/>
      <c r="M311" s="42"/>
      <c r="N311" s="42"/>
      <c r="O311" s="42"/>
      <c r="P311" s="42"/>
      <c r="Q311" s="52"/>
    </row>
    <row r="312" spans="1:17" x14ac:dyDescent="0.25">
      <c r="A312" s="7"/>
      <c r="B312" s="15"/>
      <c r="C312" s="15"/>
      <c r="D312" s="15"/>
      <c r="E312" s="11"/>
      <c r="F312" s="45"/>
      <c r="G312" s="45"/>
      <c r="H312" s="45"/>
      <c r="I312" s="45"/>
      <c r="J312" s="42"/>
      <c r="K312" s="42"/>
      <c r="L312" s="42"/>
      <c r="M312" s="42"/>
      <c r="N312" s="42"/>
      <c r="O312" s="42"/>
      <c r="P312" s="42"/>
      <c r="Q312" s="52"/>
    </row>
    <row r="313" spans="1:17" x14ac:dyDescent="0.25">
      <c r="A313" s="7"/>
      <c r="B313" s="15"/>
      <c r="C313" s="15"/>
      <c r="D313" s="15"/>
      <c r="E313" s="11"/>
      <c r="F313" s="45"/>
      <c r="G313" s="45"/>
      <c r="H313" s="45"/>
      <c r="I313" s="45"/>
      <c r="J313" s="42"/>
      <c r="K313" s="42"/>
      <c r="L313" s="42"/>
      <c r="M313" s="42"/>
      <c r="N313" s="42"/>
      <c r="O313" s="42"/>
      <c r="P313" s="42"/>
      <c r="Q313" s="52"/>
    </row>
    <row r="314" spans="1:17" x14ac:dyDescent="0.25">
      <c r="A314" s="7"/>
      <c r="B314" s="15"/>
      <c r="C314" s="15"/>
      <c r="D314" s="15"/>
      <c r="E314" s="11"/>
      <c r="F314" s="45"/>
      <c r="G314" s="45"/>
      <c r="H314" s="45"/>
      <c r="I314" s="45"/>
      <c r="J314" s="42"/>
      <c r="K314" s="42"/>
      <c r="L314" s="42"/>
      <c r="M314" s="42"/>
      <c r="N314" s="42"/>
      <c r="O314" s="42"/>
      <c r="P314" s="42"/>
      <c r="Q314" s="52"/>
    </row>
    <row r="315" spans="1:17" x14ac:dyDescent="0.25">
      <c r="A315" s="7"/>
      <c r="B315" s="15"/>
      <c r="C315" s="15"/>
      <c r="D315" s="15"/>
      <c r="E315" s="11"/>
      <c r="F315" s="45"/>
      <c r="G315" s="45"/>
      <c r="H315" s="45"/>
      <c r="I315" s="45"/>
      <c r="J315" s="42"/>
      <c r="K315" s="42"/>
      <c r="L315" s="42"/>
      <c r="M315" s="42"/>
      <c r="N315" s="42"/>
      <c r="O315" s="42"/>
      <c r="P315" s="42"/>
      <c r="Q315" s="52"/>
    </row>
    <row r="316" spans="1:17" x14ac:dyDescent="0.25">
      <c r="A316" s="7"/>
      <c r="B316" s="15"/>
      <c r="C316" s="15"/>
      <c r="D316" s="15"/>
      <c r="E316" s="11"/>
      <c r="F316" s="45"/>
      <c r="G316" s="45"/>
      <c r="H316" s="45"/>
      <c r="I316" s="45"/>
      <c r="J316" s="42"/>
      <c r="K316" s="42"/>
      <c r="L316" s="42"/>
      <c r="M316" s="42"/>
      <c r="N316" s="42"/>
      <c r="O316" s="42"/>
      <c r="P316" s="42"/>
      <c r="Q316" s="52"/>
    </row>
    <row r="317" spans="1:17" x14ac:dyDescent="0.25">
      <c r="A317" s="7"/>
      <c r="B317" s="15"/>
      <c r="C317" s="15"/>
      <c r="D317" s="15"/>
      <c r="E317" s="11"/>
      <c r="F317" s="45"/>
      <c r="G317" s="45"/>
      <c r="H317" s="45"/>
      <c r="I317" s="45"/>
      <c r="J317" s="42"/>
      <c r="K317" s="42"/>
      <c r="L317" s="42"/>
      <c r="M317" s="42"/>
      <c r="N317" s="42"/>
      <c r="O317" s="42"/>
      <c r="P317" s="42"/>
      <c r="Q317" s="52"/>
    </row>
    <row r="318" spans="1:17" x14ac:dyDescent="0.25">
      <c r="A318" s="7"/>
      <c r="B318" s="15"/>
      <c r="C318" s="15"/>
      <c r="D318" s="15"/>
      <c r="E318" s="11"/>
      <c r="F318" s="45"/>
      <c r="G318" s="45"/>
      <c r="H318" s="45"/>
      <c r="I318" s="45"/>
      <c r="J318" s="42"/>
      <c r="K318" s="42"/>
      <c r="L318" s="42"/>
      <c r="M318" s="42"/>
      <c r="N318" s="42"/>
      <c r="O318" s="42"/>
      <c r="P318" s="42"/>
      <c r="Q318" s="52"/>
    </row>
    <row r="319" spans="1:17" x14ac:dyDescent="0.25">
      <c r="A319" s="7"/>
      <c r="B319" s="15"/>
      <c r="C319" s="15"/>
      <c r="D319" s="15"/>
      <c r="E319" s="11"/>
      <c r="F319" s="45"/>
      <c r="G319" s="45"/>
      <c r="H319" s="45"/>
      <c r="I319" s="45"/>
      <c r="J319" s="42"/>
      <c r="K319" s="42"/>
      <c r="L319" s="42"/>
      <c r="M319" s="42"/>
      <c r="N319" s="42"/>
      <c r="O319" s="42"/>
      <c r="P319" s="42"/>
      <c r="Q319" s="52"/>
    </row>
    <row r="320" spans="1:17" x14ac:dyDescent="0.25">
      <c r="A320" s="7"/>
      <c r="B320" s="15"/>
      <c r="C320" s="15"/>
      <c r="D320" s="15"/>
      <c r="E320" s="11"/>
      <c r="F320" s="45"/>
      <c r="G320" s="45"/>
      <c r="H320" s="45"/>
      <c r="I320" s="45"/>
      <c r="J320" s="42"/>
      <c r="K320" s="42"/>
      <c r="L320" s="42"/>
      <c r="M320" s="42"/>
      <c r="N320" s="42"/>
      <c r="O320" s="42"/>
      <c r="P320" s="42"/>
      <c r="Q320" s="52"/>
    </row>
    <row r="321" spans="1:17" x14ac:dyDescent="0.25">
      <c r="A321" s="7"/>
      <c r="B321" s="15"/>
      <c r="C321" s="15"/>
      <c r="D321" s="15"/>
      <c r="E321" s="11"/>
      <c r="F321" s="45"/>
      <c r="G321" s="45"/>
      <c r="H321" s="45"/>
      <c r="I321" s="45"/>
      <c r="J321" s="42"/>
      <c r="K321" s="42"/>
      <c r="L321" s="42"/>
      <c r="M321" s="42"/>
      <c r="N321" s="42"/>
      <c r="O321" s="42"/>
      <c r="P321" s="42"/>
      <c r="Q321" s="52"/>
    </row>
    <row r="322" spans="1:17" x14ac:dyDescent="0.25">
      <c r="A322" s="7"/>
      <c r="B322" s="15"/>
      <c r="C322" s="15"/>
      <c r="D322" s="15"/>
      <c r="E322" s="11"/>
      <c r="F322" s="45"/>
      <c r="G322" s="45"/>
      <c r="H322" s="45"/>
      <c r="I322" s="45"/>
      <c r="J322" s="42"/>
      <c r="K322" s="42"/>
      <c r="L322" s="42"/>
      <c r="M322" s="42"/>
      <c r="N322" s="42"/>
      <c r="O322" s="42"/>
      <c r="P322" s="42"/>
      <c r="Q322" s="52"/>
    </row>
    <row r="323" spans="1:17" x14ac:dyDescent="0.25">
      <c r="A323" s="7"/>
      <c r="B323" s="15"/>
      <c r="C323" s="15"/>
      <c r="D323" s="15"/>
      <c r="E323" s="11"/>
      <c r="F323" s="45"/>
      <c r="G323" s="45"/>
      <c r="H323" s="45"/>
      <c r="I323" s="45"/>
      <c r="J323" s="42"/>
      <c r="K323" s="42"/>
      <c r="L323" s="42"/>
      <c r="M323" s="42"/>
      <c r="N323" s="42"/>
      <c r="O323" s="42"/>
      <c r="P323" s="42"/>
      <c r="Q323" s="52"/>
    </row>
    <row r="324" spans="1:17" x14ac:dyDescent="0.25">
      <c r="A324" s="7"/>
      <c r="B324" s="15"/>
      <c r="C324" s="15"/>
      <c r="D324" s="15"/>
      <c r="E324" s="11"/>
      <c r="F324" s="45"/>
      <c r="G324" s="45"/>
      <c r="H324" s="45"/>
      <c r="I324" s="45"/>
      <c r="J324" s="42"/>
      <c r="K324" s="42"/>
      <c r="L324" s="42"/>
      <c r="M324" s="42"/>
      <c r="N324" s="42"/>
      <c r="O324" s="42"/>
      <c r="P324" s="42"/>
      <c r="Q324" s="52"/>
    </row>
    <row r="325" spans="1:17" x14ac:dyDescent="0.25">
      <c r="A325" s="7"/>
      <c r="B325" s="15"/>
      <c r="C325" s="15"/>
      <c r="D325" s="15"/>
      <c r="E325" s="11"/>
      <c r="F325" s="45"/>
      <c r="G325" s="45"/>
      <c r="H325" s="45"/>
      <c r="I325" s="45"/>
      <c r="J325" s="42"/>
      <c r="K325" s="42"/>
      <c r="L325" s="42"/>
      <c r="M325" s="42"/>
      <c r="N325" s="42"/>
      <c r="O325" s="42"/>
      <c r="P325" s="42"/>
      <c r="Q325" s="52"/>
    </row>
    <row r="326" spans="1:17" x14ac:dyDescent="0.25">
      <c r="A326" s="7"/>
      <c r="B326" s="15"/>
      <c r="C326" s="15"/>
      <c r="D326" s="15"/>
      <c r="E326" s="11"/>
      <c r="F326" s="45"/>
      <c r="G326" s="45"/>
      <c r="H326" s="45"/>
      <c r="I326" s="45"/>
      <c r="J326" s="42"/>
      <c r="K326" s="42"/>
      <c r="L326" s="42"/>
      <c r="M326" s="42"/>
      <c r="N326" s="42"/>
      <c r="O326" s="42"/>
      <c r="P326" s="42"/>
      <c r="Q326" s="52"/>
    </row>
    <row r="327" spans="1:17" x14ac:dyDescent="0.25">
      <c r="A327" s="7"/>
      <c r="B327" s="15"/>
      <c r="C327" s="15"/>
      <c r="D327" s="15"/>
      <c r="E327" s="11"/>
      <c r="F327" s="45"/>
      <c r="G327" s="45"/>
      <c r="H327" s="45"/>
      <c r="I327" s="45"/>
      <c r="J327" s="42"/>
      <c r="K327" s="42"/>
      <c r="L327" s="42"/>
      <c r="M327" s="42"/>
      <c r="N327" s="42"/>
      <c r="O327" s="42"/>
      <c r="P327" s="42"/>
      <c r="Q327" s="52"/>
    </row>
    <row r="328" spans="1:17" x14ac:dyDescent="0.25">
      <c r="A328" s="7"/>
      <c r="B328" s="15"/>
      <c r="C328" s="15"/>
      <c r="D328" s="15"/>
      <c r="E328" s="11"/>
      <c r="F328" s="45"/>
      <c r="G328" s="45"/>
      <c r="H328" s="45"/>
      <c r="I328" s="45"/>
      <c r="J328" s="42"/>
      <c r="K328" s="42"/>
      <c r="L328" s="42"/>
      <c r="M328" s="42"/>
      <c r="N328" s="42"/>
      <c r="O328" s="42"/>
      <c r="P328" s="42"/>
      <c r="Q328" s="52"/>
    </row>
    <row r="329" spans="1:17" x14ac:dyDescent="0.25">
      <c r="A329" s="7"/>
      <c r="B329" s="15"/>
      <c r="C329" s="15"/>
      <c r="D329" s="15"/>
      <c r="E329" s="11"/>
      <c r="F329" s="45"/>
      <c r="G329" s="45"/>
      <c r="H329" s="45"/>
      <c r="I329" s="45"/>
      <c r="J329" s="42"/>
      <c r="K329" s="42"/>
      <c r="L329" s="42"/>
      <c r="M329" s="42"/>
      <c r="N329" s="42"/>
      <c r="O329" s="42"/>
      <c r="P329" s="42"/>
      <c r="Q329" s="52"/>
    </row>
    <row r="330" spans="1:17" x14ac:dyDescent="0.25">
      <c r="A330" s="7"/>
      <c r="B330" s="15"/>
      <c r="C330" s="15"/>
      <c r="D330" s="15"/>
      <c r="E330" s="11"/>
      <c r="F330" s="45"/>
      <c r="G330" s="45"/>
      <c r="H330" s="45"/>
      <c r="I330" s="45"/>
      <c r="J330" s="42"/>
      <c r="K330" s="42"/>
      <c r="L330" s="42"/>
      <c r="M330" s="42"/>
      <c r="N330" s="42"/>
      <c r="O330" s="42"/>
      <c r="P330" s="42"/>
      <c r="Q330" s="52"/>
    </row>
    <row r="331" spans="1:17" x14ac:dyDescent="0.25">
      <c r="A331" s="7"/>
      <c r="B331" s="15"/>
      <c r="C331" s="15"/>
      <c r="D331" s="15"/>
      <c r="E331" s="11"/>
      <c r="F331" s="45"/>
      <c r="G331" s="45"/>
      <c r="H331" s="45"/>
      <c r="I331" s="45"/>
      <c r="J331" s="42"/>
      <c r="K331" s="42"/>
      <c r="L331" s="42"/>
      <c r="M331" s="42"/>
      <c r="N331" s="42"/>
      <c r="O331" s="42"/>
      <c r="P331" s="42"/>
      <c r="Q331" s="52"/>
    </row>
    <row r="332" spans="1:17" x14ac:dyDescent="0.25">
      <c r="A332" s="7"/>
      <c r="B332" s="15"/>
      <c r="C332" s="15"/>
      <c r="D332" s="15"/>
      <c r="E332" s="11"/>
      <c r="F332" s="45"/>
      <c r="G332" s="45"/>
      <c r="H332" s="45"/>
      <c r="I332" s="45"/>
      <c r="J332" s="42"/>
      <c r="K332" s="42"/>
      <c r="L332" s="42"/>
      <c r="M332" s="42"/>
      <c r="N332" s="42"/>
      <c r="O332" s="42"/>
      <c r="P332" s="42"/>
      <c r="Q332" s="52"/>
    </row>
    <row r="333" spans="1:17" x14ac:dyDescent="0.25">
      <c r="A333" s="7"/>
      <c r="B333" s="15"/>
      <c r="C333" s="15"/>
      <c r="D333" s="15"/>
      <c r="E333" s="11"/>
      <c r="F333" s="45"/>
      <c r="G333" s="45"/>
      <c r="H333" s="45"/>
      <c r="I333" s="45"/>
      <c r="J333" s="42"/>
      <c r="K333" s="42"/>
      <c r="L333" s="42"/>
      <c r="M333" s="42"/>
      <c r="N333" s="42"/>
      <c r="O333" s="42"/>
      <c r="P333" s="42"/>
      <c r="Q333" s="52"/>
    </row>
    <row r="334" spans="1:17" x14ac:dyDescent="0.25">
      <c r="A334" s="7"/>
      <c r="B334" s="15"/>
      <c r="C334" s="15"/>
      <c r="D334" s="15"/>
      <c r="E334" s="11"/>
      <c r="F334" s="45"/>
      <c r="G334" s="45"/>
      <c r="H334" s="45"/>
      <c r="I334" s="45"/>
      <c r="J334" s="42"/>
      <c r="K334" s="42"/>
      <c r="L334" s="42"/>
      <c r="M334" s="42"/>
      <c r="N334" s="42"/>
      <c r="O334" s="42"/>
      <c r="P334" s="42"/>
      <c r="Q334" s="52"/>
    </row>
    <row r="335" spans="1:17" x14ac:dyDescent="0.25">
      <c r="A335" s="7"/>
      <c r="B335" s="15"/>
      <c r="C335" s="15"/>
      <c r="D335" s="15"/>
      <c r="E335" s="11"/>
      <c r="F335" s="45"/>
      <c r="G335" s="45"/>
      <c r="H335" s="45"/>
      <c r="I335" s="45"/>
      <c r="J335" s="42"/>
      <c r="K335" s="42"/>
      <c r="L335" s="42"/>
      <c r="M335" s="42"/>
      <c r="N335" s="42"/>
      <c r="O335" s="42"/>
      <c r="P335" s="42"/>
      <c r="Q335" s="52"/>
    </row>
    <row r="336" spans="1:17" x14ac:dyDescent="0.25">
      <c r="A336" s="7"/>
      <c r="B336" s="15"/>
      <c r="C336" s="15"/>
      <c r="D336" s="15"/>
      <c r="E336" s="11"/>
      <c r="F336" s="45"/>
      <c r="G336" s="45"/>
      <c r="H336" s="45"/>
      <c r="I336" s="45"/>
      <c r="J336" s="42"/>
      <c r="K336" s="42"/>
      <c r="L336" s="42"/>
      <c r="M336" s="42"/>
      <c r="N336" s="42"/>
      <c r="O336" s="42"/>
      <c r="P336" s="42"/>
      <c r="Q336" s="52"/>
    </row>
    <row r="337" spans="1:17" x14ac:dyDescent="0.25">
      <c r="A337" s="7"/>
      <c r="B337" s="15"/>
      <c r="C337" s="15"/>
      <c r="D337" s="15"/>
      <c r="E337" s="11"/>
      <c r="F337" s="45"/>
      <c r="G337" s="45"/>
      <c r="H337" s="45"/>
      <c r="I337" s="45"/>
      <c r="J337" s="42"/>
      <c r="K337" s="42"/>
      <c r="L337" s="42"/>
      <c r="M337" s="42"/>
      <c r="N337" s="42"/>
      <c r="O337" s="42"/>
      <c r="P337" s="42"/>
      <c r="Q337" s="52"/>
    </row>
    <row r="338" spans="1:17" x14ac:dyDescent="0.25">
      <c r="A338" s="7"/>
      <c r="B338" s="15"/>
      <c r="C338" s="15"/>
      <c r="D338" s="15"/>
      <c r="E338" s="11"/>
      <c r="F338" s="45"/>
      <c r="G338" s="45"/>
      <c r="H338" s="45"/>
      <c r="I338" s="45"/>
      <c r="J338" s="42"/>
      <c r="K338" s="42"/>
      <c r="L338" s="42"/>
      <c r="M338" s="42"/>
      <c r="N338" s="42"/>
      <c r="O338" s="42"/>
      <c r="P338" s="42"/>
      <c r="Q338" s="52"/>
    </row>
    <row r="339" spans="1:17" x14ac:dyDescent="0.25">
      <c r="A339" s="7"/>
      <c r="B339" s="15"/>
      <c r="C339" s="15"/>
      <c r="D339" s="15"/>
      <c r="E339" s="11"/>
      <c r="F339" s="45"/>
      <c r="G339" s="45"/>
      <c r="H339" s="45"/>
      <c r="I339" s="45"/>
      <c r="J339" s="42"/>
      <c r="K339" s="42"/>
      <c r="L339" s="42"/>
      <c r="M339" s="42"/>
      <c r="N339" s="42"/>
      <c r="O339" s="42"/>
      <c r="P339" s="42"/>
      <c r="Q339" s="52"/>
    </row>
    <row r="340" spans="1:17" x14ac:dyDescent="0.25">
      <c r="A340" s="7"/>
      <c r="B340" s="15"/>
      <c r="C340" s="15"/>
      <c r="D340" s="15"/>
      <c r="E340" s="11"/>
      <c r="F340" s="45"/>
      <c r="G340" s="45"/>
      <c r="H340" s="45"/>
      <c r="I340" s="45"/>
      <c r="J340" s="42"/>
      <c r="K340" s="42"/>
      <c r="L340" s="42"/>
      <c r="M340" s="42"/>
      <c r="N340" s="42"/>
      <c r="O340" s="42"/>
      <c r="P340" s="42"/>
      <c r="Q340" s="52"/>
    </row>
    <row r="341" spans="1:17" x14ac:dyDescent="0.25">
      <c r="A341" s="7"/>
      <c r="B341" s="15"/>
      <c r="C341" s="15"/>
      <c r="D341" s="15"/>
      <c r="E341" s="11"/>
      <c r="F341" s="45"/>
      <c r="G341" s="45"/>
      <c r="H341" s="45"/>
      <c r="I341" s="45"/>
      <c r="J341" s="42"/>
      <c r="K341" s="42"/>
      <c r="L341" s="42"/>
      <c r="M341" s="42"/>
      <c r="N341" s="42"/>
      <c r="O341" s="42"/>
      <c r="P341" s="42"/>
      <c r="Q341" s="52"/>
    </row>
    <row r="342" spans="1:17" x14ac:dyDescent="0.25">
      <c r="A342" s="7"/>
      <c r="B342" s="15"/>
      <c r="C342" s="15"/>
      <c r="D342" s="15"/>
      <c r="E342" s="11"/>
      <c r="F342" s="45"/>
      <c r="G342" s="45"/>
      <c r="H342" s="45"/>
      <c r="I342" s="45"/>
      <c r="J342" s="42"/>
      <c r="K342" s="42"/>
      <c r="L342" s="42"/>
      <c r="M342" s="42"/>
      <c r="N342" s="42"/>
      <c r="O342" s="42"/>
      <c r="P342" s="42"/>
      <c r="Q342" s="52"/>
    </row>
    <row r="343" spans="1:17" x14ac:dyDescent="0.25">
      <c r="A343" s="7"/>
      <c r="B343" s="15"/>
      <c r="C343" s="15"/>
      <c r="D343" s="15"/>
      <c r="E343" s="11"/>
      <c r="F343" s="45"/>
      <c r="G343" s="45"/>
      <c r="H343" s="45"/>
      <c r="I343" s="45"/>
      <c r="J343" s="42"/>
      <c r="K343" s="42"/>
      <c r="L343" s="42"/>
      <c r="M343" s="42"/>
      <c r="N343" s="42"/>
      <c r="O343" s="42"/>
      <c r="P343" s="42"/>
      <c r="Q343" s="52"/>
    </row>
    <row r="344" spans="1:17" x14ac:dyDescent="0.25">
      <c r="A344" s="7"/>
      <c r="B344" s="15"/>
      <c r="C344" s="15"/>
      <c r="D344" s="15"/>
      <c r="E344" s="11"/>
      <c r="F344" s="45"/>
      <c r="G344" s="45"/>
      <c r="H344" s="45"/>
      <c r="I344" s="45"/>
      <c r="J344" s="42"/>
      <c r="K344" s="42"/>
      <c r="L344" s="42"/>
      <c r="M344" s="42"/>
      <c r="N344" s="42"/>
      <c r="O344" s="42"/>
      <c r="P344" s="42"/>
      <c r="Q344" s="52"/>
    </row>
    <row r="345" spans="1:17" x14ac:dyDescent="0.25">
      <c r="A345" s="7"/>
      <c r="B345" s="15"/>
      <c r="C345" s="15"/>
      <c r="D345" s="15"/>
      <c r="E345" s="11"/>
      <c r="F345" s="45"/>
      <c r="G345" s="45"/>
      <c r="H345" s="45"/>
      <c r="I345" s="45"/>
      <c r="J345" s="42"/>
      <c r="K345" s="42"/>
      <c r="L345" s="42"/>
      <c r="M345" s="42"/>
      <c r="N345" s="42"/>
      <c r="O345" s="42"/>
      <c r="P345" s="42"/>
      <c r="Q345" s="52"/>
    </row>
    <row r="346" spans="1:17" x14ac:dyDescent="0.25">
      <c r="A346" s="7"/>
      <c r="B346" s="15"/>
      <c r="C346" s="15"/>
      <c r="D346" s="15"/>
      <c r="E346" s="11"/>
      <c r="F346" s="45"/>
      <c r="G346" s="45"/>
      <c r="H346" s="45"/>
      <c r="I346" s="45"/>
      <c r="J346" s="42"/>
      <c r="K346" s="42"/>
      <c r="L346" s="42"/>
      <c r="M346" s="42"/>
      <c r="N346" s="42"/>
      <c r="O346" s="42"/>
      <c r="P346" s="42"/>
      <c r="Q346" s="52"/>
    </row>
    <row r="347" spans="1:17" x14ac:dyDescent="0.25">
      <c r="A347" s="7"/>
      <c r="B347" s="15"/>
      <c r="C347" s="15"/>
      <c r="D347" s="15"/>
      <c r="E347" s="11"/>
      <c r="F347" s="45"/>
      <c r="G347" s="45"/>
      <c r="H347" s="45"/>
      <c r="I347" s="45"/>
      <c r="J347" s="42"/>
      <c r="K347" s="42"/>
      <c r="L347" s="42"/>
      <c r="M347" s="42"/>
      <c r="N347" s="42"/>
      <c r="O347" s="42"/>
      <c r="P347" s="42"/>
      <c r="Q347" s="52"/>
    </row>
    <row r="348" spans="1:17" x14ac:dyDescent="0.25">
      <c r="A348" s="7"/>
      <c r="B348" s="15"/>
      <c r="C348" s="15"/>
      <c r="D348" s="15"/>
      <c r="E348" s="11"/>
      <c r="F348" s="45"/>
      <c r="G348" s="45"/>
      <c r="H348" s="45"/>
      <c r="I348" s="45"/>
      <c r="J348" s="42"/>
      <c r="K348" s="42"/>
      <c r="L348" s="42"/>
      <c r="M348" s="42"/>
      <c r="N348" s="42"/>
      <c r="O348" s="42"/>
      <c r="P348" s="42"/>
      <c r="Q348" s="52"/>
    </row>
    <row r="349" spans="1:17" x14ac:dyDescent="0.25">
      <c r="A349" s="7"/>
      <c r="B349" s="15"/>
      <c r="C349" s="15"/>
      <c r="D349" s="15"/>
      <c r="E349" s="11"/>
      <c r="F349" s="45"/>
      <c r="G349" s="45"/>
      <c r="H349" s="45"/>
      <c r="I349" s="45"/>
      <c r="J349" s="42"/>
      <c r="K349" s="42"/>
      <c r="L349" s="42"/>
      <c r="M349" s="42"/>
      <c r="N349" s="42"/>
      <c r="O349" s="42"/>
      <c r="P349" s="42"/>
      <c r="Q349" s="52"/>
    </row>
    <row r="350" spans="1:17" x14ac:dyDescent="0.25">
      <c r="A350" s="7"/>
      <c r="B350" s="15"/>
      <c r="C350" s="15"/>
      <c r="D350" s="15"/>
      <c r="E350" s="11"/>
      <c r="F350" s="45"/>
      <c r="G350" s="45"/>
      <c r="H350" s="45"/>
      <c r="I350" s="45"/>
      <c r="J350" s="42"/>
      <c r="K350" s="42"/>
      <c r="L350" s="42"/>
      <c r="M350" s="42"/>
      <c r="N350" s="42"/>
      <c r="O350" s="42"/>
      <c r="P350" s="42"/>
      <c r="Q350" s="52"/>
    </row>
    <row r="351" spans="1:17" x14ac:dyDescent="0.25">
      <c r="A351" s="7"/>
      <c r="B351" s="15"/>
      <c r="C351" s="15"/>
      <c r="D351" s="15"/>
      <c r="E351" s="11"/>
      <c r="F351" s="45"/>
      <c r="G351" s="45"/>
      <c r="H351" s="45"/>
      <c r="I351" s="45"/>
      <c r="J351" s="42"/>
      <c r="K351" s="42"/>
      <c r="L351" s="42"/>
      <c r="M351" s="42"/>
      <c r="N351" s="42"/>
      <c r="O351" s="42"/>
      <c r="P351" s="42"/>
      <c r="Q351" s="52"/>
    </row>
    <row r="352" spans="1:17" x14ac:dyDescent="0.25">
      <c r="A352" s="7"/>
      <c r="B352" s="15"/>
      <c r="C352" s="15"/>
      <c r="D352" s="15"/>
      <c r="E352" s="11"/>
      <c r="F352" s="45"/>
      <c r="G352" s="45"/>
      <c r="H352" s="45"/>
      <c r="I352" s="45"/>
      <c r="J352" s="42"/>
      <c r="K352" s="42"/>
      <c r="L352" s="42"/>
      <c r="M352" s="42"/>
      <c r="N352" s="42"/>
      <c r="O352" s="42"/>
      <c r="P352" s="42"/>
      <c r="Q352" s="52"/>
    </row>
    <row r="353" spans="1:17" x14ac:dyDescent="0.25">
      <c r="A353" s="7"/>
      <c r="B353" s="15"/>
      <c r="C353" s="15"/>
      <c r="D353" s="15"/>
      <c r="E353" s="11"/>
      <c r="F353" s="45"/>
      <c r="G353" s="45"/>
      <c r="H353" s="45"/>
      <c r="I353" s="45"/>
      <c r="J353" s="42"/>
      <c r="K353" s="42"/>
      <c r="L353" s="42"/>
      <c r="M353" s="42"/>
      <c r="N353" s="42"/>
      <c r="O353" s="42"/>
      <c r="P353" s="42"/>
      <c r="Q353" s="52"/>
    </row>
    <row r="354" spans="1:17" x14ac:dyDescent="0.25">
      <c r="A354" s="7"/>
      <c r="B354" s="15"/>
      <c r="C354" s="15"/>
      <c r="D354" s="15"/>
      <c r="E354" s="11"/>
      <c r="F354" s="45"/>
      <c r="G354" s="45"/>
      <c r="H354" s="45"/>
      <c r="I354" s="45"/>
      <c r="J354" s="42"/>
      <c r="K354" s="42"/>
      <c r="L354" s="42"/>
      <c r="M354" s="42"/>
      <c r="N354" s="42"/>
      <c r="O354" s="42"/>
      <c r="P354" s="42"/>
      <c r="Q354" s="52"/>
    </row>
    <row r="355" spans="1:17" x14ac:dyDescent="0.25">
      <c r="A355" s="7"/>
      <c r="B355" s="15"/>
      <c r="C355" s="15"/>
      <c r="D355" s="15"/>
      <c r="E355" s="11"/>
      <c r="F355" s="45"/>
      <c r="G355" s="45"/>
      <c r="H355" s="45"/>
      <c r="I355" s="45"/>
      <c r="J355" s="42"/>
      <c r="K355" s="42"/>
      <c r="L355" s="42"/>
      <c r="M355" s="42"/>
      <c r="N355" s="42"/>
      <c r="O355" s="42"/>
      <c r="P355" s="42"/>
      <c r="Q355" s="52"/>
    </row>
    <row r="356" spans="1:17" x14ac:dyDescent="0.25">
      <c r="A356" s="7"/>
      <c r="B356" s="15"/>
      <c r="C356" s="15"/>
      <c r="D356" s="15"/>
      <c r="E356" s="11"/>
      <c r="F356" s="45"/>
      <c r="G356" s="45"/>
      <c r="H356" s="45"/>
      <c r="I356" s="45"/>
      <c r="J356" s="42"/>
      <c r="K356" s="42"/>
      <c r="L356" s="42"/>
      <c r="M356" s="42"/>
      <c r="N356" s="42"/>
      <c r="O356" s="42"/>
      <c r="P356" s="42"/>
      <c r="Q356" s="52"/>
    </row>
    <row r="357" spans="1:17" x14ac:dyDescent="0.25">
      <c r="A357" s="7"/>
      <c r="B357" s="15"/>
      <c r="C357" s="15"/>
      <c r="D357" s="15"/>
      <c r="E357" s="11"/>
      <c r="F357" s="45"/>
      <c r="G357" s="45"/>
      <c r="H357" s="45"/>
      <c r="I357" s="45"/>
      <c r="J357" s="42"/>
      <c r="K357" s="42"/>
      <c r="L357" s="42"/>
      <c r="M357" s="42"/>
      <c r="N357" s="42"/>
      <c r="O357" s="42"/>
      <c r="P357" s="42"/>
      <c r="Q357" s="52"/>
    </row>
    <row r="358" spans="1:17" x14ac:dyDescent="0.25">
      <c r="A358" s="7"/>
      <c r="B358" s="15"/>
      <c r="C358" s="15"/>
      <c r="D358" s="15"/>
      <c r="E358" s="11"/>
      <c r="F358" s="45"/>
      <c r="G358" s="45"/>
      <c r="H358" s="45"/>
      <c r="I358" s="45"/>
      <c r="J358" s="42"/>
      <c r="K358" s="42"/>
      <c r="L358" s="42"/>
      <c r="M358" s="42"/>
      <c r="N358" s="42"/>
      <c r="O358" s="42"/>
      <c r="P358" s="42"/>
      <c r="Q358" s="52"/>
    </row>
    <row r="359" spans="1:17" x14ac:dyDescent="0.25">
      <c r="A359" s="7"/>
      <c r="B359" s="15"/>
      <c r="C359" s="15"/>
      <c r="D359" s="15"/>
      <c r="E359" s="11"/>
      <c r="F359" s="45"/>
      <c r="G359" s="45"/>
      <c r="H359" s="45"/>
      <c r="I359" s="45"/>
      <c r="J359" s="42"/>
      <c r="K359" s="42"/>
      <c r="L359" s="42"/>
      <c r="M359" s="42"/>
      <c r="N359" s="42"/>
      <c r="O359" s="42"/>
      <c r="P359" s="42"/>
      <c r="Q359" s="52"/>
    </row>
    <row r="360" spans="1:17" x14ac:dyDescent="0.25">
      <c r="A360" s="7"/>
      <c r="B360" s="15"/>
      <c r="C360" s="15"/>
      <c r="D360" s="15"/>
      <c r="E360" s="11"/>
      <c r="F360" s="45"/>
      <c r="G360" s="45"/>
      <c r="H360" s="45"/>
      <c r="I360" s="45"/>
      <c r="J360" s="42"/>
      <c r="K360" s="42"/>
      <c r="L360" s="42"/>
      <c r="M360" s="42"/>
      <c r="N360" s="42"/>
      <c r="O360" s="42"/>
      <c r="P360" s="42"/>
      <c r="Q360" s="52"/>
    </row>
    <row r="361" spans="1:17" x14ac:dyDescent="0.25">
      <c r="A361" s="7"/>
      <c r="B361" s="15"/>
      <c r="C361" s="15"/>
      <c r="D361" s="15"/>
      <c r="E361" s="11"/>
      <c r="F361" s="45"/>
      <c r="G361" s="45"/>
      <c r="H361" s="45"/>
      <c r="I361" s="45"/>
      <c r="J361" s="42"/>
      <c r="K361" s="42"/>
      <c r="L361" s="42"/>
      <c r="M361" s="42"/>
      <c r="N361" s="42"/>
      <c r="O361" s="42"/>
      <c r="P361" s="42"/>
      <c r="Q361" s="52"/>
    </row>
    <row r="362" spans="1:17" x14ac:dyDescent="0.25">
      <c r="A362" s="7"/>
      <c r="B362" s="15"/>
      <c r="C362" s="15"/>
      <c r="D362" s="15"/>
      <c r="E362" s="11"/>
      <c r="F362" s="45"/>
      <c r="G362" s="45"/>
      <c r="H362" s="45"/>
      <c r="I362" s="45"/>
      <c r="J362" s="42"/>
      <c r="K362" s="42"/>
      <c r="L362" s="42"/>
      <c r="M362" s="42"/>
      <c r="N362" s="42"/>
      <c r="O362" s="42"/>
      <c r="P362" s="42"/>
      <c r="Q362" s="52"/>
    </row>
    <row r="363" spans="1:17" x14ac:dyDescent="0.25">
      <c r="A363" s="7"/>
      <c r="B363" s="15"/>
      <c r="C363" s="15"/>
      <c r="D363" s="15"/>
      <c r="E363" s="11"/>
      <c r="F363" s="45"/>
      <c r="G363" s="45"/>
      <c r="H363" s="45"/>
      <c r="I363" s="45"/>
      <c r="J363" s="42"/>
      <c r="K363" s="42"/>
      <c r="L363" s="42"/>
      <c r="M363" s="42"/>
      <c r="N363" s="42"/>
      <c r="O363" s="42"/>
      <c r="P363" s="42"/>
      <c r="Q363" s="52"/>
    </row>
    <row r="364" spans="1:17" x14ac:dyDescent="0.25">
      <c r="A364" s="7"/>
      <c r="B364" s="15"/>
      <c r="C364" s="15"/>
      <c r="D364" s="15"/>
      <c r="E364" s="11"/>
      <c r="F364" s="45"/>
      <c r="G364" s="45"/>
      <c r="H364" s="45"/>
      <c r="I364" s="45"/>
      <c r="J364" s="42"/>
      <c r="K364" s="42"/>
      <c r="L364" s="42"/>
      <c r="M364" s="42"/>
      <c r="N364" s="42"/>
      <c r="O364" s="42"/>
      <c r="P364" s="42"/>
      <c r="Q364" s="52"/>
    </row>
    <row r="365" spans="1:17" x14ac:dyDescent="0.25">
      <c r="A365" s="7"/>
      <c r="B365" s="15"/>
      <c r="C365" s="15"/>
      <c r="D365" s="15"/>
      <c r="E365" s="11"/>
      <c r="F365" s="45"/>
      <c r="G365" s="45"/>
      <c r="H365" s="45"/>
      <c r="I365" s="45"/>
      <c r="J365" s="42"/>
      <c r="K365" s="42"/>
      <c r="L365" s="42"/>
      <c r="M365" s="42"/>
      <c r="N365" s="42"/>
      <c r="O365" s="42"/>
      <c r="P365" s="42"/>
      <c r="Q365" s="52"/>
    </row>
    <row r="366" spans="1:17" x14ac:dyDescent="0.25">
      <c r="A366" s="7"/>
      <c r="B366" s="15"/>
      <c r="C366" s="15"/>
      <c r="D366" s="15"/>
      <c r="E366" s="11"/>
      <c r="F366" s="45"/>
      <c r="G366" s="45"/>
      <c r="H366" s="45"/>
      <c r="I366" s="45"/>
      <c r="J366" s="42"/>
      <c r="K366" s="42"/>
      <c r="L366" s="42"/>
      <c r="M366" s="42"/>
      <c r="N366" s="42"/>
      <c r="O366" s="42"/>
      <c r="P366" s="42"/>
      <c r="Q366" s="52"/>
    </row>
    <row r="367" spans="1:17" x14ac:dyDescent="0.25">
      <c r="A367" s="7"/>
      <c r="B367" s="15"/>
      <c r="C367" s="15"/>
      <c r="D367" s="15"/>
      <c r="E367" s="11"/>
      <c r="F367" s="45"/>
      <c r="G367" s="45"/>
      <c r="H367" s="45"/>
      <c r="I367" s="45"/>
      <c r="J367" s="42"/>
      <c r="K367" s="42"/>
      <c r="L367" s="42"/>
      <c r="M367" s="42"/>
      <c r="N367" s="42"/>
      <c r="O367" s="42"/>
      <c r="P367" s="42"/>
      <c r="Q367" s="52"/>
    </row>
    <row r="368" spans="1:17" x14ac:dyDescent="0.25">
      <c r="A368" s="7"/>
      <c r="B368" s="15"/>
      <c r="C368" s="15"/>
      <c r="D368" s="15"/>
      <c r="E368" s="11"/>
      <c r="F368" s="45"/>
      <c r="G368" s="45"/>
      <c r="H368" s="45"/>
      <c r="I368" s="45"/>
      <c r="J368" s="42"/>
      <c r="K368" s="42"/>
      <c r="L368" s="42"/>
      <c r="M368" s="42"/>
      <c r="N368" s="42"/>
      <c r="O368" s="42"/>
      <c r="P368" s="42"/>
      <c r="Q368" s="52"/>
    </row>
    <row r="369" spans="1:17" x14ac:dyDescent="0.25">
      <c r="A369" s="7"/>
      <c r="B369" s="15"/>
      <c r="C369" s="15"/>
      <c r="D369" s="15"/>
      <c r="E369" s="11"/>
      <c r="F369" s="45"/>
      <c r="G369" s="45"/>
      <c r="H369" s="45"/>
      <c r="I369" s="45"/>
      <c r="J369" s="42"/>
      <c r="K369" s="42"/>
      <c r="L369" s="42"/>
      <c r="M369" s="42"/>
      <c r="N369" s="42"/>
      <c r="O369" s="42"/>
      <c r="P369" s="42"/>
      <c r="Q369" s="52"/>
    </row>
    <row r="370" spans="1:17" x14ac:dyDescent="0.25">
      <c r="A370" s="7"/>
      <c r="B370" s="15"/>
      <c r="C370" s="15"/>
      <c r="D370" s="15"/>
      <c r="E370" s="11"/>
      <c r="F370" s="45"/>
      <c r="G370" s="45"/>
      <c r="H370" s="45"/>
      <c r="I370" s="45"/>
      <c r="J370" s="42"/>
      <c r="K370" s="42"/>
      <c r="L370" s="42"/>
      <c r="M370" s="42"/>
      <c r="N370" s="42"/>
      <c r="O370" s="42"/>
      <c r="P370" s="42"/>
      <c r="Q370" s="52"/>
    </row>
    <row r="371" spans="1:17" x14ac:dyDescent="0.25">
      <c r="A371" s="7"/>
      <c r="B371" s="15"/>
      <c r="C371" s="15"/>
      <c r="D371" s="15"/>
      <c r="E371" s="11"/>
      <c r="F371" s="45"/>
      <c r="G371" s="45"/>
      <c r="H371" s="45"/>
      <c r="I371" s="45"/>
      <c r="J371" s="42"/>
      <c r="K371" s="42"/>
      <c r="L371" s="42"/>
      <c r="M371" s="42"/>
      <c r="N371" s="42"/>
      <c r="O371" s="42"/>
      <c r="P371" s="42"/>
      <c r="Q371" s="52"/>
    </row>
    <row r="372" spans="1:17" x14ac:dyDescent="0.25">
      <c r="A372" s="7"/>
      <c r="B372" s="15"/>
      <c r="C372" s="15"/>
      <c r="D372" s="15"/>
      <c r="E372" s="11"/>
      <c r="F372" s="45"/>
      <c r="G372" s="45"/>
      <c r="H372" s="45"/>
      <c r="I372" s="45"/>
      <c r="J372" s="42"/>
      <c r="K372" s="42"/>
      <c r="L372" s="42"/>
      <c r="M372" s="42"/>
      <c r="N372" s="42"/>
      <c r="O372" s="42"/>
      <c r="P372" s="42"/>
      <c r="Q372" s="52"/>
    </row>
    <row r="373" spans="1:17" x14ac:dyDescent="0.25">
      <c r="A373" s="7"/>
      <c r="B373" s="15"/>
      <c r="C373" s="15"/>
      <c r="D373" s="15"/>
      <c r="E373" s="11"/>
      <c r="F373" s="45"/>
      <c r="G373" s="45"/>
      <c r="H373" s="45"/>
      <c r="I373" s="45"/>
      <c r="J373" s="42"/>
      <c r="K373" s="42"/>
      <c r="L373" s="42"/>
      <c r="M373" s="42"/>
      <c r="N373" s="42"/>
      <c r="O373" s="42"/>
      <c r="P373" s="42"/>
      <c r="Q373" s="52"/>
    </row>
    <row r="374" spans="1:17" x14ac:dyDescent="0.25">
      <c r="A374" s="7"/>
      <c r="B374" s="15"/>
      <c r="C374" s="15"/>
      <c r="D374" s="15"/>
      <c r="E374" s="11"/>
      <c r="F374" s="45"/>
      <c r="G374" s="45"/>
      <c r="H374" s="45"/>
      <c r="I374" s="45"/>
      <c r="J374" s="42"/>
      <c r="K374" s="42"/>
      <c r="L374" s="42"/>
      <c r="M374" s="42"/>
      <c r="N374" s="42"/>
      <c r="O374" s="42"/>
      <c r="P374" s="42"/>
      <c r="Q374" s="52"/>
    </row>
    <row r="375" spans="1:17" x14ac:dyDescent="0.25">
      <c r="A375" s="7"/>
      <c r="B375" s="15"/>
      <c r="C375" s="15"/>
      <c r="D375" s="15"/>
      <c r="E375" s="11"/>
      <c r="F375" s="45"/>
      <c r="G375" s="45"/>
      <c r="H375" s="45"/>
      <c r="I375" s="45"/>
      <c r="J375" s="42"/>
      <c r="K375" s="42"/>
      <c r="L375" s="42"/>
      <c r="M375" s="42"/>
      <c r="N375" s="42"/>
      <c r="O375" s="42"/>
      <c r="P375" s="42"/>
      <c r="Q375" s="52"/>
    </row>
    <row r="376" spans="1:17" x14ac:dyDescent="0.25">
      <c r="A376" s="7"/>
      <c r="B376" s="15"/>
      <c r="C376" s="15"/>
      <c r="D376" s="15"/>
      <c r="E376" s="11"/>
      <c r="F376" s="45"/>
      <c r="G376" s="45"/>
      <c r="H376" s="45"/>
      <c r="I376" s="45"/>
      <c r="J376" s="42"/>
      <c r="K376" s="42"/>
      <c r="L376" s="42"/>
      <c r="M376" s="42"/>
      <c r="N376" s="42"/>
      <c r="O376" s="42"/>
      <c r="P376" s="42"/>
      <c r="Q376" s="52"/>
    </row>
    <row r="377" spans="1:17" x14ac:dyDescent="0.25">
      <c r="A377" s="7"/>
      <c r="B377" s="15"/>
      <c r="C377" s="15"/>
      <c r="D377" s="15"/>
      <c r="E377" s="11"/>
      <c r="F377" s="45"/>
      <c r="G377" s="45"/>
      <c r="H377" s="45"/>
      <c r="I377" s="45"/>
      <c r="J377" s="42"/>
      <c r="K377" s="42"/>
      <c r="L377" s="42"/>
      <c r="M377" s="42"/>
      <c r="N377" s="42"/>
      <c r="O377" s="42"/>
      <c r="P377" s="42"/>
      <c r="Q377" s="52"/>
    </row>
    <row r="378" spans="1:17" x14ac:dyDescent="0.25">
      <c r="A378" s="7"/>
      <c r="B378" s="15"/>
      <c r="C378" s="15"/>
      <c r="D378" s="15"/>
      <c r="E378" s="11"/>
      <c r="F378" s="45"/>
      <c r="G378" s="45"/>
      <c r="H378" s="45"/>
      <c r="I378" s="45"/>
      <c r="J378" s="42"/>
      <c r="K378" s="42"/>
      <c r="L378" s="42"/>
      <c r="M378" s="42"/>
      <c r="N378" s="42"/>
      <c r="O378" s="42"/>
      <c r="P378" s="42"/>
      <c r="Q378" s="52"/>
    </row>
    <row r="379" spans="1:17" x14ac:dyDescent="0.25">
      <c r="A379" s="7"/>
      <c r="B379" s="15"/>
      <c r="C379" s="15"/>
      <c r="D379" s="15"/>
      <c r="E379" s="11"/>
      <c r="F379" s="45"/>
      <c r="G379" s="45"/>
      <c r="H379" s="45"/>
      <c r="I379" s="45"/>
      <c r="J379" s="42"/>
      <c r="K379" s="42"/>
      <c r="L379" s="42"/>
      <c r="M379" s="42"/>
      <c r="N379" s="42"/>
      <c r="O379" s="42"/>
      <c r="P379" s="42"/>
      <c r="Q379" s="52"/>
    </row>
    <row r="380" spans="1:17" x14ac:dyDescent="0.25">
      <c r="A380" s="7"/>
      <c r="B380" s="15"/>
      <c r="C380" s="15"/>
      <c r="D380" s="15"/>
      <c r="E380" s="11"/>
      <c r="F380" s="45"/>
      <c r="G380" s="45"/>
      <c r="H380" s="45"/>
      <c r="I380" s="45"/>
      <c r="J380" s="42"/>
      <c r="K380" s="42"/>
      <c r="L380" s="42"/>
      <c r="M380" s="42"/>
      <c r="N380" s="42"/>
      <c r="O380" s="42"/>
      <c r="P380" s="42"/>
      <c r="Q380" s="52"/>
    </row>
    <row r="381" spans="1:17" x14ac:dyDescent="0.25">
      <c r="A381" s="7"/>
      <c r="B381" s="15"/>
      <c r="C381" s="15"/>
      <c r="D381" s="15"/>
      <c r="E381" s="11"/>
      <c r="F381" s="45"/>
      <c r="G381" s="45"/>
      <c r="H381" s="45"/>
      <c r="I381" s="45"/>
      <c r="J381" s="42"/>
      <c r="K381" s="42"/>
      <c r="L381" s="42"/>
      <c r="M381" s="42"/>
      <c r="N381" s="42"/>
      <c r="O381" s="42"/>
      <c r="P381" s="42"/>
      <c r="Q381" s="52"/>
    </row>
    <row r="382" spans="1:17" x14ac:dyDescent="0.25">
      <c r="A382" s="7"/>
      <c r="B382" s="15"/>
      <c r="C382" s="15"/>
      <c r="D382" s="15"/>
      <c r="E382" s="11"/>
      <c r="F382" s="45"/>
      <c r="G382" s="45"/>
      <c r="H382" s="45"/>
      <c r="I382" s="45"/>
      <c r="J382" s="42"/>
      <c r="K382" s="42"/>
      <c r="L382" s="42"/>
      <c r="M382" s="42"/>
      <c r="N382" s="42"/>
      <c r="O382" s="42"/>
      <c r="P382" s="42"/>
      <c r="Q382" s="52"/>
    </row>
    <row r="383" spans="1:17" x14ac:dyDescent="0.25">
      <c r="A383" s="7"/>
      <c r="B383" s="15"/>
      <c r="C383" s="15"/>
      <c r="D383" s="15"/>
      <c r="E383" s="11"/>
      <c r="F383" s="45"/>
      <c r="G383" s="45"/>
      <c r="H383" s="45"/>
      <c r="I383" s="45"/>
      <c r="J383" s="42"/>
      <c r="K383" s="42"/>
      <c r="L383" s="42"/>
      <c r="M383" s="42"/>
      <c r="N383" s="42"/>
      <c r="O383" s="42"/>
      <c r="P383" s="42"/>
      <c r="Q383" s="52"/>
    </row>
    <row r="384" spans="1:17" x14ac:dyDescent="0.25">
      <c r="A384" s="7"/>
      <c r="B384" s="15"/>
      <c r="C384" s="15"/>
      <c r="D384" s="15"/>
      <c r="E384" s="11"/>
      <c r="F384" s="45"/>
      <c r="G384" s="45"/>
      <c r="H384" s="45"/>
      <c r="I384" s="45"/>
      <c r="J384" s="42"/>
      <c r="K384" s="42"/>
      <c r="L384" s="42"/>
      <c r="M384" s="42"/>
      <c r="N384" s="42"/>
      <c r="O384" s="42"/>
      <c r="P384" s="42"/>
      <c r="Q384" s="52"/>
    </row>
    <row r="385" spans="1:17" x14ac:dyDescent="0.25">
      <c r="A385" s="7"/>
      <c r="B385" s="15"/>
      <c r="C385" s="15"/>
      <c r="D385" s="15"/>
      <c r="E385" s="11"/>
      <c r="F385" s="45"/>
      <c r="G385" s="45"/>
      <c r="H385" s="45"/>
      <c r="I385" s="45"/>
      <c r="J385" s="42"/>
      <c r="K385" s="42"/>
      <c r="L385" s="42"/>
      <c r="M385" s="42"/>
      <c r="N385" s="42"/>
      <c r="O385" s="42"/>
      <c r="P385" s="42"/>
      <c r="Q385" s="52"/>
    </row>
    <row r="386" spans="1:17" x14ac:dyDescent="0.25">
      <c r="A386" s="7"/>
      <c r="B386" s="15"/>
      <c r="C386" s="15"/>
      <c r="D386" s="15"/>
      <c r="E386" s="11"/>
      <c r="F386" s="45"/>
      <c r="G386" s="45"/>
      <c r="H386" s="45"/>
      <c r="I386" s="45"/>
      <c r="J386" s="42"/>
      <c r="K386" s="42"/>
      <c r="L386" s="42"/>
      <c r="M386" s="42"/>
      <c r="N386" s="42"/>
      <c r="O386" s="42"/>
      <c r="P386" s="42"/>
      <c r="Q386" s="52"/>
    </row>
    <row r="387" spans="1:17" x14ac:dyDescent="0.25">
      <c r="A387" s="7"/>
      <c r="B387" s="15"/>
      <c r="C387" s="15"/>
      <c r="D387" s="15"/>
      <c r="E387" s="11"/>
      <c r="F387" s="45"/>
      <c r="G387" s="45"/>
      <c r="H387" s="45"/>
      <c r="I387" s="45"/>
      <c r="J387" s="42"/>
      <c r="K387" s="42"/>
      <c r="L387" s="42"/>
      <c r="M387" s="42"/>
      <c r="N387" s="42"/>
      <c r="O387" s="42"/>
      <c r="P387" s="42"/>
      <c r="Q387" s="52"/>
    </row>
    <row r="388" spans="1:17" x14ac:dyDescent="0.25">
      <c r="A388" s="7"/>
      <c r="B388" s="15"/>
      <c r="C388" s="15"/>
      <c r="D388" s="15"/>
      <c r="E388" s="11"/>
      <c r="F388" s="45"/>
      <c r="G388" s="45"/>
      <c r="H388" s="45"/>
      <c r="I388" s="45"/>
      <c r="J388" s="42"/>
      <c r="K388" s="42"/>
      <c r="L388" s="42"/>
      <c r="M388" s="42"/>
      <c r="N388" s="42"/>
      <c r="O388" s="42"/>
      <c r="P388" s="42"/>
      <c r="Q388" s="52"/>
    </row>
    <row r="389" spans="1:17" x14ac:dyDescent="0.25">
      <c r="A389" s="7"/>
      <c r="B389" s="15"/>
      <c r="C389" s="15"/>
      <c r="D389" s="15"/>
      <c r="E389" s="11"/>
      <c r="F389" s="45"/>
      <c r="G389" s="45"/>
      <c r="H389" s="45"/>
      <c r="I389" s="45"/>
      <c r="J389" s="42"/>
      <c r="K389" s="42"/>
      <c r="L389" s="42"/>
      <c r="M389" s="42"/>
      <c r="N389" s="42"/>
      <c r="O389" s="42"/>
      <c r="P389" s="42"/>
      <c r="Q389" s="52"/>
    </row>
    <row r="390" spans="1:17" x14ac:dyDescent="0.25">
      <c r="A390" s="7"/>
      <c r="B390" s="15"/>
      <c r="C390" s="15"/>
      <c r="D390" s="15"/>
      <c r="E390" s="11"/>
      <c r="F390" s="45"/>
      <c r="G390" s="45"/>
      <c r="H390" s="45"/>
      <c r="I390" s="45"/>
      <c r="J390" s="42"/>
      <c r="K390" s="42"/>
      <c r="L390" s="42"/>
      <c r="M390" s="42"/>
      <c r="N390" s="42"/>
      <c r="O390" s="42"/>
      <c r="P390" s="42"/>
      <c r="Q390" s="52"/>
    </row>
    <row r="391" spans="1:17" x14ac:dyDescent="0.25">
      <c r="A391" s="7"/>
      <c r="B391" s="15"/>
      <c r="C391" s="15"/>
      <c r="D391" s="15"/>
      <c r="E391" s="11"/>
      <c r="F391" s="45"/>
      <c r="G391" s="45"/>
      <c r="H391" s="45"/>
      <c r="I391" s="45"/>
      <c r="J391" s="42"/>
      <c r="K391" s="42"/>
      <c r="L391" s="42"/>
      <c r="M391" s="42"/>
      <c r="N391" s="42"/>
      <c r="O391" s="42"/>
      <c r="P391" s="42"/>
      <c r="Q391" s="52"/>
    </row>
    <row r="392" spans="1:17" x14ac:dyDescent="0.25">
      <c r="A392" s="7"/>
      <c r="B392" s="15"/>
      <c r="C392" s="15"/>
      <c r="D392" s="15"/>
      <c r="E392" s="11"/>
      <c r="F392" s="45"/>
      <c r="G392" s="45"/>
      <c r="H392" s="45"/>
      <c r="I392" s="45"/>
      <c r="J392" s="42"/>
      <c r="K392" s="42"/>
      <c r="L392" s="42"/>
      <c r="M392" s="42"/>
      <c r="N392" s="42"/>
      <c r="O392" s="42"/>
      <c r="P392" s="42"/>
      <c r="Q392" s="52"/>
    </row>
    <row r="393" spans="1:17" x14ac:dyDescent="0.25">
      <c r="A393" s="7"/>
      <c r="B393" s="15"/>
      <c r="C393" s="15"/>
      <c r="D393" s="15"/>
      <c r="E393" s="11"/>
      <c r="F393" s="45"/>
      <c r="G393" s="45"/>
      <c r="H393" s="45"/>
      <c r="I393" s="45"/>
      <c r="J393" s="42"/>
      <c r="K393" s="42"/>
      <c r="L393" s="42"/>
      <c r="M393" s="42"/>
      <c r="N393" s="42"/>
      <c r="O393" s="42"/>
      <c r="P393" s="42"/>
      <c r="Q393" s="52"/>
    </row>
    <row r="394" spans="1:17" x14ac:dyDescent="0.25">
      <c r="A394" s="7"/>
      <c r="B394" s="15"/>
      <c r="C394" s="15"/>
      <c r="D394" s="15"/>
      <c r="E394" s="11"/>
      <c r="F394" s="45"/>
      <c r="G394" s="45"/>
      <c r="H394" s="45"/>
      <c r="I394" s="45"/>
      <c r="J394" s="42"/>
      <c r="K394" s="42"/>
      <c r="L394" s="42"/>
      <c r="M394" s="42"/>
      <c r="N394" s="42"/>
      <c r="O394" s="42"/>
      <c r="P394" s="42"/>
      <c r="Q394" s="52"/>
    </row>
    <row r="395" spans="1:17" x14ac:dyDescent="0.25">
      <c r="A395" s="7"/>
      <c r="B395" s="15"/>
      <c r="C395" s="15"/>
      <c r="D395" s="15"/>
      <c r="E395" s="11"/>
      <c r="F395" s="45"/>
      <c r="G395" s="45"/>
      <c r="H395" s="45"/>
      <c r="I395" s="45"/>
      <c r="J395" s="42"/>
      <c r="K395" s="42"/>
      <c r="L395" s="42"/>
      <c r="M395" s="42"/>
      <c r="N395" s="42"/>
      <c r="O395" s="42"/>
      <c r="P395" s="42"/>
      <c r="Q395" s="52"/>
    </row>
    <row r="396" spans="1:17" x14ac:dyDescent="0.25">
      <c r="A396" s="7"/>
      <c r="B396" s="15"/>
      <c r="C396" s="15"/>
      <c r="D396" s="15"/>
      <c r="E396" s="11"/>
      <c r="F396" s="45"/>
      <c r="G396" s="45"/>
      <c r="H396" s="45"/>
      <c r="I396" s="45"/>
      <c r="J396" s="42"/>
      <c r="K396" s="42"/>
      <c r="L396" s="42"/>
      <c r="M396" s="42"/>
      <c r="N396" s="42"/>
      <c r="O396" s="42"/>
      <c r="P396" s="42"/>
      <c r="Q396" s="52"/>
    </row>
    <row r="397" spans="1:17" x14ac:dyDescent="0.25">
      <c r="A397" s="7"/>
      <c r="B397" s="15"/>
      <c r="C397" s="15"/>
      <c r="D397" s="15"/>
      <c r="E397" s="11"/>
      <c r="F397" s="45"/>
      <c r="G397" s="45"/>
      <c r="H397" s="45"/>
      <c r="I397" s="45"/>
      <c r="J397" s="42"/>
      <c r="K397" s="42"/>
      <c r="L397" s="42"/>
      <c r="M397" s="42"/>
      <c r="N397" s="42"/>
      <c r="O397" s="42"/>
      <c r="P397" s="42"/>
      <c r="Q397" s="52"/>
    </row>
    <row r="398" spans="1:17" x14ac:dyDescent="0.25">
      <c r="A398" s="7"/>
      <c r="B398" s="15"/>
      <c r="C398" s="15"/>
      <c r="D398" s="15"/>
      <c r="E398" s="11"/>
      <c r="F398" s="45"/>
      <c r="G398" s="45"/>
      <c r="H398" s="45"/>
      <c r="I398" s="45"/>
      <c r="J398" s="42"/>
      <c r="K398" s="42"/>
      <c r="L398" s="42"/>
      <c r="M398" s="42"/>
      <c r="N398" s="42"/>
      <c r="O398" s="42"/>
      <c r="P398" s="42"/>
      <c r="Q398" s="52"/>
    </row>
    <row r="399" spans="1:17" x14ac:dyDescent="0.25">
      <c r="A399" s="7"/>
      <c r="B399" s="15"/>
      <c r="C399" s="15"/>
      <c r="D399" s="15"/>
      <c r="E399" s="11"/>
      <c r="F399" s="45"/>
      <c r="G399" s="45"/>
      <c r="H399" s="45"/>
      <c r="I399" s="45"/>
      <c r="J399" s="42"/>
      <c r="K399" s="42"/>
      <c r="L399" s="42"/>
      <c r="M399" s="42"/>
      <c r="N399" s="42"/>
      <c r="O399" s="42"/>
      <c r="P399" s="42"/>
      <c r="Q399" s="52"/>
    </row>
    <row r="400" spans="1:17" x14ac:dyDescent="0.25">
      <c r="A400" s="7"/>
      <c r="B400" s="15"/>
      <c r="C400" s="15"/>
      <c r="D400" s="15"/>
      <c r="E400" s="11"/>
      <c r="F400" s="45"/>
      <c r="G400" s="45"/>
      <c r="H400" s="45"/>
      <c r="I400" s="45"/>
      <c r="J400" s="42"/>
      <c r="K400" s="42"/>
      <c r="L400" s="42"/>
      <c r="M400" s="42"/>
      <c r="N400" s="42"/>
      <c r="O400" s="42"/>
      <c r="P400" s="42"/>
      <c r="Q400" s="52"/>
    </row>
    <row r="401" spans="1:17" x14ac:dyDescent="0.25">
      <c r="A401" s="7"/>
      <c r="B401" s="15"/>
      <c r="C401" s="15"/>
      <c r="D401" s="15"/>
      <c r="E401" s="11"/>
      <c r="F401" s="45"/>
      <c r="G401" s="45"/>
      <c r="H401" s="45"/>
      <c r="I401" s="45"/>
      <c r="J401" s="42"/>
      <c r="K401" s="42"/>
      <c r="L401" s="42"/>
      <c r="M401" s="42"/>
      <c r="N401" s="42"/>
      <c r="O401" s="42"/>
      <c r="P401" s="42"/>
      <c r="Q401" s="52"/>
    </row>
    <row r="402" spans="1:17" x14ac:dyDescent="0.25">
      <c r="A402" s="7"/>
      <c r="B402" s="15"/>
      <c r="C402" s="15"/>
      <c r="D402" s="15"/>
      <c r="E402" s="11"/>
      <c r="F402" s="45"/>
      <c r="G402" s="45"/>
      <c r="H402" s="45"/>
      <c r="I402" s="45"/>
      <c r="J402" s="42"/>
      <c r="K402" s="42"/>
      <c r="L402" s="42"/>
      <c r="M402" s="42"/>
      <c r="N402" s="42"/>
      <c r="O402" s="42"/>
      <c r="P402" s="42"/>
      <c r="Q402" s="52"/>
    </row>
    <row r="403" spans="1:17" x14ac:dyDescent="0.25">
      <c r="A403" s="7"/>
      <c r="B403" s="15"/>
      <c r="C403" s="15"/>
      <c r="D403" s="15"/>
      <c r="E403" s="11"/>
      <c r="F403" s="45"/>
      <c r="G403" s="45"/>
      <c r="H403" s="45"/>
      <c r="I403" s="45"/>
      <c r="J403" s="42"/>
      <c r="K403" s="42"/>
      <c r="L403" s="42"/>
      <c r="M403" s="42"/>
      <c r="N403" s="42"/>
      <c r="O403" s="42"/>
      <c r="P403" s="42"/>
      <c r="Q403" s="52"/>
    </row>
    <row r="404" spans="1:17" x14ac:dyDescent="0.25">
      <c r="A404" s="7"/>
      <c r="B404" s="15"/>
      <c r="C404" s="15"/>
      <c r="D404" s="15"/>
      <c r="E404" s="11"/>
      <c r="F404" s="45"/>
      <c r="G404" s="45"/>
      <c r="H404" s="45"/>
      <c r="I404" s="45"/>
      <c r="J404" s="42"/>
      <c r="K404" s="42"/>
      <c r="L404" s="42"/>
      <c r="M404" s="42"/>
      <c r="N404" s="42"/>
      <c r="O404" s="42"/>
      <c r="P404" s="42"/>
      <c r="Q404" s="52"/>
    </row>
  </sheetData>
  <hyperlinks>
    <hyperlink ref="E68" r:id="rId1" xr:uid="{C9291FC9-5A5B-4392-96B1-B190D5000E26}"/>
    <hyperlink ref="E72" r:id="rId2" xr:uid="{6D40157B-63F5-4DFD-88B6-E555A70D560C}"/>
    <hyperlink ref="E52:E65" r:id="rId3" display="OECD long-term forecast" xr:uid="{088CBD93-1E9E-40E7-AB0C-00E927204B15}"/>
    <hyperlink ref="E19" r:id="rId4" xr:uid="{A1C0E196-FFDD-42CF-A42C-259D8E24DC22}"/>
    <hyperlink ref="E20:E32" r:id="rId5" display="StatCan, Scenario M1" xr:uid="{E26E6259-1D67-47B3-B12F-C834E1019D4B}"/>
    <hyperlink ref="E3" r:id="rId6" xr:uid="{2498A91B-831E-4C2D-A90B-AF4CC5343974}"/>
    <hyperlink ref="E4:E16" r:id="rId7" display="StatCan" xr:uid="{9729C96A-5176-4C3D-AC2A-DC3C52A948A1}"/>
  </hyperlinks>
  <pageMargins left="0.7" right="0.7" top="0.75" bottom="0.75" header="0.3" footer="0.3"/>
  <pageSetup orientation="portrait" horizontalDpi="4294967293" verticalDpi="0" r:id="rId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2EF04-A27D-4141-8132-0192A0DB5832}">
  <sheetPr codeName="Sheet2">
    <outlinePr summaryBelow="0" summaryRight="0"/>
  </sheetPr>
  <dimension ref="A1:BZ446"/>
  <sheetViews>
    <sheetView zoomScale="85" zoomScaleNormal="85" workbookViewId="0">
      <pane xSplit="5" ySplit="1" topLeftCell="F35" activePane="bottomRight" state="frozen"/>
      <selection pane="topRight" activeCell="E1" sqref="E1"/>
      <selection pane="bottomLeft" activeCell="A3" sqref="A3"/>
      <selection pane="bottomRight" activeCell="C95" sqref="C95"/>
    </sheetView>
  </sheetViews>
  <sheetFormatPr defaultRowHeight="15" outlineLevelRow="1" x14ac:dyDescent="0.25"/>
  <cols>
    <col min="1" max="1" width="2.7109375" style="3" customWidth="1"/>
    <col min="2" max="2" width="29.85546875" style="17" bestFit="1" customWidth="1"/>
    <col min="3" max="3" width="27.5703125" style="17" customWidth="1"/>
    <col min="4" max="4" width="43.140625" style="17" bestFit="1" customWidth="1"/>
    <col min="5" max="5" width="22.140625" style="39" customWidth="1"/>
    <col min="6" max="9" width="15.7109375" style="44" customWidth="1"/>
    <col min="10" max="16" width="15.7109375" style="43" customWidth="1"/>
    <col min="17" max="17" width="2.7109375" style="17" customWidth="1"/>
    <col min="18" max="68" width="10.28515625" style="53" bestFit="1" customWidth="1"/>
    <col min="69" max="78" width="10.28515625" bestFit="1" customWidth="1"/>
  </cols>
  <sheetData>
    <row r="1" spans="1:78" x14ac:dyDescent="0.25">
      <c r="A1" s="25"/>
      <c r="B1" s="37" t="s">
        <v>9</v>
      </c>
      <c r="C1" s="37" t="s">
        <v>9</v>
      </c>
      <c r="D1" s="37" t="s">
        <v>16</v>
      </c>
      <c r="E1" s="10" t="s">
        <v>98</v>
      </c>
      <c r="F1" s="46">
        <v>2000</v>
      </c>
      <c r="G1" s="46">
        <v>2005</v>
      </c>
      <c r="H1" s="46">
        <v>2010</v>
      </c>
      <c r="I1" s="46">
        <v>2015</v>
      </c>
      <c r="J1" s="46">
        <v>2020</v>
      </c>
      <c r="K1" s="46">
        <v>2025</v>
      </c>
      <c r="L1" s="46">
        <v>2030</v>
      </c>
      <c r="M1" s="46">
        <v>2035</v>
      </c>
      <c r="N1" s="46">
        <v>2040</v>
      </c>
      <c r="O1" s="46">
        <v>2045</v>
      </c>
      <c r="P1" s="46">
        <v>2050</v>
      </c>
      <c r="Q1" s="50"/>
      <c r="R1" s="46">
        <v>2000</v>
      </c>
      <c r="S1" s="46">
        <v>2001</v>
      </c>
      <c r="T1" s="46">
        <v>2002</v>
      </c>
      <c r="U1" s="46">
        <v>2003</v>
      </c>
      <c r="V1" s="46">
        <v>2004</v>
      </c>
      <c r="W1" s="46">
        <v>2005</v>
      </c>
      <c r="X1" s="46">
        <v>2006</v>
      </c>
      <c r="Y1" s="46">
        <v>2007</v>
      </c>
      <c r="Z1" s="46">
        <v>2008</v>
      </c>
      <c r="AA1" s="46">
        <v>2009</v>
      </c>
      <c r="AB1" s="46">
        <v>2010</v>
      </c>
      <c r="AC1" s="46">
        <v>2011</v>
      </c>
      <c r="AD1" s="46">
        <v>2012</v>
      </c>
      <c r="AE1" s="46">
        <v>2013</v>
      </c>
      <c r="AF1" s="46">
        <v>2014</v>
      </c>
      <c r="AG1" s="46">
        <v>2015</v>
      </c>
      <c r="AH1" s="46">
        <v>2016</v>
      </c>
      <c r="AI1" s="46">
        <v>2017</v>
      </c>
      <c r="AJ1" s="46">
        <v>2018</v>
      </c>
      <c r="AK1" s="46">
        <v>2019</v>
      </c>
      <c r="AL1" s="46">
        <v>2020</v>
      </c>
      <c r="AM1" s="46">
        <v>2021</v>
      </c>
      <c r="AN1" s="46">
        <v>2022</v>
      </c>
      <c r="AO1" s="46">
        <v>2023</v>
      </c>
      <c r="AP1" s="46">
        <v>2024</v>
      </c>
      <c r="AQ1" s="46">
        <v>2025</v>
      </c>
      <c r="AR1" s="46">
        <v>2026</v>
      </c>
      <c r="AS1" s="46">
        <v>2027</v>
      </c>
      <c r="AT1" s="46">
        <v>2028</v>
      </c>
      <c r="AU1" s="46">
        <v>2029</v>
      </c>
      <c r="AV1" s="46">
        <v>2030</v>
      </c>
      <c r="AW1" s="46">
        <v>2031</v>
      </c>
      <c r="AX1" s="46">
        <v>2032</v>
      </c>
      <c r="AY1" s="46">
        <v>2033</v>
      </c>
      <c r="AZ1" s="46">
        <v>2034</v>
      </c>
      <c r="BA1" s="46">
        <v>2035</v>
      </c>
      <c r="BB1" s="46">
        <v>2036</v>
      </c>
      <c r="BC1" s="46">
        <v>2037</v>
      </c>
      <c r="BD1" s="46">
        <v>2038</v>
      </c>
      <c r="BE1" s="46">
        <v>2039</v>
      </c>
      <c r="BF1" s="46">
        <v>2040</v>
      </c>
      <c r="BG1" s="46">
        <v>2041</v>
      </c>
      <c r="BH1" s="46">
        <v>2042</v>
      </c>
      <c r="BI1" s="46">
        <v>2043</v>
      </c>
      <c r="BJ1" s="46">
        <v>2044</v>
      </c>
      <c r="BK1" s="46">
        <v>2045</v>
      </c>
      <c r="BL1" s="46">
        <v>2046</v>
      </c>
      <c r="BM1" s="46">
        <v>2047</v>
      </c>
      <c r="BN1" s="46">
        <v>2048</v>
      </c>
      <c r="BO1" s="46">
        <v>2049</v>
      </c>
      <c r="BP1" s="46">
        <v>2050</v>
      </c>
      <c r="BQ1" s="46">
        <v>2051</v>
      </c>
      <c r="BR1" s="46">
        <v>2052</v>
      </c>
      <c r="BS1" s="46">
        <v>2053</v>
      </c>
      <c r="BT1" s="46">
        <v>2054</v>
      </c>
      <c r="BU1" s="46">
        <v>2055</v>
      </c>
      <c r="BV1" s="46">
        <v>2056</v>
      </c>
      <c r="BW1" s="46">
        <v>2057</v>
      </c>
      <c r="BX1" s="46">
        <v>2058</v>
      </c>
      <c r="BY1" s="46">
        <v>2059</v>
      </c>
      <c r="BZ1" s="46">
        <v>2060</v>
      </c>
    </row>
    <row r="2" spans="1:78" x14ac:dyDescent="0.25">
      <c r="A2" s="13"/>
      <c r="B2" s="15"/>
      <c r="C2" s="15"/>
      <c r="D2" s="15"/>
      <c r="E2" s="1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51"/>
    </row>
    <row r="3" spans="1:78" x14ac:dyDescent="0.25">
      <c r="A3" s="7"/>
      <c r="B3" s="72" t="s">
        <v>132</v>
      </c>
      <c r="C3" s="38" t="s">
        <v>60</v>
      </c>
      <c r="D3" s="38" t="s">
        <v>129</v>
      </c>
      <c r="E3" s="40" t="s">
        <v>130</v>
      </c>
      <c r="F3" s="58">
        <f>$S3</f>
        <v>2.6</v>
      </c>
      <c r="G3" s="43">
        <f>linterp($S3:$AH3,$S$1:$AH$1,G$1)</f>
        <v>2.52</v>
      </c>
      <c r="H3" s="43">
        <f t="shared" ref="H3:I16" si="0">linterp($S3:$AH3,$S$1:$AH$1,H$1)</f>
        <v>2.5</v>
      </c>
      <c r="I3" s="43">
        <f t="shared" si="0"/>
        <v>2.42</v>
      </c>
      <c r="J3" s="58">
        <f>$AH3</f>
        <v>2.4</v>
      </c>
      <c r="K3" s="58">
        <f t="shared" ref="K3:P16" si="1">$AH3</f>
        <v>2.4</v>
      </c>
      <c r="L3" s="58">
        <f t="shared" si="1"/>
        <v>2.4</v>
      </c>
      <c r="M3" s="58">
        <f t="shared" si="1"/>
        <v>2.4</v>
      </c>
      <c r="N3" s="58">
        <f t="shared" si="1"/>
        <v>2.4</v>
      </c>
      <c r="O3" s="58">
        <f t="shared" si="1"/>
        <v>2.4</v>
      </c>
      <c r="P3" s="58">
        <f t="shared" si="1"/>
        <v>2.4</v>
      </c>
      <c r="Q3" s="52"/>
      <c r="R3" s="54"/>
      <c r="S3" s="54">
        <v>2.6</v>
      </c>
      <c r="T3" s="54"/>
      <c r="U3" s="54"/>
      <c r="V3" s="54"/>
      <c r="W3" s="54"/>
      <c r="X3" s="54">
        <v>2.5</v>
      </c>
      <c r="Y3" s="54"/>
      <c r="Z3" s="54"/>
      <c r="AA3" s="54"/>
      <c r="AB3" s="54"/>
      <c r="AC3" s="54">
        <v>2.5</v>
      </c>
      <c r="AD3" s="54"/>
      <c r="AE3" s="54"/>
      <c r="AF3" s="54"/>
      <c r="AG3" s="54"/>
      <c r="AH3" s="54">
        <v>2.4</v>
      </c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</row>
    <row r="4" spans="1:78" x14ac:dyDescent="0.25">
      <c r="A4" s="7"/>
      <c r="B4" s="15"/>
      <c r="C4" s="15" t="s">
        <v>107</v>
      </c>
      <c r="D4" s="38" t="s">
        <v>129</v>
      </c>
      <c r="E4" s="40" t="s">
        <v>130</v>
      </c>
      <c r="F4" s="58">
        <f t="shared" ref="F4:F16" si="2">$S4</f>
        <v>2.7</v>
      </c>
      <c r="G4" s="43">
        <f t="shared" ref="G4:G16" si="3">linterp($S4:$AH4,$S$1:$AH$1,G$1)</f>
        <v>2.54</v>
      </c>
      <c r="H4" s="43">
        <f t="shared" si="0"/>
        <v>2.42</v>
      </c>
      <c r="I4" s="43">
        <f t="shared" si="0"/>
        <v>2.3199999999999998</v>
      </c>
      <c r="J4" s="58">
        <f t="shared" ref="J4:J16" si="4">$AH4</f>
        <v>2.2999999999999998</v>
      </c>
      <c r="K4" s="58">
        <f t="shared" si="1"/>
        <v>2.2999999999999998</v>
      </c>
      <c r="L4" s="58">
        <f t="shared" si="1"/>
        <v>2.2999999999999998</v>
      </c>
      <c r="M4" s="58">
        <f t="shared" si="1"/>
        <v>2.2999999999999998</v>
      </c>
      <c r="N4" s="58">
        <f t="shared" si="1"/>
        <v>2.2999999999999998</v>
      </c>
      <c r="O4" s="58">
        <f t="shared" si="1"/>
        <v>2.2999999999999998</v>
      </c>
      <c r="P4" s="58">
        <f t="shared" si="1"/>
        <v>2.2999999999999998</v>
      </c>
      <c r="Q4" s="52"/>
      <c r="R4" s="54"/>
      <c r="S4" s="54">
        <v>2.7</v>
      </c>
      <c r="T4" s="54"/>
      <c r="U4" s="54"/>
      <c r="V4" s="54"/>
      <c r="W4" s="54"/>
      <c r="X4" s="54">
        <v>2.5</v>
      </c>
      <c r="Y4" s="54"/>
      <c r="Z4" s="54"/>
      <c r="AA4" s="54"/>
      <c r="AB4" s="54"/>
      <c r="AC4" s="54">
        <v>2.4</v>
      </c>
      <c r="AD4" s="54"/>
      <c r="AE4" s="54"/>
      <c r="AF4" s="54"/>
      <c r="AG4" s="54"/>
      <c r="AH4" s="54">
        <v>2.2999999999999998</v>
      </c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</row>
    <row r="5" spans="1:78" x14ac:dyDescent="0.25">
      <c r="A5" s="7"/>
      <c r="B5" s="38"/>
      <c r="C5" s="38" t="s">
        <v>108</v>
      </c>
      <c r="D5" s="38" t="s">
        <v>129</v>
      </c>
      <c r="E5" s="40" t="s">
        <v>130</v>
      </c>
      <c r="F5" s="58">
        <f t="shared" si="2"/>
        <v>2.6</v>
      </c>
      <c r="G5" s="43">
        <f t="shared" si="3"/>
        <v>2.52</v>
      </c>
      <c r="H5" s="43">
        <f t="shared" si="0"/>
        <v>2.42</v>
      </c>
      <c r="I5" s="43">
        <f t="shared" si="0"/>
        <v>2.3199999999999998</v>
      </c>
      <c r="J5" s="58">
        <f t="shared" si="4"/>
        <v>2.2999999999999998</v>
      </c>
      <c r="K5" s="58">
        <f t="shared" si="1"/>
        <v>2.2999999999999998</v>
      </c>
      <c r="L5" s="58">
        <f t="shared" si="1"/>
        <v>2.2999999999999998</v>
      </c>
      <c r="M5" s="58">
        <f t="shared" si="1"/>
        <v>2.2999999999999998</v>
      </c>
      <c r="N5" s="58">
        <f t="shared" si="1"/>
        <v>2.2999999999999998</v>
      </c>
      <c r="O5" s="58">
        <f t="shared" si="1"/>
        <v>2.2999999999999998</v>
      </c>
      <c r="P5" s="58">
        <f t="shared" si="1"/>
        <v>2.2999999999999998</v>
      </c>
      <c r="Q5" s="52"/>
      <c r="R5" s="54"/>
      <c r="S5" s="54">
        <v>2.6</v>
      </c>
      <c r="T5" s="54"/>
      <c r="U5" s="54"/>
      <c r="V5" s="54"/>
      <c r="W5" s="54"/>
      <c r="X5" s="54">
        <v>2.5</v>
      </c>
      <c r="Y5" s="54"/>
      <c r="Z5" s="54"/>
      <c r="AA5" s="54"/>
      <c r="AB5" s="54"/>
      <c r="AC5" s="54">
        <v>2.4</v>
      </c>
      <c r="AD5" s="54"/>
      <c r="AE5" s="54"/>
      <c r="AF5" s="54"/>
      <c r="AG5" s="54"/>
      <c r="AH5" s="54">
        <v>2.2999999999999998</v>
      </c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/>
      <c r="BB5" s="54"/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</row>
    <row r="6" spans="1:78" x14ac:dyDescent="0.25">
      <c r="A6" s="7"/>
      <c r="B6" s="38"/>
      <c r="C6" s="38" t="s">
        <v>109</v>
      </c>
      <c r="D6" s="38" t="s">
        <v>129</v>
      </c>
      <c r="E6" s="40" t="s">
        <v>130</v>
      </c>
      <c r="F6" s="58">
        <f t="shared" si="2"/>
        <v>2.5</v>
      </c>
      <c r="G6" s="43">
        <f t="shared" si="3"/>
        <v>2.42</v>
      </c>
      <c r="H6" s="43">
        <f t="shared" si="0"/>
        <v>2.3199999999999998</v>
      </c>
      <c r="I6" s="43">
        <f t="shared" si="0"/>
        <v>2.2999999999999998</v>
      </c>
      <c r="J6" s="58">
        <f t="shared" si="4"/>
        <v>2.2999999999999998</v>
      </c>
      <c r="K6" s="58">
        <f t="shared" si="1"/>
        <v>2.2999999999999998</v>
      </c>
      <c r="L6" s="58">
        <f t="shared" si="1"/>
        <v>2.2999999999999998</v>
      </c>
      <c r="M6" s="58">
        <f t="shared" si="1"/>
        <v>2.2999999999999998</v>
      </c>
      <c r="N6" s="58">
        <f t="shared" si="1"/>
        <v>2.2999999999999998</v>
      </c>
      <c r="O6" s="58">
        <f t="shared" si="1"/>
        <v>2.2999999999999998</v>
      </c>
      <c r="P6" s="58">
        <f t="shared" si="1"/>
        <v>2.2999999999999998</v>
      </c>
      <c r="Q6" s="52"/>
      <c r="R6" s="54"/>
      <c r="S6" s="54">
        <v>2.5</v>
      </c>
      <c r="T6" s="54"/>
      <c r="U6" s="54"/>
      <c r="V6" s="54"/>
      <c r="W6" s="54"/>
      <c r="X6" s="54">
        <v>2.4</v>
      </c>
      <c r="Y6" s="54"/>
      <c r="Z6" s="54"/>
      <c r="AA6" s="54"/>
      <c r="AB6" s="54"/>
      <c r="AC6" s="54">
        <v>2.2999999999999998</v>
      </c>
      <c r="AD6" s="54"/>
      <c r="AE6" s="54"/>
      <c r="AF6" s="54"/>
      <c r="AG6" s="54"/>
      <c r="AH6" s="54">
        <v>2.2999999999999998</v>
      </c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</row>
    <row r="7" spans="1:78" x14ac:dyDescent="0.25">
      <c r="A7" s="7"/>
      <c r="B7" s="38"/>
      <c r="C7" s="38" t="s">
        <v>110</v>
      </c>
      <c r="D7" s="38" t="s">
        <v>129</v>
      </c>
      <c r="E7" s="40" t="s">
        <v>130</v>
      </c>
      <c r="F7" s="58">
        <f t="shared" si="2"/>
        <v>2.5</v>
      </c>
      <c r="G7" s="43">
        <f t="shared" si="3"/>
        <v>2.42</v>
      </c>
      <c r="H7" s="43">
        <f t="shared" si="0"/>
        <v>2.3199999999999998</v>
      </c>
      <c r="I7" s="43">
        <f t="shared" si="0"/>
        <v>2.2999999999999998</v>
      </c>
      <c r="J7" s="58">
        <f t="shared" si="4"/>
        <v>2.2999999999999998</v>
      </c>
      <c r="K7" s="58">
        <f t="shared" si="1"/>
        <v>2.2999999999999998</v>
      </c>
      <c r="L7" s="58">
        <f t="shared" si="1"/>
        <v>2.2999999999999998</v>
      </c>
      <c r="M7" s="58">
        <f t="shared" si="1"/>
        <v>2.2999999999999998</v>
      </c>
      <c r="N7" s="58">
        <f t="shared" si="1"/>
        <v>2.2999999999999998</v>
      </c>
      <c r="O7" s="58">
        <f t="shared" si="1"/>
        <v>2.2999999999999998</v>
      </c>
      <c r="P7" s="58">
        <f t="shared" si="1"/>
        <v>2.2999999999999998</v>
      </c>
      <c r="Q7" s="52"/>
      <c r="R7" s="54"/>
      <c r="S7" s="54">
        <v>2.5</v>
      </c>
      <c r="T7" s="54"/>
      <c r="U7" s="54"/>
      <c r="V7" s="54"/>
      <c r="W7" s="54"/>
      <c r="X7" s="54">
        <v>2.4</v>
      </c>
      <c r="Y7" s="54"/>
      <c r="Z7" s="54"/>
      <c r="AA7" s="54"/>
      <c r="AB7" s="54"/>
      <c r="AC7" s="54">
        <v>2.2999999999999998</v>
      </c>
      <c r="AD7" s="54"/>
      <c r="AE7" s="54"/>
      <c r="AF7" s="54"/>
      <c r="AG7" s="54"/>
      <c r="AH7" s="54">
        <v>2.2999999999999998</v>
      </c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</row>
    <row r="8" spans="1:78" x14ac:dyDescent="0.25">
      <c r="A8" s="7"/>
      <c r="B8" s="38"/>
      <c r="C8" s="38" t="s">
        <v>111</v>
      </c>
      <c r="D8" s="38" t="s">
        <v>129</v>
      </c>
      <c r="E8" s="40" t="s">
        <v>130</v>
      </c>
      <c r="F8" s="58">
        <f t="shared" si="2"/>
        <v>2.4</v>
      </c>
      <c r="G8" s="43">
        <f t="shared" si="3"/>
        <v>2.3199999999999998</v>
      </c>
      <c r="H8" s="43">
        <f t="shared" si="0"/>
        <v>2.2999999999999998</v>
      </c>
      <c r="I8" s="43">
        <f t="shared" si="0"/>
        <v>2.2999999999999998</v>
      </c>
      <c r="J8" s="58">
        <f t="shared" si="4"/>
        <v>2.2999999999999998</v>
      </c>
      <c r="K8" s="58">
        <f t="shared" si="1"/>
        <v>2.2999999999999998</v>
      </c>
      <c r="L8" s="58">
        <f t="shared" si="1"/>
        <v>2.2999999999999998</v>
      </c>
      <c r="M8" s="58">
        <f t="shared" si="1"/>
        <v>2.2999999999999998</v>
      </c>
      <c r="N8" s="58">
        <f t="shared" si="1"/>
        <v>2.2999999999999998</v>
      </c>
      <c r="O8" s="58">
        <f t="shared" si="1"/>
        <v>2.2999999999999998</v>
      </c>
      <c r="P8" s="58">
        <f t="shared" si="1"/>
        <v>2.2999999999999998</v>
      </c>
      <c r="Q8" s="52"/>
      <c r="R8" s="54"/>
      <c r="S8" s="54">
        <v>2.4</v>
      </c>
      <c r="T8" s="54"/>
      <c r="U8" s="54"/>
      <c r="V8" s="54"/>
      <c r="W8" s="54"/>
      <c r="X8" s="54">
        <v>2.2999999999999998</v>
      </c>
      <c r="Y8" s="54"/>
      <c r="Z8" s="54"/>
      <c r="AA8" s="54"/>
      <c r="AB8" s="54"/>
      <c r="AC8" s="54">
        <v>2.2999999999999998</v>
      </c>
      <c r="AD8" s="54"/>
      <c r="AE8" s="54"/>
      <c r="AF8" s="54"/>
      <c r="AG8" s="54"/>
      <c r="AH8" s="54">
        <v>2.2999999999999998</v>
      </c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</row>
    <row r="9" spans="1:78" x14ac:dyDescent="0.25">
      <c r="A9" s="7"/>
      <c r="B9" s="38"/>
      <c r="C9" s="38" t="s">
        <v>112</v>
      </c>
      <c r="D9" s="38" t="s">
        <v>129</v>
      </c>
      <c r="E9" s="40" t="s">
        <v>130</v>
      </c>
      <c r="F9" s="58">
        <f t="shared" si="2"/>
        <v>2.7</v>
      </c>
      <c r="G9" s="43">
        <f t="shared" si="3"/>
        <v>2.62</v>
      </c>
      <c r="H9" s="43">
        <f t="shared" si="0"/>
        <v>2.6</v>
      </c>
      <c r="I9" s="43">
        <f t="shared" si="0"/>
        <v>2.6</v>
      </c>
      <c r="J9" s="58">
        <f t="shared" si="4"/>
        <v>2.6</v>
      </c>
      <c r="K9" s="58">
        <f t="shared" si="1"/>
        <v>2.6</v>
      </c>
      <c r="L9" s="58">
        <f t="shared" si="1"/>
        <v>2.6</v>
      </c>
      <c r="M9" s="58">
        <f t="shared" si="1"/>
        <v>2.6</v>
      </c>
      <c r="N9" s="58">
        <f t="shared" si="1"/>
        <v>2.6</v>
      </c>
      <c r="O9" s="58">
        <f t="shared" si="1"/>
        <v>2.6</v>
      </c>
      <c r="P9" s="58">
        <f t="shared" si="1"/>
        <v>2.6</v>
      </c>
      <c r="Q9" s="52"/>
      <c r="R9" s="54"/>
      <c r="S9" s="54">
        <v>2.7</v>
      </c>
      <c r="T9" s="54"/>
      <c r="U9" s="54"/>
      <c r="V9" s="54"/>
      <c r="W9" s="54"/>
      <c r="X9" s="54">
        <v>2.6</v>
      </c>
      <c r="Y9" s="54"/>
      <c r="Z9" s="54"/>
      <c r="AA9" s="54"/>
      <c r="AB9" s="54"/>
      <c r="AC9" s="54">
        <v>2.6</v>
      </c>
      <c r="AD9" s="54"/>
      <c r="AE9" s="54"/>
      <c r="AF9" s="54"/>
      <c r="AG9" s="54"/>
      <c r="AH9" s="54">
        <v>2.6</v>
      </c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</row>
    <row r="10" spans="1:78" x14ac:dyDescent="0.25">
      <c r="A10" s="7"/>
      <c r="B10" s="38"/>
      <c r="C10" s="38" t="s">
        <v>113</v>
      </c>
      <c r="D10" s="38" t="s">
        <v>129</v>
      </c>
      <c r="E10" s="40" t="s">
        <v>130</v>
      </c>
      <c r="F10" s="58">
        <f t="shared" si="2"/>
        <v>2.5</v>
      </c>
      <c r="G10" s="43">
        <f t="shared" si="3"/>
        <v>2.5</v>
      </c>
      <c r="H10" s="43">
        <f t="shared" si="0"/>
        <v>2.5</v>
      </c>
      <c r="I10" s="43">
        <f t="shared" si="0"/>
        <v>2.5</v>
      </c>
      <c r="J10" s="58">
        <f t="shared" si="4"/>
        <v>2.5</v>
      </c>
      <c r="K10" s="58">
        <f t="shared" si="1"/>
        <v>2.5</v>
      </c>
      <c r="L10" s="58">
        <f t="shared" si="1"/>
        <v>2.5</v>
      </c>
      <c r="M10" s="58">
        <f t="shared" si="1"/>
        <v>2.5</v>
      </c>
      <c r="N10" s="58">
        <f t="shared" si="1"/>
        <v>2.5</v>
      </c>
      <c r="O10" s="58">
        <f t="shared" si="1"/>
        <v>2.5</v>
      </c>
      <c r="P10" s="58">
        <f t="shared" si="1"/>
        <v>2.5</v>
      </c>
      <c r="Q10" s="52"/>
      <c r="R10" s="54"/>
      <c r="S10" s="54">
        <v>2.5</v>
      </c>
      <c r="T10" s="54"/>
      <c r="U10" s="54"/>
      <c r="V10" s="54"/>
      <c r="W10" s="54"/>
      <c r="X10" s="54">
        <v>2.5</v>
      </c>
      <c r="Y10" s="54"/>
      <c r="Z10" s="54"/>
      <c r="AA10" s="54"/>
      <c r="AB10" s="54"/>
      <c r="AC10" s="54">
        <v>2.5</v>
      </c>
      <c r="AD10" s="54"/>
      <c r="AE10" s="54"/>
      <c r="AF10" s="54"/>
      <c r="AG10" s="54"/>
      <c r="AH10" s="54">
        <v>2.5</v>
      </c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</row>
    <row r="11" spans="1:78" x14ac:dyDescent="0.25">
      <c r="A11" s="7"/>
      <c r="B11" s="38"/>
      <c r="C11" s="38" t="s">
        <v>114</v>
      </c>
      <c r="D11" s="38" t="s">
        <v>129</v>
      </c>
      <c r="E11" s="40" t="s">
        <v>130</v>
      </c>
      <c r="F11" s="58">
        <f t="shared" si="2"/>
        <v>2.5</v>
      </c>
      <c r="G11" s="43">
        <f t="shared" si="3"/>
        <v>2.42</v>
      </c>
      <c r="H11" s="43">
        <f t="shared" si="0"/>
        <v>2.48</v>
      </c>
      <c r="I11" s="43">
        <f t="shared" si="0"/>
        <v>2.5</v>
      </c>
      <c r="J11" s="58">
        <f t="shared" si="4"/>
        <v>2.5</v>
      </c>
      <c r="K11" s="58">
        <f t="shared" si="1"/>
        <v>2.5</v>
      </c>
      <c r="L11" s="58">
        <f t="shared" si="1"/>
        <v>2.5</v>
      </c>
      <c r="M11" s="58">
        <f t="shared" si="1"/>
        <v>2.5</v>
      </c>
      <c r="N11" s="58">
        <f t="shared" si="1"/>
        <v>2.5</v>
      </c>
      <c r="O11" s="58">
        <f t="shared" si="1"/>
        <v>2.5</v>
      </c>
      <c r="P11" s="58">
        <f t="shared" si="1"/>
        <v>2.5</v>
      </c>
      <c r="Q11" s="52"/>
      <c r="R11" s="54"/>
      <c r="S11" s="54">
        <v>2.5</v>
      </c>
      <c r="T11" s="54"/>
      <c r="U11" s="54"/>
      <c r="V11" s="54"/>
      <c r="W11" s="54"/>
      <c r="X11" s="54">
        <v>2.4</v>
      </c>
      <c r="Y11" s="54"/>
      <c r="Z11" s="54"/>
      <c r="AA11" s="54"/>
      <c r="AB11" s="54"/>
      <c r="AC11" s="54">
        <v>2.5</v>
      </c>
      <c r="AD11" s="54"/>
      <c r="AE11" s="54"/>
      <c r="AF11" s="54"/>
      <c r="AG11" s="54"/>
      <c r="AH11" s="54">
        <v>2.5</v>
      </c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</row>
    <row r="12" spans="1:78" x14ac:dyDescent="0.25">
      <c r="A12" s="7"/>
      <c r="B12" s="38"/>
      <c r="C12" s="38" t="s">
        <v>5</v>
      </c>
      <c r="D12" s="38" t="s">
        <v>129</v>
      </c>
      <c r="E12" s="40" t="s">
        <v>130</v>
      </c>
      <c r="F12" s="58">
        <f t="shared" si="2"/>
        <v>2.6</v>
      </c>
      <c r="G12" s="43">
        <f t="shared" si="3"/>
        <v>2.6</v>
      </c>
      <c r="H12" s="43">
        <f t="shared" si="0"/>
        <v>2.6</v>
      </c>
      <c r="I12" s="43">
        <f t="shared" si="0"/>
        <v>2.6</v>
      </c>
      <c r="J12" s="58">
        <f t="shared" si="4"/>
        <v>2.6</v>
      </c>
      <c r="K12" s="58">
        <f t="shared" si="1"/>
        <v>2.6</v>
      </c>
      <c r="L12" s="58">
        <f t="shared" si="1"/>
        <v>2.6</v>
      </c>
      <c r="M12" s="58">
        <f t="shared" si="1"/>
        <v>2.6</v>
      </c>
      <c r="N12" s="58">
        <f t="shared" si="1"/>
        <v>2.6</v>
      </c>
      <c r="O12" s="58">
        <f t="shared" si="1"/>
        <v>2.6</v>
      </c>
      <c r="P12" s="58">
        <f t="shared" si="1"/>
        <v>2.6</v>
      </c>
      <c r="Q12" s="52"/>
      <c r="R12" s="54"/>
      <c r="S12" s="54">
        <v>2.6</v>
      </c>
      <c r="T12" s="54"/>
      <c r="U12" s="54"/>
      <c r="V12" s="54"/>
      <c r="W12" s="54"/>
      <c r="X12" s="54">
        <v>2.6</v>
      </c>
      <c r="Y12" s="54"/>
      <c r="Z12" s="54"/>
      <c r="AA12" s="54"/>
      <c r="AB12" s="54"/>
      <c r="AC12" s="54">
        <v>2.6</v>
      </c>
      <c r="AD12" s="54"/>
      <c r="AE12" s="54"/>
      <c r="AF12" s="54"/>
      <c r="AG12" s="54"/>
      <c r="AH12" s="54">
        <v>2.6</v>
      </c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</row>
    <row r="13" spans="1:78" x14ac:dyDescent="0.25">
      <c r="A13" s="7"/>
      <c r="B13" s="38"/>
      <c r="C13" s="38" t="s">
        <v>76</v>
      </c>
      <c r="D13" s="38" t="s">
        <v>129</v>
      </c>
      <c r="E13" s="40" t="s">
        <v>130</v>
      </c>
      <c r="F13" s="58">
        <f t="shared" si="2"/>
        <v>2.5</v>
      </c>
      <c r="G13" s="43">
        <f t="shared" si="3"/>
        <v>2.5</v>
      </c>
      <c r="H13" s="43">
        <f t="shared" si="0"/>
        <v>2.5</v>
      </c>
      <c r="I13" s="43">
        <f t="shared" si="0"/>
        <v>2.42</v>
      </c>
      <c r="J13" s="58">
        <f t="shared" si="4"/>
        <v>2.4</v>
      </c>
      <c r="K13" s="58">
        <f t="shared" si="1"/>
        <v>2.4</v>
      </c>
      <c r="L13" s="58">
        <f t="shared" si="1"/>
        <v>2.4</v>
      </c>
      <c r="M13" s="58">
        <f t="shared" si="1"/>
        <v>2.4</v>
      </c>
      <c r="N13" s="58">
        <f t="shared" si="1"/>
        <v>2.4</v>
      </c>
      <c r="O13" s="58">
        <f t="shared" si="1"/>
        <v>2.4</v>
      </c>
      <c r="P13" s="58">
        <f t="shared" si="1"/>
        <v>2.4</v>
      </c>
      <c r="Q13" s="52"/>
      <c r="R13" s="54"/>
      <c r="S13" s="54">
        <v>2.5</v>
      </c>
      <c r="T13" s="54"/>
      <c r="U13" s="54"/>
      <c r="V13" s="54"/>
      <c r="W13" s="54"/>
      <c r="X13" s="54">
        <v>2.5</v>
      </c>
      <c r="Y13" s="54"/>
      <c r="Z13" s="54"/>
      <c r="AA13" s="54"/>
      <c r="AB13" s="54"/>
      <c r="AC13" s="54">
        <v>2.5</v>
      </c>
      <c r="AD13" s="54"/>
      <c r="AE13" s="54"/>
      <c r="AF13" s="54"/>
      <c r="AG13" s="54"/>
      <c r="AH13" s="54">
        <v>2.4</v>
      </c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</row>
    <row r="14" spans="1:78" x14ac:dyDescent="0.25">
      <c r="A14" s="7"/>
      <c r="B14" s="38"/>
      <c r="C14" s="38" t="s">
        <v>115</v>
      </c>
      <c r="D14" s="38" t="s">
        <v>129</v>
      </c>
      <c r="E14" s="40" t="s">
        <v>130</v>
      </c>
      <c r="F14" s="58">
        <f t="shared" si="2"/>
        <v>2.5</v>
      </c>
      <c r="G14" s="43">
        <f t="shared" si="3"/>
        <v>2.42</v>
      </c>
      <c r="H14" s="43">
        <f t="shared" si="0"/>
        <v>2.4</v>
      </c>
      <c r="I14" s="43">
        <f t="shared" si="0"/>
        <v>2.3199999999999998</v>
      </c>
      <c r="J14" s="58">
        <f t="shared" si="4"/>
        <v>2.2999999999999998</v>
      </c>
      <c r="K14" s="58">
        <f t="shared" si="1"/>
        <v>2.2999999999999998</v>
      </c>
      <c r="L14" s="58">
        <f t="shared" si="1"/>
        <v>2.2999999999999998</v>
      </c>
      <c r="M14" s="58">
        <f t="shared" si="1"/>
        <v>2.2999999999999998</v>
      </c>
      <c r="N14" s="58">
        <f t="shared" si="1"/>
        <v>2.2999999999999998</v>
      </c>
      <c r="O14" s="58">
        <f t="shared" si="1"/>
        <v>2.2999999999999998</v>
      </c>
      <c r="P14" s="58">
        <f t="shared" si="1"/>
        <v>2.2999999999999998</v>
      </c>
      <c r="Q14" s="52"/>
      <c r="R14" s="54"/>
      <c r="S14" s="54">
        <v>2.5</v>
      </c>
      <c r="T14" s="54"/>
      <c r="U14" s="54"/>
      <c r="V14" s="54"/>
      <c r="W14" s="54"/>
      <c r="X14" s="54">
        <v>2.4</v>
      </c>
      <c r="Y14" s="54"/>
      <c r="Z14" s="54"/>
      <c r="AA14" s="54"/>
      <c r="AB14" s="54"/>
      <c r="AC14" s="54">
        <v>2.4</v>
      </c>
      <c r="AD14" s="54"/>
      <c r="AE14" s="54"/>
      <c r="AF14" s="54"/>
      <c r="AG14" s="54"/>
      <c r="AH14" s="54">
        <v>2.2999999999999998</v>
      </c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</row>
    <row r="15" spans="1:78" x14ac:dyDescent="0.25">
      <c r="A15" s="7"/>
      <c r="B15" s="38"/>
      <c r="C15" s="38" t="s">
        <v>117</v>
      </c>
      <c r="D15" s="38" t="s">
        <v>129</v>
      </c>
      <c r="E15" s="40" t="s">
        <v>130</v>
      </c>
      <c r="F15" s="58">
        <f t="shared" si="2"/>
        <v>2.9</v>
      </c>
      <c r="G15" s="43">
        <f t="shared" si="3"/>
        <v>2.9</v>
      </c>
      <c r="H15" s="43">
        <f t="shared" si="0"/>
        <v>2.82</v>
      </c>
      <c r="I15" s="43">
        <f t="shared" si="0"/>
        <v>2.72</v>
      </c>
      <c r="J15" s="58">
        <f t="shared" si="4"/>
        <v>2.7</v>
      </c>
      <c r="K15" s="58">
        <f t="shared" si="1"/>
        <v>2.7</v>
      </c>
      <c r="L15" s="58">
        <f t="shared" si="1"/>
        <v>2.7</v>
      </c>
      <c r="M15" s="58">
        <f t="shared" si="1"/>
        <v>2.7</v>
      </c>
      <c r="N15" s="58">
        <f t="shared" si="1"/>
        <v>2.7</v>
      </c>
      <c r="O15" s="58">
        <f t="shared" si="1"/>
        <v>2.7</v>
      </c>
      <c r="P15" s="58">
        <f t="shared" si="1"/>
        <v>2.7</v>
      </c>
      <c r="Q15" s="52"/>
      <c r="R15" s="54"/>
      <c r="S15" s="54">
        <v>2.9</v>
      </c>
      <c r="T15" s="54"/>
      <c r="U15" s="54"/>
      <c r="V15" s="54"/>
      <c r="W15" s="54"/>
      <c r="X15" s="54">
        <v>2.9</v>
      </c>
      <c r="Y15" s="54"/>
      <c r="Z15" s="54"/>
      <c r="AA15" s="54"/>
      <c r="AB15" s="54"/>
      <c r="AC15" s="54">
        <v>2.8</v>
      </c>
      <c r="AD15" s="54"/>
      <c r="AE15" s="54"/>
      <c r="AF15" s="54"/>
      <c r="AG15" s="54"/>
      <c r="AH15" s="54">
        <v>2.7</v>
      </c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</row>
    <row r="16" spans="1:78" x14ac:dyDescent="0.25">
      <c r="A16" s="7"/>
      <c r="B16" s="38"/>
      <c r="C16" s="38" t="s">
        <v>116</v>
      </c>
      <c r="D16" s="38" t="s">
        <v>129</v>
      </c>
      <c r="E16" s="40" t="s">
        <v>130</v>
      </c>
      <c r="F16" s="58">
        <f t="shared" si="2"/>
        <v>3.7</v>
      </c>
      <c r="G16" s="43">
        <f t="shared" si="3"/>
        <v>3.7</v>
      </c>
      <c r="H16" s="43">
        <f t="shared" si="0"/>
        <v>3.7</v>
      </c>
      <c r="I16" s="43">
        <f t="shared" si="0"/>
        <v>3.62</v>
      </c>
      <c r="J16" s="58">
        <f t="shared" si="4"/>
        <v>3.6</v>
      </c>
      <c r="K16" s="58">
        <f t="shared" si="1"/>
        <v>3.6</v>
      </c>
      <c r="L16" s="58">
        <f t="shared" si="1"/>
        <v>3.6</v>
      </c>
      <c r="M16" s="58">
        <f t="shared" si="1"/>
        <v>3.6</v>
      </c>
      <c r="N16" s="58">
        <f t="shared" si="1"/>
        <v>3.6</v>
      </c>
      <c r="O16" s="58">
        <f t="shared" si="1"/>
        <v>3.6</v>
      </c>
      <c r="P16" s="58">
        <f t="shared" si="1"/>
        <v>3.6</v>
      </c>
      <c r="Q16" s="52"/>
      <c r="R16" s="54"/>
      <c r="S16" s="54">
        <v>3.7</v>
      </c>
      <c r="T16" s="54"/>
      <c r="U16" s="54"/>
      <c r="V16" s="54"/>
      <c r="W16" s="54"/>
      <c r="X16" s="54">
        <v>3.7</v>
      </c>
      <c r="Y16" s="54"/>
      <c r="Z16" s="54"/>
      <c r="AA16" s="54"/>
      <c r="AB16" s="54"/>
      <c r="AC16" s="54">
        <v>3.7</v>
      </c>
      <c r="AD16" s="54"/>
      <c r="AE16" s="54"/>
      <c r="AF16" s="54"/>
      <c r="AG16" s="54"/>
      <c r="AH16" s="54">
        <v>3.6</v>
      </c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</row>
    <row r="17" spans="1:78" x14ac:dyDescent="0.25">
      <c r="A17" s="7"/>
      <c r="B17" s="38"/>
      <c r="C17" s="38"/>
      <c r="D17" s="38"/>
      <c r="E17" s="18"/>
      <c r="F17" s="43"/>
      <c r="G17" s="43"/>
      <c r="H17" s="43"/>
      <c r="I17" s="43"/>
      <c r="Q17" s="52"/>
    </row>
    <row r="18" spans="1:78" x14ac:dyDescent="0.25">
      <c r="A18" s="7"/>
      <c r="B18" s="38"/>
      <c r="C18" s="38"/>
      <c r="D18" s="38"/>
      <c r="E18" s="18"/>
      <c r="F18" s="43"/>
      <c r="G18" s="43"/>
      <c r="H18" s="43"/>
      <c r="I18" s="43"/>
      <c r="Q18" s="52"/>
    </row>
    <row r="19" spans="1:78" x14ac:dyDescent="0.25">
      <c r="A19" s="7"/>
      <c r="B19" s="72" t="s">
        <v>102</v>
      </c>
      <c r="C19" s="38" t="s">
        <v>60</v>
      </c>
      <c r="D19" s="38" t="s">
        <v>102</v>
      </c>
      <c r="E19" s="18" t="s">
        <v>105</v>
      </c>
      <c r="F19" s="19">
        <f>Macro!F3/F3</f>
        <v>11802203.846153846</v>
      </c>
      <c r="G19" s="19">
        <f>Macro!G3/G3</f>
        <v>12795140.079365078</v>
      </c>
      <c r="H19" s="19">
        <f>Macro!H3/H3</f>
        <v>13601955.6</v>
      </c>
      <c r="I19" s="19">
        <f>Macro!I3/I3</f>
        <v>14753267.768595042</v>
      </c>
      <c r="J19" s="19">
        <f>Macro!J3/J3</f>
        <v>15780708.333333334</v>
      </c>
      <c r="K19" s="19">
        <f>Macro!K3/K3</f>
        <v>16630625</v>
      </c>
      <c r="L19" s="19">
        <f>Macro!L3/L3</f>
        <v>17453375</v>
      </c>
      <c r="M19" s="19">
        <f>Macro!M3/M3</f>
        <v>18231458.333333336</v>
      </c>
      <c r="N19" s="19">
        <f>Macro!N3/N3</f>
        <v>18961166.666666668</v>
      </c>
      <c r="O19" s="19">
        <f>Macro!O3/O3</f>
        <v>19648416.666666668</v>
      </c>
      <c r="P19" s="19">
        <f>Macro!P3/P3</f>
        <v>20317958.333333336</v>
      </c>
      <c r="Q19" s="52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</row>
    <row r="20" spans="1:78" x14ac:dyDescent="0.25">
      <c r="A20" s="7"/>
      <c r="B20" s="15"/>
      <c r="C20" s="15" t="s">
        <v>107</v>
      </c>
      <c r="D20" s="38" t="s">
        <v>102</v>
      </c>
      <c r="E20" s="18" t="s">
        <v>105</v>
      </c>
      <c r="F20" s="19">
        <f>Macro!F4/F4</f>
        <v>195542.96296296295</v>
      </c>
      <c r="G20" s="19">
        <f>Macro!G4/G4</f>
        <v>202492.91338582677</v>
      </c>
      <c r="H20" s="19">
        <f>Macro!H4/H4</f>
        <v>215706.19834710745</v>
      </c>
      <c r="I20" s="19">
        <f>Macro!I4/I4</f>
        <v>227636.63793103449</v>
      </c>
      <c r="J20" s="19">
        <f>Macro!J4/J4</f>
        <v>227086.95652173914</v>
      </c>
      <c r="K20" s="19">
        <f>Macro!K4/K4</f>
        <v>223217.39130434784</v>
      </c>
      <c r="L20" s="19">
        <f>Macro!L4/L4</f>
        <v>218260.86956521741</v>
      </c>
      <c r="M20" s="19">
        <f>Macro!M4/M4</f>
        <v>211913.04347826089</v>
      </c>
      <c r="N20" s="19">
        <f>Macro!N4/N4</f>
        <v>204391.30434782611</v>
      </c>
      <c r="O20" s="19">
        <f>Macro!O4/O4</f>
        <v>211799.49427529416</v>
      </c>
      <c r="P20" s="19">
        <f>Macro!P4/P4</f>
        <v>219016.79777623297</v>
      </c>
      <c r="Q20" s="52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</row>
    <row r="21" spans="1:78" x14ac:dyDescent="0.25">
      <c r="A21" s="7"/>
      <c r="B21" s="38"/>
      <c r="C21" s="38" t="s">
        <v>108</v>
      </c>
      <c r="D21" s="38" t="s">
        <v>102</v>
      </c>
      <c r="E21" s="18" t="s">
        <v>105</v>
      </c>
      <c r="F21" s="19">
        <f>Macro!F5/F5</f>
        <v>52488.461538461539</v>
      </c>
      <c r="G21" s="19">
        <f>Macro!G5/G5</f>
        <v>54787.30158730159</v>
      </c>
      <c r="H21" s="19">
        <f>Macro!H5/H5</f>
        <v>58534.710743801654</v>
      </c>
      <c r="I21" s="19">
        <f>Macro!I5/I5</f>
        <v>62304.310344827587</v>
      </c>
      <c r="J21" s="19">
        <f>Macro!J5/J5</f>
        <v>68434.782608695663</v>
      </c>
      <c r="K21" s="19">
        <f>Macro!K5/K5</f>
        <v>72956.521739130447</v>
      </c>
      <c r="L21" s="19">
        <f>Macro!L5/L5</f>
        <v>77217.391304347839</v>
      </c>
      <c r="M21" s="19">
        <f>Macro!M5/M5</f>
        <v>81000</v>
      </c>
      <c r="N21" s="19">
        <f>Macro!N5/N5</f>
        <v>84173.913043478271</v>
      </c>
      <c r="O21" s="19">
        <f>Macro!O5/O5</f>
        <v>87224.807682826955</v>
      </c>
      <c r="P21" s="19">
        <f>Macro!P5/P5</f>
        <v>90197.090086106589</v>
      </c>
      <c r="Q21" s="52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</row>
    <row r="22" spans="1:78" x14ac:dyDescent="0.25">
      <c r="A22" s="7"/>
      <c r="B22" s="38"/>
      <c r="C22" s="38" t="s">
        <v>109</v>
      </c>
      <c r="D22" s="38" t="s">
        <v>102</v>
      </c>
      <c r="E22" s="18" t="s">
        <v>105</v>
      </c>
      <c r="F22" s="19">
        <f>Macro!F6/F6</f>
        <v>373528.4</v>
      </c>
      <c r="G22" s="19">
        <f>Macro!G6/G6</f>
        <v>387572.72727272729</v>
      </c>
      <c r="H22" s="19">
        <f>Macro!H6/H6</f>
        <v>406080.60344827588</v>
      </c>
      <c r="I22" s="19">
        <f>Macro!I6/I6</f>
        <v>407184.78260869568</v>
      </c>
      <c r="J22" s="19">
        <f>Macro!J6/J6</f>
        <v>420478.26086956525</v>
      </c>
      <c r="K22" s="19">
        <f>Macro!K6/K6</f>
        <v>427782.60869565222</v>
      </c>
      <c r="L22" s="19">
        <f>Macro!L6/L6</f>
        <v>433086.95652173914</v>
      </c>
      <c r="M22" s="19">
        <f>Macro!M6/M6</f>
        <v>435304.34782608697</v>
      </c>
      <c r="N22" s="19">
        <f>Macro!N6/N6</f>
        <v>434217.39130434784</v>
      </c>
      <c r="O22" s="19">
        <f>Macro!O6/O6</f>
        <v>449955.65822747565</v>
      </c>
      <c r="P22" s="19">
        <f>Macro!P6/P6</f>
        <v>465288.39808364998</v>
      </c>
      <c r="Q22" s="52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</row>
    <row r="23" spans="1:78" x14ac:dyDescent="0.25">
      <c r="A23" s="7"/>
      <c r="B23" s="38"/>
      <c r="C23" s="38" t="s">
        <v>110</v>
      </c>
      <c r="D23" s="38" t="s">
        <v>102</v>
      </c>
      <c r="E23" s="18" t="s">
        <v>105</v>
      </c>
      <c r="F23" s="19">
        <f>Macro!F7/F7</f>
        <v>300206.8</v>
      </c>
      <c r="G23" s="19">
        <f>Macro!G7/G7</f>
        <v>309114.46280991734</v>
      </c>
      <c r="H23" s="19">
        <f>Macro!H7/H7</f>
        <v>324584.05172413797</v>
      </c>
      <c r="I23" s="19">
        <f>Macro!I7/I7</f>
        <v>329931.30434782611</v>
      </c>
      <c r="J23" s="19">
        <f>Macro!J7/J7</f>
        <v>337217.39130434784</v>
      </c>
      <c r="K23" s="19">
        <f>Macro!K7/K7</f>
        <v>342478.26086956525</v>
      </c>
      <c r="L23" s="19">
        <f>Macro!L7/L7</f>
        <v>346347.82608695654</v>
      </c>
      <c r="M23" s="19">
        <f>Macro!M7/M7</f>
        <v>347956.52173913049</v>
      </c>
      <c r="N23" s="19">
        <f>Macro!N7/N7</f>
        <v>347000</v>
      </c>
      <c r="O23" s="19">
        <f>Macro!O7/O7</f>
        <v>359577.06101066218</v>
      </c>
      <c r="P23" s="19">
        <f>Macro!P7/P7</f>
        <v>371830.04957500857</v>
      </c>
      <c r="Q23" s="52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</row>
    <row r="24" spans="1:78" x14ac:dyDescent="0.25">
      <c r="A24" s="7"/>
      <c r="B24" s="38"/>
      <c r="C24" s="38" t="s">
        <v>111</v>
      </c>
      <c r="D24" s="38" t="s">
        <v>102</v>
      </c>
      <c r="E24" s="18" t="s">
        <v>105</v>
      </c>
      <c r="F24" s="19">
        <f>Macro!F8/F8</f>
        <v>3065396.25</v>
      </c>
      <c r="G24" s="19">
        <f>Macro!G8/G8</f>
        <v>3267877.5862068967</v>
      </c>
      <c r="H24" s="19">
        <f>Macro!H8/H8</f>
        <v>3447487.826086957</v>
      </c>
      <c r="I24" s="19">
        <f>Macro!I8/I8</f>
        <v>3554466.086956522</v>
      </c>
      <c r="J24" s="19">
        <f>Macro!J8/J8</f>
        <v>3693260.8695652178</v>
      </c>
      <c r="K24" s="19">
        <f>Macro!K8/K8</f>
        <v>3799347.826086957</v>
      </c>
      <c r="L24" s="19">
        <f>Macro!L8/L8</f>
        <v>3895173.9130434785</v>
      </c>
      <c r="M24" s="19">
        <f>Macro!M8/M8</f>
        <v>3982217.3913043481</v>
      </c>
      <c r="N24" s="19">
        <f>Macro!N8/N8</f>
        <v>4066565.2173913047</v>
      </c>
      <c r="O24" s="19">
        <f>Macro!O8/O8</f>
        <v>4213958.4129041778</v>
      </c>
      <c r="P24" s="19">
        <f>Macro!P8/P8</f>
        <v>4357553.7359729521</v>
      </c>
      <c r="Q24" s="52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</row>
    <row r="25" spans="1:78" x14ac:dyDescent="0.25">
      <c r="A25" s="7"/>
      <c r="B25" s="38"/>
      <c r="C25" s="38" t="s">
        <v>112</v>
      </c>
      <c r="D25" s="38" t="s">
        <v>102</v>
      </c>
      <c r="E25" s="18" t="s">
        <v>105</v>
      </c>
      <c r="F25" s="19">
        <f>Macro!F9/F9</f>
        <v>4327144.444444444</v>
      </c>
      <c r="G25" s="19">
        <f>Macro!G9/G9</f>
        <v>4781932.4427480912</v>
      </c>
      <c r="H25" s="19">
        <f>Macro!H9/H9</f>
        <v>5052222.307692308</v>
      </c>
      <c r="I25" s="19">
        <f>Macro!I9/I9</f>
        <v>5271968.461538461</v>
      </c>
      <c r="J25" s="19">
        <f>Macro!J9/J9</f>
        <v>5645346.153846154</v>
      </c>
      <c r="K25" s="19">
        <f>Macro!K9/K9</f>
        <v>5985230.769230769</v>
      </c>
      <c r="L25" s="19">
        <f>Macro!L9/L9</f>
        <v>6312153.8461538451</v>
      </c>
      <c r="M25" s="19">
        <f>Macro!M9/M9</f>
        <v>6613500</v>
      </c>
      <c r="N25" s="19">
        <f>Macro!N9/N9</f>
        <v>6881538.461538461</v>
      </c>
      <c r="O25" s="19">
        <f>Macro!O9/O9</f>
        <v>7130960.7355384259</v>
      </c>
      <c r="P25" s="19">
        <f>Macro!P9/P9</f>
        <v>7373956.1593837878</v>
      </c>
      <c r="Q25" s="52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  <c r="BM25" s="54"/>
      <c r="BN25" s="54"/>
      <c r="BO25" s="54"/>
      <c r="BP25" s="54"/>
      <c r="BQ25" s="54"/>
      <c r="BR25" s="54"/>
      <c r="BS25" s="54"/>
      <c r="BT25" s="54"/>
      <c r="BU25" s="54"/>
      <c r="BV25" s="54"/>
      <c r="BW25" s="54"/>
      <c r="BX25" s="54"/>
      <c r="BY25" s="54"/>
      <c r="BZ25" s="54"/>
    </row>
    <row r="26" spans="1:78" x14ac:dyDescent="0.25">
      <c r="A26" s="7"/>
      <c r="B26" s="38"/>
      <c r="C26" s="38" t="s">
        <v>113</v>
      </c>
      <c r="D26" s="38" t="s">
        <v>102</v>
      </c>
      <c r="E26" s="18" t="s">
        <v>105</v>
      </c>
      <c r="F26" s="19">
        <f>Macro!F10/F10</f>
        <v>458925.2</v>
      </c>
      <c r="G26" s="19">
        <f>Macro!G10/G10</f>
        <v>471305.6</v>
      </c>
      <c r="H26" s="19">
        <f>Macro!H10/H10</f>
        <v>488312</v>
      </c>
      <c r="I26" s="19">
        <f>Macro!I10/I10</f>
        <v>516890.8</v>
      </c>
      <c r="J26" s="19">
        <f>Macro!J10/J10</f>
        <v>552760</v>
      </c>
      <c r="K26" s="19">
        <f>Macro!K10/K10</f>
        <v>583120</v>
      </c>
      <c r="L26" s="19">
        <f>Macro!L10/L10</f>
        <v>613920</v>
      </c>
      <c r="M26" s="19">
        <f>Macro!M10/M10</f>
        <v>645120</v>
      </c>
      <c r="N26" s="19">
        <f>Macro!N10/N10</f>
        <v>677000</v>
      </c>
      <c r="O26" s="19">
        <f>Macro!O10/O10</f>
        <v>701537.95476719958</v>
      </c>
      <c r="P26" s="19">
        <f>Macro!P10/P10</f>
        <v>725443.64138985821</v>
      </c>
      <c r="Q26" s="52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  <c r="BM26" s="54"/>
      <c r="BN26" s="54"/>
      <c r="BO26" s="54"/>
      <c r="BP26" s="54"/>
      <c r="BQ26" s="54"/>
      <c r="BR26" s="54"/>
      <c r="BS26" s="54"/>
      <c r="BT26" s="54"/>
      <c r="BU26" s="54"/>
      <c r="BV26" s="54"/>
      <c r="BW26" s="54"/>
      <c r="BX26" s="54"/>
      <c r="BY26" s="54"/>
      <c r="BZ26" s="54"/>
    </row>
    <row r="27" spans="1:78" x14ac:dyDescent="0.25">
      <c r="A27" s="7"/>
      <c r="B27" s="38"/>
      <c r="C27" s="38" t="s">
        <v>114</v>
      </c>
      <c r="D27" s="38" t="s">
        <v>102</v>
      </c>
      <c r="E27" s="18" t="s">
        <v>105</v>
      </c>
      <c r="F27" s="19">
        <f>Macro!F11/F11</f>
        <v>403026</v>
      </c>
      <c r="G27" s="19">
        <f>Macro!G11/G11</f>
        <v>410537.19008264464</v>
      </c>
      <c r="H27" s="19">
        <f>Macro!H11/H11</f>
        <v>423968.95161290321</v>
      </c>
      <c r="I27" s="19">
        <f>Macro!I11/I11</f>
        <v>448386.8</v>
      </c>
      <c r="J27" s="19">
        <f>Macro!J11/J11</f>
        <v>478040</v>
      </c>
      <c r="K27" s="19">
        <f>Macro!K11/K11</f>
        <v>514800</v>
      </c>
      <c r="L27" s="19">
        <f>Macro!L11/L11</f>
        <v>552160</v>
      </c>
      <c r="M27" s="19">
        <f>Macro!M11/M11</f>
        <v>587520</v>
      </c>
      <c r="N27" s="19">
        <f>Macro!N11/N11</f>
        <v>619480</v>
      </c>
      <c r="O27" s="19">
        <f>Macro!O11/O11</f>
        <v>641933.13474030257</v>
      </c>
      <c r="P27" s="19">
        <f>Macro!P11/P11</f>
        <v>663807.72078019113</v>
      </c>
      <c r="Q27" s="52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  <c r="BM27" s="54"/>
      <c r="BN27" s="54"/>
      <c r="BO27" s="54"/>
      <c r="BP27" s="54"/>
      <c r="BQ27" s="54"/>
      <c r="BR27" s="54"/>
      <c r="BS27" s="54"/>
      <c r="BT27" s="54"/>
      <c r="BU27" s="54"/>
      <c r="BV27" s="54"/>
      <c r="BW27" s="54"/>
      <c r="BX27" s="54"/>
      <c r="BY27" s="54"/>
      <c r="BZ27" s="54"/>
    </row>
    <row r="28" spans="1:78" x14ac:dyDescent="0.25">
      <c r="A28" s="7"/>
      <c r="B28" s="38"/>
      <c r="C28" s="38" t="s">
        <v>5</v>
      </c>
      <c r="D28" s="38" t="s">
        <v>102</v>
      </c>
      <c r="E28" s="18" t="s">
        <v>105</v>
      </c>
      <c r="F28" s="19">
        <f>Macro!F12/F12</f>
        <v>1155460.7692307692</v>
      </c>
      <c r="G28" s="19">
        <f>Macro!G12/G12</f>
        <v>1277603.076923077</v>
      </c>
      <c r="H28" s="19">
        <f>Macro!H12/H12</f>
        <v>1435416.1538461538</v>
      </c>
      <c r="I28" s="19">
        <f>Macro!I12/I12</f>
        <v>1594035</v>
      </c>
      <c r="J28" s="19">
        <f>Macro!J12/J12</f>
        <v>1720307.6923076923</v>
      </c>
      <c r="K28" s="19">
        <f>Macro!K12/K12</f>
        <v>1887884.6153846153</v>
      </c>
      <c r="L28" s="19">
        <f>Macro!L12/L12</f>
        <v>2061730.7692307692</v>
      </c>
      <c r="M28" s="19">
        <f>Macro!M12/M12</f>
        <v>2242307.692307692</v>
      </c>
      <c r="N28" s="19">
        <f>Macro!N12/N12</f>
        <v>2429923.076923077</v>
      </c>
      <c r="O28" s="19">
        <f>Macro!O12/O12</f>
        <v>2517995.9610431846</v>
      </c>
      <c r="P28" s="19">
        <f>Macro!P12/P12</f>
        <v>2603799.4759532134</v>
      </c>
      <c r="Q28" s="52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  <c r="BM28" s="54"/>
      <c r="BN28" s="54"/>
      <c r="BO28" s="54"/>
      <c r="BP28" s="54"/>
      <c r="BQ28" s="54"/>
      <c r="BR28" s="54"/>
      <c r="BS28" s="54"/>
      <c r="BT28" s="54"/>
      <c r="BU28" s="54"/>
      <c r="BV28" s="54"/>
      <c r="BW28" s="54"/>
      <c r="BX28" s="54"/>
      <c r="BY28" s="54"/>
      <c r="BZ28" s="54"/>
    </row>
    <row r="29" spans="1:78" x14ac:dyDescent="0.25">
      <c r="A29" s="7"/>
      <c r="B29" s="38"/>
      <c r="C29" s="38" t="s">
        <v>76</v>
      </c>
      <c r="D29" s="38" t="s">
        <v>102</v>
      </c>
      <c r="E29" s="18" t="s">
        <v>105</v>
      </c>
      <c r="F29" s="19">
        <f>Macro!F13/F13</f>
        <v>1615692</v>
      </c>
      <c r="G29" s="19">
        <f>Macro!G13/G13</f>
        <v>1678424.8</v>
      </c>
      <c r="H29" s="19">
        <f>Macro!H13/H13</f>
        <v>1786218.4</v>
      </c>
      <c r="I29" s="19">
        <f>Macro!I13/I13</f>
        <v>1973714.0495867769</v>
      </c>
      <c r="J29" s="19">
        <f>Macro!J13/J13</f>
        <v>2126458.3333333335</v>
      </c>
      <c r="K29" s="19">
        <f>Macro!K13/K13</f>
        <v>2239916.666666667</v>
      </c>
      <c r="L29" s="19">
        <f>Macro!L13/L13</f>
        <v>2347041.666666667</v>
      </c>
      <c r="M29" s="19">
        <f>Macro!M13/M13</f>
        <v>2447041.666666667</v>
      </c>
      <c r="N29" s="19">
        <f>Macro!N13/N13</f>
        <v>2540166.666666667</v>
      </c>
      <c r="O29" s="19">
        <f>Macro!O13/O13</f>
        <v>2632235.3443148425</v>
      </c>
      <c r="P29" s="19">
        <f>Macro!P13/P13</f>
        <v>2721931.6933586486</v>
      </c>
      <c r="Q29" s="52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  <c r="BM29" s="54"/>
      <c r="BN29" s="54"/>
      <c r="BO29" s="54"/>
      <c r="BP29" s="54"/>
      <c r="BQ29" s="54"/>
      <c r="BR29" s="54"/>
      <c r="BS29" s="54"/>
      <c r="BT29" s="54"/>
      <c r="BU29" s="54"/>
      <c r="BV29" s="54"/>
      <c r="BW29" s="54"/>
      <c r="BX29" s="54"/>
      <c r="BY29" s="54"/>
      <c r="BZ29" s="54"/>
    </row>
    <row r="30" spans="1:78" x14ac:dyDescent="0.25">
      <c r="A30" s="7"/>
      <c r="B30" s="38"/>
      <c r="C30" s="38" t="s">
        <v>115</v>
      </c>
      <c r="D30" s="38" t="s">
        <v>102</v>
      </c>
      <c r="E30" s="18" t="s">
        <v>105</v>
      </c>
      <c r="F30" s="19">
        <f>Macro!F14/F14</f>
        <v>12172.4</v>
      </c>
      <c r="G30" s="19">
        <f>Macro!G14/G14</f>
        <v>13182.644628099173</v>
      </c>
      <c r="H30" s="19">
        <f>Macro!H14/H14</f>
        <v>14415</v>
      </c>
      <c r="I30" s="19">
        <f>Macro!I14/I14</f>
        <v>16245.689655172415</v>
      </c>
      <c r="J30" s="19">
        <f>Macro!J14/J14</f>
        <v>17956.521739130436</v>
      </c>
      <c r="K30" s="19">
        <f>Macro!K14/K14</f>
        <v>18913.043478260872</v>
      </c>
      <c r="L30" s="19">
        <f>Macro!L14/L14</f>
        <v>19739.130434782612</v>
      </c>
      <c r="M30" s="19">
        <f>Macro!M14/M14</f>
        <v>20434.782608695652</v>
      </c>
      <c r="N30" s="19">
        <f>Macro!N14/N14</f>
        <v>21000</v>
      </c>
      <c r="O30" s="19">
        <f>Macro!O14/O14</f>
        <v>21761.147784506931</v>
      </c>
      <c r="P30" s="19">
        <f>Macro!P14/P14</f>
        <v>22502.683115490436</v>
      </c>
      <c r="Q30" s="52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4"/>
      <c r="BO30" s="54"/>
      <c r="BP30" s="54"/>
      <c r="BQ30" s="54"/>
      <c r="BR30" s="54"/>
      <c r="BS30" s="54"/>
      <c r="BT30" s="54"/>
      <c r="BU30" s="54"/>
      <c r="BV30" s="54"/>
      <c r="BW30" s="54"/>
      <c r="BX30" s="54"/>
      <c r="BY30" s="54"/>
      <c r="BZ30" s="54"/>
    </row>
    <row r="31" spans="1:78" x14ac:dyDescent="0.25">
      <c r="A31" s="7"/>
      <c r="B31" s="38"/>
      <c r="C31" s="38" t="s">
        <v>117</v>
      </c>
      <c r="D31" s="38" t="s">
        <v>102</v>
      </c>
      <c r="E31" s="18" t="s">
        <v>105</v>
      </c>
      <c r="F31" s="19">
        <f>Macro!F15/F15</f>
        <v>13958.620689655172</v>
      </c>
      <c r="G31" s="19">
        <f>Macro!G15/G15</f>
        <v>14965.517241379312</v>
      </c>
      <c r="H31" s="19">
        <f>Macro!H15/H15</f>
        <v>15349.290780141844</v>
      </c>
      <c r="I31" s="19">
        <f>Macro!I15/I15</f>
        <v>16263.60294117647</v>
      </c>
      <c r="J31" s="19">
        <f>Macro!J15/J15</f>
        <v>16703.703703703704</v>
      </c>
      <c r="K31" s="19">
        <f>Macro!K15/K15</f>
        <v>17185.185185185182</v>
      </c>
      <c r="L31" s="19">
        <f>Macro!L15/L15</f>
        <v>17555.555555555555</v>
      </c>
      <c r="M31" s="19">
        <f>Macro!M15/M15</f>
        <v>17851.85185185185</v>
      </c>
      <c r="N31" s="19">
        <f>Macro!N15/N15</f>
        <v>18000</v>
      </c>
      <c r="O31" s="19">
        <f>Macro!O15/O15</f>
        <v>18652.412386720225</v>
      </c>
      <c r="P31" s="19">
        <f>Macro!P15/P15</f>
        <v>19288.014098991796</v>
      </c>
      <c r="Q31" s="52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  <c r="BM31" s="54"/>
      <c r="BN31" s="54"/>
      <c r="BO31" s="54"/>
      <c r="BP31" s="54"/>
      <c r="BQ31" s="54"/>
      <c r="BR31" s="54"/>
      <c r="BS31" s="54"/>
      <c r="BT31" s="54"/>
      <c r="BU31" s="54"/>
      <c r="BV31" s="54"/>
      <c r="BW31" s="54"/>
      <c r="BX31" s="54"/>
      <c r="BY31" s="54"/>
      <c r="BZ31" s="54"/>
    </row>
    <row r="32" spans="1:78" x14ac:dyDescent="0.25">
      <c r="A32" s="7"/>
      <c r="B32" s="38"/>
      <c r="C32" s="38" t="s">
        <v>116</v>
      </c>
      <c r="D32" s="38" t="s">
        <v>102</v>
      </c>
      <c r="E32" s="18" t="s">
        <v>105</v>
      </c>
      <c r="F32" s="19">
        <f>Macro!F16/F16</f>
        <v>7431.8918918918916</v>
      </c>
      <c r="G32" s="19">
        <f>Macro!G16/G16</f>
        <v>8199.72972972973</v>
      </c>
      <c r="H32" s="19">
        <f>Macro!H16/H16</f>
        <v>9014.0540540540533</v>
      </c>
      <c r="I32" s="19">
        <f>Macro!I16/I16</f>
        <v>10079.558011049723</v>
      </c>
      <c r="J32" s="19">
        <f>Macro!J16/J16</f>
        <v>10916.666666666666</v>
      </c>
      <c r="K32" s="19">
        <f>Macro!K16/K16</f>
        <v>11555.555555555555</v>
      </c>
      <c r="L32" s="19">
        <f>Macro!L16/L16</f>
        <v>12194.444444444443</v>
      </c>
      <c r="M32" s="19">
        <f>Macro!M16/M16</f>
        <v>12888.888888888889</v>
      </c>
      <c r="N32" s="19">
        <f>Macro!N16/N16</f>
        <v>13555.555555555555</v>
      </c>
      <c r="O32" s="19">
        <f>Macro!O16/O16</f>
        <v>14046.878464073256</v>
      </c>
      <c r="P32" s="19">
        <f>Macro!P16/P16</f>
        <v>14525.541481956787</v>
      </c>
      <c r="Q32" s="52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</row>
    <row r="33" spans="1:34" x14ac:dyDescent="0.25">
      <c r="A33" s="7"/>
      <c r="B33" s="38"/>
      <c r="C33" s="38"/>
      <c r="D33" s="38"/>
      <c r="E33" s="18"/>
      <c r="F33" s="43"/>
      <c r="G33" s="43"/>
      <c r="H33" s="43"/>
      <c r="I33" s="43"/>
      <c r="Q33" s="52"/>
    </row>
    <row r="34" spans="1:34" x14ac:dyDescent="0.25">
      <c r="A34" s="7"/>
      <c r="B34" s="38"/>
      <c r="C34" s="38"/>
      <c r="D34" s="38"/>
      <c r="E34" s="18"/>
      <c r="F34" s="43"/>
      <c r="G34" s="43"/>
      <c r="H34" s="43"/>
      <c r="I34" s="43"/>
      <c r="Q34" s="52"/>
    </row>
    <row r="35" spans="1:34" x14ac:dyDescent="0.25">
      <c r="A35" s="7"/>
      <c r="B35" s="72" t="s">
        <v>176</v>
      </c>
      <c r="C35" s="38"/>
      <c r="D35" s="38"/>
      <c r="E35" s="18"/>
      <c r="F35" s="43"/>
      <c r="G35" s="43"/>
      <c r="H35" s="43"/>
      <c r="I35" s="43"/>
      <c r="Q35" s="52"/>
    </row>
    <row r="36" spans="1:34" outlineLevel="1" x14ac:dyDescent="0.25">
      <c r="A36" s="7"/>
      <c r="B36" s="38" t="s">
        <v>178</v>
      </c>
      <c r="C36" s="38" t="s">
        <v>60</v>
      </c>
      <c r="D36" s="38" t="s">
        <v>177</v>
      </c>
      <c r="E36" s="40" t="s">
        <v>101</v>
      </c>
      <c r="F36" s="43">
        <f t="shared" ref="F36:I51" si="5">INDEX($R36:$BZ36,MATCH(F$1,$R$1:$BZ$1,0))</f>
        <v>0</v>
      </c>
      <c r="G36" s="43">
        <f t="shared" si="5"/>
        <v>0</v>
      </c>
      <c r="H36" s="43">
        <f t="shared" si="5"/>
        <v>0</v>
      </c>
      <c r="I36" s="43">
        <f t="shared" si="5"/>
        <v>0</v>
      </c>
      <c r="J36" s="58">
        <f t="shared" ref="J36:P72" si="6">$AH36</f>
        <v>0</v>
      </c>
      <c r="K36" s="58">
        <f t="shared" si="6"/>
        <v>0</v>
      </c>
      <c r="L36" s="58">
        <f t="shared" si="6"/>
        <v>0</v>
      </c>
      <c r="M36" s="58">
        <f t="shared" si="6"/>
        <v>0</v>
      </c>
      <c r="N36" s="58">
        <f t="shared" si="6"/>
        <v>0</v>
      </c>
      <c r="O36" s="58">
        <f t="shared" si="6"/>
        <v>0</v>
      </c>
      <c r="P36" s="58">
        <f t="shared" si="6"/>
        <v>0</v>
      </c>
      <c r="Q36" s="52"/>
    </row>
    <row r="37" spans="1:34" outlineLevel="1" x14ac:dyDescent="0.25">
      <c r="A37" s="7"/>
      <c r="B37" s="38" t="s">
        <v>178</v>
      </c>
      <c r="C37" s="15" t="s">
        <v>107</v>
      </c>
      <c r="D37" s="38" t="s">
        <v>177</v>
      </c>
      <c r="E37" s="40" t="s">
        <v>101</v>
      </c>
      <c r="F37" s="43">
        <f t="shared" si="5"/>
        <v>0</v>
      </c>
      <c r="G37" s="43">
        <f t="shared" si="5"/>
        <v>0</v>
      </c>
      <c r="H37" s="43">
        <f t="shared" si="5"/>
        <v>0</v>
      </c>
      <c r="I37" s="43">
        <f t="shared" si="5"/>
        <v>0</v>
      </c>
      <c r="J37" s="58">
        <f t="shared" si="6"/>
        <v>0</v>
      </c>
      <c r="K37" s="58">
        <f t="shared" si="6"/>
        <v>0</v>
      </c>
      <c r="L37" s="58">
        <f t="shared" si="6"/>
        <v>0</v>
      </c>
      <c r="M37" s="58">
        <f t="shared" si="6"/>
        <v>0</v>
      </c>
      <c r="N37" s="58">
        <f t="shared" si="6"/>
        <v>0</v>
      </c>
      <c r="O37" s="58">
        <f t="shared" si="6"/>
        <v>0</v>
      </c>
      <c r="P37" s="58">
        <f t="shared" si="6"/>
        <v>0</v>
      </c>
      <c r="Q37" s="52"/>
    </row>
    <row r="38" spans="1:34" outlineLevel="1" x14ac:dyDescent="0.25">
      <c r="A38" s="7"/>
      <c r="B38" s="38" t="s">
        <v>178</v>
      </c>
      <c r="C38" s="38" t="s">
        <v>108</v>
      </c>
      <c r="D38" s="38" t="s">
        <v>177</v>
      </c>
      <c r="E38" s="40" t="s">
        <v>101</v>
      </c>
      <c r="F38" s="43">
        <f t="shared" si="5"/>
        <v>0</v>
      </c>
      <c r="G38" s="43">
        <f t="shared" si="5"/>
        <v>0</v>
      </c>
      <c r="H38" s="43">
        <f t="shared" si="5"/>
        <v>0</v>
      </c>
      <c r="I38" s="43">
        <f t="shared" si="5"/>
        <v>0</v>
      </c>
      <c r="J38" s="58">
        <f t="shared" si="6"/>
        <v>0</v>
      </c>
      <c r="K38" s="58">
        <f t="shared" si="6"/>
        <v>0</v>
      </c>
      <c r="L38" s="58">
        <f t="shared" si="6"/>
        <v>0</v>
      </c>
      <c r="M38" s="58">
        <f t="shared" si="6"/>
        <v>0</v>
      </c>
      <c r="N38" s="58">
        <f t="shared" si="6"/>
        <v>0</v>
      </c>
      <c r="O38" s="58">
        <f t="shared" si="6"/>
        <v>0</v>
      </c>
      <c r="P38" s="58">
        <f t="shared" si="6"/>
        <v>0</v>
      </c>
      <c r="Q38" s="52"/>
    </row>
    <row r="39" spans="1:34" outlineLevel="1" x14ac:dyDescent="0.25">
      <c r="A39" s="7"/>
      <c r="B39" s="38" t="s">
        <v>178</v>
      </c>
      <c r="C39" s="38" t="s">
        <v>109</v>
      </c>
      <c r="D39" s="38" t="s">
        <v>177</v>
      </c>
      <c r="E39" s="40" t="s">
        <v>101</v>
      </c>
      <c r="F39" s="43">
        <f t="shared" si="5"/>
        <v>0</v>
      </c>
      <c r="G39" s="43">
        <f t="shared" si="5"/>
        <v>0</v>
      </c>
      <c r="H39" s="43">
        <f t="shared" si="5"/>
        <v>0</v>
      </c>
      <c r="I39" s="43">
        <f t="shared" si="5"/>
        <v>0</v>
      </c>
      <c r="J39" s="58">
        <f t="shared" si="6"/>
        <v>0</v>
      </c>
      <c r="K39" s="58">
        <f t="shared" si="6"/>
        <v>0</v>
      </c>
      <c r="L39" s="58">
        <f t="shared" si="6"/>
        <v>0</v>
      </c>
      <c r="M39" s="58">
        <f t="shared" si="6"/>
        <v>0</v>
      </c>
      <c r="N39" s="58">
        <f t="shared" si="6"/>
        <v>0</v>
      </c>
      <c r="O39" s="58">
        <f t="shared" si="6"/>
        <v>0</v>
      </c>
      <c r="P39" s="58">
        <f t="shared" si="6"/>
        <v>0</v>
      </c>
      <c r="Q39" s="52"/>
    </row>
    <row r="40" spans="1:34" outlineLevel="1" x14ac:dyDescent="0.25">
      <c r="A40" s="7"/>
      <c r="B40" s="38" t="s">
        <v>178</v>
      </c>
      <c r="C40" s="38" t="s">
        <v>110</v>
      </c>
      <c r="D40" s="38" t="s">
        <v>177</v>
      </c>
      <c r="E40" s="40" t="s">
        <v>101</v>
      </c>
      <c r="F40" s="43">
        <f t="shared" si="5"/>
        <v>0</v>
      </c>
      <c r="G40" s="43">
        <f t="shared" si="5"/>
        <v>0</v>
      </c>
      <c r="H40" s="43">
        <f t="shared" si="5"/>
        <v>0</v>
      </c>
      <c r="I40" s="43">
        <f t="shared" si="5"/>
        <v>0</v>
      </c>
      <c r="J40" s="58">
        <f t="shared" si="6"/>
        <v>0</v>
      </c>
      <c r="K40" s="58">
        <f t="shared" si="6"/>
        <v>0</v>
      </c>
      <c r="L40" s="58">
        <f t="shared" si="6"/>
        <v>0</v>
      </c>
      <c r="M40" s="58">
        <f t="shared" si="6"/>
        <v>0</v>
      </c>
      <c r="N40" s="58">
        <f t="shared" si="6"/>
        <v>0</v>
      </c>
      <c r="O40" s="58">
        <f t="shared" si="6"/>
        <v>0</v>
      </c>
      <c r="P40" s="58">
        <f t="shared" si="6"/>
        <v>0</v>
      </c>
      <c r="Q40" s="52"/>
    </row>
    <row r="41" spans="1:34" outlineLevel="1" x14ac:dyDescent="0.25">
      <c r="A41" s="7"/>
      <c r="B41" s="38" t="s">
        <v>178</v>
      </c>
      <c r="C41" s="38" t="s">
        <v>111</v>
      </c>
      <c r="D41" s="38" t="s">
        <v>177</v>
      </c>
      <c r="E41" s="40" t="s">
        <v>101</v>
      </c>
      <c r="F41" s="43">
        <f t="shared" si="5"/>
        <v>0</v>
      </c>
      <c r="G41" s="43">
        <f t="shared" si="5"/>
        <v>0</v>
      </c>
      <c r="H41" s="43">
        <f t="shared" si="5"/>
        <v>0</v>
      </c>
      <c r="I41" s="43">
        <f t="shared" si="5"/>
        <v>0</v>
      </c>
      <c r="J41" s="58">
        <f t="shared" si="6"/>
        <v>0</v>
      </c>
      <c r="K41" s="58">
        <f t="shared" si="6"/>
        <v>0</v>
      </c>
      <c r="L41" s="58">
        <f t="shared" si="6"/>
        <v>0</v>
      </c>
      <c r="M41" s="58">
        <f t="shared" si="6"/>
        <v>0</v>
      </c>
      <c r="N41" s="58">
        <f t="shared" si="6"/>
        <v>0</v>
      </c>
      <c r="O41" s="58">
        <f t="shared" si="6"/>
        <v>0</v>
      </c>
      <c r="P41" s="58">
        <f t="shared" si="6"/>
        <v>0</v>
      </c>
      <c r="Q41" s="52"/>
    </row>
    <row r="42" spans="1:34" outlineLevel="1" x14ac:dyDescent="0.25">
      <c r="A42" s="7"/>
      <c r="B42" s="38" t="s">
        <v>178</v>
      </c>
      <c r="C42" s="38" t="s">
        <v>112</v>
      </c>
      <c r="D42" s="38" t="s">
        <v>177</v>
      </c>
      <c r="E42" s="40" t="s">
        <v>101</v>
      </c>
      <c r="F42" s="43">
        <f t="shared" si="5"/>
        <v>0</v>
      </c>
      <c r="G42" s="43">
        <f t="shared" si="5"/>
        <v>0</v>
      </c>
      <c r="H42" s="43">
        <f t="shared" si="5"/>
        <v>0</v>
      </c>
      <c r="I42" s="43">
        <f t="shared" si="5"/>
        <v>0</v>
      </c>
      <c r="J42" s="58">
        <f t="shared" si="6"/>
        <v>0</v>
      </c>
      <c r="K42" s="58">
        <f t="shared" si="6"/>
        <v>0</v>
      </c>
      <c r="L42" s="58">
        <f t="shared" si="6"/>
        <v>0</v>
      </c>
      <c r="M42" s="58">
        <f t="shared" si="6"/>
        <v>0</v>
      </c>
      <c r="N42" s="58">
        <f t="shared" si="6"/>
        <v>0</v>
      </c>
      <c r="O42" s="58">
        <f t="shared" si="6"/>
        <v>0</v>
      </c>
      <c r="P42" s="58">
        <f t="shared" si="6"/>
        <v>0</v>
      </c>
      <c r="Q42" s="52"/>
    </row>
    <row r="43" spans="1:34" outlineLevel="1" x14ac:dyDescent="0.25">
      <c r="A43" s="7"/>
      <c r="B43" s="38" t="s">
        <v>178</v>
      </c>
      <c r="C43" s="38" t="s">
        <v>113</v>
      </c>
      <c r="D43" s="38" t="s">
        <v>177</v>
      </c>
      <c r="E43" s="40" t="s">
        <v>101</v>
      </c>
      <c r="F43" s="43">
        <f t="shared" si="5"/>
        <v>0</v>
      </c>
      <c r="G43" s="43">
        <f t="shared" si="5"/>
        <v>0</v>
      </c>
      <c r="H43" s="43">
        <f t="shared" si="5"/>
        <v>0</v>
      </c>
      <c r="I43" s="43">
        <f t="shared" si="5"/>
        <v>0</v>
      </c>
      <c r="J43" s="58">
        <f t="shared" si="6"/>
        <v>0</v>
      </c>
      <c r="K43" s="58">
        <f t="shared" si="6"/>
        <v>0</v>
      </c>
      <c r="L43" s="58">
        <f t="shared" si="6"/>
        <v>0</v>
      </c>
      <c r="M43" s="58">
        <f t="shared" si="6"/>
        <v>0</v>
      </c>
      <c r="N43" s="58">
        <f t="shared" si="6"/>
        <v>0</v>
      </c>
      <c r="O43" s="58">
        <f t="shared" si="6"/>
        <v>0</v>
      </c>
      <c r="P43" s="58">
        <f t="shared" si="6"/>
        <v>0</v>
      </c>
      <c r="Q43" s="52"/>
    </row>
    <row r="44" spans="1:34" outlineLevel="1" x14ac:dyDescent="0.25">
      <c r="A44" s="7"/>
      <c r="B44" s="38" t="s">
        <v>178</v>
      </c>
      <c r="C44" s="38" t="s">
        <v>114</v>
      </c>
      <c r="D44" s="38" t="s">
        <v>177</v>
      </c>
      <c r="E44" s="40" t="s">
        <v>101</v>
      </c>
      <c r="F44" s="43">
        <f t="shared" si="5"/>
        <v>0</v>
      </c>
      <c r="G44" s="43">
        <f t="shared" si="5"/>
        <v>0</v>
      </c>
      <c r="H44" s="43">
        <f t="shared" si="5"/>
        <v>0</v>
      </c>
      <c r="I44" s="43">
        <f t="shared" si="5"/>
        <v>0</v>
      </c>
      <c r="J44" s="58">
        <f t="shared" si="6"/>
        <v>0</v>
      </c>
      <c r="K44" s="58">
        <f t="shared" si="6"/>
        <v>0</v>
      </c>
      <c r="L44" s="58">
        <f t="shared" si="6"/>
        <v>0</v>
      </c>
      <c r="M44" s="58">
        <f t="shared" si="6"/>
        <v>0</v>
      </c>
      <c r="N44" s="58">
        <f t="shared" si="6"/>
        <v>0</v>
      </c>
      <c r="O44" s="58">
        <f t="shared" si="6"/>
        <v>0</v>
      </c>
      <c r="P44" s="58">
        <f t="shared" si="6"/>
        <v>0</v>
      </c>
      <c r="Q44" s="52"/>
    </row>
    <row r="45" spans="1:34" outlineLevel="1" x14ac:dyDescent="0.25">
      <c r="A45" s="7"/>
      <c r="B45" s="38" t="s">
        <v>178</v>
      </c>
      <c r="C45" s="38" t="s">
        <v>5</v>
      </c>
      <c r="D45" s="38" t="s">
        <v>177</v>
      </c>
      <c r="E45" s="40" t="s">
        <v>101</v>
      </c>
      <c r="F45" s="43">
        <f t="shared" si="5"/>
        <v>736.77800000000002</v>
      </c>
      <c r="G45" s="43">
        <f t="shared" si="5"/>
        <v>835.74400000000003</v>
      </c>
      <c r="H45" s="43">
        <f t="shared" si="5"/>
        <v>933.23800000000006</v>
      </c>
      <c r="I45" s="43">
        <f t="shared" si="5"/>
        <v>1005.0069999999999</v>
      </c>
      <c r="J45" s="58">
        <f t="shared" si="6"/>
        <v>1014.869</v>
      </c>
      <c r="K45" s="58">
        <f t="shared" si="6"/>
        <v>1014.869</v>
      </c>
      <c r="L45" s="58">
        <f t="shared" si="6"/>
        <v>1014.869</v>
      </c>
      <c r="M45" s="58">
        <f t="shared" si="6"/>
        <v>1014.869</v>
      </c>
      <c r="N45" s="58">
        <f t="shared" si="6"/>
        <v>1014.869</v>
      </c>
      <c r="O45" s="58">
        <f t="shared" si="6"/>
        <v>1014.869</v>
      </c>
      <c r="P45" s="58">
        <f t="shared" si="6"/>
        <v>1014.869</v>
      </c>
      <c r="Q45" s="52"/>
      <c r="R45" s="54">
        <v>736.77800000000002</v>
      </c>
      <c r="S45" s="54">
        <v>753.15700000000004</v>
      </c>
      <c r="T45" s="54">
        <v>772.95600000000002</v>
      </c>
      <c r="U45" s="54">
        <v>793.77599999999995</v>
      </c>
      <c r="V45" s="54">
        <v>813.49900000000002</v>
      </c>
      <c r="W45" s="54">
        <v>835.74400000000003</v>
      </c>
      <c r="X45" s="54">
        <v>858.995</v>
      </c>
      <c r="Y45" s="54">
        <v>884.875</v>
      </c>
      <c r="Z45" s="54">
        <v>904.78599999999994</v>
      </c>
      <c r="AA45" s="54">
        <v>917.19799999999998</v>
      </c>
      <c r="AB45" s="54">
        <v>933.23800000000006</v>
      </c>
      <c r="AC45" s="54">
        <v>946.41800000000001</v>
      </c>
      <c r="AD45" s="54">
        <v>959.68299999999999</v>
      </c>
      <c r="AE45" s="54">
        <v>975.59699999999998</v>
      </c>
      <c r="AF45" s="54">
        <v>992.43600000000004</v>
      </c>
      <c r="AG45" s="54">
        <v>1005.0069999999999</v>
      </c>
      <c r="AH45" s="54">
        <v>1014.869</v>
      </c>
    </row>
    <row r="46" spans="1:34" outlineLevel="1" x14ac:dyDescent="0.25">
      <c r="A46" s="7"/>
      <c r="B46" s="38" t="s">
        <v>178</v>
      </c>
      <c r="C46" s="38" t="s">
        <v>76</v>
      </c>
      <c r="D46" s="38" t="s">
        <v>177</v>
      </c>
      <c r="E46" s="40" t="s">
        <v>101</v>
      </c>
      <c r="F46" s="43">
        <f t="shared" si="5"/>
        <v>0</v>
      </c>
      <c r="G46" s="43">
        <f t="shared" si="5"/>
        <v>0</v>
      </c>
      <c r="H46" s="43">
        <f t="shared" si="5"/>
        <v>0</v>
      </c>
      <c r="I46" s="43">
        <f t="shared" si="5"/>
        <v>0</v>
      </c>
      <c r="J46" s="58">
        <f t="shared" si="6"/>
        <v>0</v>
      </c>
      <c r="K46" s="58">
        <f t="shared" si="6"/>
        <v>0</v>
      </c>
      <c r="L46" s="58">
        <f t="shared" si="6"/>
        <v>0</v>
      </c>
      <c r="M46" s="58">
        <f t="shared" si="6"/>
        <v>0</v>
      </c>
      <c r="N46" s="58">
        <f t="shared" si="6"/>
        <v>0</v>
      </c>
      <c r="O46" s="58">
        <f t="shared" si="6"/>
        <v>0</v>
      </c>
      <c r="P46" s="58">
        <f t="shared" si="6"/>
        <v>0</v>
      </c>
      <c r="Q46" s="52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</row>
    <row r="47" spans="1:34" outlineLevel="1" x14ac:dyDescent="0.25">
      <c r="A47" s="7"/>
      <c r="B47" s="38" t="s">
        <v>178</v>
      </c>
      <c r="C47" s="38" t="s">
        <v>115</v>
      </c>
      <c r="D47" s="38" t="s">
        <v>177</v>
      </c>
      <c r="E47" s="40" t="s">
        <v>101</v>
      </c>
      <c r="F47" s="43">
        <f t="shared" si="5"/>
        <v>0</v>
      </c>
      <c r="G47" s="43">
        <f t="shared" si="5"/>
        <v>0</v>
      </c>
      <c r="H47" s="43">
        <f t="shared" si="5"/>
        <v>0</v>
      </c>
      <c r="I47" s="43">
        <f t="shared" si="5"/>
        <v>0</v>
      </c>
      <c r="J47" s="58">
        <f t="shared" si="6"/>
        <v>0</v>
      </c>
      <c r="K47" s="58">
        <f t="shared" si="6"/>
        <v>0</v>
      </c>
      <c r="L47" s="58">
        <f t="shared" si="6"/>
        <v>0</v>
      </c>
      <c r="M47" s="58">
        <f t="shared" si="6"/>
        <v>0</v>
      </c>
      <c r="N47" s="58">
        <f t="shared" si="6"/>
        <v>0</v>
      </c>
      <c r="O47" s="58">
        <f t="shared" si="6"/>
        <v>0</v>
      </c>
      <c r="P47" s="58">
        <f t="shared" si="6"/>
        <v>0</v>
      </c>
      <c r="Q47" s="52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</row>
    <row r="48" spans="1:34" outlineLevel="1" x14ac:dyDescent="0.25">
      <c r="A48" s="7"/>
      <c r="B48" s="38" t="s">
        <v>178</v>
      </c>
      <c r="C48" s="38" t="s">
        <v>117</v>
      </c>
      <c r="D48" s="38" t="s">
        <v>177</v>
      </c>
      <c r="E48" s="40" t="s">
        <v>101</v>
      </c>
      <c r="F48" s="43">
        <f t="shared" si="5"/>
        <v>0</v>
      </c>
      <c r="G48" s="43">
        <f t="shared" si="5"/>
        <v>0</v>
      </c>
      <c r="H48" s="43">
        <f t="shared" si="5"/>
        <v>0</v>
      </c>
      <c r="I48" s="43">
        <f t="shared" si="5"/>
        <v>0</v>
      </c>
      <c r="J48" s="58">
        <f t="shared" si="6"/>
        <v>0</v>
      </c>
      <c r="K48" s="58">
        <f t="shared" si="6"/>
        <v>0</v>
      </c>
      <c r="L48" s="58">
        <f t="shared" si="6"/>
        <v>0</v>
      </c>
      <c r="M48" s="58">
        <f t="shared" si="6"/>
        <v>0</v>
      </c>
      <c r="N48" s="58">
        <f t="shared" si="6"/>
        <v>0</v>
      </c>
      <c r="O48" s="58">
        <f t="shared" si="6"/>
        <v>0</v>
      </c>
      <c r="P48" s="58">
        <f t="shared" si="6"/>
        <v>0</v>
      </c>
      <c r="Q48" s="52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</row>
    <row r="49" spans="1:34" outlineLevel="1" x14ac:dyDescent="0.25">
      <c r="A49" s="7"/>
      <c r="B49" s="38" t="s">
        <v>178</v>
      </c>
      <c r="C49" s="38" t="s">
        <v>116</v>
      </c>
      <c r="D49" s="38" t="s">
        <v>177</v>
      </c>
      <c r="E49" s="40" t="s">
        <v>101</v>
      </c>
      <c r="F49" s="43">
        <f t="shared" si="5"/>
        <v>0</v>
      </c>
      <c r="G49" s="43">
        <f t="shared" si="5"/>
        <v>0</v>
      </c>
      <c r="H49" s="43">
        <f t="shared" si="5"/>
        <v>0</v>
      </c>
      <c r="I49" s="43">
        <f t="shared" si="5"/>
        <v>0</v>
      </c>
      <c r="J49" s="58">
        <f t="shared" si="6"/>
        <v>0</v>
      </c>
      <c r="K49" s="58">
        <f t="shared" si="6"/>
        <v>0</v>
      </c>
      <c r="L49" s="58">
        <f t="shared" si="6"/>
        <v>0</v>
      </c>
      <c r="M49" s="58">
        <f t="shared" si="6"/>
        <v>0</v>
      </c>
      <c r="N49" s="58">
        <f t="shared" si="6"/>
        <v>0</v>
      </c>
      <c r="O49" s="58">
        <f t="shared" si="6"/>
        <v>0</v>
      </c>
      <c r="P49" s="58">
        <f t="shared" si="6"/>
        <v>0</v>
      </c>
      <c r="Q49" s="52"/>
    </row>
    <row r="50" spans="1:34" outlineLevel="1" x14ac:dyDescent="0.25">
      <c r="A50" s="7"/>
      <c r="B50" s="38" t="s">
        <v>179</v>
      </c>
      <c r="C50" s="38" t="s">
        <v>60</v>
      </c>
      <c r="D50" s="38" t="s">
        <v>177</v>
      </c>
      <c r="E50" s="40" t="s">
        <v>101</v>
      </c>
      <c r="F50" s="43">
        <f t="shared" si="5"/>
        <v>0</v>
      </c>
      <c r="G50" s="43">
        <f t="shared" si="5"/>
        <v>0</v>
      </c>
      <c r="H50" s="43">
        <f t="shared" si="5"/>
        <v>0</v>
      </c>
      <c r="I50" s="43">
        <f t="shared" si="5"/>
        <v>0</v>
      </c>
      <c r="J50" s="58">
        <f t="shared" si="6"/>
        <v>0</v>
      </c>
      <c r="K50" s="58">
        <f t="shared" si="6"/>
        <v>0</v>
      </c>
      <c r="L50" s="58">
        <f t="shared" si="6"/>
        <v>0</v>
      </c>
      <c r="M50" s="58">
        <f t="shared" si="6"/>
        <v>0</v>
      </c>
      <c r="N50" s="58">
        <f t="shared" si="6"/>
        <v>0</v>
      </c>
      <c r="O50" s="58">
        <f t="shared" si="6"/>
        <v>0</v>
      </c>
      <c r="P50" s="58">
        <f t="shared" si="6"/>
        <v>0</v>
      </c>
      <c r="Q50" s="52"/>
    </row>
    <row r="51" spans="1:34" outlineLevel="1" x14ac:dyDescent="0.25">
      <c r="A51" s="7"/>
      <c r="B51" s="38" t="s">
        <v>179</v>
      </c>
      <c r="C51" s="15" t="s">
        <v>107</v>
      </c>
      <c r="D51" s="38" t="s">
        <v>177</v>
      </c>
      <c r="E51" s="40" t="s">
        <v>101</v>
      </c>
      <c r="F51" s="43">
        <f t="shared" si="5"/>
        <v>0</v>
      </c>
      <c r="G51" s="43">
        <f t="shared" si="5"/>
        <v>0</v>
      </c>
      <c r="H51" s="43">
        <f t="shared" si="5"/>
        <v>0</v>
      </c>
      <c r="I51" s="43">
        <f t="shared" si="5"/>
        <v>0</v>
      </c>
      <c r="J51" s="58">
        <f t="shared" si="6"/>
        <v>0</v>
      </c>
      <c r="K51" s="58">
        <f t="shared" si="6"/>
        <v>0</v>
      </c>
      <c r="L51" s="58">
        <f t="shared" si="6"/>
        <v>0</v>
      </c>
      <c r="M51" s="58">
        <f t="shared" si="6"/>
        <v>0</v>
      </c>
      <c r="N51" s="58">
        <f t="shared" si="6"/>
        <v>0</v>
      </c>
      <c r="O51" s="58">
        <f t="shared" si="6"/>
        <v>0</v>
      </c>
      <c r="P51" s="58">
        <f t="shared" si="6"/>
        <v>0</v>
      </c>
      <c r="Q51" s="52"/>
    </row>
    <row r="52" spans="1:34" outlineLevel="1" x14ac:dyDescent="0.25">
      <c r="A52" s="7"/>
      <c r="B52" s="38" t="s">
        <v>179</v>
      </c>
      <c r="C52" s="38" t="s">
        <v>108</v>
      </c>
      <c r="D52" s="38" t="s">
        <v>177</v>
      </c>
      <c r="E52" s="40" t="s">
        <v>101</v>
      </c>
      <c r="F52" s="43">
        <f t="shared" ref="F52:I67" si="7">INDEX($R52:$BZ52,MATCH(F$1,$R$1:$BZ$1,0))</f>
        <v>0</v>
      </c>
      <c r="G52" s="43">
        <f t="shared" si="7"/>
        <v>0</v>
      </c>
      <c r="H52" s="43">
        <f t="shared" si="7"/>
        <v>0</v>
      </c>
      <c r="I52" s="43">
        <f t="shared" si="7"/>
        <v>0</v>
      </c>
      <c r="J52" s="58">
        <f t="shared" si="6"/>
        <v>0</v>
      </c>
      <c r="K52" s="58">
        <f t="shared" si="6"/>
        <v>0</v>
      </c>
      <c r="L52" s="58">
        <f t="shared" si="6"/>
        <v>0</v>
      </c>
      <c r="M52" s="58">
        <f t="shared" si="6"/>
        <v>0</v>
      </c>
      <c r="N52" s="58">
        <f t="shared" si="6"/>
        <v>0</v>
      </c>
      <c r="O52" s="58">
        <f t="shared" si="6"/>
        <v>0</v>
      </c>
      <c r="P52" s="58">
        <f t="shared" si="6"/>
        <v>0</v>
      </c>
      <c r="Q52" s="52"/>
    </row>
    <row r="53" spans="1:34" outlineLevel="1" x14ac:dyDescent="0.25">
      <c r="A53" s="7"/>
      <c r="B53" s="38" t="s">
        <v>179</v>
      </c>
      <c r="C53" s="38" t="s">
        <v>109</v>
      </c>
      <c r="D53" s="38" t="s">
        <v>177</v>
      </c>
      <c r="E53" s="40" t="s">
        <v>101</v>
      </c>
      <c r="F53" s="43">
        <f t="shared" si="7"/>
        <v>0</v>
      </c>
      <c r="G53" s="43">
        <f t="shared" si="7"/>
        <v>0</v>
      </c>
      <c r="H53" s="43">
        <f t="shared" si="7"/>
        <v>0</v>
      </c>
      <c r="I53" s="43">
        <f t="shared" si="7"/>
        <v>0</v>
      </c>
      <c r="J53" s="58">
        <f t="shared" si="6"/>
        <v>0</v>
      </c>
      <c r="K53" s="58">
        <f t="shared" si="6"/>
        <v>0</v>
      </c>
      <c r="L53" s="58">
        <f t="shared" si="6"/>
        <v>0</v>
      </c>
      <c r="M53" s="58">
        <f t="shared" si="6"/>
        <v>0</v>
      </c>
      <c r="N53" s="58">
        <f t="shared" si="6"/>
        <v>0</v>
      </c>
      <c r="O53" s="58">
        <f t="shared" si="6"/>
        <v>0</v>
      </c>
      <c r="P53" s="58">
        <f t="shared" si="6"/>
        <v>0</v>
      </c>
      <c r="Q53" s="52"/>
    </row>
    <row r="54" spans="1:34" outlineLevel="1" x14ac:dyDescent="0.25">
      <c r="A54" s="7"/>
      <c r="B54" s="38" t="s">
        <v>179</v>
      </c>
      <c r="C54" s="38" t="s">
        <v>110</v>
      </c>
      <c r="D54" s="38" t="s">
        <v>177</v>
      </c>
      <c r="E54" s="40" t="s">
        <v>101</v>
      </c>
      <c r="F54" s="43">
        <f t="shared" si="7"/>
        <v>0</v>
      </c>
      <c r="G54" s="43">
        <f t="shared" si="7"/>
        <v>0</v>
      </c>
      <c r="H54" s="43">
        <f t="shared" si="7"/>
        <v>0</v>
      </c>
      <c r="I54" s="43">
        <f t="shared" si="7"/>
        <v>0</v>
      </c>
      <c r="J54" s="58">
        <f t="shared" si="6"/>
        <v>0</v>
      </c>
      <c r="K54" s="58">
        <f t="shared" si="6"/>
        <v>0</v>
      </c>
      <c r="L54" s="58">
        <f t="shared" si="6"/>
        <v>0</v>
      </c>
      <c r="M54" s="58">
        <f t="shared" si="6"/>
        <v>0</v>
      </c>
      <c r="N54" s="58">
        <f t="shared" si="6"/>
        <v>0</v>
      </c>
      <c r="O54" s="58">
        <f t="shared" si="6"/>
        <v>0</v>
      </c>
      <c r="P54" s="58">
        <f t="shared" si="6"/>
        <v>0</v>
      </c>
      <c r="Q54" s="52"/>
    </row>
    <row r="55" spans="1:34" outlineLevel="1" x14ac:dyDescent="0.25">
      <c r="A55" s="7"/>
      <c r="B55" s="38" t="s">
        <v>179</v>
      </c>
      <c r="C55" s="38" t="s">
        <v>111</v>
      </c>
      <c r="D55" s="38" t="s">
        <v>177</v>
      </c>
      <c r="E55" s="40" t="s">
        <v>101</v>
      </c>
      <c r="F55" s="43">
        <f t="shared" si="7"/>
        <v>0</v>
      </c>
      <c r="G55" s="43">
        <f t="shared" si="7"/>
        <v>0</v>
      </c>
      <c r="H55" s="43">
        <f t="shared" si="7"/>
        <v>0</v>
      </c>
      <c r="I55" s="43">
        <f t="shared" si="7"/>
        <v>0</v>
      </c>
      <c r="J55" s="58">
        <f t="shared" si="6"/>
        <v>0</v>
      </c>
      <c r="K55" s="58">
        <f t="shared" si="6"/>
        <v>0</v>
      </c>
      <c r="L55" s="58">
        <f t="shared" si="6"/>
        <v>0</v>
      </c>
      <c r="M55" s="58">
        <f t="shared" si="6"/>
        <v>0</v>
      </c>
      <c r="N55" s="58">
        <f t="shared" si="6"/>
        <v>0</v>
      </c>
      <c r="O55" s="58">
        <f t="shared" si="6"/>
        <v>0</v>
      </c>
      <c r="P55" s="58">
        <f t="shared" si="6"/>
        <v>0</v>
      </c>
      <c r="Q55" s="52"/>
    </row>
    <row r="56" spans="1:34" outlineLevel="1" x14ac:dyDescent="0.25">
      <c r="A56" s="7"/>
      <c r="B56" s="38" t="s">
        <v>179</v>
      </c>
      <c r="C56" s="38" t="s">
        <v>112</v>
      </c>
      <c r="D56" s="38" t="s">
        <v>177</v>
      </c>
      <c r="E56" s="40" t="s">
        <v>101</v>
      </c>
      <c r="F56" s="43">
        <f t="shared" si="7"/>
        <v>0</v>
      </c>
      <c r="G56" s="43">
        <f t="shared" si="7"/>
        <v>0</v>
      </c>
      <c r="H56" s="43">
        <f t="shared" si="7"/>
        <v>0</v>
      </c>
      <c r="I56" s="43">
        <f t="shared" si="7"/>
        <v>0</v>
      </c>
      <c r="J56" s="58">
        <f t="shared" si="6"/>
        <v>0</v>
      </c>
      <c r="K56" s="58">
        <f t="shared" si="6"/>
        <v>0</v>
      </c>
      <c r="L56" s="58">
        <f t="shared" si="6"/>
        <v>0</v>
      </c>
      <c r="M56" s="58">
        <f t="shared" si="6"/>
        <v>0</v>
      </c>
      <c r="N56" s="58">
        <f t="shared" si="6"/>
        <v>0</v>
      </c>
      <c r="O56" s="58">
        <f t="shared" si="6"/>
        <v>0</v>
      </c>
      <c r="P56" s="58">
        <f t="shared" si="6"/>
        <v>0</v>
      </c>
      <c r="Q56" s="52"/>
    </row>
    <row r="57" spans="1:34" outlineLevel="1" x14ac:dyDescent="0.25">
      <c r="A57" s="7"/>
      <c r="B57" s="38" t="s">
        <v>179</v>
      </c>
      <c r="C57" s="38" t="s">
        <v>113</v>
      </c>
      <c r="D57" s="38" t="s">
        <v>177</v>
      </c>
      <c r="E57" s="40" t="s">
        <v>101</v>
      </c>
      <c r="F57" s="43">
        <f t="shared" si="7"/>
        <v>0</v>
      </c>
      <c r="G57" s="43">
        <f t="shared" si="7"/>
        <v>0</v>
      </c>
      <c r="H57" s="43">
        <f t="shared" si="7"/>
        <v>0</v>
      </c>
      <c r="I57" s="43">
        <f t="shared" si="7"/>
        <v>0</v>
      </c>
      <c r="J57" s="58">
        <f t="shared" si="6"/>
        <v>0</v>
      </c>
      <c r="K57" s="58">
        <f t="shared" si="6"/>
        <v>0</v>
      </c>
      <c r="L57" s="58">
        <f t="shared" si="6"/>
        <v>0</v>
      </c>
      <c r="M57" s="58">
        <f t="shared" si="6"/>
        <v>0</v>
      </c>
      <c r="N57" s="58">
        <f t="shared" si="6"/>
        <v>0</v>
      </c>
      <c r="O57" s="58">
        <f t="shared" si="6"/>
        <v>0</v>
      </c>
      <c r="P57" s="58">
        <f t="shared" si="6"/>
        <v>0</v>
      </c>
      <c r="Q57" s="52"/>
    </row>
    <row r="58" spans="1:34" outlineLevel="1" x14ac:dyDescent="0.25">
      <c r="A58" s="7"/>
      <c r="B58" s="38" t="s">
        <v>179</v>
      </c>
      <c r="C58" s="38" t="s">
        <v>114</v>
      </c>
      <c r="D58" s="38" t="s">
        <v>177</v>
      </c>
      <c r="E58" s="40" t="s">
        <v>101</v>
      </c>
      <c r="F58" s="43">
        <f t="shared" si="7"/>
        <v>0</v>
      </c>
      <c r="G58" s="43">
        <f t="shared" si="7"/>
        <v>0</v>
      </c>
      <c r="H58" s="43">
        <f t="shared" si="7"/>
        <v>0</v>
      </c>
      <c r="I58" s="43">
        <f t="shared" si="7"/>
        <v>0</v>
      </c>
      <c r="J58" s="58">
        <f t="shared" si="6"/>
        <v>0</v>
      </c>
      <c r="K58" s="58">
        <f t="shared" si="6"/>
        <v>0</v>
      </c>
      <c r="L58" s="58">
        <f t="shared" si="6"/>
        <v>0</v>
      </c>
      <c r="M58" s="58">
        <f t="shared" si="6"/>
        <v>0</v>
      </c>
      <c r="N58" s="58">
        <f t="shared" si="6"/>
        <v>0</v>
      </c>
      <c r="O58" s="58">
        <f t="shared" si="6"/>
        <v>0</v>
      </c>
      <c r="P58" s="58">
        <f t="shared" si="6"/>
        <v>0</v>
      </c>
      <c r="Q58" s="52"/>
    </row>
    <row r="59" spans="1:34" outlineLevel="1" x14ac:dyDescent="0.25">
      <c r="A59" s="7"/>
      <c r="B59" s="38" t="s">
        <v>179</v>
      </c>
      <c r="C59" s="38" t="s">
        <v>5</v>
      </c>
      <c r="D59" s="38" t="s">
        <v>177</v>
      </c>
      <c r="E59" s="40" t="s">
        <v>101</v>
      </c>
      <c r="F59" s="43">
        <f t="shared" si="7"/>
        <v>131.429</v>
      </c>
      <c r="G59" s="43">
        <f t="shared" si="7"/>
        <v>154.642</v>
      </c>
      <c r="H59" s="43">
        <f t="shared" si="7"/>
        <v>182.791</v>
      </c>
      <c r="I59" s="43">
        <f t="shared" si="7"/>
        <v>219.446</v>
      </c>
      <c r="J59" s="58">
        <f t="shared" si="6"/>
        <v>225.62</v>
      </c>
      <c r="K59" s="58">
        <f t="shared" si="6"/>
        <v>225.62</v>
      </c>
      <c r="L59" s="58">
        <f t="shared" si="6"/>
        <v>225.62</v>
      </c>
      <c r="M59" s="58">
        <f t="shared" si="6"/>
        <v>225.62</v>
      </c>
      <c r="N59" s="58">
        <f t="shared" si="6"/>
        <v>225.62</v>
      </c>
      <c r="O59" s="58">
        <f t="shared" si="6"/>
        <v>225.62</v>
      </c>
      <c r="P59" s="58">
        <f t="shared" si="6"/>
        <v>225.62</v>
      </c>
      <c r="Q59" s="52"/>
      <c r="R59" s="54">
        <v>131.429</v>
      </c>
      <c r="S59" s="54">
        <v>134.709</v>
      </c>
      <c r="T59" s="54">
        <v>139.124</v>
      </c>
      <c r="U59" s="54">
        <v>143.988</v>
      </c>
      <c r="V59" s="54">
        <v>149.423</v>
      </c>
      <c r="W59" s="54">
        <v>154.642</v>
      </c>
      <c r="X59" s="54">
        <v>159.93</v>
      </c>
      <c r="Y59" s="54">
        <v>166.21299999999999</v>
      </c>
      <c r="Z59" s="54">
        <v>172.97900000000001</v>
      </c>
      <c r="AA59" s="54">
        <v>177.61099999999999</v>
      </c>
      <c r="AB59" s="54">
        <v>182.791</v>
      </c>
      <c r="AC59" s="54">
        <v>187.78200000000001</v>
      </c>
      <c r="AD59" s="54">
        <v>193.565</v>
      </c>
      <c r="AE59" s="54">
        <v>201.55099999999999</v>
      </c>
      <c r="AF59" s="54">
        <v>210.89500000000001</v>
      </c>
      <c r="AG59" s="54">
        <v>219.446</v>
      </c>
      <c r="AH59" s="54">
        <v>225.62</v>
      </c>
    </row>
    <row r="60" spans="1:34" outlineLevel="1" x14ac:dyDescent="0.25">
      <c r="A60" s="7"/>
      <c r="B60" s="38" t="s">
        <v>179</v>
      </c>
      <c r="C60" s="38" t="s">
        <v>76</v>
      </c>
      <c r="D60" s="38" t="s">
        <v>177</v>
      </c>
      <c r="E60" s="40" t="s">
        <v>101</v>
      </c>
      <c r="F60" s="43">
        <f t="shared" si="7"/>
        <v>0</v>
      </c>
      <c r="G60" s="43">
        <f t="shared" si="7"/>
        <v>0</v>
      </c>
      <c r="H60" s="43">
        <f t="shared" si="7"/>
        <v>0</v>
      </c>
      <c r="I60" s="43">
        <f t="shared" si="7"/>
        <v>0</v>
      </c>
      <c r="J60" s="58">
        <f t="shared" si="6"/>
        <v>0</v>
      </c>
      <c r="K60" s="58">
        <f t="shared" si="6"/>
        <v>0</v>
      </c>
      <c r="L60" s="58">
        <f t="shared" si="6"/>
        <v>0</v>
      </c>
      <c r="M60" s="58">
        <f t="shared" si="6"/>
        <v>0</v>
      </c>
      <c r="N60" s="58">
        <f t="shared" si="6"/>
        <v>0</v>
      </c>
      <c r="O60" s="58">
        <f t="shared" si="6"/>
        <v>0</v>
      </c>
      <c r="P60" s="58">
        <f t="shared" si="6"/>
        <v>0</v>
      </c>
      <c r="Q60" s="52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</row>
    <row r="61" spans="1:34" outlineLevel="1" x14ac:dyDescent="0.25">
      <c r="A61" s="7"/>
      <c r="B61" s="38" t="s">
        <v>179</v>
      </c>
      <c r="C61" s="38" t="s">
        <v>115</v>
      </c>
      <c r="D61" s="38" t="s">
        <v>177</v>
      </c>
      <c r="E61" s="40" t="s">
        <v>101</v>
      </c>
      <c r="F61" s="43">
        <f t="shared" si="7"/>
        <v>0</v>
      </c>
      <c r="G61" s="43">
        <f t="shared" si="7"/>
        <v>0</v>
      </c>
      <c r="H61" s="43">
        <f t="shared" si="7"/>
        <v>0</v>
      </c>
      <c r="I61" s="43">
        <f t="shared" si="7"/>
        <v>0</v>
      </c>
      <c r="J61" s="58">
        <f t="shared" si="6"/>
        <v>0</v>
      </c>
      <c r="K61" s="58">
        <f t="shared" si="6"/>
        <v>0</v>
      </c>
      <c r="L61" s="58">
        <f t="shared" si="6"/>
        <v>0</v>
      </c>
      <c r="M61" s="58">
        <f t="shared" si="6"/>
        <v>0</v>
      </c>
      <c r="N61" s="58">
        <f t="shared" si="6"/>
        <v>0</v>
      </c>
      <c r="O61" s="58">
        <f t="shared" si="6"/>
        <v>0</v>
      </c>
      <c r="P61" s="58">
        <f t="shared" si="6"/>
        <v>0</v>
      </c>
      <c r="Q61" s="52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</row>
    <row r="62" spans="1:34" outlineLevel="1" x14ac:dyDescent="0.25">
      <c r="A62" s="7"/>
      <c r="B62" s="38" t="s">
        <v>179</v>
      </c>
      <c r="C62" s="38" t="s">
        <v>117</v>
      </c>
      <c r="D62" s="38" t="s">
        <v>177</v>
      </c>
      <c r="E62" s="40" t="s">
        <v>101</v>
      </c>
      <c r="F62" s="43">
        <f t="shared" si="7"/>
        <v>0</v>
      </c>
      <c r="G62" s="43">
        <f t="shared" si="7"/>
        <v>0</v>
      </c>
      <c r="H62" s="43">
        <f t="shared" si="7"/>
        <v>0</v>
      </c>
      <c r="I62" s="43">
        <f t="shared" si="7"/>
        <v>0</v>
      </c>
      <c r="J62" s="58">
        <f t="shared" si="6"/>
        <v>0</v>
      </c>
      <c r="K62" s="58">
        <f t="shared" si="6"/>
        <v>0</v>
      </c>
      <c r="L62" s="58">
        <f t="shared" si="6"/>
        <v>0</v>
      </c>
      <c r="M62" s="58">
        <f t="shared" si="6"/>
        <v>0</v>
      </c>
      <c r="N62" s="58">
        <f t="shared" si="6"/>
        <v>0</v>
      </c>
      <c r="O62" s="58">
        <f t="shared" si="6"/>
        <v>0</v>
      </c>
      <c r="P62" s="58">
        <f t="shared" si="6"/>
        <v>0</v>
      </c>
      <c r="Q62" s="52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</row>
    <row r="63" spans="1:34" outlineLevel="1" x14ac:dyDescent="0.25">
      <c r="A63" s="7"/>
      <c r="B63" s="38" t="s">
        <v>179</v>
      </c>
      <c r="C63" s="38" t="s">
        <v>116</v>
      </c>
      <c r="D63" s="38" t="s">
        <v>177</v>
      </c>
      <c r="E63" s="40" t="s">
        <v>101</v>
      </c>
      <c r="F63" s="43">
        <f t="shared" si="7"/>
        <v>0</v>
      </c>
      <c r="G63" s="43">
        <f t="shared" si="7"/>
        <v>0</v>
      </c>
      <c r="H63" s="43">
        <f t="shared" si="7"/>
        <v>0</v>
      </c>
      <c r="I63" s="43">
        <f t="shared" si="7"/>
        <v>0</v>
      </c>
      <c r="J63" s="58">
        <f t="shared" si="6"/>
        <v>0</v>
      </c>
      <c r="K63" s="58">
        <f t="shared" si="6"/>
        <v>0</v>
      </c>
      <c r="L63" s="58">
        <f t="shared" si="6"/>
        <v>0</v>
      </c>
      <c r="M63" s="58">
        <f t="shared" si="6"/>
        <v>0</v>
      </c>
      <c r="N63" s="58">
        <f t="shared" si="6"/>
        <v>0</v>
      </c>
      <c r="O63" s="58">
        <f t="shared" si="6"/>
        <v>0</v>
      </c>
      <c r="P63" s="58">
        <f t="shared" si="6"/>
        <v>0</v>
      </c>
      <c r="Q63" s="52"/>
    </row>
    <row r="64" spans="1:34" outlineLevel="1" x14ac:dyDescent="0.25">
      <c r="A64" s="7"/>
      <c r="B64" s="38" t="s">
        <v>27</v>
      </c>
      <c r="C64" s="38" t="s">
        <v>60</v>
      </c>
      <c r="D64" s="38" t="s">
        <v>177</v>
      </c>
      <c r="E64" s="40" t="s">
        <v>101</v>
      </c>
      <c r="F64" s="43">
        <f t="shared" si="7"/>
        <v>0</v>
      </c>
      <c r="G64" s="43">
        <f t="shared" si="7"/>
        <v>0</v>
      </c>
      <c r="H64" s="43">
        <f t="shared" si="7"/>
        <v>0</v>
      </c>
      <c r="I64" s="43">
        <f t="shared" si="7"/>
        <v>0</v>
      </c>
      <c r="J64" s="58">
        <f t="shared" si="6"/>
        <v>0</v>
      </c>
      <c r="K64" s="58">
        <f t="shared" si="6"/>
        <v>0</v>
      </c>
      <c r="L64" s="58">
        <f t="shared" si="6"/>
        <v>0</v>
      </c>
      <c r="M64" s="58">
        <f t="shared" si="6"/>
        <v>0</v>
      </c>
      <c r="N64" s="58">
        <f t="shared" si="6"/>
        <v>0</v>
      </c>
      <c r="O64" s="58">
        <f t="shared" si="6"/>
        <v>0</v>
      </c>
      <c r="P64" s="58">
        <f t="shared" si="6"/>
        <v>0</v>
      </c>
      <c r="Q64" s="52"/>
    </row>
    <row r="65" spans="1:34" outlineLevel="1" x14ac:dyDescent="0.25">
      <c r="A65" s="7"/>
      <c r="B65" s="38" t="s">
        <v>27</v>
      </c>
      <c r="C65" s="15" t="s">
        <v>107</v>
      </c>
      <c r="D65" s="38" t="s">
        <v>177</v>
      </c>
      <c r="E65" s="40" t="s">
        <v>101</v>
      </c>
      <c r="F65" s="43">
        <f t="shared" si="7"/>
        <v>0</v>
      </c>
      <c r="G65" s="43">
        <f t="shared" si="7"/>
        <v>0</v>
      </c>
      <c r="H65" s="43">
        <f t="shared" si="7"/>
        <v>0</v>
      </c>
      <c r="I65" s="43">
        <f t="shared" si="7"/>
        <v>0</v>
      </c>
      <c r="J65" s="58">
        <f t="shared" si="6"/>
        <v>0</v>
      </c>
      <c r="K65" s="58">
        <f t="shared" si="6"/>
        <v>0</v>
      </c>
      <c r="L65" s="58">
        <f t="shared" si="6"/>
        <v>0</v>
      </c>
      <c r="M65" s="58">
        <f t="shared" si="6"/>
        <v>0</v>
      </c>
      <c r="N65" s="58">
        <f t="shared" si="6"/>
        <v>0</v>
      </c>
      <c r="O65" s="58">
        <f t="shared" si="6"/>
        <v>0</v>
      </c>
      <c r="P65" s="58">
        <f t="shared" si="6"/>
        <v>0</v>
      </c>
      <c r="Q65" s="52"/>
    </row>
    <row r="66" spans="1:34" outlineLevel="1" x14ac:dyDescent="0.25">
      <c r="A66" s="7"/>
      <c r="B66" s="38" t="s">
        <v>27</v>
      </c>
      <c r="C66" s="38" t="s">
        <v>108</v>
      </c>
      <c r="D66" s="38" t="s">
        <v>177</v>
      </c>
      <c r="E66" s="40" t="s">
        <v>101</v>
      </c>
      <c r="F66" s="43">
        <f t="shared" si="7"/>
        <v>0</v>
      </c>
      <c r="G66" s="43">
        <f t="shared" si="7"/>
        <v>0</v>
      </c>
      <c r="H66" s="43">
        <f t="shared" si="7"/>
        <v>0</v>
      </c>
      <c r="I66" s="43">
        <f t="shared" si="7"/>
        <v>0</v>
      </c>
      <c r="J66" s="58">
        <f t="shared" si="6"/>
        <v>0</v>
      </c>
      <c r="K66" s="58">
        <f t="shared" si="6"/>
        <v>0</v>
      </c>
      <c r="L66" s="58">
        <f t="shared" si="6"/>
        <v>0</v>
      </c>
      <c r="M66" s="58">
        <f t="shared" si="6"/>
        <v>0</v>
      </c>
      <c r="N66" s="58">
        <f t="shared" si="6"/>
        <v>0</v>
      </c>
      <c r="O66" s="58">
        <f t="shared" si="6"/>
        <v>0</v>
      </c>
      <c r="P66" s="58">
        <f t="shared" si="6"/>
        <v>0</v>
      </c>
      <c r="Q66" s="52"/>
    </row>
    <row r="67" spans="1:34" outlineLevel="1" x14ac:dyDescent="0.25">
      <c r="A67" s="7"/>
      <c r="B67" s="38" t="s">
        <v>27</v>
      </c>
      <c r="C67" s="38" t="s">
        <v>109</v>
      </c>
      <c r="D67" s="38" t="s">
        <v>177</v>
      </c>
      <c r="E67" s="40" t="s">
        <v>101</v>
      </c>
      <c r="F67" s="43">
        <f t="shared" si="7"/>
        <v>0</v>
      </c>
      <c r="G67" s="43">
        <f t="shared" si="7"/>
        <v>0</v>
      </c>
      <c r="H67" s="43">
        <f t="shared" si="7"/>
        <v>0</v>
      </c>
      <c r="I67" s="43">
        <f t="shared" si="7"/>
        <v>0</v>
      </c>
      <c r="J67" s="58">
        <f t="shared" si="6"/>
        <v>0</v>
      </c>
      <c r="K67" s="58">
        <f t="shared" si="6"/>
        <v>0</v>
      </c>
      <c r="L67" s="58">
        <f t="shared" si="6"/>
        <v>0</v>
      </c>
      <c r="M67" s="58">
        <f t="shared" si="6"/>
        <v>0</v>
      </c>
      <c r="N67" s="58">
        <f t="shared" si="6"/>
        <v>0</v>
      </c>
      <c r="O67" s="58">
        <f t="shared" si="6"/>
        <v>0</v>
      </c>
      <c r="P67" s="58">
        <f t="shared" si="6"/>
        <v>0</v>
      </c>
      <c r="Q67" s="52"/>
    </row>
    <row r="68" spans="1:34" outlineLevel="1" x14ac:dyDescent="0.25">
      <c r="A68" s="7"/>
      <c r="B68" s="38" t="s">
        <v>27</v>
      </c>
      <c r="C68" s="38" t="s">
        <v>110</v>
      </c>
      <c r="D68" s="38" t="s">
        <v>177</v>
      </c>
      <c r="E68" s="40" t="s">
        <v>101</v>
      </c>
      <c r="F68" s="43">
        <f t="shared" ref="F68:I83" si="8">INDEX($R68:$BZ68,MATCH(F$1,$R$1:$BZ$1,0))</f>
        <v>0</v>
      </c>
      <c r="G68" s="43">
        <f t="shared" si="8"/>
        <v>0</v>
      </c>
      <c r="H68" s="43">
        <f t="shared" si="8"/>
        <v>0</v>
      </c>
      <c r="I68" s="43">
        <f t="shared" si="8"/>
        <v>0</v>
      </c>
      <c r="J68" s="58">
        <f t="shared" si="6"/>
        <v>0</v>
      </c>
      <c r="K68" s="58">
        <f t="shared" si="6"/>
        <v>0</v>
      </c>
      <c r="L68" s="58">
        <f t="shared" si="6"/>
        <v>0</v>
      </c>
      <c r="M68" s="58">
        <f t="shared" si="6"/>
        <v>0</v>
      </c>
      <c r="N68" s="58">
        <f t="shared" si="6"/>
        <v>0</v>
      </c>
      <c r="O68" s="58">
        <f t="shared" si="6"/>
        <v>0</v>
      </c>
      <c r="P68" s="58">
        <f t="shared" si="6"/>
        <v>0</v>
      </c>
      <c r="Q68" s="52"/>
    </row>
    <row r="69" spans="1:34" outlineLevel="1" x14ac:dyDescent="0.25">
      <c r="A69" s="7"/>
      <c r="B69" s="38" t="s">
        <v>27</v>
      </c>
      <c r="C69" s="38" t="s">
        <v>111</v>
      </c>
      <c r="D69" s="38" t="s">
        <v>177</v>
      </c>
      <c r="E69" s="40" t="s">
        <v>101</v>
      </c>
      <c r="F69" s="43">
        <f t="shared" si="8"/>
        <v>0</v>
      </c>
      <c r="G69" s="43">
        <f t="shared" si="8"/>
        <v>0</v>
      </c>
      <c r="H69" s="43">
        <f t="shared" si="8"/>
        <v>0</v>
      </c>
      <c r="I69" s="43">
        <f t="shared" si="8"/>
        <v>0</v>
      </c>
      <c r="J69" s="58">
        <f t="shared" si="6"/>
        <v>0</v>
      </c>
      <c r="K69" s="58">
        <f t="shared" si="6"/>
        <v>0</v>
      </c>
      <c r="L69" s="58">
        <f t="shared" si="6"/>
        <v>0</v>
      </c>
      <c r="M69" s="58">
        <f t="shared" si="6"/>
        <v>0</v>
      </c>
      <c r="N69" s="58">
        <f t="shared" si="6"/>
        <v>0</v>
      </c>
      <c r="O69" s="58">
        <f t="shared" si="6"/>
        <v>0</v>
      </c>
      <c r="P69" s="58">
        <f t="shared" si="6"/>
        <v>0</v>
      </c>
      <c r="Q69" s="52"/>
    </row>
    <row r="70" spans="1:34" outlineLevel="1" x14ac:dyDescent="0.25">
      <c r="A70" s="7"/>
      <c r="B70" s="38" t="s">
        <v>27</v>
      </c>
      <c r="C70" s="38" t="s">
        <v>112</v>
      </c>
      <c r="D70" s="38" t="s">
        <v>177</v>
      </c>
      <c r="E70" s="40" t="s">
        <v>101</v>
      </c>
      <c r="F70" s="43">
        <f t="shared" si="8"/>
        <v>0</v>
      </c>
      <c r="G70" s="43">
        <f t="shared" si="8"/>
        <v>0</v>
      </c>
      <c r="H70" s="43">
        <f t="shared" si="8"/>
        <v>0</v>
      </c>
      <c r="I70" s="43">
        <f t="shared" si="8"/>
        <v>0</v>
      </c>
      <c r="J70" s="58">
        <f t="shared" si="6"/>
        <v>0</v>
      </c>
      <c r="K70" s="58">
        <f t="shared" si="6"/>
        <v>0</v>
      </c>
      <c r="L70" s="58">
        <f t="shared" si="6"/>
        <v>0</v>
      </c>
      <c r="M70" s="58">
        <f t="shared" si="6"/>
        <v>0</v>
      </c>
      <c r="N70" s="58">
        <f t="shared" si="6"/>
        <v>0</v>
      </c>
      <c r="O70" s="58">
        <f t="shared" si="6"/>
        <v>0</v>
      </c>
      <c r="P70" s="58">
        <f t="shared" si="6"/>
        <v>0</v>
      </c>
      <c r="Q70" s="52"/>
    </row>
    <row r="71" spans="1:34" outlineLevel="1" x14ac:dyDescent="0.25">
      <c r="A71" s="7"/>
      <c r="B71" s="38" t="s">
        <v>27</v>
      </c>
      <c r="C71" s="38" t="s">
        <v>113</v>
      </c>
      <c r="D71" s="38" t="s">
        <v>177</v>
      </c>
      <c r="E71" s="40" t="s">
        <v>101</v>
      </c>
      <c r="F71" s="43">
        <f t="shared" si="8"/>
        <v>0</v>
      </c>
      <c r="G71" s="43">
        <f t="shared" si="8"/>
        <v>0</v>
      </c>
      <c r="H71" s="43">
        <f t="shared" si="8"/>
        <v>0</v>
      </c>
      <c r="I71" s="43">
        <f t="shared" si="8"/>
        <v>0</v>
      </c>
      <c r="J71" s="58">
        <f t="shared" si="6"/>
        <v>0</v>
      </c>
      <c r="K71" s="58">
        <f t="shared" si="6"/>
        <v>0</v>
      </c>
      <c r="L71" s="58">
        <f t="shared" si="6"/>
        <v>0</v>
      </c>
      <c r="M71" s="58">
        <f t="shared" si="6"/>
        <v>0</v>
      </c>
      <c r="N71" s="58">
        <f t="shared" si="6"/>
        <v>0</v>
      </c>
      <c r="O71" s="58">
        <f t="shared" si="6"/>
        <v>0</v>
      </c>
      <c r="P71" s="58">
        <f t="shared" si="6"/>
        <v>0</v>
      </c>
      <c r="Q71" s="52"/>
    </row>
    <row r="72" spans="1:34" outlineLevel="1" x14ac:dyDescent="0.25">
      <c r="A72" s="7"/>
      <c r="B72" s="38" t="s">
        <v>27</v>
      </c>
      <c r="C72" s="38" t="s">
        <v>114</v>
      </c>
      <c r="D72" s="38" t="s">
        <v>177</v>
      </c>
      <c r="E72" s="40" t="s">
        <v>101</v>
      </c>
      <c r="F72" s="43">
        <f t="shared" si="8"/>
        <v>0</v>
      </c>
      <c r="G72" s="43">
        <f t="shared" si="8"/>
        <v>0</v>
      </c>
      <c r="H72" s="43">
        <f t="shared" si="8"/>
        <v>0</v>
      </c>
      <c r="I72" s="43">
        <f t="shared" si="8"/>
        <v>0</v>
      </c>
      <c r="J72" s="58">
        <f t="shared" si="6"/>
        <v>0</v>
      </c>
      <c r="K72" s="58">
        <f t="shared" si="6"/>
        <v>0</v>
      </c>
      <c r="L72" s="58">
        <f t="shared" si="6"/>
        <v>0</v>
      </c>
      <c r="M72" s="58">
        <f t="shared" ref="J72:P91" si="9">$AH72</f>
        <v>0</v>
      </c>
      <c r="N72" s="58">
        <f t="shared" si="9"/>
        <v>0</v>
      </c>
      <c r="O72" s="58">
        <f t="shared" si="9"/>
        <v>0</v>
      </c>
      <c r="P72" s="58">
        <f t="shared" si="9"/>
        <v>0</v>
      </c>
      <c r="Q72" s="52"/>
    </row>
    <row r="73" spans="1:34" outlineLevel="1" x14ac:dyDescent="0.25">
      <c r="A73" s="7"/>
      <c r="B73" s="38" t="s">
        <v>27</v>
      </c>
      <c r="C73" s="38" t="s">
        <v>5</v>
      </c>
      <c r="D73" s="38" t="s">
        <v>177</v>
      </c>
      <c r="E73" s="40" t="s">
        <v>101</v>
      </c>
      <c r="F73" s="43">
        <f t="shared" si="8"/>
        <v>240.845</v>
      </c>
      <c r="G73" s="43">
        <f t="shared" si="8"/>
        <v>274.08699999999999</v>
      </c>
      <c r="H73" s="43">
        <f t="shared" si="8"/>
        <v>312.69900000000001</v>
      </c>
      <c r="I73" s="43">
        <f t="shared" si="8"/>
        <v>356.34800000000001</v>
      </c>
      <c r="J73" s="58">
        <f t="shared" si="9"/>
        <v>363.14299999999997</v>
      </c>
      <c r="K73" s="58">
        <f t="shared" si="9"/>
        <v>363.14299999999997</v>
      </c>
      <c r="L73" s="58">
        <f t="shared" si="9"/>
        <v>363.14299999999997</v>
      </c>
      <c r="M73" s="58">
        <f t="shared" si="9"/>
        <v>363.14299999999997</v>
      </c>
      <c r="N73" s="58">
        <f t="shared" si="9"/>
        <v>363.14299999999997</v>
      </c>
      <c r="O73" s="58">
        <f t="shared" si="9"/>
        <v>363.14299999999997</v>
      </c>
      <c r="P73" s="58">
        <f t="shared" si="9"/>
        <v>363.14299999999997</v>
      </c>
      <c r="Q73" s="52"/>
      <c r="R73" s="54">
        <v>240.845</v>
      </c>
      <c r="S73" s="54">
        <v>246.12899999999999</v>
      </c>
      <c r="T73" s="54">
        <v>251.79599999999999</v>
      </c>
      <c r="U73" s="54">
        <v>259.47800000000001</v>
      </c>
      <c r="V73" s="54">
        <v>267.27999999999997</v>
      </c>
      <c r="W73" s="54">
        <v>274.08699999999999</v>
      </c>
      <c r="X73" s="54">
        <v>281.55500000000001</v>
      </c>
      <c r="Y73" s="54">
        <v>287.86399999999998</v>
      </c>
      <c r="Z73" s="54">
        <v>297.70299999999997</v>
      </c>
      <c r="AA73" s="54">
        <v>306.57499999999999</v>
      </c>
      <c r="AB73" s="54">
        <v>312.69900000000001</v>
      </c>
      <c r="AC73" s="54">
        <v>316.55099999999999</v>
      </c>
      <c r="AD73" s="54">
        <v>321.52199999999999</v>
      </c>
      <c r="AE73" s="54">
        <v>331</v>
      </c>
      <c r="AF73" s="54">
        <v>342.41699999999997</v>
      </c>
      <c r="AG73" s="54">
        <v>356.34800000000001</v>
      </c>
      <c r="AH73" s="54">
        <v>363.14299999999997</v>
      </c>
    </row>
    <row r="74" spans="1:34" outlineLevel="1" x14ac:dyDescent="0.25">
      <c r="A74" s="7"/>
      <c r="B74" s="38" t="s">
        <v>27</v>
      </c>
      <c r="C74" s="38" t="s">
        <v>76</v>
      </c>
      <c r="D74" s="38" t="s">
        <v>177</v>
      </c>
      <c r="E74" s="40" t="s">
        <v>101</v>
      </c>
      <c r="F74" s="43">
        <f t="shared" si="8"/>
        <v>0</v>
      </c>
      <c r="G74" s="43">
        <f t="shared" si="8"/>
        <v>0</v>
      </c>
      <c r="H74" s="43">
        <f t="shared" si="8"/>
        <v>0</v>
      </c>
      <c r="I74" s="43">
        <f t="shared" si="8"/>
        <v>0</v>
      </c>
      <c r="J74" s="58">
        <f t="shared" si="9"/>
        <v>0</v>
      </c>
      <c r="K74" s="58">
        <f t="shared" si="9"/>
        <v>0</v>
      </c>
      <c r="L74" s="58">
        <f t="shared" si="9"/>
        <v>0</v>
      </c>
      <c r="M74" s="58">
        <f t="shared" si="9"/>
        <v>0</v>
      </c>
      <c r="N74" s="58">
        <f t="shared" si="9"/>
        <v>0</v>
      </c>
      <c r="O74" s="58">
        <f t="shared" si="9"/>
        <v>0</v>
      </c>
      <c r="P74" s="58">
        <f t="shared" si="9"/>
        <v>0</v>
      </c>
      <c r="Q74" s="52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</row>
    <row r="75" spans="1:34" outlineLevel="1" x14ac:dyDescent="0.25">
      <c r="A75" s="7"/>
      <c r="B75" s="38" t="s">
        <v>27</v>
      </c>
      <c r="C75" s="38" t="s">
        <v>115</v>
      </c>
      <c r="D75" s="38" t="s">
        <v>177</v>
      </c>
      <c r="E75" s="40" t="s">
        <v>101</v>
      </c>
      <c r="F75" s="43">
        <f t="shared" si="8"/>
        <v>0</v>
      </c>
      <c r="G75" s="43">
        <f t="shared" si="8"/>
        <v>0</v>
      </c>
      <c r="H75" s="43">
        <f t="shared" si="8"/>
        <v>0</v>
      </c>
      <c r="I75" s="43">
        <f t="shared" si="8"/>
        <v>0</v>
      </c>
      <c r="J75" s="58">
        <f t="shared" si="9"/>
        <v>0</v>
      </c>
      <c r="K75" s="58">
        <f t="shared" si="9"/>
        <v>0</v>
      </c>
      <c r="L75" s="58">
        <f t="shared" si="9"/>
        <v>0</v>
      </c>
      <c r="M75" s="58">
        <f t="shared" si="9"/>
        <v>0</v>
      </c>
      <c r="N75" s="58">
        <f t="shared" si="9"/>
        <v>0</v>
      </c>
      <c r="O75" s="58">
        <f t="shared" si="9"/>
        <v>0</v>
      </c>
      <c r="P75" s="58">
        <f t="shared" si="9"/>
        <v>0</v>
      </c>
      <c r="Q75" s="52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</row>
    <row r="76" spans="1:34" outlineLevel="1" x14ac:dyDescent="0.25">
      <c r="A76" s="7"/>
      <c r="B76" s="38" t="s">
        <v>27</v>
      </c>
      <c r="C76" s="38" t="s">
        <v>117</v>
      </c>
      <c r="D76" s="38" t="s">
        <v>177</v>
      </c>
      <c r="E76" s="40" t="s">
        <v>101</v>
      </c>
      <c r="F76" s="43">
        <f t="shared" si="8"/>
        <v>0</v>
      </c>
      <c r="G76" s="43">
        <f t="shared" si="8"/>
        <v>0</v>
      </c>
      <c r="H76" s="43">
        <f t="shared" si="8"/>
        <v>0</v>
      </c>
      <c r="I76" s="43">
        <f t="shared" si="8"/>
        <v>0</v>
      </c>
      <c r="J76" s="58">
        <f t="shared" si="9"/>
        <v>0</v>
      </c>
      <c r="K76" s="58">
        <f t="shared" si="9"/>
        <v>0</v>
      </c>
      <c r="L76" s="58">
        <f t="shared" si="9"/>
        <v>0</v>
      </c>
      <c r="M76" s="58">
        <f t="shared" si="9"/>
        <v>0</v>
      </c>
      <c r="N76" s="58">
        <f t="shared" si="9"/>
        <v>0</v>
      </c>
      <c r="O76" s="58">
        <f t="shared" si="9"/>
        <v>0</v>
      </c>
      <c r="P76" s="58">
        <f t="shared" si="9"/>
        <v>0</v>
      </c>
      <c r="Q76" s="52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</row>
    <row r="77" spans="1:34" outlineLevel="1" x14ac:dyDescent="0.25">
      <c r="A77" s="7"/>
      <c r="B77" s="38" t="s">
        <v>27</v>
      </c>
      <c r="C77" s="38" t="s">
        <v>116</v>
      </c>
      <c r="D77" s="38" t="s">
        <v>177</v>
      </c>
      <c r="E77" s="40" t="s">
        <v>101</v>
      </c>
      <c r="F77" s="43">
        <f t="shared" si="8"/>
        <v>0</v>
      </c>
      <c r="G77" s="43">
        <f t="shared" si="8"/>
        <v>0</v>
      </c>
      <c r="H77" s="43">
        <f t="shared" si="8"/>
        <v>0</v>
      </c>
      <c r="I77" s="43">
        <f t="shared" si="8"/>
        <v>0</v>
      </c>
      <c r="J77" s="58">
        <f t="shared" si="9"/>
        <v>0</v>
      </c>
      <c r="K77" s="58">
        <f t="shared" si="9"/>
        <v>0</v>
      </c>
      <c r="L77" s="58">
        <f t="shared" si="9"/>
        <v>0</v>
      </c>
      <c r="M77" s="58">
        <f t="shared" si="9"/>
        <v>0</v>
      </c>
      <c r="N77" s="58">
        <f t="shared" si="9"/>
        <v>0</v>
      </c>
      <c r="O77" s="58">
        <f t="shared" si="9"/>
        <v>0</v>
      </c>
      <c r="P77" s="58">
        <f t="shared" si="9"/>
        <v>0</v>
      </c>
      <c r="Q77" s="52"/>
    </row>
    <row r="78" spans="1:34" outlineLevel="1" x14ac:dyDescent="0.25">
      <c r="A78" s="7"/>
      <c r="B78" s="38" t="s">
        <v>28</v>
      </c>
      <c r="C78" s="38" t="s">
        <v>60</v>
      </c>
      <c r="D78" s="38" t="s">
        <v>177</v>
      </c>
      <c r="E78" s="40" t="s">
        <v>101</v>
      </c>
      <c r="F78" s="43">
        <f t="shared" si="8"/>
        <v>0</v>
      </c>
      <c r="G78" s="43">
        <f t="shared" si="8"/>
        <v>0</v>
      </c>
      <c r="H78" s="43">
        <f t="shared" si="8"/>
        <v>0</v>
      </c>
      <c r="I78" s="43">
        <f t="shared" si="8"/>
        <v>0</v>
      </c>
      <c r="J78" s="58">
        <f t="shared" si="9"/>
        <v>0</v>
      </c>
      <c r="K78" s="58">
        <f t="shared" si="9"/>
        <v>0</v>
      </c>
      <c r="L78" s="58">
        <f t="shared" si="9"/>
        <v>0</v>
      </c>
      <c r="M78" s="58">
        <f t="shared" si="9"/>
        <v>0</v>
      </c>
      <c r="N78" s="58">
        <f t="shared" si="9"/>
        <v>0</v>
      </c>
      <c r="O78" s="58">
        <f t="shared" si="9"/>
        <v>0</v>
      </c>
      <c r="P78" s="58">
        <f t="shared" si="9"/>
        <v>0</v>
      </c>
      <c r="Q78" s="52"/>
    </row>
    <row r="79" spans="1:34" outlineLevel="1" x14ac:dyDescent="0.25">
      <c r="A79" s="7"/>
      <c r="B79" s="38" t="s">
        <v>28</v>
      </c>
      <c r="C79" s="15" t="s">
        <v>107</v>
      </c>
      <c r="D79" s="38" t="s">
        <v>177</v>
      </c>
      <c r="E79" s="40" t="s">
        <v>101</v>
      </c>
      <c r="F79" s="43">
        <f t="shared" si="8"/>
        <v>0</v>
      </c>
      <c r="G79" s="43">
        <f t="shared" si="8"/>
        <v>0</v>
      </c>
      <c r="H79" s="43">
        <f t="shared" si="8"/>
        <v>0</v>
      </c>
      <c r="I79" s="43">
        <f t="shared" si="8"/>
        <v>0</v>
      </c>
      <c r="J79" s="58">
        <f t="shared" si="9"/>
        <v>0</v>
      </c>
      <c r="K79" s="58">
        <f t="shared" si="9"/>
        <v>0</v>
      </c>
      <c r="L79" s="58">
        <f t="shared" si="9"/>
        <v>0</v>
      </c>
      <c r="M79" s="58">
        <f t="shared" si="9"/>
        <v>0</v>
      </c>
      <c r="N79" s="58">
        <f t="shared" si="9"/>
        <v>0</v>
      </c>
      <c r="O79" s="58">
        <f t="shared" si="9"/>
        <v>0</v>
      </c>
      <c r="P79" s="58">
        <f t="shared" si="9"/>
        <v>0</v>
      </c>
      <c r="Q79" s="52"/>
    </row>
    <row r="80" spans="1:34" outlineLevel="1" x14ac:dyDescent="0.25">
      <c r="A80" s="7"/>
      <c r="B80" s="38" t="s">
        <v>28</v>
      </c>
      <c r="C80" s="38" t="s">
        <v>108</v>
      </c>
      <c r="D80" s="38" t="s">
        <v>177</v>
      </c>
      <c r="E80" s="40" t="s">
        <v>101</v>
      </c>
      <c r="F80" s="43">
        <f t="shared" si="8"/>
        <v>0</v>
      </c>
      <c r="G80" s="43">
        <f t="shared" si="8"/>
        <v>0</v>
      </c>
      <c r="H80" s="43">
        <f t="shared" si="8"/>
        <v>0</v>
      </c>
      <c r="I80" s="43">
        <f t="shared" si="8"/>
        <v>0</v>
      </c>
      <c r="J80" s="58">
        <f t="shared" si="9"/>
        <v>0</v>
      </c>
      <c r="K80" s="58">
        <f t="shared" si="9"/>
        <v>0</v>
      </c>
      <c r="L80" s="58">
        <f t="shared" si="9"/>
        <v>0</v>
      </c>
      <c r="M80" s="58">
        <f t="shared" si="9"/>
        <v>0</v>
      </c>
      <c r="N80" s="58">
        <f t="shared" si="9"/>
        <v>0</v>
      </c>
      <c r="O80" s="58">
        <f t="shared" si="9"/>
        <v>0</v>
      </c>
      <c r="P80" s="58">
        <f t="shared" si="9"/>
        <v>0</v>
      </c>
      <c r="Q80" s="52"/>
    </row>
    <row r="81" spans="1:34" outlineLevel="1" x14ac:dyDescent="0.25">
      <c r="A81" s="7"/>
      <c r="B81" s="38" t="s">
        <v>28</v>
      </c>
      <c r="C81" s="38" t="s">
        <v>109</v>
      </c>
      <c r="D81" s="38" t="s">
        <v>177</v>
      </c>
      <c r="E81" s="40" t="s">
        <v>101</v>
      </c>
      <c r="F81" s="43">
        <f t="shared" si="8"/>
        <v>0</v>
      </c>
      <c r="G81" s="43">
        <f t="shared" si="8"/>
        <v>0</v>
      </c>
      <c r="H81" s="43">
        <f t="shared" si="8"/>
        <v>0</v>
      </c>
      <c r="I81" s="43">
        <f t="shared" si="8"/>
        <v>0</v>
      </c>
      <c r="J81" s="58">
        <f t="shared" si="9"/>
        <v>0</v>
      </c>
      <c r="K81" s="58">
        <f t="shared" si="9"/>
        <v>0</v>
      </c>
      <c r="L81" s="58">
        <f t="shared" si="9"/>
        <v>0</v>
      </c>
      <c r="M81" s="58">
        <f t="shared" si="9"/>
        <v>0</v>
      </c>
      <c r="N81" s="58">
        <f t="shared" si="9"/>
        <v>0</v>
      </c>
      <c r="O81" s="58">
        <f t="shared" si="9"/>
        <v>0</v>
      </c>
      <c r="P81" s="58">
        <f t="shared" si="9"/>
        <v>0</v>
      </c>
      <c r="Q81" s="52"/>
    </row>
    <row r="82" spans="1:34" outlineLevel="1" x14ac:dyDescent="0.25">
      <c r="A82" s="7"/>
      <c r="B82" s="38" t="s">
        <v>28</v>
      </c>
      <c r="C82" s="38" t="s">
        <v>110</v>
      </c>
      <c r="D82" s="38" t="s">
        <v>177</v>
      </c>
      <c r="E82" s="40" t="s">
        <v>101</v>
      </c>
      <c r="F82" s="43">
        <f t="shared" si="8"/>
        <v>0</v>
      </c>
      <c r="G82" s="43">
        <f t="shared" si="8"/>
        <v>0</v>
      </c>
      <c r="H82" s="43">
        <f t="shared" si="8"/>
        <v>0</v>
      </c>
      <c r="I82" s="43">
        <f t="shared" si="8"/>
        <v>0</v>
      </c>
      <c r="J82" s="58">
        <f t="shared" si="9"/>
        <v>0</v>
      </c>
      <c r="K82" s="58">
        <f t="shared" si="9"/>
        <v>0</v>
      </c>
      <c r="L82" s="58">
        <f t="shared" si="9"/>
        <v>0</v>
      </c>
      <c r="M82" s="58">
        <f t="shared" si="9"/>
        <v>0</v>
      </c>
      <c r="N82" s="58">
        <f t="shared" si="9"/>
        <v>0</v>
      </c>
      <c r="O82" s="58">
        <f t="shared" si="9"/>
        <v>0</v>
      </c>
      <c r="P82" s="58">
        <f t="shared" si="9"/>
        <v>0</v>
      </c>
      <c r="Q82" s="52"/>
    </row>
    <row r="83" spans="1:34" outlineLevel="1" x14ac:dyDescent="0.25">
      <c r="A83" s="7"/>
      <c r="B83" s="38" t="s">
        <v>28</v>
      </c>
      <c r="C83" s="38" t="s">
        <v>111</v>
      </c>
      <c r="D83" s="38" t="s">
        <v>177</v>
      </c>
      <c r="E83" s="40" t="s">
        <v>101</v>
      </c>
      <c r="F83" s="43">
        <f t="shared" si="8"/>
        <v>0</v>
      </c>
      <c r="G83" s="43">
        <f t="shared" si="8"/>
        <v>0</v>
      </c>
      <c r="H83" s="43">
        <f t="shared" si="8"/>
        <v>0</v>
      </c>
      <c r="I83" s="43">
        <f t="shared" si="8"/>
        <v>0</v>
      </c>
      <c r="J83" s="58">
        <f t="shared" si="9"/>
        <v>0</v>
      </c>
      <c r="K83" s="58">
        <f t="shared" si="9"/>
        <v>0</v>
      </c>
      <c r="L83" s="58">
        <f t="shared" si="9"/>
        <v>0</v>
      </c>
      <c r="M83" s="58">
        <f t="shared" si="9"/>
        <v>0</v>
      </c>
      <c r="N83" s="58">
        <f t="shared" si="9"/>
        <v>0</v>
      </c>
      <c r="O83" s="58">
        <f t="shared" si="9"/>
        <v>0</v>
      </c>
      <c r="P83" s="58">
        <f t="shared" si="9"/>
        <v>0</v>
      </c>
      <c r="Q83" s="52"/>
    </row>
    <row r="84" spans="1:34" outlineLevel="1" x14ac:dyDescent="0.25">
      <c r="A84" s="7"/>
      <c r="B84" s="38" t="s">
        <v>28</v>
      </c>
      <c r="C84" s="38" t="s">
        <v>112</v>
      </c>
      <c r="D84" s="38" t="s">
        <v>177</v>
      </c>
      <c r="E84" s="40" t="s">
        <v>101</v>
      </c>
      <c r="F84" s="43">
        <f t="shared" ref="F84:I91" si="10">INDEX($R84:$BZ84,MATCH(F$1,$R$1:$BZ$1,0))</f>
        <v>0</v>
      </c>
      <c r="G84" s="43">
        <f t="shared" si="10"/>
        <v>0</v>
      </c>
      <c r="H84" s="43">
        <f t="shared" si="10"/>
        <v>0</v>
      </c>
      <c r="I84" s="43">
        <f t="shared" si="10"/>
        <v>0</v>
      </c>
      <c r="J84" s="58">
        <f t="shared" si="9"/>
        <v>0</v>
      </c>
      <c r="K84" s="58">
        <f t="shared" si="9"/>
        <v>0</v>
      </c>
      <c r="L84" s="58">
        <f t="shared" si="9"/>
        <v>0</v>
      </c>
      <c r="M84" s="58">
        <f t="shared" si="9"/>
        <v>0</v>
      </c>
      <c r="N84" s="58">
        <f t="shared" si="9"/>
        <v>0</v>
      </c>
      <c r="O84" s="58">
        <f t="shared" si="9"/>
        <v>0</v>
      </c>
      <c r="P84" s="58">
        <f t="shared" si="9"/>
        <v>0</v>
      </c>
      <c r="Q84" s="52"/>
    </row>
    <row r="85" spans="1:34" outlineLevel="1" x14ac:dyDescent="0.25">
      <c r="A85" s="7"/>
      <c r="B85" s="38" t="s">
        <v>28</v>
      </c>
      <c r="C85" s="38" t="s">
        <v>113</v>
      </c>
      <c r="D85" s="38" t="s">
        <v>177</v>
      </c>
      <c r="E85" s="40" t="s">
        <v>101</v>
      </c>
      <c r="F85" s="43">
        <f t="shared" si="10"/>
        <v>0</v>
      </c>
      <c r="G85" s="43">
        <f t="shared" si="10"/>
        <v>0</v>
      </c>
      <c r="H85" s="43">
        <f t="shared" si="10"/>
        <v>0</v>
      </c>
      <c r="I85" s="43">
        <f t="shared" si="10"/>
        <v>0</v>
      </c>
      <c r="J85" s="58">
        <f t="shared" si="9"/>
        <v>0</v>
      </c>
      <c r="K85" s="58">
        <f t="shared" si="9"/>
        <v>0</v>
      </c>
      <c r="L85" s="58">
        <f t="shared" si="9"/>
        <v>0</v>
      </c>
      <c r="M85" s="58">
        <f t="shared" si="9"/>
        <v>0</v>
      </c>
      <c r="N85" s="58">
        <f t="shared" si="9"/>
        <v>0</v>
      </c>
      <c r="O85" s="58">
        <f t="shared" si="9"/>
        <v>0</v>
      </c>
      <c r="P85" s="58">
        <f t="shared" si="9"/>
        <v>0</v>
      </c>
      <c r="Q85" s="52"/>
    </row>
    <row r="86" spans="1:34" outlineLevel="1" x14ac:dyDescent="0.25">
      <c r="A86" s="7"/>
      <c r="B86" s="38" t="s">
        <v>28</v>
      </c>
      <c r="C86" s="38" t="s">
        <v>114</v>
      </c>
      <c r="D86" s="38" t="s">
        <v>177</v>
      </c>
      <c r="E86" s="40" t="s">
        <v>101</v>
      </c>
      <c r="F86" s="43">
        <f t="shared" si="10"/>
        <v>0</v>
      </c>
      <c r="G86" s="43">
        <f t="shared" si="10"/>
        <v>0</v>
      </c>
      <c r="H86" s="43">
        <f t="shared" si="10"/>
        <v>0</v>
      </c>
      <c r="I86" s="43">
        <f t="shared" si="10"/>
        <v>0</v>
      </c>
      <c r="J86" s="58">
        <f t="shared" si="9"/>
        <v>0</v>
      </c>
      <c r="K86" s="58">
        <f t="shared" si="9"/>
        <v>0</v>
      </c>
      <c r="L86" s="58">
        <f t="shared" si="9"/>
        <v>0</v>
      </c>
      <c r="M86" s="58">
        <f t="shared" si="9"/>
        <v>0</v>
      </c>
      <c r="N86" s="58">
        <f t="shared" si="9"/>
        <v>0</v>
      </c>
      <c r="O86" s="58">
        <f t="shared" si="9"/>
        <v>0</v>
      </c>
      <c r="P86" s="58">
        <f t="shared" si="9"/>
        <v>0</v>
      </c>
      <c r="Q86" s="52"/>
    </row>
    <row r="87" spans="1:34" outlineLevel="1" x14ac:dyDescent="0.25">
      <c r="A87" s="7"/>
      <c r="B87" s="38" t="s">
        <v>28</v>
      </c>
      <c r="C87" s="38" t="s">
        <v>5</v>
      </c>
      <c r="D87" s="38" t="s">
        <v>177</v>
      </c>
      <c r="E87" s="40" t="s">
        <v>101</v>
      </c>
      <c r="F87" s="43">
        <f t="shared" si="10"/>
        <v>51.143999999999998</v>
      </c>
      <c r="G87" s="43">
        <f t="shared" si="10"/>
        <v>58.040999999999997</v>
      </c>
      <c r="H87" s="43">
        <f t="shared" si="10"/>
        <v>64.87</v>
      </c>
      <c r="I87" s="43">
        <f t="shared" si="10"/>
        <v>70.494</v>
      </c>
      <c r="J87" s="58">
        <f t="shared" si="9"/>
        <v>71.623999999999995</v>
      </c>
      <c r="K87" s="58">
        <f t="shared" si="9"/>
        <v>71.623999999999995</v>
      </c>
      <c r="L87" s="58">
        <f t="shared" si="9"/>
        <v>71.623999999999995</v>
      </c>
      <c r="M87" s="58">
        <f t="shared" si="9"/>
        <v>71.623999999999995</v>
      </c>
      <c r="N87" s="58">
        <f t="shared" si="9"/>
        <v>71.623999999999995</v>
      </c>
      <c r="O87" s="58">
        <f t="shared" si="9"/>
        <v>71.623999999999995</v>
      </c>
      <c r="P87" s="58">
        <f t="shared" si="9"/>
        <v>71.623999999999995</v>
      </c>
      <c r="Q87" s="52"/>
      <c r="R87" s="54">
        <v>51.143999999999998</v>
      </c>
      <c r="S87" s="54">
        <v>52.281999999999996</v>
      </c>
      <c r="T87" s="54">
        <v>53.66</v>
      </c>
      <c r="U87" s="54">
        <v>55.110999999999997</v>
      </c>
      <c r="V87" s="54">
        <v>56.487000000000002</v>
      </c>
      <c r="W87" s="54">
        <v>58.040999999999997</v>
      </c>
      <c r="X87" s="54">
        <v>59.667000000000002</v>
      </c>
      <c r="Y87" s="54">
        <v>61.478000000000002</v>
      </c>
      <c r="Z87" s="54">
        <v>62.872999999999998</v>
      </c>
      <c r="AA87" s="54">
        <v>63.744</v>
      </c>
      <c r="AB87" s="54">
        <v>64.87</v>
      </c>
      <c r="AC87" s="54">
        <v>66.188000000000002</v>
      </c>
      <c r="AD87" s="54">
        <v>67.120999999999995</v>
      </c>
      <c r="AE87" s="54">
        <v>68.241</v>
      </c>
      <c r="AF87" s="54">
        <v>69.427999999999997</v>
      </c>
      <c r="AG87" s="54">
        <v>70.494</v>
      </c>
      <c r="AH87" s="54">
        <v>71.623999999999995</v>
      </c>
    </row>
    <row r="88" spans="1:34" outlineLevel="1" x14ac:dyDescent="0.25">
      <c r="A88" s="7"/>
      <c r="B88" s="38" t="s">
        <v>28</v>
      </c>
      <c r="C88" s="38" t="s">
        <v>76</v>
      </c>
      <c r="D88" s="38" t="s">
        <v>177</v>
      </c>
      <c r="E88" s="40" t="s">
        <v>101</v>
      </c>
      <c r="F88" s="43">
        <f t="shared" si="10"/>
        <v>0</v>
      </c>
      <c r="G88" s="43">
        <f t="shared" si="10"/>
        <v>0</v>
      </c>
      <c r="H88" s="43">
        <f t="shared" si="10"/>
        <v>0</v>
      </c>
      <c r="I88" s="43">
        <f t="shared" si="10"/>
        <v>0</v>
      </c>
      <c r="J88" s="58">
        <f t="shared" si="9"/>
        <v>0</v>
      </c>
      <c r="K88" s="58">
        <f t="shared" si="9"/>
        <v>0</v>
      </c>
      <c r="L88" s="58">
        <f t="shared" si="9"/>
        <v>0</v>
      </c>
      <c r="M88" s="58">
        <f t="shared" si="9"/>
        <v>0</v>
      </c>
      <c r="N88" s="58">
        <f t="shared" si="9"/>
        <v>0</v>
      </c>
      <c r="O88" s="58">
        <f t="shared" si="9"/>
        <v>0</v>
      </c>
      <c r="P88" s="58">
        <f t="shared" si="9"/>
        <v>0</v>
      </c>
      <c r="Q88" s="52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</row>
    <row r="89" spans="1:34" outlineLevel="1" x14ac:dyDescent="0.25">
      <c r="A89" s="7"/>
      <c r="B89" s="38" t="s">
        <v>28</v>
      </c>
      <c r="C89" s="38" t="s">
        <v>115</v>
      </c>
      <c r="D89" s="38" t="s">
        <v>177</v>
      </c>
      <c r="E89" s="40" t="s">
        <v>101</v>
      </c>
      <c r="F89" s="43">
        <f t="shared" si="10"/>
        <v>0</v>
      </c>
      <c r="G89" s="43">
        <f t="shared" si="10"/>
        <v>0</v>
      </c>
      <c r="H89" s="43">
        <f t="shared" si="10"/>
        <v>0</v>
      </c>
      <c r="I89" s="43">
        <f t="shared" si="10"/>
        <v>0</v>
      </c>
      <c r="J89" s="58">
        <f t="shared" si="9"/>
        <v>0</v>
      </c>
      <c r="K89" s="58">
        <f t="shared" si="9"/>
        <v>0</v>
      </c>
      <c r="L89" s="58">
        <f t="shared" si="9"/>
        <v>0</v>
      </c>
      <c r="M89" s="58">
        <f t="shared" si="9"/>
        <v>0</v>
      </c>
      <c r="N89" s="58">
        <f t="shared" si="9"/>
        <v>0</v>
      </c>
      <c r="O89" s="58">
        <f t="shared" si="9"/>
        <v>0</v>
      </c>
      <c r="P89" s="58">
        <f t="shared" si="9"/>
        <v>0</v>
      </c>
      <c r="Q89" s="52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</row>
    <row r="90" spans="1:34" outlineLevel="1" x14ac:dyDescent="0.25">
      <c r="A90" s="7"/>
      <c r="B90" s="38" t="s">
        <v>28</v>
      </c>
      <c r="C90" s="38" t="s">
        <v>117</v>
      </c>
      <c r="D90" s="38" t="s">
        <v>177</v>
      </c>
      <c r="E90" s="40" t="s">
        <v>101</v>
      </c>
      <c r="F90" s="43">
        <f t="shared" si="10"/>
        <v>0</v>
      </c>
      <c r="G90" s="43">
        <f t="shared" si="10"/>
        <v>0</v>
      </c>
      <c r="H90" s="43">
        <f t="shared" si="10"/>
        <v>0</v>
      </c>
      <c r="I90" s="43">
        <f t="shared" si="10"/>
        <v>0</v>
      </c>
      <c r="J90" s="58">
        <f t="shared" si="9"/>
        <v>0</v>
      </c>
      <c r="K90" s="58">
        <f t="shared" si="9"/>
        <v>0</v>
      </c>
      <c r="L90" s="58">
        <f t="shared" si="9"/>
        <v>0</v>
      </c>
      <c r="M90" s="58">
        <f t="shared" si="9"/>
        <v>0</v>
      </c>
      <c r="N90" s="58">
        <f t="shared" si="9"/>
        <v>0</v>
      </c>
      <c r="O90" s="58">
        <f t="shared" si="9"/>
        <v>0</v>
      </c>
      <c r="P90" s="58">
        <f t="shared" si="9"/>
        <v>0</v>
      </c>
      <c r="Q90" s="52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</row>
    <row r="91" spans="1:34" outlineLevel="1" x14ac:dyDescent="0.25">
      <c r="A91" s="7"/>
      <c r="B91" s="38" t="s">
        <v>28</v>
      </c>
      <c r="C91" s="38" t="s">
        <v>116</v>
      </c>
      <c r="D91" s="38" t="s">
        <v>177</v>
      </c>
      <c r="E91" s="40" t="s">
        <v>101</v>
      </c>
      <c r="F91" s="43">
        <f t="shared" si="10"/>
        <v>0</v>
      </c>
      <c r="G91" s="43">
        <f t="shared" si="10"/>
        <v>0</v>
      </c>
      <c r="H91" s="43">
        <f t="shared" si="10"/>
        <v>0</v>
      </c>
      <c r="I91" s="43">
        <f t="shared" si="10"/>
        <v>0</v>
      </c>
      <c r="J91" s="58">
        <f t="shared" si="9"/>
        <v>0</v>
      </c>
      <c r="K91" s="58">
        <f t="shared" si="9"/>
        <v>0</v>
      </c>
      <c r="L91" s="58">
        <f t="shared" si="9"/>
        <v>0</v>
      </c>
      <c r="M91" s="58">
        <f t="shared" si="9"/>
        <v>0</v>
      </c>
      <c r="N91" s="58">
        <f t="shared" si="9"/>
        <v>0</v>
      </c>
      <c r="O91" s="58">
        <f t="shared" si="9"/>
        <v>0</v>
      </c>
      <c r="P91" s="58">
        <f t="shared" si="9"/>
        <v>0</v>
      </c>
      <c r="Q91" s="52"/>
    </row>
    <row r="92" spans="1:34" x14ac:dyDescent="0.25">
      <c r="A92" s="7"/>
      <c r="B92" s="38"/>
      <c r="C92" s="38"/>
      <c r="D92" s="38"/>
      <c r="E92" s="18"/>
      <c r="F92" s="43"/>
      <c r="G92" s="43"/>
      <c r="H92" s="43"/>
      <c r="I92" s="43"/>
      <c r="Q92" s="52"/>
    </row>
    <row r="93" spans="1:34" x14ac:dyDescent="0.25">
      <c r="A93" s="7"/>
      <c r="B93" s="38"/>
      <c r="C93" s="38"/>
      <c r="D93" s="38"/>
      <c r="E93" s="18"/>
      <c r="F93" s="43"/>
      <c r="G93" s="43"/>
      <c r="H93" s="43"/>
      <c r="I93" s="43"/>
      <c r="Q93" s="52"/>
    </row>
    <row r="94" spans="1:34" x14ac:dyDescent="0.25">
      <c r="A94" s="7"/>
      <c r="B94" s="72" t="s">
        <v>90</v>
      </c>
      <c r="C94" s="38"/>
      <c r="D94" s="38"/>
      <c r="E94" s="18"/>
      <c r="F94" s="43"/>
      <c r="G94" s="43"/>
      <c r="H94" s="43"/>
      <c r="I94" s="43"/>
      <c r="Q94" s="52"/>
    </row>
    <row r="95" spans="1:34" outlineLevel="1" x14ac:dyDescent="0.25">
      <c r="A95" s="7"/>
      <c r="B95" s="38" t="s">
        <v>178</v>
      </c>
      <c r="C95" s="38" t="s">
        <v>60</v>
      </c>
      <c r="D95" s="38" t="s">
        <v>100</v>
      </c>
      <c r="E95" s="40" t="s">
        <v>101</v>
      </c>
      <c r="F95" s="43">
        <f t="shared" ref="F95:I110" si="11">INDEX($R95:$BZ95,MATCH(F$1,$R$1:$BZ$1,0))</f>
        <v>0</v>
      </c>
      <c r="G95" s="43">
        <f t="shared" si="11"/>
        <v>0</v>
      </c>
      <c r="H95" s="43">
        <f t="shared" si="11"/>
        <v>0</v>
      </c>
      <c r="I95" s="43">
        <f t="shared" si="11"/>
        <v>0</v>
      </c>
      <c r="J95" s="58">
        <f t="shared" ref="J95:P131" si="12">$AH95</f>
        <v>0</v>
      </c>
      <c r="K95" s="58">
        <f t="shared" si="12"/>
        <v>0</v>
      </c>
      <c r="L95" s="58">
        <f t="shared" si="12"/>
        <v>0</v>
      </c>
      <c r="M95" s="58">
        <f t="shared" si="12"/>
        <v>0</v>
      </c>
      <c r="N95" s="58">
        <f t="shared" si="12"/>
        <v>0</v>
      </c>
      <c r="O95" s="58">
        <f t="shared" si="12"/>
        <v>0</v>
      </c>
      <c r="P95" s="58">
        <f t="shared" si="12"/>
        <v>0</v>
      </c>
      <c r="Q95" s="52"/>
    </row>
    <row r="96" spans="1:34" outlineLevel="1" x14ac:dyDescent="0.25">
      <c r="A96" s="7"/>
      <c r="B96" s="38" t="s">
        <v>178</v>
      </c>
      <c r="C96" s="15" t="s">
        <v>107</v>
      </c>
      <c r="D96" s="38" t="s">
        <v>100</v>
      </c>
      <c r="E96" s="40" t="s">
        <v>101</v>
      </c>
      <c r="F96" s="43">
        <f t="shared" si="11"/>
        <v>0</v>
      </c>
      <c r="G96" s="43">
        <f t="shared" si="11"/>
        <v>0</v>
      </c>
      <c r="H96" s="43">
        <f t="shared" si="11"/>
        <v>0</v>
      </c>
      <c r="I96" s="43">
        <f t="shared" si="11"/>
        <v>0</v>
      </c>
      <c r="J96" s="58">
        <f t="shared" si="12"/>
        <v>0</v>
      </c>
      <c r="K96" s="58">
        <f t="shared" si="12"/>
        <v>0</v>
      </c>
      <c r="L96" s="58">
        <f t="shared" si="12"/>
        <v>0</v>
      </c>
      <c r="M96" s="58">
        <f t="shared" si="12"/>
        <v>0</v>
      </c>
      <c r="N96" s="58">
        <f t="shared" si="12"/>
        <v>0</v>
      </c>
      <c r="O96" s="58">
        <f t="shared" si="12"/>
        <v>0</v>
      </c>
      <c r="P96" s="58">
        <f t="shared" si="12"/>
        <v>0</v>
      </c>
      <c r="Q96" s="52"/>
    </row>
    <row r="97" spans="1:34" outlineLevel="1" x14ac:dyDescent="0.25">
      <c r="A97" s="7"/>
      <c r="B97" s="38" t="s">
        <v>178</v>
      </c>
      <c r="C97" s="38" t="s">
        <v>108</v>
      </c>
      <c r="D97" s="38" t="s">
        <v>100</v>
      </c>
      <c r="E97" s="40" t="s">
        <v>101</v>
      </c>
      <c r="F97" s="43">
        <f t="shared" si="11"/>
        <v>0</v>
      </c>
      <c r="G97" s="43">
        <f t="shared" si="11"/>
        <v>0</v>
      </c>
      <c r="H97" s="43">
        <f t="shared" si="11"/>
        <v>0</v>
      </c>
      <c r="I97" s="43">
        <f t="shared" si="11"/>
        <v>0</v>
      </c>
      <c r="J97" s="58">
        <f t="shared" si="12"/>
        <v>0</v>
      </c>
      <c r="K97" s="58">
        <f t="shared" si="12"/>
        <v>0</v>
      </c>
      <c r="L97" s="58">
        <f t="shared" si="12"/>
        <v>0</v>
      </c>
      <c r="M97" s="58">
        <f t="shared" si="12"/>
        <v>0</v>
      </c>
      <c r="N97" s="58">
        <f t="shared" si="12"/>
        <v>0</v>
      </c>
      <c r="O97" s="58">
        <f t="shared" si="12"/>
        <v>0</v>
      </c>
      <c r="P97" s="58">
        <f t="shared" si="12"/>
        <v>0</v>
      </c>
      <c r="Q97" s="52"/>
    </row>
    <row r="98" spans="1:34" outlineLevel="1" x14ac:dyDescent="0.25">
      <c r="A98" s="7"/>
      <c r="B98" s="38" t="s">
        <v>178</v>
      </c>
      <c r="C98" s="38" t="s">
        <v>109</v>
      </c>
      <c r="D98" s="38" t="s">
        <v>100</v>
      </c>
      <c r="E98" s="40" t="s">
        <v>101</v>
      </c>
      <c r="F98" s="43">
        <f t="shared" si="11"/>
        <v>0</v>
      </c>
      <c r="G98" s="43">
        <f t="shared" si="11"/>
        <v>0</v>
      </c>
      <c r="H98" s="43">
        <f t="shared" si="11"/>
        <v>0</v>
      </c>
      <c r="I98" s="43">
        <f t="shared" si="11"/>
        <v>0</v>
      </c>
      <c r="J98" s="58">
        <f t="shared" si="12"/>
        <v>0</v>
      </c>
      <c r="K98" s="58">
        <f t="shared" si="12"/>
        <v>0</v>
      </c>
      <c r="L98" s="58">
        <f t="shared" si="12"/>
        <v>0</v>
      </c>
      <c r="M98" s="58">
        <f t="shared" si="12"/>
        <v>0</v>
      </c>
      <c r="N98" s="58">
        <f t="shared" si="12"/>
        <v>0</v>
      </c>
      <c r="O98" s="58">
        <f t="shared" si="12"/>
        <v>0</v>
      </c>
      <c r="P98" s="58">
        <f t="shared" si="12"/>
        <v>0</v>
      </c>
      <c r="Q98" s="52"/>
    </row>
    <row r="99" spans="1:34" outlineLevel="1" x14ac:dyDescent="0.25">
      <c r="A99" s="7"/>
      <c r="B99" s="38" t="s">
        <v>178</v>
      </c>
      <c r="C99" s="38" t="s">
        <v>110</v>
      </c>
      <c r="D99" s="38" t="s">
        <v>100</v>
      </c>
      <c r="E99" s="40" t="s">
        <v>101</v>
      </c>
      <c r="F99" s="43">
        <f t="shared" si="11"/>
        <v>0</v>
      </c>
      <c r="G99" s="43">
        <f t="shared" si="11"/>
        <v>0</v>
      </c>
      <c r="H99" s="43">
        <f t="shared" si="11"/>
        <v>0</v>
      </c>
      <c r="I99" s="43">
        <f t="shared" si="11"/>
        <v>0</v>
      </c>
      <c r="J99" s="58">
        <f t="shared" si="12"/>
        <v>0</v>
      </c>
      <c r="K99" s="58">
        <f t="shared" si="12"/>
        <v>0</v>
      </c>
      <c r="L99" s="58">
        <f t="shared" si="12"/>
        <v>0</v>
      </c>
      <c r="M99" s="58">
        <f t="shared" si="12"/>
        <v>0</v>
      </c>
      <c r="N99" s="58">
        <f t="shared" si="12"/>
        <v>0</v>
      </c>
      <c r="O99" s="58">
        <f t="shared" si="12"/>
        <v>0</v>
      </c>
      <c r="P99" s="58">
        <f t="shared" si="12"/>
        <v>0</v>
      </c>
      <c r="Q99" s="52"/>
    </row>
    <row r="100" spans="1:34" outlineLevel="1" x14ac:dyDescent="0.25">
      <c r="A100" s="7"/>
      <c r="B100" s="38" t="s">
        <v>178</v>
      </c>
      <c r="C100" s="38" t="s">
        <v>111</v>
      </c>
      <c r="D100" s="38" t="s">
        <v>100</v>
      </c>
      <c r="E100" s="40" t="s">
        <v>101</v>
      </c>
      <c r="F100" s="43">
        <f t="shared" si="11"/>
        <v>0</v>
      </c>
      <c r="G100" s="43">
        <f t="shared" si="11"/>
        <v>0</v>
      </c>
      <c r="H100" s="43">
        <f t="shared" si="11"/>
        <v>0</v>
      </c>
      <c r="I100" s="43">
        <f t="shared" si="11"/>
        <v>0</v>
      </c>
      <c r="J100" s="58">
        <f t="shared" si="12"/>
        <v>0</v>
      </c>
      <c r="K100" s="58">
        <f t="shared" si="12"/>
        <v>0</v>
      </c>
      <c r="L100" s="58">
        <f t="shared" si="12"/>
        <v>0</v>
      </c>
      <c r="M100" s="58">
        <f t="shared" si="12"/>
        <v>0</v>
      </c>
      <c r="N100" s="58">
        <f t="shared" si="12"/>
        <v>0</v>
      </c>
      <c r="O100" s="58">
        <f t="shared" si="12"/>
        <v>0</v>
      </c>
      <c r="P100" s="58">
        <f t="shared" si="12"/>
        <v>0</v>
      </c>
      <c r="Q100" s="52"/>
    </row>
    <row r="101" spans="1:34" outlineLevel="1" x14ac:dyDescent="0.25">
      <c r="A101" s="7"/>
      <c r="B101" s="38" t="s">
        <v>178</v>
      </c>
      <c r="C101" s="38" t="s">
        <v>112</v>
      </c>
      <c r="D101" s="38" t="s">
        <v>100</v>
      </c>
      <c r="E101" s="40" t="s">
        <v>101</v>
      </c>
      <c r="F101" s="43">
        <f t="shared" si="11"/>
        <v>0</v>
      </c>
      <c r="G101" s="43">
        <f t="shared" si="11"/>
        <v>0</v>
      </c>
      <c r="H101" s="43">
        <f t="shared" si="11"/>
        <v>0</v>
      </c>
      <c r="I101" s="43">
        <f t="shared" si="11"/>
        <v>0</v>
      </c>
      <c r="J101" s="58">
        <f t="shared" si="12"/>
        <v>0</v>
      </c>
      <c r="K101" s="58">
        <f t="shared" si="12"/>
        <v>0</v>
      </c>
      <c r="L101" s="58">
        <f t="shared" si="12"/>
        <v>0</v>
      </c>
      <c r="M101" s="58">
        <f t="shared" si="12"/>
        <v>0</v>
      </c>
      <c r="N101" s="58">
        <f t="shared" si="12"/>
        <v>0</v>
      </c>
      <c r="O101" s="58">
        <f t="shared" si="12"/>
        <v>0</v>
      </c>
      <c r="P101" s="58">
        <f t="shared" si="12"/>
        <v>0</v>
      </c>
      <c r="Q101" s="52"/>
    </row>
    <row r="102" spans="1:34" outlineLevel="1" x14ac:dyDescent="0.25">
      <c r="A102" s="7"/>
      <c r="B102" s="38" t="s">
        <v>178</v>
      </c>
      <c r="C102" s="38" t="s">
        <v>113</v>
      </c>
      <c r="D102" s="38" t="s">
        <v>100</v>
      </c>
      <c r="E102" s="40" t="s">
        <v>101</v>
      </c>
      <c r="F102" s="43">
        <f t="shared" si="11"/>
        <v>0</v>
      </c>
      <c r="G102" s="43">
        <f t="shared" si="11"/>
        <v>0</v>
      </c>
      <c r="H102" s="43">
        <f t="shared" si="11"/>
        <v>0</v>
      </c>
      <c r="I102" s="43">
        <f t="shared" si="11"/>
        <v>0</v>
      </c>
      <c r="J102" s="58">
        <f t="shared" si="12"/>
        <v>0</v>
      </c>
      <c r="K102" s="58">
        <f t="shared" si="12"/>
        <v>0</v>
      </c>
      <c r="L102" s="58">
        <f t="shared" si="12"/>
        <v>0</v>
      </c>
      <c r="M102" s="58">
        <f t="shared" si="12"/>
        <v>0</v>
      </c>
      <c r="N102" s="58">
        <f t="shared" si="12"/>
        <v>0</v>
      </c>
      <c r="O102" s="58">
        <f t="shared" si="12"/>
        <v>0</v>
      </c>
      <c r="P102" s="58">
        <f t="shared" si="12"/>
        <v>0</v>
      </c>
      <c r="Q102" s="52"/>
    </row>
    <row r="103" spans="1:34" outlineLevel="1" x14ac:dyDescent="0.25">
      <c r="A103" s="7"/>
      <c r="B103" s="38" t="s">
        <v>178</v>
      </c>
      <c r="C103" s="38" t="s">
        <v>114</v>
      </c>
      <c r="D103" s="38" t="s">
        <v>100</v>
      </c>
      <c r="E103" s="40" t="s">
        <v>101</v>
      </c>
      <c r="F103" s="43">
        <f t="shared" si="11"/>
        <v>0</v>
      </c>
      <c r="G103" s="43">
        <f t="shared" si="11"/>
        <v>0</v>
      </c>
      <c r="H103" s="43">
        <f t="shared" si="11"/>
        <v>0</v>
      </c>
      <c r="I103" s="43">
        <f t="shared" si="11"/>
        <v>0</v>
      </c>
      <c r="J103" s="58">
        <f t="shared" si="12"/>
        <v>0</v>
      </c>
      <c r="K103" s="58">
        <f t="shared" si="12"/>
        <v>0</v>
      </c>
      <c r="L103" s="58">
        <f t="shared" si="12"/>
        <v>0</v>
      </c>
      <c r="M103" s="58">
        <f t="shared" si="12"/>
        <v>0</v>
      </c>
      <c r="N103" s="58">
        <f t="shared" si="12"/>
        <v>0</v>
      </c>
      <c r="O103" s="58">
        <f t="shared" si="12"/>
        <v>0</v>
      </c>
      <c r="P103" s="58">
        <f t="shared" si="12"/>
        <v>0</v>
      </c>
      <c r="Q103" s="52"/>
    </row>
    <row r="104" spans="1:34" outlineLevel="1" x14ac:dyDescent="0.25">
      <c r="A104" s="7"/>
      <c r="B104" s="38" t="s">
        <v>178</v>
      </c>
      <c r="C104" s="38" t="s">
        <v>5</v>
      </c>
      <c r="D104" s="38" t="s">
        <v>100</v>
      </c>
      <c r="E104" s="40" t="s">
        <v>101</v>
      </c>
      <c r="F104" s="43">
        <f t="shared" si="11"/>
        <v>102.056</v>
      </c>
      <c r="G104" s="43">
        <f t="shared" si="11"/>
        <v>117.857</v>
      </c>
      <c r="H104" s="43">
        <f t="shared" si="11"/>
        <v>134.34399999999999</v>
      </c>
      <c r="I104" s="43">
        <f t="shared" si="11"/>
        <v>146.977</v>
      </c>
      <c r="J104" s="58">
        <f t="shared" si="12"/>
        <v>148.864</v>
      </c>
      <c r="K104" s="58">
        <f t="shared" si="12"/>
        <v>148.864</v>
      </c>
      <c r="L104" s="58">
        <f t="shared" si="12"/>
        <v>148.864</v>
      </c>
      <c r="M104" s="58">
        <f t="shared" si="12"/>
        <v>148.864</v>
      </c>
      <c r="N104" s="58">
        <f t="shared" si="12"/>
        <v>148.864</v>
      </c>
      <c r="O104" s="58">
        <f t="shared" si="12"/>
        <v>148.864</v>
      </c>
      <c r="P104" s="58">
        <f t="shared" si="12"/>
        <v>148.864</v>
      </c>
      <c r="Q104" s="52"/>
      <c r="R104" s="54">
        <v>102.056</v>
      </c>
      <c r="S104" s="54">
        <v>104.72199999999999</v>
      </c>
      <c r="T104" s="54">
        <v>107.886</v>
      </c>
      <c r="U104" s="54">
        <v>111.19499999999999</v>
      </c>
      <c r="V104" s="54">
        <v>114.343</v>
      </c>
      <c r="W104" s="54">
        <v>117.857</v>
      </c>
      <c r="X104" s="54">
        <v>121.78400000000001</v>
      </c>
      <c r="Y104" s="54">
        <v>126.12</v>
      </c>
      <c r="Z104" s="54">
        <v>129.46100000000001</v>
      </c>
      <c r="AA104" s="54">
        <v>131.619</v>
      </c>
      <c r="AB104" s="54">
        <v>134.34399999999999</v>
      </c>
      <c r="AC104" s="54">
        <v>136.792</v>
      </c>
      <c r="AD104" s="54">
        <v>139.107</v>
      </c>
      <c r="AE104" s="54">
        <v>141.86600000000001</v>
      </c>
      <c r="AF104" s="54">
        <v>144.78100000000001</v>
      </c>
      <c r="AG104" s="54">
        <v>146.977</v>
      </c>
      <c r="AH104" s="54">
        <v>148.864</v>
      </c>
    </row>
    <row r="105" spans="1:34" outlineLevel="1" x14ac:dyDescent="0.25">
      <c r="A105" s="7"/>
      <c r="B105" s="38" t="s">
        <v>178</v>
      </c>
      <c r="C105" s="38" t="s">
        <v>76</v>
      </c>
      <c r="D105" s="38" t="s">
        <v>100</v>
      </c>
      <c r="E105" s="40" t="s">
        <v>101</v>
      </c>
      <c r="F105" s="43">
        <f t="shared" si="11"/>
        <v>0</v>
      </c>
      <c r="G105" s="43">
        <f t="shared" si="11"/>
        <v>0</v>
      </c>
      <c r="H105" s="43">
        <f t="shared" si="11"/>
        <v>0</v>
      </c>
      <c r="I105" s="43">
        <f t="shared" si="11"/>
        <v>0</v>
      </c>
      <c r="J105" s="58">
        <f t="shared" si="12"/>
        <v>0</v>
      </c>
      <c r="K105" s="58">
        <f t="shared" si="12"/>
        <v>0</v>
      </c>
      <c r="L105" s="58">
        <f t="shared" si="12"/>
        <v>0</v>
      </c>
      <c r="M105" s="58">
        <f t="shared" si="12"/>
        <v>0</v>
      </c>
      <c r="N105" s="58">
        <f t="shared" si="12"/>
        <v>0</v>
      </c>
      <c r="O105" s="58">
        <f t="shared" si="12"/>
        <v>0</v>
      </c>
      <c r="P105" s="58">
        <f t="shared" si="12"/>
        <v>0</v>
      </c>
      <c r="Q105" s="52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</row>
    <row r="106" spans="1:34" outlineLevel="1" x14ac:dyDescent="0.25">
      <c r="A106" s="7"/>
      <c r="B106" s="38" t="s">
        <v>178</v>
      </c>
      <c r="C106" s="38" t="s">
        <v>115</v>
      </c>
      <c r="D106" s="38" t="s">
        <v>100</v>
      </c>
      <c r="E106" s="40" t="s">
        <v>101</v>
      </c>
      <c r="F106" s="43">
        <f t="shared" si="11"/>
        <v>0</v>
      </c>
      <c r="G106" s="43">
        <f t="shared" si="11"/>
        <v>0</v>
      </c>
      <c r="H106" s="43">
        <f t="shared" si="11"/>
        <v>0</v>
      </c>
      <c r="I106" s="43">
        <f t="shared" si="11"/>
        <v>0</v>
      </c>
      <c r="J106" s="58">
        <f t="shared" si="12"/>
        <v>0</v>
      </c>
      <c r="K106" s="58">
        <f t="shared" si="12"/>
        <v>0</v>
      </c>
      <c r="L106" s="58">
        <f t="shared" si="12"/>
        <v>0</v>
      </c>
      <c r="M106" s="58">
        <f t="shared" si="12"/>
        <v>0</v>
      </c>
      <c r="N106" s="58">
        <f t="shared" si="12"/>
        <v>0</v>
      </c>
      <c r="O106" s="58">
        <f t="shared" si="12"/>
        <v>0</v>
      </c>
      <c r="P106" s="58">
        <f t="shared" si="12"/>
        <v>0</v>
      </c>
      <c r="Q106" s="52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</row>
    <row r="107" spans="1:34" outlineLevel="1" x14ac:dyDescent="0.25">
      <c r="A107" s="7"/>
      <c r="B107" s="38" t="s">
        <v>178</v>
      </c>
      <c r="C107" s="38" t="s">
        <v>117</v>
      </c>
      <c r="D107" s="38" t="s">
        <v>100</v>
      </c>
      <c r="E107" s="40" t="s">
        <v>101</v>
      </c>
      <c r="F107" s="43">
        <f t="shared" si="11"/>
        <v>0</v>
      </c>
      <c r="G107" s="43">
        <f t="shared" si="11"/>
        <v>0</v>
      </c>
      <c r="H107" s="43">
        <f t="shared" si="11"/>
        <v>0</v>
      </c>
      <c r="I107" s="43">
        <f t="shared" si="11"/>
        <v>0</v>
      </c>
      <c r="J107" s="58">
        <f t="shared" si="12"/>
        <v>0</v>
      </c>
      <c r="K107" s="58">
        <f t="shared" si="12"/>
        <v>0</v>
      </c>
      <c r="L107" s="58">
        <f t="shared" si="12"/>
        <v>0</v>
      </c>
      <c r="M107" s="58">
        <f t="shared" si="12"/>
        <v>0</v>
      </c>
      <c r="N107" s="58">
        <f t="shared" si="12"/>
        <v>0</v>
      </c>
      <c r="O107" s="58">
        <f t="shared" si="12"/>
        <v>0</v>
      </c>
      <c r="P107" s="58">
        <f t="shared" si="12"/>
        <v>0</v>
      </c>
      <c r="Q107" s="52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</row>
    <row r="108" spans="1:34" outlineLevel="1" x14ac:dyDescent="0.25">
      <c r="A108" s="7"/>
      <c r="B108" s="38" t="s">
        <v>178</v>
      </c>
      <c r="C108" s="38" t="s">
        <v>116</v>
      </c>
      <c r="D108" s="38" t="s">
        <v>100</v>
      </c>
      <c r="E108" s="40" t="s">
        <v>101</v>
      </c>
      <c r="F108" s="43">
        <f t="shared" si="11"/>
        <v>0</v>
      </c>
      <c r="G108" s="43">
        <f t="shared" si="11"/>
        <v>0</v>
      </c>
      <c r="H108" s="43">
        <f t="shared" si="11"/>
        <v>0</v>
      </c>
      <c r="I108" s="43">
        <f t="shared" si="11"/>
        <v>0</v>
      </c>
      <c r="J108" s="58">
        <f t="shared" si="12"/>
        <v>0</v>
      </c>
      <c r="K108" s="58">
        <f t="shared" si="12"/>
        <v>0</v>
      </c>
      <c r="L108" s="58">
        <f t="shared" si="12"/>
        <v>0</v>
      </c>
      <c r="M108" s="58">
        <f t="shared" si="12"/>
        <v>0</v>
      </c>
      <c r="N108" s="58">
        <f t="shared" si="12"/>
        <v>0</v>
      </c>
      <c r="O108" s="58">
        <f t="shared" si="12"/>
        <v>0</v>
      </c>
      <c r="P108" s="58">
        <f t="shared" si="12"/>
        <v>0</v>
      </c>
      <c r="Q108" s="52"/>
    </row>
    <row r="109" spans="1:34" outlineLevel="1" x14ac:dyDescent="0.25">
      <c r="A109" s="7"/>
      <c r="B109" s="38" t="s">
        <v>179</v>
      </c>
      <c r="C109" s="38" t="s">
        <v>60</v>
      </c>
      <c r="D109" s="38" t="s">
        <v>100</v>
      </c>
      <c r="E109" s="40" t="s">
        <v>101</v>
      </c>
      <c r="F109" s="43">
        <f t="shared" si="11"/>
        <v>0</v>
      </c>
      <c r="G109" s="43">
        <f t="shared" si="11"/>
        <v>0</v>
      </c>
      <c r="H109" s="43">
        <f t="shared" si="11"/>
        <v>0</v>
      </c>
      <c r="I109" s="43">
        <f t="shared" si="11"/>
        <v>0</v>
      </c>
      <c r="J109" s="58">
        <f t="shared" si="12"/>
        <v>0</v>
      </c>
      <c r="K109" s="58">
        <f t="shared" si="12"/>
        <v>0</v>
      </c>
      <c r="L109" s="58">
        <f t="shared" si="12"/>
        <v>0</v>
      </c>
      <c r="M109" s="58">
        <f t="shared" si="12"/>
        <v>0</v>
      </c>
      <c r="N109" s="58">
        <f t="shared" si="12"/>
        <v>0</v>
      </c>
      <c r="O109" s="58">
        <f t="shared" si="12"/>
        <v>0</v>
      </c>
      <c r="P109" s="58">
        <f t="shared" si="12"/>
        <v>0</v>
      </c>
      <c r="Q109" s="52"/>
    </row>
    <row r="110" spans="1:34" outlineLevel="1" x14ac:dyDescent="0.25">
      <c r="A110" s="7"/>
      <c r="B110" s="38" t="s">
        <v>179</v>
      </c>
      <c r="C110" s="15" t="s">
        <v>107</v>
      </c>
      <c r="D110" s="38" t="s">
        <v>100</v>
      </c>
      <c r="E110" s="40" t="s">
        <v>101</v>
      </c>
      <c r="F110" s="43">
        <f t="shared" si="11"/>
        <v>0</v>
      </c>
      <c r="G110" s="43">
        <f t="shared" si="11"/>
        <v>0</v>
      </c>
      <c r="H110" s="43">
        <f t="shared" si="11"/>
        <v>0</v>
      </c>
      <c r="I110" s="43">
        <f t="shared" si="11"/>
        <v>0</v>
      </c>
      <c r="J110" s="58">
        <f t="shared" si="12"/>
        <v>0</v>
      </c>
      <c r="K110" s="58">
        <f t="shared" si="12"/>
        <v>0</v>
      </c>
      <c r="L110" s="58">
        <f t="shared" si="12"/>
        <v>0</v>
      </c>
      <c r="M110" s="58">
        <f t="shared" si="12"/>
        <v>0</v>
      </c>
      <c r="N110" s="58">
        <f t="shared" si="12"/>
        <v>0</v>
      </c>
      <c r="O110" s="58">
        <f t="shared" si="12"/>
        <v>0</v>
      </c>
      <c r="P110" s="58">
        <f t="shared" si="12"/>
        <v>0</v>
      </c>
      <c r="Q110" s="52"/>
    </row>
    <row r="111" spans="1:34" outlineLevel="1" x14ac:dyDescent="0.25">
      <c r="A111" s="7"/>
      <c r="B111" s="38" t="s">
        <v>179</v>
      </c>
      <c r="C111" s="38" t="s">
        <v>108</v>
      </c>
      <c r="D111" s="38" t="s">
        <v>100</v>
      </c>
      <c r="E111" s="40" t="s">
        <v>101</v>
      </c>
      <c r="F111" s="43">
        <f t="shared" ref="F111:I126" si="13">INDEX($R111:$BZ111,MATCH(F$1,$R$1:$BZ$1,0))</f>
        <v>0</v>
      </c>
      <c r="G111" s="43">
        <f t="shared" si="13"/>
        <v>0</v>
      </c>
      <c r="H111" s="43">
        <f t="shared" si="13"/>
        <v>0</v>
      </c>
      <c r="I111" s="43">
        <f t="shared" si="13"/>
        <v>0</v>
      </c>
      <c r="J111" s="58">
        <f t="shared" si="12"/>
        <v>0</v>
      </c>
      <c r="K111" s="58">
        <f t="shared" si="12"/>
        <v>0</v>
      </c>
      <c r="L111" s="58">
        <f t="shared" si="12"/>
        <v>0</v>
      </c>
      <c r="M111" s="58">
        <f t="shared" si="12"/>
        <v>0</v>
      </c>
      <c r="N111" s="58">
        <f t="shared" si="12"/>
        <v>0</v>
      </c>
      <c r="O111" s="58">
        <f t="shared" si="12"/>
        <v>0</v>
      </c>
      <c r="P111" s="58">
        <f t="shared" si="12"/>
        <v>0</v>
      </c>
      <c r="Q111" s="52"/>
    </row>
    <row r="112" spans="1:34" outlineLevel="1" x14ac:dyDescent="0.25">
      <c r="A112" s="7"/>
      <c r="B112" s="38" t="s">
        <v>179</v>
      </c>
      <c r="C112" s="38" t="s">
        <v>109</v>
      </c>
      <c r="D112" s="38" t="s">
        <v>100</v>
      </c>
      <c r="E112" s="40" t="s">
        <v>101</v>
      </c>
      <c r="F112" s="43">
        <f t="shared" si="13"/>
        <v>0</v>
      </c>
      <c r="G112" s="43">
        <f t="shared" si="13"/>
        <v>0</v>
      </c>
      <c r="H112" s="43">
        <f t="shared" si="13"/>
        <v>0</v>
      </c>
      <c r="I112" s="43">
        <f t="shared" si="13"/>
        <v>0</v>
      </c>
      <c r="J112" s="58">
        <f t="shared" si="12"/>
        <v>0</v>
      </c>
      <c r="K112" s="58">
        <f t="shared" si="12"/>
        <v>0</v>
      </c>
      <c r="L112" s="58">
        <f t="shared" si="12"/>
        <v>0</v>
      </c>
      <c r="M112" s="58">
        <f t="shared" si="12"/>
        <v>0</v>
      </c>
      <c r="N112" s="58">
        <f t="shared" si="12"/>
        <v>0</v>
      </c>
      <c r="O112" s="58">
        <f t="shared" si="12"/>
        <v>0</v>
      </c>
      <c r="P112" s="58">
        <f t="shared" si="12"/>
        <v>0</v>
      </c>
      <c r="Q112" s="52"/>
    </row>
    <row r="113" spans="1:34" outlineLevel="1" x14ac:dyDescent="0.25">
      <c r="A113" s="7"/>
      <c r="B113" s="38" t="s">
        <v>179</v>
      </c>
      <c r="C113" s="38" t="s">
        <v>110</v>
      </c>
      <c r="D113" s="38" t="s">
        <v>100</v>
      </c>
      <c r="E113" s="40" t="s">
        <v>101</v>
      </c>
      <c r="F113" s="43">
        <f t="shared" si="13"/>
        <v>0</v>
      </c>
      <c r="G113" s="43">
        <f t="shared" si="13"/>
        <v>0</v>
      </c>
      <c r="H113" s="43">
        <f t="shared" si="13"/>
        <v>0</v>
      </c>
      <c r="I113" s="43">
        <f t="shared" si="13"/>
        <v>0</v>
      </c>
      <c r="J113" s="58">
        <f t="shared" si="12"/>
        <v>0</v>
      </c>
      <c r="K113" s="58">
        <f t="shared" si="12"/>
        <v>0</v>
      </c>
      <c r="L113" s="58">
        <f t="shared" si="12"/>
        <v>0</v>
      </c>
      <c r="M113" s="58">
        <f t="shared" si="12"/>
        <v>0</v>
      </c>
      <c r="N113" s="58">
        <f t="shared" si="12"/>
        <v>0</v>
      </c>
      <c r="O113" s="58">
        <f t="shared" si="12"/>
        <v>0</v>
      </c>
      <c r="P113" s="58">
        <f t="shared" si="12"/>
        <v>0</v>
      </c>
      <c r="Q113" s="52"/>
    </row>
    <row r="114" spans="1:34" outlineLevel="1" x14ac:dyDescent="0.25">
      <c r="A114" s="7"/>
      <c r="B114" s="38" t="s">
        <v>179</v>
      </c>
      <c r="C114" s="38" t="s">
        <v>111</v>
      </c>
      <c r="D114" s="38" t="s">
        <v>100</v>
      </c>
      <c r="E114" s="40" t="s">
        <v>101</v>
      </c>
      <c r="F114" s="43">
        <f t="shared" si="13"/>
        <v>0</v>
      </c>
      <c r="G114" s="43">
        <f t="shared" si="13"/>
        <v>0</v>
      </c>
      <c r="H114" s="43">
        <f t="shared" si="13"/>
        <v>0</v>
      </c>
      <c r="I114" s="43">
        <f t="shared" si="13"/>
        <v>0</v>
      </c>
      <c r="J114" s="58">
        <f t="shared" si="12"/>
        <v>0</v>
      </c>
      <c r="K114" s="58">
        <f t="shared" si="12"/>
        <v>0</v>
      </c>
      <c r="L114" s="58">
        <f t="shared" si="12"/>
        <v>0</v>
      </c>
      <c r="M114" s="58">
        <f t="shared" si="12"/>
        <v>0</v>
      </c>
      <c r="N114" s="58">
        <f t="shared" si="12"/>
        <v>0</v>
      </c>
      <c r="O114" s="58">
        <f t="shared" si="12"/>
        <v>0</v>
      </c>
      <c r="P114" s="58">
        <f t="shared" si="12"/>
        <v>0</v>
      </c>
      <c r="Q114" s="52"/>
    </row>
    <row r="115" spans="1:34" outlineLevel="1" x14ac:dyDescent="0.25">
      <c r="A115" s="7"/>
      <c r="B115" s="38" t="s">
        <v>179</v>
      </c>
      <c r="C115" s="38" t="s">
        <v>112</v>
      </c>
      <c r="D115" s="38" t="s">
        <v>100</v>
      </c>
      <c r="E115" s="40" t="s">
        <v>101</v>
      </c>
      <c r="F115" s="43">
        <f t="shared" si="13"/>
        <v>0</v>
      </c>
      <c r="G115" s="43">
        <f t="shared" si="13"/>
        <v>0</v>
      </c>
      <c r="H115" s="43">
        <f t="shared" si="13"/>
        <v>0</v>
      </c>
      <c r="I115" s="43">
        <f t="shared" si="13"/>
        <v>0</v>
      </c>
      <c r="J115" s="58">
        <f t="shared" si="12"/>
        <v>0</v>
      </c>
      <c r="K115" s="58">
        <f t="shared" si="12"/>
        <v>0</v>
      </c>
      <c r="L115" s="58">
        <f t="shared" si="12"/>
        <v>0</v>
      </c>
      <c r="M115" s="58">
        <f t="shared" si="12"/>
        <v>0</v>
      </c>
      <c r="N115" s="58">
        <f t="shared" si="12"/>
        <v>0</v>
      </c>
      <c r="O115" s="58">
        <f t="shared" si="12"/>
        <v>0</v>
      </c>
      <c r="P115" s="58">
        <f t="shared" si="12"/>
        <v>0</v>
      </c>
      <c r="Q115" s="52"/>
    </row>
    <row r="116" spans="1:34" outlineLevel="1" x14ac:dyDescent="0.25">
      <c r="A116" s="7"/>
      <c r="B116" s="38" t="s">
        <v>179</v>
      </c>
      <c r="C116" s="38" t="s">
        <v>113</v>
      </c>
      <c r="D116" s="38" t="s">
        <v>100</v>
      </c>
      <c r="E116" s="40" t="s">
        <v>101</v>
      </c>
      <c r="F116" s="43">
        <f t="shared" si="13"/>
        <v>0</v>
      </c>
      <c r="G116" s="43">
        <f t="shared" si="13"/>
        <v>0</v>
      </c>
      <c r="H116" s="43">
        <f t="shared" si="13"/>
        <v>0</v>
      </c>
      <c r="I116" s="43">
        <f t="shared" si="13"/>
        <v>0</v>
      </c>
      <c r="J116" s="58">
        <f t="shared" si="12"/>
        <v>0</v>
      </c>
      <c r="K116" s="58">
        <f t="shared" si="12"/>
        <v>0</v>
      </c>
      <c r="L116" s="58">
        <f t="shared" si="12"/>
        <v>0</v>
      </c>
      <c r="M116" s="58">
        <f t="shared" si="12"/>
        <v>0</v>
      </c>
      <c r="N116" s="58">
        <f t="shared" si="12"/>
        <v>0</v>
      </c>
      <c r="O116" s="58">
        <f t="shared" si="12"/>
        <v>0</v>
      </c>
      <c r="P116" s="58">
        <f t="shared" si="12"/>
        <v>0</v>
      </c>
      <c r="Q116" s="52"/>
    </row>
    <row r="117" spans="1:34" outlineLevel="1" x14ac:dyDescent="0.25">
      <c r="A117" s="7"/>
      <c r="B117" s="38" t="s">
        <v>179</v>
      </c>
      <c r="C117" s="38" t="s">
        <v>114</v>
      </c>
      <c r="D117" s="38" t="s">
        <v>100</v>
      </c>
      <c r="E117" s="40" t="s">
        <v>101</v>
      </c>
      <c r="F117" s="43">
        <f t="shared" si="13"/>
        <v>0</v>
      </c>
      <c r="G117" s="43">
        <f t="shared" si="13"/>
        <v>0</v>
      </c>
      <c r="H117" s="43">
        <f t="shared" si="13"/>
        <v>0</v>
      </c>
      <c r="I117" s="43">
        <f t="shared" si="13"/>
        <v>0</v>
      </c>
      <c r="J117" s="58">
        <f t="shared" si="12"/>
        <v>0</v>
      </c>
      <c r="K117" s="58">
        <f t="shared" si="12"/>
        <v>0</v>
      </c>
      <c r="L117" s="58">
        <f t="shared" si="12"/>
        <v>0</v>
      </c>
      <c r="M117" s="58">
        <f t="shared" si="12"/>
        <v>0</v>
      </c>
      <c r="N117" s="58">
        <f t="shared" si="12"/>
        <v>0</v>
      </c>
      <c r="O117" s="58">
        <f t="shared" si="12"/>
        <v>0</v>
      </c>
      <c r="P117" s="58">
        <f t="shared" si="12"/>
        <v>0</v>
      </c>
      <c r="Q117" s="52"/>
    </row>
    <row r="118" spans="1:34" outlineLevel="1" x14ac:dyDescent="0.25">
      <c r="A118" s="7"/>
      <c r="B118" s="38" t="s">
        <v>179</v>
      </c>
      <c r="C118" s="38" t="s">
        <v>5</v>
      </c>
      <c r="D118" s="38" t="s">
        <v>100</v>
      </c>
      <c r="E118" s="40" t="s">
        <v>101</v>
      </c>
      <c r="F118" s="43">
        <f t="shared" si="13"/>
        <v>14.111000000000001</v>
      </c>
      <c r="G118" s="43">
        <f t="shared" si="13"/>
        <v>17.201000000000001</v>
      </c>
      <c r="H118" s="43">
        <f t="shared" si="13"/>
        <v>21.187999999999999</v>
      </c>
      <c r="I118" s="43">
        <f t="shared" si="13"/>
        <v>26.67</v>
      </c>
      <c r="J118" s="58">
        <f t="shared" si="12"/>
        <v>27.663</v>
      </c>
      <c r="K118" s="58">
        <f t="shared" si="12"/>
        <v>27.663</v>
      </c>
      <c r="L118" s="58">
        <f t="shared" si="12"/>
        <v>27.663</v>
      </c>
      <c r="M118" s="58">
        <f t="shared" si="12"/>
        <v>27.663</v>
      </c>
      <c r="N118" s="58">
        <f t="shared" si="12"/>
        <v>27.663</v>
      </c>
      <c r="O118" s="58">
        <f t="shared" si="12"/>
        <v>27.663</v>
      </c>
      <c r="P118" s="58">
        <f t="shared" si="12"/>
        <v>27.663</v>
      </c>
      <c r="Q118" s="52"/>
      <c r="R118" s="54">
        <v>14.111000000000001</v>
      </c>
      <c r="S118" s="54">
        <v>14.555999999999999</v>
      </c>
      <c r="T118" s="54">
        <v>15.145</v>
      </c>
      <c r="U118" s="54">
        <v>15.792</v>
      </c>
      <c r="V118" s="54">
        <v>16.510999999999999</v>
      </c>
      <c r="W118" s="54">
        <v>17.201000000000001</v>
      </c>
      <c r="X118" s="54">
        <v>17.952000000000002</v>
      </c>
      <c r="Y118" s="54">
        <v>18.838999999999999</v>
      </c>
      <c r="Z118" s="54">
        <v>19.792999999999999</v>
      </c>
      <c r="AA118" s="54">
        <v>20.452999999999999</v>
      </c>
      <c r="AB118" s="54">
        <v>21.187999999999999</v>
      </c>
      <c r="AC118" s="54">
        <v>21.949000000000002</v>
      </c>
      <c r="AD118" s="54">
        <v>22.815999999999999</v>
      </c>
      <c r="AE118" s="54">
        <v>24.007000000000001</v>
      </c>
      <c r="AF118" s="54">
        <v>25.396999999999998</v>
      </c>
      <c r="AG118" s="54">
        <v>26.67</v>
      </c>
      <c r="AH118" s="54">
        <v>27.663</v>
      </c>
    </row>
    <row r="119" spans="1:34" outlineLevel="1" x14ac:dyDescent="0.25">
      <c r="A119" s="7"/>
      <c r="B119" s="38" t="s">
        <v>179</v>
      </c>
      <c r="C119" s="38" t="s">
        <v>76</v>
      </c>
      <c r="D119" s="38" t="s">
        <v>100</v>
      </c>
      <c r="E119" s="40" t="s">
        <v>101</v>
      </c>
      <c r="F119" s="43">
        <f t="shared" si="13"/>
        <v>0</v>
      </c>
      <c r="G119" s="43">
        <f t="shared" si="13"/>
        <v>0</v>
      </c>
      <c r="H119" s="43">
        <f t="shared" si="13"/>
        <v>0</v>
      </c>
      <c r="I119" s="43">
        <f t="shared" si="13"/>
        <v>0</v>
      </c>
      <c r="J119" s="58">
        <f t="shared" si="12"/>
        <v>0</v>
      </c>
      <c r="K119" s="58">
        <f t="shared" si="12"/>
        <v>0</v>
      </c>
      <c r="L119" s="58">
        <f t="shared" si="12"/>
        <v>0</v>
      </c>
      <c r="M119" s="58">
        <f t="shared" si="12"/>
        <v>0</v>
      </c>
      <c r="N119" s="58">
        <f t="shared" si="12"/>
        <v>0</v>
      </c>
      <c r="O119" s="58">
        <f t="shared" si="12"/>
        <v>0</v>
      </c>
      <c r="P119" s="58">
        <f t="shared" si="12"/>
        <v>0</v>
      </c>
      <c r="Q119" s="52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</row>
    <row r="120" spans="1:34" outlineLevel="1" x14ac:dyDescent="0.25">
      <c r="A120" s="7"/>
      <c r="B120" s="38" t="s">
        <v>179</v>
      </c>
      <c r="C120" s="38" t="s">
        <v>115</v>
      </c>
      <c r="D120" s="38" t="s">
        <v>100</v>
      </c>
      <c r="E120" s="40" t="s">
        <v>101</v>
      </c>
      <c r="F120" s="43">
        <f t="shared" si="13"/>
        <v>0</v>
      </c>
      <c r="G120" s="43">
        <f t="shared" si="13"/>
        <v>0</v>
      </c>
      <c r="H120" s="43">
        <f t="shared" si="13"/>
        <v>0</v>
      </c>
      <c r="I120" s="43">
        <f t="shared" si="13"/>
        <v>0</v>
      </c>
      <c r="J120" s="58">
        <f t="shared" si="12"/>
        <v>0</v>
      </c>
      <c r="K120" s="58">
        <f t="shared" si="12"/>
        <v>0</v>
      </c>
      <c r="L120" s="58">
        <f t="shared" si="12"/>
        <v>0</v>
      </c>
      <c r="M120" s="58">
        <f t="shared" si="12"/>
        <v>0</v>
      </c>
      <c r="N120" s="58">
        <f t="shared" si="12"/>
        <v>0</v>
      </c>
      <c r="O120" s="58">
        <f t="shared" si="12"/>
        <v>0</v>
      </c>
      <c r="P120" s="58">
        <f t="shared" si="12"/>
        <v>0</v>
      </c>
      <c r="Q120" s="52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</row>
    <row r="121" spans="1:34" outlineLevel="1" x14ac:dyDescent="0.25">
      <c r="A121" s="7"/>
      <c r="B121" s="38" t="s">
        <v>179</v>
      </c>
      <c r="C121" s="38" t="s">
        <v>117</v>
      </c>
      <c r="D121" s="38" t="s">
        <v>100</v>
      </c>
      <c r="E121" s="40" t="s">
        <v>101</v>
      </c>
      <c r="F121" s="43">
        <f t="shared" si="13"/>
        <v>0</v>
      </c>
      <c r="G121" s="43">
        <f t="shared" si="13"/>
        <v>0</v>
      </c>
      <c r="H121" s="43">
        <f t="shared" si="13"/>
        <v>0</v>
      </c>
      <c r="I121" s="43">
        <f t="shared" si="13"/>
        <v>0</v>
      </c>
      <c r="J121" s="58">
        <f t="shared" si="12"/>
        <v>0</v>
      </c>
      <c r="K121" s="58">
        <f t="shared" si="12"/>
        <v>0</v>
      </c>
      <c r="L121" s="58">
        <f t="shared" si="12"/>
        <v>0</v>
      </c>
      <c r="M121" s="58">
        <f t="shared" si="12"/>
        <v>0</v>
      </c>
      <c r="N121" s="58">
        <f t="shared" si="12"/>
        <v>0</v>
      </c>
      <c r="O121" s="58">
        <f t="shared" si="12"/>
        <v>0</v>
      </c>
      <c r="P121" s="58">
        <f t="shared" si="12"/>
        <v>0</v>
      </c>
      <c r="Q121" s="52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</row>
    <row r="122" spans="1:34" outlineLevel="1" x14ac:dyDescent="0.25">
      <c r="A122" s="7"/>
      <c r="B122" s="38" t="s">
        <v>179</v>
      </c>
      <c r="C122" s="38" t="s">
        <v>116</v>
      </c>
      <c r="D122" s="38" t="s">
        <v>100</v>
      </c>
      <c r="E122" s="40" t="s">
        <v>101</v>
      </c>
      <c r="F122" s="43">
        <f t="shared" si="13"/>
        <v>0</v>
      </c>
      <c r="G122" s="43">
        <f t="shared" si="13"/>
        <v>0</v>
      </c>
      <c r="H122" s="43">
        <f t="shared" si="13"/>
        <v>0</v>
      </c>
      <c r="I122" s="43">
        <f t="shared" si="13"/>
        <v>0</v>
      </c>
      <c r="J122" s="58">
        <f t="shared" si="12"/>
        <v>0</v>
      </c>
      <c r="K122" s="58">
        <f t="shared" si="12"/>
        <v>0</v>
      </c>
      <c r="L122" s="58">
        <f t="shared" si="12"/>
        <v>0</v>
      </c>
      <c r="M122" s="58">
        <f t="shared" si="12"/>
        <v>0</v>
      </c>
      <c r="N122" s="58">
        <f t="shared" si="12"/>
        <v>0</v>
      </c>
      <c r="O122" s="58">
        <f t="shared" si="12"/>
        <v>0</v>
      </c>
      <c r="P122" s="58">
        <f t="shared" si="12"/>
        <v>0</v>
      </c>
      <c r="Q122" s="52"/>
    </row>
    <row r="123" spans="1:34" outlineLevel="1" x14ac:dyDescent="0.25">
      <c r="A123" s="7"/>
      <c r="B123" s="38" t="s">
        <v>27</v>
      </c>
      <c r="C123" s="38" t="s">
        <v>60</v>
      </c>
      <c r="D123" s="38" t="s">
        <v>100</v>
      </c>
      <c r="E123" s="40" t="s">
        <v>101</v>
      </c>
      <c r="F123" s="43">
        <f t="shared" si="13"/>
        <v>0</v>
      </c>
      <c r="G123" s="43">
        <f t="shared" si="13"/>
        <v>0</v>
      </c>
      <c r="H123" s="43">
        <f t="shared" si="13"/>
        <v>0</v>
      </c>
      <c r="I123" s="43">
        <f t="shared" si="13"/>
        <v>0</v>
      </c>
      <c r="J123" s="58">
        <f t="shared" si="12"/>
        <v>0</v>
      </c>
      <c r="K123" s="58">
        <f t="shared" si="12"/>
        <v>0</v>
      </c>
      <c r="L123" s="58">
        <f t="shared" si="12"/>
        <v>0</v>
      </c>
      <c r="M123" s="58">
        <f t="shared" si="12"/>
        <v>0</v>
      </c>
      <c r="N123" s="58">
        <f t="shared" si="12"/>
        <v>0</v>
      </c>
      <c r="O123" s="58">
        <f t="shared" si="12"/>
        <v>0</v>
      </c>
      <c r="P123" s="58">
        <f t="shared" si="12"/>
        <v>0</v>
      </c>
      <c r="Q123" s="52"/>
    </row>
    <row r="124" spans="1:34" outlineLevel="1" x14ac:dyDescent="0.25">
      <c r="A124" s="7"/>
      <c r="B124" s="38" t="s">
        <v>27</v>
      </c>
      <c r="C124" s="15" t="s">
        <v>107</v>
      </c>
      <c r="D124" s="38" t="s">
        <v>100</v>
      </c>
      <c r="E124" s="40" t="s">
        <v>101</v>
      </c>
      <c r="F124" s="43">
        <f t="shared" si="13"/>
        <v>0</v>
      </c>
      <c r="G124" s="43">
        <f t="shared" si="13"/>
        <v>0</v>
      </c>
      <c r="H124" s="43">
        <f t="shared" si="13"/>
        <v>0</v>
      </c>
      <c r="I124" s="43">
        <f t="shared" si="13"/>
        <v>0</v>
      </c>
      <c r="J124" s="58">
        <f t="shared" si="12"/>
        <v>0</v>
      </c>
      <c r="K124" s="58">
        <f t="shared" si="12"/>
        <v>0</v>
      </c>
      <c r="L124" s="58">
        <f t="shared" si="12"/>
        <v>0</v>
      </c>
      <c r="M124" s="58">
        <f t="shared" si="12"/>
        <v>0</v>
      </c>
      <c r="N124" s="58">
        <f t="shared" si="12"/>
        <v>0</v>
      </c>
      <c r="O124" s="58">
        <f t="shared" si="12"/>
        <v>0</v>
      </c>
      <c r="P124" s="58">
        <f t="shared" si="12"/>
        <v>0</v>
      </c>
      <c r="Q124" s="52"/>
    </row>
    <row r="125" spans="1:34" outlineLevel="1" x14ac:dyDescent="0.25">
      <c r="A125" s="7"/>
      <c r="B125" s="38" t="s">
        <v>27</v>
      </c>
      <c r="C125" s="38" t="s">
        <v>108</v>
      </c>
      <c r="D125" s="38" t="s">
        <v>100</v>
      </c>
      <c r="E125" s="40" t="s">
        <v>101</v>
      </c>
      <c r="F125" s="43">
        <f t="shared" si="13"/>
        <v>0</v>
      </c>
      <c r="G125" s="43">
        <f t="shared" si="13"/>
        <v>0</v>
      </c>
      <c r="H125" s="43">
        <f t="shared" si="13"/>
        <v>0</v>
      </c>
      <c r="I125" s="43">
        <f t="shared" si="13"/>
        <v>0</v>
      </c>
      <c r="J125" s="58">
        <f t="shared" si="12"/>
        <v>0</v>
      </c>
      <c r="K125" s="58">
        <f t="shared" si="12"/>
        <v>0</v>
      </c>
      <c r="L125" s="58">
        <f t="shared" si="12"/>
        <v>0</v>
      </c>
      <c r="M125" s="58">
        <f t="shared" si="12"/>
        <v>0</v>
      </c>
      <c r="N125" s="58">
        <f t="shared" si="12"/>
        <v>0</v>
      </c>
      <c r="O125" s="58">
        <f t="shared" si="12"/>
        <v>0</v>
      </c>
      <c r="P125" s="58">
        <f t="shared" si="12"/>
        <v>0</v>
      </c>
      <c r="Q125" s="52"/>
    </row>
    <row r="126" spans="1:34" outlineLevel="1" x14ac:dyDescent="0.25">
      <c r="A126" s="7"/>
      <c r="B126" s="38" t="s">
        <v>27</v>
      </c>
      <c r="C126" s="38" t="s">
        <v>109</v>
      </c>
      <c r="D126" s="38" t="s">
        <v>100</v>
      </c>
      <c r="E126" s="40" t="s">
        <v>101</v>
      </c>
      <c r="F126" s="43">
        <f t="shared" si="13"/>
        <v>0</v>
      </c>
      <c r="G126" s="43">
        <f t="shared" si="13"/>
        <v>0</v>
      </c>
      <c r="H126" s="43">
        <f t="shared" si="13"/>
        <v>0</v>
      </c>
      <c r="I126" s="43">
        <f t="shared" si="13"/>
        <v>0</v>
      </c>
      <c r="J126" s="58">
        <f t="shared" si="12"/>
        <v>0</v>
      </c>
      <c r="K126" s="58">
        <f t="shared" si="12"/>
        <v>0</v>
      </c>
      <c r="L126" s="58">
        <f t="shared" si="12"/>
        <v>0</v>
      </c>
      <c r="M126" s="58">
        <f t="shared" si="12"/>
        <v>0</v>
      </c>
      <c r="N126" s="58">
        <f t="shared" si="12"/>
        <v>0</v>
      </c>
      <c r="O126" s="58">
        <f t="shared" si="12"/>
        <v>0</v>
      </c>
      <c r="P126" s="58">
        <f t="shared" si="12"/>
        <v>0</v>
      </c>
      <c r="Q126" s="52"/>
    </row>
    <row r="127" spans="1:34" outlineLevel="1" x14ac:dyDescent="0.25">
      <c r="A127" s="7"/>
      <c r="B127" s="38" t="s">
        <v>27</v>
      </c>
      <c r="C127" s="38" t="s">
        <v>110</v>
      </c>
      <c r="D127" s="38" t="s">
        <v>100</v>
      </c>
      <c r="E127" s="40" t="s">
        <v>101</v>
      </c>
      <c r="F127" s="43">
        <f t="shared" ref="F127:I142" si="14">INDEX($R127:$BZ127,MATCH(F$1,$R$1:$BZ$1,0))</f>
        <v>0</v>
      </c>
      <c r="G127" s="43">
        <f t="shared" si="14"/>
        <v>0</v>
      </c>
      <c r="H127" s="43">
        <f t="shared" si="14"/>
        <v>0</v>
      </c>
      <c r="I127" s="43">
        <f t="shared" si="14"/>
        <v>0</v>
      </c>
      <c r="J127" s="58">
        <f t="shared" si="12"/>
        <v>0</v>
      </c>
      <c r="K127" s="58">
        <f t="shared" si="12"/>
        <v>0</v>
      </c>
      <c r="L127" s="58">
        <f t="shared" si="12"/>
        <v>0</v>
      </c>
      <c r="M127" s="58">
        <f t="shared" si="12"/>
        <v>0</v>
      </c>
      <c r="N127" s="58">
        <f t="shared" si="12"/>
        <v>0</v>
      </c>
      <c r="O127" s="58">
        <f t="shared" si="12"/>
        <v>0</v>
      </c>
      <c r="P127" s="58">
        <f t="shared" si="12"/>
        <v>0</v>
      </c>
      <c r="Q127" s="52"/>
    </row>
    <row r="128" spans="1:34" outlineLevel="1" x14ac:dyDescent="0.25">
      <c r="A128" s="7"/>
      <c r="B128" s="38" t="s">
        <v>27</v>
      </c>
      <c r="C128" s="38" t="s">
        <v>111</v>
      </c>
      <c r="D128" s="38" t="s">
        <v>100</v>
      </c>
      <c r="E128" s="40" t="s">
        <v>101</v>
      </c>
      <c r="F128" s="43">
        <f t="shared" si="14"/>
        <v>0</v>
      </c>
      <c r="G128" s="43">
        <f t="shared" si="14"/>
        <v>0</v>
      </c>
      <c r="H128" s="43">
        <f t="shared" si="14"/>
        <v>0</v>
      </c>
      <c r="I128" s="43">
        <f t="shared" si="14"/>
        <v>0</v>
      </c>
      <c r="J128" s="58">
        <f t="shared" si="12"/>
        <v>0</v>
      </c>
      <c r="K128" s="58">
        <f t="shared" si="12"/>
        <v>0</v>
      </c>
      <c r="L128" s="58">
        <f t="shared" si="12"/>
        <v>0</v>
      </c>
      <c r="M128" s="58">
        <f t="shared" si="12"/>
        <v>0</v>
      </c>
      <c r="N128" s="58">
        <f t="shared" si="12"/>
        <v>0</v>
      </c>
      <c r="O128" s="58">
        <f t="shared" si="12"/>
        <v>0</v>
      </c>
      <c r="P128" s="58">
        <f t="shared" si="12"/>
        <v>0</v>
      </c>
      <c r="Q128" s="52"/>
    </row>
    <row r="129" spans="1:34" outlineLevel="1" x14ac:dyDescent="0.25">
      <c r="A129" s="7"/>
      <c r="B129" s="38" t="s">
        <v>27</v>
      </c>
      <c r="C129" s="38" t="s">
        <v>112</v>
      </c>
      <c r="D129" s="38" t="s">
        <v>100</v>
      </c>
      <c r="E129" s="40" t="s">
        <v>101</v>
      </c>
      <c r="F129" s="43">
        <f t="shared" si="14"/>
        <v>0</v>
      </c>
      <c r="G129" s="43">
        <f t="shared" si="14"/>
        <v>0</v>
      </c>
      <c r="H129" s="43">
        <f t="shared" si="14"/>
        <v>0</v>
      </c>
      <c r="I129" s="43">
        <f t="shared" si="14"/>
        <v>0</v>
      </c>
      <c r="J129" s="58">
        <f t="shared" si="12"/>
        <v>0</v>
      </c>
      <c r="K129" s="58">
        <f t="shared" si="12"/>
        <v>0</v>
      </c>
      <c r="L129" s="58">
        <f t="shared" si="12"/>
        <v>0</v>
      </c>
      <c r="M129" s="58">
        <f t="shared" si="12"/>
        <v>0</v>
      </c>
      <c r="N129" s="58">
        <f t="shared" si="12"/>
        <v>0</v>
      </c>
      <c r="O129" s="58">
        <f t="shared" si="12"/>
        <v>0</v>
      </c>
      <c r="P129" s="58">
        <f t="shared" si="12"/>
        <v>0</v>
      </c>
      <c r="Q129" s="52"/>
    </row>
    <row r="130" spans="1:34" outlineLevel="1" x14ac:dyDescent="0.25">
      <c r="A130" s="7"/>
      <c r="B130" s="38" t="s">
        <v>27</v>
      </c>
      <c r="C130" s="38" t="s">
        <v>113</v>
      </c>
      <c r="D130" s="38" t="s">
        <v>100</v>
      </c>
      <c r="E130" s="40" t="s">
        <v>101</v>
      </c>
      <c r="F130" s="43">
        <f t="shared" si="14"/>
        <v>0</v>
      </c>
      <c r="G130" s="43">
        <f t="shared" si="14"/>
        <v>0</v>
      </c>
      <c r="H130" s="43">
        <f t="shared" si="14"/>
        <v>0</v>
      </c>
      <c r="I130" s="43">
        <f t="shared" si="14"/>
        <v>0</v>
      </c>
      <c r="J130" s="58">
        <f t="shared" si="12"/>
        <v>0</v>
      </c>
      <c r="K130" s="58">
        <f t="shared" si="12"/>
        <v>0</v>
      </c>
      <c r="L130" s="58">
        <f t="shared" si="12"/>
        <v>0</v>
      </c>
      <c r="M130" s="58">
        <f t="shared" si="12"/>
        <v>0</v>
      </c>
      <c r="N130" s="58">
        <f t="shared" si="12"/>
        <v>0</v>
      </c>
      <c r="O130" s="58">
        <f t="shared" si="12"/>
        <v>0</v>
      </c>
      <c r="P130" s="58">
        <f t="shared" si="12"/>
        <v>0</v>
      </c>
      <c r="Q130" s="52"/>
    </row>
    <row r="131" spans="1:34" outlineLevel="1" x14ac:dyDescent="0.25">
      <c r="A131" s="7"/>
      <c r="B131" s="38" t="s">
        <v>27</v>
      </c>
      <c r="C131" s="38" t="s">
        <v>114</v>
      </c>
      <c r="D131" s="38" t="s">
        <v>100</v>
      </c>
      <c r="E131" s="40" t="s">
        <v>101</v>
      </c>
      <c r="F131" s="43">
        <f t="shared" si="14"/>
        <v>0</v>
      </c>
      <c r="G131" s="43">
        <f t="shared" si="14"/>
        <v>0</v>
      </c>
      <c r="H131" s="43">
        <f t="shared" si="14"/>
        <v>0</v>
      </c>
      <c r="I131" s="43">
        <f t="shared" si="14"/>
        <v>0</v>
      </c>
      <c r="J131" s="58">
        <f t="shared" si="12"/>
        <v>0</v>
      </c>
      <c r="K131" s="58">
        <f t="shared" si="12"/>
        <v>0</v>
      </c>
      <c r="L131" s="58">
        <f t="shared" si="12"/>
        <v>0</v>
      </c>
      <c r="M131" s="58">
        <f t="shared" ref="J131:P150" si="15">$AH131</f>
        <v>0</v>
      </c>
      <c r="N131" s="58">
        <f t="shared" si="15"/>
        <v>0</v>
      </c>
      <c r="O131" s="58">
        <f t="shared" si="15"/>
        <v>0</v>
      </c>
      <c r="P131" s="58">
        <f t="shared" si="15"/>
        <v>0</v>
      </c>
      <c r="Q131" s="52"/>
    </row>
    <row r="132" spans="1:34" outlineLevel="1" x14ac:dyDescent="0.25">
      <c r="A132" s="7"/>
      <c r="B132" s="38" t="s">
        <v>27</v>
      </c>
      <c r="C132" s="38" t="s">
        <v>5</v>
      </c>
      <c r="D132" s="38" t="s">
        <v>100</v>
      </c>
      <c r="E132" s="40" t="s">
        <v>101</v>
      </c>
      <c r="F132" s="43">
        <f t="shared" si="14"/>
        <v>20.414000000000001</v>
      </c>
      <c r="G132" s="43">
        <f t="shared" si="14"/>
        <v>24.308</v>
      </c>
      <c r="H132" s="43">
        <f t="shared" si="14"/>
        <v>29.071000000000002</v>
      </c>
      <c r="I132" s="43">
        <f t="shared" si="14"/>
        <v>34.631</v>
      </c>
      <c r="J132" s="58">
        <f t="shared" si="15"/>
        <v>35.563000000000002</v>
      </c>
      <c r="K132" s="58">
        <f t="shared" si="15"/>
        <v>35.563000000000002</v>
      </c>
      <c r="L132" s="58">
        <f t="shared" si="15"/>
        <v>35.563000000000002</v>
      </c>
      <c r="M132" s="58">
        <f t="shared" si="15"/>
        <v>35.563000000000002</v>
      </c>
      <c r="N132" s="58">
        <f t="shared" si="15"/>
        <v>35.563000000000002</v>
      </c>
      <c r="O132" s="58">
        <f t="shared" si="15"/>
        <v>35.563000000000002</v>
      </c>
      <c r="P132" s="58">
        <f t="shared" si="15"/>
        <v>35.563000000000002</v>
      </c>
      <c r="Q132" s="52"/>
      <c r="R132" s="54">
        <v>20.414000000000001</v>
      </c>
      <c r="S132" s="54">
        <v>21.052</v>
      </c>
      <c r="T132" s="54">
        <v>21.728000000000002</v>
      </c>
      <c r="U132" s="54">
        <v>22.617999999999999</v>
      </c>
      <c r="V132" s="54">
        <v>23.516999999999999</v>
      </c>
      <c r="W132" s="54">
        <v>24.308</v>
      </c>
      <c r="X132" s="54">
        <v>25.233000000000001</v>
      </c>
      <c r="Y132" s="54">
        <v>26.024999999999999</v>
      </c>
      <c r="Z132" s="54">
        <v>27.22</v>
      </c>
      <c r="AA132" s="54">
        <v>28.303000000000001</v>
      </c>
      <c r="AB132" s="54">
        <v>29.071000000000002</v>
      </c>
      <c r="AC132" s="54">
        <v>29.616</v>
      </c>
      <c r="AD132" s="54">
        <v>30.26</v>
      </c>
      <c r="AE132" s="54">
        <v>31.456</v>
      </c>
      <c r="AF132" s="54">
        <v>32.889000000000003</v>
      </c>
      <c r="AG132" s="54">
        <v>34.631</v>
      </c>
      <c r="AH132" s="54">
        <v>35.563000000000002</v>
      </c>
    </row>
    <row r="133" spans="1:34" outlineLevel="1" x14ac:dyDescent="0.25">
      <c r="A133" s="7"/>
      <c r="B133" s="38" t="s">
        <v>27</v>
      </c>
      <c r="C133" s="38" t="s">
        <v>76</v>
      </c>
      <c r="D133" s="38" t="s">
        <v>100</v>
      </c>
      <c r="E133" s="40" t="s">
        <v>101</v>
      </c>
      <c r="F133" s="43">
        <f t="shared" si="14"/>
        <v>0</v>
      </c>
      <c r="G133" s="43">
        <f t="shared" si="14"/>
        <v>0</v>
      </c>
      <c r="H133" s="43">
        <f t="shared" si="14"/>
        <v>0</v>
      </c>
      <c r="I133" s="43">
        <f t="shared" si="14"/>
        <v>0</v>
      </c>
      <c r="J133" s="58">
        <f t="shared" si="15"/>
        <v>0</v>
      </c>
      <c r="K133" s="58">
        <f t="shared" si="15"/>
        <v>0</v>
      </c>
      <c r="L133" s="58">
        <f t="shared" si="15"/>
        <v>0</v>
      </c>
      <c r="M133" s="58">
        <f t="shared" si="15"/>
        <v>0</v>
      </c>
      <c r="N133" s="58">
        <f t="shared" si="15"/>
        <v>0</v>
      </c>
      <c r="O133" s="58">
        <f t="shared" si="15"/>
        <v>0</v>
      </c>
      <c r="P133" s="58">
        <f t="shared" si="15"/>
        <v>0</v>
      </c>
      <c r="Q133" s="52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</row>
    <row r="134" spans="1:34" outlineLevel="1" x14ac:dyDescent="0.25">
      <c r="A134" s="7"/>
      <c r="B134" s="38" t="s">
        <v>27</v>
      </c>
      <c r="C134" s="38" t="s">
        <v>115</v>
      </c>
      <c r="D134" s="38" t="s">
        <v>100</v>
      </c>
      <c r="E134" s="40" t="s">
        <v>101</v>
      </c>
      <c r="F134" s="43">
        <f t="shared" si="14"/>
        <v>0</v>
      </c>
      <c r="G134" s="43">
        <f t="shared" si="14"/>
        <v>0</v>
      </c>
      <c r="H134" s="43">
        <f t="shared" si="14"/>
        <v>0</v>
      </c>
      <c r="I134" s="43">
        <f t="shared" si="14"/>
        <v>0</v>
      </c>
      <c r="J134" s="58">
        <f t="shared" si="15"/>
        <v>0</v>
      </c>
      <c r="K134" s="58">
        <f t="shared" si="15"/>
        <v>0</v>
      </c>
      <c r="L134" s="58">
        <f t="shared" si="15"/>
        <v>0</v>
      </c>
      <c r="M134" s="58">
        <f t="shared" si="15"/>
        <v>0</v>
      </c>
      <c r="N134" s="58">
        <f t="shared" si="15"/>
        <v>0</v>
      </c>
      <c r="O134" s="58">
        <f t="shared" si="15"/>
        <v>0</v>
      </c>
      <c r="P134" s="58">
        <f t="shared" si="15"/>
        <v>0</v>
      </c>
      <c r="Q134" s="52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</row>
    <row r="135" spans="1:34" outlineLevel="1" x14ac:dyDescent="0.25">
      <c r="A135" s="7"/>
      <c r="B135" s="38" t="s">
        <v>27</v>
      </c>
      <c r="C135" s="38" t="s">
        <v>117</v>
      </c>
      <c r="D135" s="38" t="s">
        <v>100</v>
      </c>
      <c r="E135" s="40" t="s">
        <v>101</v>
      </c>
      <c r="F135" s="43">
        <f t="shared" si="14"/>
        <v>0</v>
      </c>
      <c r="G135" s="43">
        <f t="shared" si="14"/>
        <v>0</v>
      </c>
      <c r="H135" s="43">
        <f t="shared" si="14"/>
        <v>0</v>
      </c>
      <c r="I135" s="43">
        <f t="shared" si="14"/>
        <v>0</v>
      </c>
      <c r="J135" s="58">
        <f t="shared" si="15"/>
        <v>0</v>
      </c>
      <c r="K135" s="58">
        <f t="shared" si="15"/>
        <v>0</v>
      </c>
      <c r="L135" s="58">
        <f t="shared" si="15"/>
        <v>0</v>
      </c>
      <c r="M135" s="58">
        <f t="shared" si="15"/>
        <v>0</v>
      </c>
      <c r="N135" s="58">
        <f t="shared" si="15"/>
        <v>0</v>
      </c>
      <c r="O135" s="58">
        <f t="shared" si="15"/>
        <v>0</v>
      </c>
      <c r="P135" s="58">
        <f t="shared" si="15"/>
        <v>0</v>
      </c>
      <c r="Q135" s="52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</row>
    <row r="136" spans="1:34" outlineLevel="1" x14ac:dyDescent="0.25">
      <c r="A136" s="7"/>
      <c r="B136" s="38" t="s">
        <v>27</v>
      </c>
      <c r="C136" s="38" t="s">
        <v>116</v>
      </c>
      <c r="D136" s="38" t="s">
        <v>100</v>
      </c>
      <c r="E136" s="40" t="s">
        <v>101</v>
      </c>
      <c r="F136" s="43">
        <f t="shared" si="14"/>
        <v>0</v>
      </c>
      <c r="G136" s="43">
        <f t="shared" si="14"/>
        <v>0</v>
      </c>
      <c r="H136" s="43">
        <f t="shared" si="14"/>
        <v>0</v>
      </c>
      <c r="I136" s="43">
        <f t="shared" si="14"/>
        <v>0</v>
      </c>
      <c r="J136" s="58">
        <f t="shared" si="15"/>
        <v>0</v>
      </c>
      <c r="K136" s="58">
        <f t="shared" si="15"/>
        <v>0</v>
      </c>
      <c r="L136" s="58">
        <f t="shared" si="15"/>
        <v>0</v>
      </c>
      <c r="M136" s="58">
        <f t="shared" si="15"/>
        <v>0</v>
      </c>
      <c r="N136" s="58">
        <f t="shared" si="15"/>
        <v>0</v>
      </c>
      <c r="O136" s="58">
        <f t="shared" si="15"/>
        <v>0</v>
      </c>
      <c r="P136" s="58">
        <f t="shared" si="15"/>
        <v>0</v>
      </c>
      <c r="Q136" s="52"/>
    </row>
    <row r="137" spans="1:34" outlineLevel="1" x14ac:dyDescent="0.25">
      <c r="A137" s="7"/>
      <c r="B137" s="38" t="s">
        <v>28</v>
      </c>
      <c r="C137" s="38" t="s">
        <v>60</v>
      </c>
      <c r="D137" s="38" t="s">
        <v>100</v>
      </c>
      <c r="E137" s="40" t="s">
        <v>101</v>
      </c>
      <c r="F137" s="43">
        <f t="shared" si="14"/>
        <v>0</v>
      </c>
      <c r="G137" s="43">
        <f t="shared" si="14"/>
        <v>0</v>
      </c>
      <c r="H137" s="43">
        <f t="shared" si="14"/>
        <v>0</v>
      </c>
      <c r="I137" s="43">
        <f t="shared" si="14"/>
        <v>0</v>
      </c>
      <c r="J137" s="58">
        <f t="shared" si="15"/>
        <v>0</v>
      </c>
      <c r="K137" s="58">
        <f t="shared" si="15"/>
        <v>0</v>
      </c>
      <c r="L137" s="58">
        <f t="shared" si="15"/>
        <v>0</v>
      </c>
      <c r="M137" s="58">
        <f t="shared" si="15"/>
        <v>0</v>
      </c>
      <c r="N137" s="58">
        <f t="shared" si="15"/>
        <v>0</v>
      </c>
      <c r="O137" s="58">
        <f t="shared" si="15"/>
        <v>0</v>
      </c>
      <c r="P137" s="58">
        <f t="shared" si="15"/>
        <v>0</v>
      </c>
      <c r="Q137" s="52"/>
    </row>
    <row r="138" spans="1:34" outlineLevel="1" x14ac:dyDescent="0.25">
      <c r="A138" s="7"/>
      <c r="B138" s="38" t="s">
        <v>28</v>
      </c>
      <c r="C138" s="15" t="s">
        <v>107</v>
      </c>
      <c r="D138" s="38" t="s">
        <v>100</v>
      </c>
      <c r="E138" s="40" t="s">
        <v>101</v>
      </c>
      <c r="F138" s="43">
        <f t="shared" si="14"/>
        <v>0</v>
      </c>
      <c r="G138" s="43">
        <f t="shared" si="14"/>
        <v>0</v>
      </c>
      <c r="H138" s="43">
        <f t="shared" si="14"/>
        <v>0</v>
      </c>
      <c r="I138" s="43">
        <f t="shared" si="14"/>
        <v>0</v>
      </c>
      <c r="J138" s="58">
        <f t="shared" si="15"/>
        <v>0</v>
      </c>
      <c r="K138" s="58">
        <f t="shared" si="15"/>
        <v>0</v>
      </c>
      <c r="L138" s="58">
        <f t="shared" si="15"/>
        <v>0</v>
      </c>
      <c r="M138" s="58">
        <f t="shared" si="15"/>
        <v>0</v>
      </c>
      <c r="N138" s="58">
        <f t="shared" si="15"/>
        <v>0</v>
      </c>
      <c r="O138" s="58">
        <f t="shared" si="15"/>
        <v>0</v>
      </c>
      <c r="P138" s="58">
        <f t="shared" si="15"/>
        <v>0</v>
      </c>
      <c r="Q138" s="52"/>
    </row>
    <row r="139" spans="1:34" outlineLevel="1" x14ac:dyDescent="0.25">
      <c r="A139" s="7"/>
      <c r="B139" s="38" t="s">
        <v>28</v>
      </c>
      <c r="C139" s="38" t="s">
        <v>108</v>
      </c>
      <c r="D139" s="38" t="s">
        <v>100</v>
      </c>
      <c r="E139" s="40" t="s">
        <v>101</v>
      </c>
      <c r="F139" s="43">
        <f t="shared" si="14"/>
        <v>0</v>
      </c>
      <c r="G139" s="43">
        <f t="shared" si="14"/>
        <v>0</v>
      </c>
      <c r="H139" s="43">
        <f t="shared" si="14"/>
        <v>0</v>
      </c>
      <c r="I139" s="43">
        <f t="shared" si="14"/>
        <v>0</v>
      </c>
      <c r="J139" s="58">
        <f t="shared" si="15"/>
        <v>0</v>
      </c>
      <c r="K139" s="58">
        <f t="shared" si="15"/>
        <v>0</v>
      </c>
      <c r="L139" s="58">
        <f t="shared" si="15"/>
        <v>0</v>
      </c>
      <c r="M139" s="58">
        <f t="shared" si="15"/>
        <v>0</v>
      </c>
      <c r="N139" s="58">
        <f t="shared" si="15"/>
        <v>0</v>
      </c>
      <c r="O139" s="58">
        <f t="shared" si="15"/>
        <v>0</v>
      </c>
      <c r="P139" s="58">
        <f t="shared" si="15"/>
        <v>0</v>
      </c>
      <c r="Q139" s="52"/>
    </row>
    <row r="140" spans="1:34" outlineLevel="1" x14ac:dyDescent="0.25">
      <c r="A140" s="7"/>
      <c r="B140" s="38" t="s">
        <v>28</v>
      </c>
      <c r="C140" s="38" t="s">
        <v>109</v>
      </c>
      <c r="D140" s="38" t="s">
        <v>100</v>
      </c>
      <c r="E140" s="40" t="s">
        <v>101</v>
      </c>
      <c r="F140" s="43">
        <f t="shared" si="14"/>
        <v>0</v>
      </c>
      <c r="G140" s="43">
        <f t="shared" si="14"/>
        <v>0</v>
      </c>
      <c r="H140" s="43">
        <f t="shared" si="14"/>
        <v>0</v>
      </c>
      <c r="I140" s="43">
        <f t="shared" si="14"/>
        <v>0</v>
      </c>
      <c r="J140" s="58">
        <f t="shared" si="15"/>
        <v>0</v>
      </c>
      <c r="K140" s="58">
        <f t="shared" si="15"/>
        <v>0</v>
      </c>
      <c r="L140" s="58">
        <f t="shared" si="15"/>
        <v>0</v>
      </c>
      <c r="M140" s="58">
        <f t="shared" si="15"/>
        <v>0</v>
      </c>
      <c r="N140" s="58">
        <f t="shared" si="15"/>
        <v>0</v>
      </c>
      <c r="O140" s="58">
        <f t="shared" si="15"/>
        <v>0</v>
      </c>
      <c r="P140" s="58">
        <f t="shared" si="15"/>
        <v>0</v>
      </c>
      <c r="Q140" s="52"/>
    </row>
    <row r="141" spans="1:34" outlineLevel="1" x14ac:dyDescent="0.25">
      <c r="A141" s="7"/>
      <c r="B141" s="38" t="s">
        <v>28</v>
      </c>
      <c r="C141" s="38" t="s">
        <v>110</v>
      </c>
      <c r="D141" s="38" t="s">
        <v>100</v>
      </c>
      <c r="E141" s="40" t="s">
        <v>101</v>
      </c>
      <c r="F141" s="43">
        <f t="shared" si="14"/>
        <v>0</v>
      </c>
      <c r="G141" s="43">
        <f t="shared" si="14"/>
        <v>0</v>
      </c>
      <c r="H141" s="43">
        <f t="shared" si="14"/>
        <v>0</v>
      </c>
      <c r="I141" s="43">
        <f t="shared" si="14"/>
        <v>0</v>
      </c>
      <c r="J141" s="58">
        <f t="shared" si="15"/>
        <v>0</v>
      </c>
      <c r="K141" s="58">
        <f t="shared" si="15"/>
        <v>0</v>
      </c>
      <c r="L141" s="58">
        <f t="shared" si="15"/>
        <v>0</v>
      </c>
      <c r="M141" s="58">
        <f t="shared" si="15"/>
        <v>0</v>
      </c>
      <c r="N141" s="58">
        <f t="shared" si="15"/>
        <v>0</v>
      </c>
      <c r="O141" s="58">
        <f t="shared" si="15"/>
        <v>0</v>
      </c>
      <c r="P141" s="58">
        <f t="shared" si="15"/>
        <v>0</v>
      </c>
      <c r="Q141" s="52"/>
    </row>
    <row r="142" spans="1:34" outlineLevel="1" x14ac:dyDescent="0.25">
      <c r="A142" s="7"/>
      <c r="B142" s="38" t="s">
        <v>28</v>
      </c>
      <c r="C142" s="38" t="s">
        <v>111</v>
      </c>
      <c r="D142" s="38" t="s">
        <v>100</v>
      </c>
      <c r="E142" s="40" t="s">
        <v>101</v>
      </c>
      <c r="F142" s="43">
        <f t="shared" si="14"/>
        <v>0</v>
      </c>
      <c r="G142" s="43">
        <f t="shared" si="14"/>
        <v>0</v>
      </c>
      <c r="H142" s="43">
        <f t="shared" si="14"/>
        <v>0</v>
      </c>
      <c r="I142" s="43">
        <f t="shared" si="14"/>
        <v>0</v>
      </c>
      <c r="J142" s="58">
        <f t="shared" si="15"/>
        <v>0</v>
      </c>
      <c r="K142" s="58">
        <f t="shared" si="15"/>
        <v>0</v>
      </c>
      <c r="L142" s="58">
        <f t="shared" si="15"/>
        <v>0</v>
      </c>
      <c r="M142" s="58">
        <f t="shared" si="15"/>
        <v>0</v>
      </c>
      <c r="N142" s="58">
        <f t="shared" si="15"/>
        <v>0</v>
      </c>
      <c r="O142" s="58">
        <f t="shared" si="15"/>
        <v>0</v>
      </c>
      <c r="P142" s="58">
        <f t="shared" si="15"/>
        <v>0</v>
      </c>
      <c r="Q142" s="52"/>
    </row>
    <row r="143" spans="1:34" outlineLevel="1" x14ac:dyDescent="0.25">
      <c r="A143" s="7"/>
      <c r="B143" s="38" t="s">
        <v>28</v>
      </c>
      <c r="C143" s="38" t="s">
        <v>112</v>
      </c>
      <c r="D143" s="38" t="s">
        <v>100</v>
      </c>
      <c r="E143" s="40" t="s">
        <v>101</v>
      </c>
      <c r="F143" s="43">
        <f t="shared" ref="F143:I150" si="16">INDEX($R143:$BZ143,MATCH(F$1,$R$1:$BZ$1,0))</f>
        <v>0</v>
      </c>
      <c r="G143" s="43">
        <f t="shared" si="16"/>
        <v>0</v>
      </c>
      <c r="H143" s="43">
        <f t="shared" si="16"/>
        <v>0</v>
      </c>
      <c r="I143" s="43">
        <f t="shared" si="16"/>
        <v>0</v>
      </c>
      <c r="J143" s="58">
        <f t="shared" si="15"/>
        <v>0</v>
      </c>
      <c r="K143" s="58">
        <f t="shared" si="15"/>
        <v>0</v>
      </c>
      <c r="L143" s="58">
        <f t="shared" si="15"/>
        <v>0</v>
      </c>
      <c r="M143" s="58">
        <f t="shared" si="15"/>
        <v>0</v>
      </c>
      <c r="N143" s="58">
        <f t="shared" si="15"/>
        <v>0</v>
      </c>
      <c r="O143" s="58">
        <f t="shared" si="15"/>
        <v>0</v>
      </c>
      <c r="P143" s="58">
        <f t="shared" si="15"/>
        <v>0</v>
      </c>
      <c r="Q143" s="52"/>
    </row>
    <row r="144" spans="1:34" outlineLevel="1" x14ac:dyDescent="0.25">
      <c r="A144" s="7"/>
      <c r="B144" s="38" t="s">
        <v>28</v>
      </c>
      <c r="C144" s="38" t="s">
        <v>113</v>
      </c>
      <c r="D144" s="38" t="s">
        <v>100</v>
      </c>
      <c r="E144" s="40" t="s">
        <v>101</v>
      </c>
      <c r="F144" s="43">
        <f t="shared" si="16"/>
        <v>0</v>
      </c>
      <c r="G144" s="43">
        <f t="shared" si="16"/>
        <v>0</v>
      </c>
      <c r="H144" s="43">
        <f t="shared" si="16"/>
        <v>0</v>
      </c>
      <c r="I144" s="43">
        <f t="shared" si="16"/>
        <v>0</v>
      </c>
      <c r="J144" s="58">
        <f t="shared" si="15"/>
        <v>0</v>
      </c>
      <c r="K144" s="58">
        <f t="shared" si="15"/>
        <v>0</v>
      </c>
      <c r="L144" s="58">
        <f t="shared" si="15"/>
        <v>0</v>
      </c>
      <c r="M144" s="58">
        <f t="shared" si="15"/>
        <v>0</v>
      </c>
      <c r="N144" s="58">
        <f t="shared" si="15"/>
        <v>0</v>
      </c>
      <c r="O144" s="58">
        <f t="shared" si="15"/>
        <v>0</v>
      </c>
      <c r="P144" s="58">
        <f t="shared" si="15"/>
        <v>0</v>
      </c>
      <c r="Q144" s="52"/>
    </row>
    <row r="145" spans="1:34" outlineLevel="1" x14ac:dyDescent="0.25">
      <c r="A145" s="7"/>
      <c r="B145" s="38" t="s">
        <v>28</v>
      </c>
      <c r="C145" s="38" t="s">
        <v>114</v>
      </c>
      <c r="D145" s="38" t="s">
        <v>100</v>
      </c>
      <c r="E145" s="40" t="s">
        <v>101</v>
      </c>
      <c r="F145" s="43">
        <f t="shared" si="16"/>
        <v>0</v>
      </c>
      <c r="G145" s="43">
        <f t="shared" si="16"/>
        <v>0</v>
      </c>
      <c r="H145" s="43">
        <f t="shared" si="16"/>
        <v>0</v>
      </c>
      <c r="I145" s="43">
        <f t="shared" si="16"/>
        <v>0</v>
      </c>
      <c r="J145" s="58">
        <f t="shared" si="15"/>
        <v>0</v>
      </c>
      <c r="K145" s="58">
        <f t="shared" si="15"/>
        <v>0</v>
      </c>
      <c r="L145" s="58">
        <f t="shared" si="15"/>
        <v>0</v>
      </c>
      <c r="M145" s="58">
        <f t="shared" si="15"/>
        <v>0</v>
      </c>
      <c r="N145" s="58">
        <f t="shared" si="15"/>
        <v>0</v>
      </c>
      <c r="O145" s="58">
        <f t="shared" si="15"/>
        <v>0</v>
      </c>
      <c r="P145" s="58">
        <f t="shared" si="15"/>
        <v>0</v>
      </c>
      <c r="Q145" s="52"/>
    </row>
    <row r="146" spans="1:34" outlineLevel="1" x14ac:dyDescent="0.25">
      <c r="A146" s="7"/>
      <c r="B146" s="38" t="s">
        <v>28</v>
      </c>
      <c r="C146" s="38" t="s">
        <v>5</v>
      </c>
      <c r="D146" s="38" t="s">
        <v>100</v>
      </c>
      <c r="E146" s="40" t="s">
        <v>101</v>
      </c>
      <c r="F146" s="43">
        <f t="shared" si="16"/>
        <v>4.6909999999999998</v>
      </c>
      <c r="G146" s="43">
        <f t="shared" si="16"/>
        <v>5.3550000000000004</v>
      </c>
      <c r="H146" s="43">
        <f t="shared" si="16"/>
        <v>6.0590000000000002</v>
      </c>
      <c r="I146" s="43">
        <f t="shared" si="16"/>
        <v>6.6749999999999998</v>
      </c>
      <c r="J146" s="58">
        <f t="shared" si="15"/>
        <v>6.8070000000000004</v>
      </c>
      <c r="K146" s="58">
        <f t="shared" si="15"/>
        <v>6.8070000000000004</v>
      </c>
      <c r="L146" s="58">
        <f t="shared" si="15"/>
        <v>6.8070000000000004</v>
      </c>
      <c r="M146" s="58">
        <f t="shared" si="15"/>
        <v>6.8070000000000004</v>
      </c>
      <c r="N146" s="58">
        <f t="shared" si="15"/>
        <v>6.8070000000000004</v>
      </c>
      <c r="O146" s="58">
        <f t="shared" si="15"/>
        <v>6.8070000000000004</v>
      </c>
      <c r="P146" s="58">
        <f t="shared" si="15"/>
        <v>6.8070000000000004</v>
      </c>
      <c r="Q146" s="52"/>
      <c r="R146" s="54">
        <v>4.6909999999999998</v>
      </c>
      <c r="S146" s="54">
        <v>4.8019999999999996</v>
      </c>
      <c r="T146" s="54">
        <v>4.9349999999999996</v>
      </c>
      <c r="U146" s="54">
        <v>5.0750000000000002</v>
      </c>
      <c r="V146" s="54">
        <v>5.2069999999999999</v>
      </c>
      <c r="W146" s="54">
        <v>5.3550000000000004</v>
      </c>
      <c r="X146" s="54">
        <v>5.5220000000000002</v>
      </c>
      <c r="Y146" s="54">
        <v>5.7069999999999999</v>
      </c>
      <c r="Z146" s="54">
        <v>5.851</v>
      </c>
      <c r="AA146" s="54">
        <v>5.9429999999999996</v>
      </c>
      <c r="AB146" s="54">
        <v>6.0590000000000002</v>
      </c>
      <c r="AC146" s="54">
        <v>6.2050000000000001</v>
      </c>
      <c r="AD146" s="54">
        <v>6.3079999999999998</v>
      </c>
      <c r="AE146" s="54">
        <v>6.43</v>
      </c>
      <c r="AF146" s="54">
        <v>6.5590000000000002</v>
      </c>
      <c r="AG146" s="54">
        <v>6.6749999999999998</v>
      </c>
      <c r="AH146" s="54">
        <v>6.8070000000000004</v>
      </c>
    </row>
    <row r="147" spans="1:34" outlineLevel="1" x14ac:dyDescent="0.25">
      <c r="A147" s="7"/>
      <c r="B147" s="38" t="s">
        <v>28</v>
      </c>
      <c r="C147" s="38" t="s">
        <v>76</v>
      </c>
      <c r="D147" s="38" t="s">
        <v>100</v>
      </c>
      <c r="E147" s="40" t="s">
        <v>101</v>
      </c>
      <c r="F147" s="43">
        <f t="shared" si="16"/>
        <v>0</v>
      </c>
      <c r="G147" s="43">
        <f t="shared" si="16"/>
        <v>0</v>
      </c>
      <c r="H147" s="43">
        <f t="shared" si="16"/>
        <v>0</v>
      </c>
      <c r="I147" s="43">
        <f t="shared" si="16"/>
        <v>0</v>
      </c>
      <c r="J147" s="58">
        <f t="shared" si="15"/>
        <v>0</v>
      </c>
      <c r="K147" s="58">
        <f t="shared" si="15"/>
        <v>0</v>
      </c>
      <c r="L147" s="58">
        <f t="shared" si="15"/>
        <v>0</v>
      </c>
      <c r="M147" s="58">
        <f t="shared" si="15"/>
        <v>0</v>
      </c>
      <c r="N147" s="58">
        <f t="shared" si="15"/>
        <v>0</v>
      </c>
      <c r="O147" s="58">
        <f t="shared" si="15"/>
        <v>0</v>
      </c>
      <c r="P147" s="58">
        <f t="shared" si="15"/>
        <v>0</v>
      </c>
      <c r="Q147" s="52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</row>
    <row r="148" spans="1:34" outlineLevel="1" x14ac:dyDescent="0.25">
      <c r="A148" s="7"/>
      <c r="B148" s="38" t="s">
        <v>28</v>
      </c>
      <c r="C148" s="38" t="s">
        <v>115</v>
      </c>
      <c r="D148" s="38" t="s">
        <v>100</v>
      </c>
      <c r="E148" s="40" t="s">
        <v>101</v>
      </c>
      <c r="F148" s="43">
        <f t="shared" si="16"/>
        <v>0</v>
      </c>
      <c r="G148" s="43">
        <f t="shared" si="16"/>
        <v>0</v>
      </c>
      <c r="H148" s="43">
        <f t="shared" si="16"/>
        <v>0</v>
      </c>
      <c r="I148" s="43">
        <f t="shared" si="16"/>
        <v>0</v>
      </c>
      <c r="J148" s="58">
        <f t="shared" si="15"/>
        <v>0</v>
      </c>
      <c r="K148" s="58">
        <f t="shared" si="15"/>
        <v>0</v>
      </c>
      <c r="L148" s="58">
        <f t="shared" si="15"/>
        <v>0</v>
      </c>
      <c r="M148" s="58">
        <f t="shared" si="15"/>
        <v>0</v>
      </c>
      <c r="N148" s="58">
        <f t="shared" si="15"/>
        <v>0</v>
      </c>
      <c r="O148" s="58">
        <f t="shared" si="15"/>
        <v>0</v>
      </c>
      <c r="P148" s="58">
        <f t="shared" si="15"/>
        <v>0</v>
      </c>
      <c r="Q148" s="52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</row>
    <row r="149" spans="1:34" outlineLevel="1" x14ac:dyDescent="0.25">
      <c r="A149" s="7"/>
      <c r="B149" s="38" t="s">
        <v>28</v>
      </c>
      <c r="C149" s="38" t="s">
        <v>117</v>
      </c>
      <c r="D149" s="38" t="s">
        <v>100</v>
      </c>
      <c r="E149" s="40" t="s">
        <v>101</v>
      </c>
      <c r="F149" s="43">
        <f t="shared" si="16"/>
        <v>0</v>
      </c>
      <c r="G149" s="43">
        <f t="shared" si="16"/>
        <v>0</v>
      </c>
      <c r="H149" s="43">
        <f t="shared" si="16"/>
        <v>0</v>
      </c>
      <c r="I149" s="43">
        <f t="shared" si="16"/>
        <v>0</v>
      </c>
      <c r="J149" s="58">
        <f t="shared" si="15"/>
        <v>0</v>
      </c>
      <c r="K149" s="58">
        <f t="shared" si="15"/>
        <v>0</v>
      </c>
      <c r="L149" s="58">
        <f t="shared" si="15"/>
        <v>0</v>
      </c>
      <c r="M149" s="58">
        <f t="shared" si="15"/>
        <v>0</v>
      </c>
      <c r="N149" s="58">
        <f t="shared" si="15"/>
        <v>0</v>
      </c>
      <c r="O149" s="58">
        <f t="shared" si="15"/>
        <v>0</v>
      </c>
      <c r="P149" s="58">
        <f t="shared" si="15"/>
        <v>0</v>
      </c>
      <c r="Q149" s="52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</row>
    <row r="150" spans="1:34" outlineLevel="1" x14ac:dyDescent="0.25">
      <c r="A150" s="7"/>
      <c r="B150" s="38" t="s">
        <v>28</v>
      </c>
      <c r="C150" s="38" t="s">
        <v>116</v>
      </c>
      <c r="D150" s="38" t="s">
        <v>100</v>
      </c>
      <c r="E150" s="40" t="s">
        <v>101</v>
      </c>
      <c r="F150" s="43">
        <f t="shared" si="16"/>
        <v>0</v>
      </c>
      <c r="G150" s="43">
        <f t="shared" si="16"/>
        <v>0</v>
      </c>
      <c r="H150" s="43">
        <f t="shared" si="16"/>
        <v>0</v>
      </c>
      <c r="I150" s="43">
        <f t="shared" si="16"/>
        <v>0</v>
      </c>
      <c r="J150" s="58">
        <f t="shared" si="15"/>
        <v>0</v>
      </c>
      <c r="K150" s="58">
        <f t="shared" si="15"/>
        <v>0</v>
      </c>
      <c r="L150" s="58">
        <f t="shared" si="15"/>
        <v>0</v>
      </c>
      <c r="M150" s="58">
        <f t="shared" si="15"/>
        <v>0</v>
      </c>
      <c r="N150" s="58">
        <f t="shared" si="15"/>
        <v>0</v>
      </c>
      <c r="O150" s="58">
        <f t="shared" si="15"/>
        <v>0</v>
      </c>
      <c r="P150" s="58">
        <f t="shared" si="15"/>
        <v>0</v>
      </c>
      <c r="Q150" s="52"/>
    </row>
    <row r="151" spans="1:34" x14ac:dyDescent="0.25">
      <c r="A151" s="7"/>
      <c r="B151" s="38"/>
      <c r="C151" s="38"/>
      <c r="D151" s="38"/>
      <c r="E151" s="18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52"/>
    </row>
    <row r="152" spans="1:34" x14ac:dyDescent="0.25">
      <c r="A152" s="7"/>
      <c r="B152" s="38"/>
      <c r="C152" s="38"/>
      <c r="D152" s="38"/>
      <c r="E152" s="18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52"/>
    </row>
    <row r="153" spans="1:34" x14ac:dyDescent="0.25">
      <c r="A153" s="7"/>
      <c r="B153" s="38"/>
      <c r="C153" s="38"/>
      <c r="D153" s="38"/>
      <c r="E153" s="18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52"/>
    </row>
    <row r="154" spans="1:34" x14ac:dyDescent="0.25">
      <c r="A154" s="7"/>
      <c r="B154" s="38"/>
      <c r="C154" s="38"/>
      <c r="D154" s="38"/>
      <c r="E154" s="18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52"/>
    </row>
    <row r="155" spans="1:34" x14ac:dyDescent="0.25">
      <c r="A155" s="7"/>
      <c r="B155" s="38"/>
      <c r="C155" s="38"/>
      <c r="D155" s="38"/>
      <c r="E155" s="18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52"/>
    </row>
    <row r="156" spans="1:34" x14ac:dyDescent="0.25">
      <c r="A156" s="7"/>
      <c r="B156" s="38"/>
      <c r="C156" s="38"/>
      <c r="D156" s="38"/>
      <c r="E156" s="18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52"/>
    </row>
    <row r="157" spans="1:34" x14ac:dyDescent="0.25">
      <c r="A157" s="7"/>
      <c r="B157" s="38"/>
      <c r="C157" s="38"/>
      <c r="D157" s="38"/>
      <c r="E157" s="18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52"/>
    </row>
    <row r="158" spans="1:34" x14ac:dyDescent="0.25">
      <c r="A158" s="7"/>
      <c r="B158" s="38"/>
      <c r="C158" s="38"/>
      <c r="D158" s="38"/>
      <c r="E158" s="18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52"/>
    </row>
    <row r="159" spans="1:34" x14ac:dyDescent="0.25">
      <c r="A159" s="7"/>
      <c r="B159" s="38"/>
      <c r="C159" s="38"/>
      <c r="D159" s="38"/>
      <c r="E159" s="18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52"/>
    </row>
    <row r="160" spans="1:34" x14ac:dyDescent="0.25">
      <c r="A160" s="7"/>
      <c r="B160" s="38"/>
      <c r="C160" s="38"/>
      <c r="D160" s="38"/>
      <c r="E160" s="18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52"/>
    </row>
    <row r="161" spans="1:17" x14ac:dyDescent="0.25">
      <c r="A161" s="7"/>
      <c r="B161" s="38"/>
      <c r="C161" s="38"/>
      <c r="D161" s="38"/>
      <c r="E161" s="18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52"/>
    </row>
    <row r="162" spans="1:17" x14ac:dyDescent="0.25">
      <c r="A162" s="7"/>
      <c r="B162" s="38"/>
      <c r="C162" s="38"/>
      <c r="D162" s="38"/>
      <c r="E162" s="18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52"/>
    </row>
    <row r="163" spans="1:17" x14ac:dyDescent="0.25">
      <c r="A163" s="7"/>
      <c r="B163" s="38"/>
      <c r="C163" s="38"/>
      <c r="D163" s="38"/>
      <c r="E163" s="18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52"/>
    </row>
    <row r="164" spans="1:17" x14ac:dyDescent="0.25">
      <c r="A164" s="7"/>
      <c r="B164" s="38"/>
      <c r="C164" s="38"/>
      <c r="D164" s="38"/>
      <c r="E164" s="18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52"/>
    </row>
    <row r="165" spans="1:17" x14ac:dyDescent="0.25">
      <c r="A165" s="7"/>
      <c r="B165" s="38"/>
      <c r="C165" s="38"/>
      <c r="D165" s="38"/>
      <c r="E165" s="18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52"/>
    </row>
    <row r="166" spans="1:17" x14ac:dyDescent="0.25">
      <c r="A166" s="7"/>
      <c r="B166" s="38"/>
      <c r="C166" s="38"/>
      <c r="D166" s="38"/>
      <c r="E166" s="18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52"/>
    </row>
    <row r="167" spans="1:17" x14ac:dyDescent="0.25">
      <c r="A167" s="7"/>
      <c r="B167" s="38"/>
      <c r="C167" s="38"/>
      <c r="D167" s="38"/>
      <c r="E167" s="18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52"/>
    </row>
    <row r="168" spans="1:17" x14ac:dyDescent="0.25">
      <c r="A168" s="7"/>
      <c r="B168" s="38"/>
      <c r="C168" s="38"/>
      <c r="D168" s="38"/>
      <c r="E168" s="18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52"/>
    </row>
    <row r="169" spans="1:17" x14ac:dyDescent="0.25">
      <c r="A169" s="7"/>
      <c r="B169" s="38"/>
      <c r="C169" s="38"/>
      <c r="D169" s="38"/>
      <c r="E169" s="18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52"/>
    </row>
    <row r="170" spans="1:17" x14ac:dyDescent="0.25">
      <c r="A170" s="7"/>
      <c r="B170" s="38"/>
      <c r="C170" s="38"/>
      <c r="D170" s="38"/>
      <c r="E170" s="18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52"/>
    </row>
    <row r="171" spans="1:17" x14ac:dyDescent="0.25">
      <c r="A171" s="7"/>
      <c r="B171" s="38"/>
      <c r="C171" s="38"/>
      <c r="D171" s="38"/>
      <c r="E171" s="18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52"/>
    </row>
    <row r="172" spans="1:17" x14ac:dyDescent="0.25">
      <c r="A172" s="7"/>
      <c r="B172" s="38"/>
      <c r="C172" s="38"/>
      <c r="D172" s="38"/>
      <c r="E172" s="18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52"/>
    </row>
    <row r="173" spans="1:17" x14ac:dyDescent="0.25">
      <c r="A173" s="7"/>
      <c r="B173" s="38"/>
      <c r="C173" s="38"/>
      <c r="D173" s="38"/>
      <c r="E173" s="18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52"/>
    </row>
    <row r="174" spans="1:17" x14ac:dyDescent="0.25">
      <c r="A174" s="7"/>
      <c r="B174" s="38"/>
      <c r="C174" s="38"/>
      <c r="D174" s="38"/>
      <c r="E174" s="18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52"/>
    </row>
    <row r="175" spans="1:17" x14ac:dyDescent="0.25">
      <c r="A175" s="7"/>
      <c r="B175" s="38"/>
      <c r="C175" s="38"/>
      <c r="D175" s="38"/>
      <c r="E175" s="18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52"/>
    </row>
    <row r="176" spans="1:17" x14ac:dyDescent="0.25">
      <c r="A176" s="7"/>
      <c r="B176" s="38"/>
      <c r="C176" s="38"/>
      <c r="D176" s="38"/>
      <c r="E176" s="18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52"/>
    </row>
    <row r="177" spans="1:17" x14ac:dyDescent="0.25">
      <c r="A177" s="7"/>
      <c r="B177" s="38"/>
      <c r="C177" s="38"/>
      <c r="D177" s="38"/>
      <c r="E177" s="18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52"/>
    </row>
    <row r="178" spans="1:17" x14ac:dyDescent="0.25">
      <c r="A178" s="7"/>
      <c r="B178" s="38"/>
      <c r="C178" s="38"/>
      <c r="D178" s="38"/>
      <c r="E178" s="18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52"/>
    </row>
    <row r="179" spans="1:17" x14ac:dyDescent="0.25">
      <c r="A179" s="7"/>
      <c r="B179" s="15"/>
      <c r="C179" s="15"/>
      <c r="D179" s="15"/>
      <c r="E179" s="11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52"/>
    </row>
    <row r="180" spans="1:17" x14ac:dyDescent="0.25">
      <c r="A180" s="7"/>
      <c r="B180" s="15"/>
      <c r="C180" s="15"/>
      <c r="D180" s="15"/>
      <c r="E180" s="11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52"/>
    </row>
    <row r="181" spans="1:17" x14ac:dyDescent="0.25">
      <c r="A181" s="7"/>
      <c r="B181" s="38"/>
      <c r="C181" s="38"/>
      <c r="D181" s="38"/>
      <c r="E181" s="18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52"/>
    </row>
    <row r="182" spans="1:17" x14ac:dyDescent="0.25">
      <c r="A182" s="7"/>
      <c r="B182" s="38"/>
      <c r="C182" s="38"/>
      <c r="D182" s="38"/>
      <c r="E182" s="18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52"/>
    </row>
    <row r="183" spans="1:17" x14ac:dyDescent="0.25">
      <c r="A183" s="7"/>
      <c r="B183" s="38"/>
      <c r="C183" s="38"/>
      <c r="D183" s="38"/>
      <c r="E183" s="18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52"/>
    </row>
    <row r="184" spans="1:17" x14ac:dyDescent="0.25">
      <c r="A184" s="7"/>
      <c r="B184" s="38"/>
      <c r="C184" s="38"/>
      <c r="D184" s="38"/>
      <c r="E184" s="18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52"/>
    </row>
    <row r="185" spans="1:17" x14ac:dyDescent="0.25">
      <c r="A185" s="7"/>
      <c r="B185" s="38"/>
      <c r="C185" s="38"/>
      <c r="D185" s="38"/>
      <c r="E185" s="18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52"/>
    </row>
    <row r="186" spans="1:17" x14ac:dyDescent="0.25">
      <c r="A186" s="7"/>
      <c r="B186" s="38"/>
      <c r="C186" s="38"/>
      <c r="D186" s="38"/>
      <c r="E186" s="18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52"/>
    </row>
    <row r="187" spans="1:17" x14ac:dyDescent="0.25">
      <c r="A187" s="7"/>
      <c r="B187" s="38"/>
      <c r="C187" s="38"/>
      <c r="D187" s="38"/>
      <c r="E187" s="18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52"/>
    </row>
    <row r="188" spans="1:17" x14ac:dyDescent="0.25">
      <c r="A188" s="7"/>
      <c r="B188" s="38"/>
      <c r="C188" s="38"/>
      <c r="D188" s="38"/>
      <c r="E188" s="18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52"/>
    </row>
    <row r="189" spans="1:17" x14ac:dyDescent="0.25">
      <c r="A189" s="7"/>
      <c r="B189" s="38"/>
      <c r="C189" s="38"/>
      <c r="D189" s="38"/>
      <c r="E189" s="18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52"/>
    </row>
    <row r="190" spans="1:17" x14ac:dyDescent="0.25">
      <c r="A190" s="7"/>
      <c r="B190" s="38"/>
      <c r="C190" s="38"/>
      <c r="D190" s="38"/>
      <c r="E190" s="18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52"/>
    </row>
    <row r="191" spans="1:17" x14ac:dyDescent="0.25">
      <c r="A191" s="7"/>
      <c r="B191" s="38"/>
      <c r="C191" s="38"/>
      <c r="D191" s="38"/>
      <c r="E191" s="18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52"/>
    </row>
    <row r="192" spans="1:17" x14ac:dyDescent="0.25">
      <c r="A192" s="7"/>
      <c r="B192" s="38"/>
      <c r="C192" s="38"/>
      <c r="D192" s="38"/>
      <c r="E192" s="18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52"/>
    </row>
    <row r="193" spans="1:17" x14ac:dyDescent="0.25">
      <c r="A193" s="7"/>
      <c r="B193" s="38"/>
      <c r="C193" s="38"/>
      <c r="D193" s="38"/>
      <c r="E193" s="18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52"/>
    </row>
    <row r="194" spans="1:17" x14ac:dyDescent="0.25">
      <c r="A194" s="7"/>
      <c r="B194" s="38"/>
      <c r="C194" s="38"/>
      <c r="D194" s="38"/>
      <c r="E194" s="18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52"/>
    </row>
    <row r="195" spans="1:17" x14ac:dyDescent="0.25">
      <c r="A195" s="7"/>
      <c r="B195" s="38"/>
      <c r="C195" s="38"/>
      <c r="D195" s="38"/>
      <c r="E195" s="18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52"/>
    </row>
    <row r="196" spans="1:17" x14ac:dyDescent="0.25">
      <c r="A196" s="7"/>
      <c r="B196" s="38"/>
      <c r="C196" s="38"/>
      <c r="D196" s="38"/>
      <c r="E196" s="18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52"/>
    </row>
    <row r="197" spans="1:17" x14ac:dyDescent="0.25">
      <c r="A197" s="7"/>
      <c r="B197" s="38"/>
      <c r="C197" s="38"/>
      <c r="D197" s="38"/>
      <c r="E197" s="18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52"/>
    </row>
    <row r="198" spans="1:17" x14ac:dyDescent="0.25">
      <c r="A198" s="7"/>
      <c r="B198" s="38"/>
      <c r="C198" s="38"/>
      <c r="D198" s="38"/>
      <c r="E198" s="18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52"/>
    </row>
    <row r="199" spans="1:17" x14ac:dyDescent="0.25">
      <c r="A199" s="7"/>
      <c r="B199" s="38"/>
      <c r="C199" s="38"/>
      <c r="D199" s="38"/>
      <c r="E199" s="18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52"/>
    </row>
    <row r="200" spans="1:17" x14ac:dyDescent="0.25">
      <c r="A200" s="7"/>
      <c r="B200" s="38"/>
      <c r="C200" s="38"/>
      <c r="D200" s="38"/>
      <c r="E200" s="18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52"/>
    </row>
    <row r="201" spans="1:17" x14ac:dyDescent="0.25">
      <c r="A201" s="7"/>
      <c r="B201" s="38"/>
      <c r="C201" s="38"/>
      <c r="D201" s="38"/>
      <c r="E201" s="18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52"/>
    </row>
    <row r="202" spans="1:17" x14ac:dyDescent="0.25">
      <c r="A202" s="7"/>
      <c r="B202" s="38"/>
      <c r="C202" s="38"/>
      <c r="D202" s="38"/>
      <c r="E202" s="18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52"/>
    </row>
    <row r="203" spans="1:17" x14ac:dyDescent="0.25">
      <c r="A203" s="7"/>
      <c r="B203" s="38"/>
      <c r="C203" s="38"/>
      <c r="D203" s="38"/>
      <c r="E203" s="18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52"/>
    </row>
    <row r="204" spans="1:17" x14ac:dyDescent="0.25">
      <c r="A204" s="7"/>
      <c r="B204" s="38"/>
      <c r="C204" s="38"/>
      <c r="D204" s="38"/>
      <c r="E204" s="18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52"/>
    </row>
    <row r="205" spans="1:17" x14ac:dyDescent="0.25">
      <c r="A205" s="7"/>
      <c r="B205" s="38"/>
      <c r="C205" s="38"/>
      <c r="D205" s="38"/>
      <c r="E205" s="18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52"/>
    </row>
    <row r="206" spans="1:17" x14ac:dyDescent="0.25">
      <c r="A206" s="7"/>
      <c r="B206" s="38"/>
      <c r="C206" s="38"/>
      <c r="D206" s="38"/>
      <c r="E206" s="18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52"/>
    </row>
    <row r="207" spans="1:17" x14ac:dyDescent="0.25">
      <c r="A207" s="7"/>
      <c r="B207" s="15"/>
      <c r="C207" s="15"/>
      <c r="D207" s="15"/>
      <c r="E207" s="11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52"/>
    </row>
    <row r="208" spans="1:17" x14ac:dyDescent="0.25">
      <c r="A208" s="7"/>
      <c r="B208" s="15"/>
      <c r="C208" s="15"/>
      <c r="D208" s="15"/>
      <c r="E208" s="11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52"/>
    </row>
    <row r="209" spans="1:17" x14ac:dyDescent="0.25">
      <c r="A209" s="7"/>
      <c r="B209" s="38"/>
      <c r="C209" s="38"/>
      <c r="D209" s="38"/>
      <c r="E209" s="18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52"/>
    </row>
    <row r="210" spans="1:17" x14ac:dyDescent="0.25">
      <c r="A210" s="7"/>
      <c r="B210" s="38"/>
      <c r="C210" s="38"/>
      <c r="D210" s="38"/>
      <c r="E210" s="18"/>
      <c r="G210" s="42"/>
      <c r="H210" s="42"/>
      <c r="I210" s="42"/>
      <c r="J210" s="42"/>
      <c r="K210" s="42"/>
      <c r="L210" s="42"/>
      <c r="M210" s="42"/>
      <c r="N210" s="42"/>
      <c r="O210" s="42"/>
      <c r="P210" s="42"/>
      <c r="Q210" s="52"/>
    </row>
    <row r="211" spans="1:17" x14ac:dyDescent="0.25">
      <c r="A211" s="7"/>
      <c r="B211" s="38"/>
      <c r="C211" s="38"/>
      <c r="D211" s="38"/>
      <c r="E211" s="18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52"/>
    </row>
    <row r="212" spans="1:17" x14ac:dyDescent="0.25">
      <c r="A212" s="7"/>
      <c r="B212" s="38"/>
      <c r="C212" s="38"/>
      <c r="D212" s="38"/>
      <c r="E212" s="18"/>
      <c r="G212" s="42"/>
      <c r="H212" s="42"/>
      <c r="I212" s="42"/>
      <c r="J212" s="42"/>
      <c r="K212" s="42"/>
      <c r="L212" s="42"/>
      <c r="M212" s="42"/>
      <c r="N212" s="42"/>
      <c r="O212" s="42"/>
      <c r="P212" s="42"/>
      <c r="Q212" s="52"/>
    </row>
    <row r="213" spans="1:17" x14ac:dyDescent="0.25">
      <c r="A213" s="7"/>
      <c r="B213" s="38"/>
      <c r="C213" s="38"/>
      <c r="D213" s="38"/>
      <c r="E213" s="18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52"/>
    </row>
    <row r="214" spans="1:17" x14ac:dyDescent="0.25">
      <c r="A214" s="7"/>
      <c r="B214" s="38"/>
      <c r="C214" s="38"/>
      <c r="D214" s="38"/>
      <c r="E214" s="18"/>
      <c r="G214" s="42"/>
      <c r="H214" s="42"/>
      <c r="I214" s="42"/>
      <c r="J214" s="42"/>
      <c r="K214" s="42"/>
      <c r="L214" s="42"/>
      <c r="M214" s="42"/>
      <c r="N214" s="42"/>
      <c r="O214" s="42"/>
      <c r="P214" s="42"/>
      <c r="Q214" s="52"/>
    </row>
    <row r="215" spans="1:17" x14ac:dyDescent="0.25">
      <c r="A215" s="7"/>
      <c r="B215" s="38"/>
      <c r="C215" s="38"/>
      <c r="D215" s="38"/>
      <c r="E215" s="18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52"/>
    </row>
    <row r="216" spans="1:17" x14ac:dyDescent="0.25">
      <c r="A216" s="7"/>
      <c r="B216" s="38"/>
      <c r="C216" s="38"/>
      <c r="D216" s="38"/>
      <c r="E216" s="18"/>
      <c r="G216" s="42"/>
      <c r="H216" s="42"/>
      <c r="I216" s="42"/>
      <c r="J216" s="42"/>
      <c r="K216" s="42"/>
      <c r="L216" s="42"/>
      <c r="M216" s="42"/>
      <c r="N216" s="42"/>
      <c r="O216" s="42"/>
      <c r="P216" s="42"/>
      <c r="Q216" s="52"/>
    </row>
    <row r="217" spans="1:17" x14ac:dyDescent="0.25">
      <c r="A217" s="7"/>
      <c r="B217" s="38"/>
      <c r="C217" s="38"/>
      <c r="D217" s="38"/>
      <c r="E217" s="18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52"/>
    </row>
    <row r="218" spans="1:17" x14ac:dyDescent="0.25">
      <c r="A218" s="7"/>
      <c r="B218" s="38"/>
      <c r="C218" s="38"/>
      <c r="D218" s="38"/>
      <c r="E218" s="18"/>
      <c r="G218" s="42"/>
      <c r="H218" s="42"/>
      <c r="I218" s="42"/>
      <c r="J218" s="42"/>
      <c r="K218" s="42"/>
      <c r="L218" s="42"/>
      <c r="M218" s="42"/>
      <c r="N218" s="42"/>
      <c r="O218" s="42"/>
      <c r="P218" s="42"/>
      <c r="Q218" s="52"/>
    </row>
    <row r="219" spans="1:17" x14ac:dyDescent="0.25">
      <c r="A219" s="7"/>
      <c r="B219" s="38"/>
      <c r="C219" s="38"/>
      <c r="D219" s="38"/>
      <c r="E219" s="18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52"/>
    </row>
    <row r="220" spans="1:17" x14ac:dyDescent="0.25">
      <c r="A220" s="7"/>
      <c r="B220" s="38"/>
      <c r="C220" s="38"/>
      <c r="D220" s="38"/>
      <c r="E220" s="18"/>
      <c r="G220" s="42"/>
      <c r="H220" s="42"/>
      <c r="I220" s="42"/>
      <c r="J220" s="42"/>
      <c r="K220" s="42"/>
      <c r="L220" s="42"/>
      <c r="M220" s="42"/>
      <c r="N220" s="42"/>
      <c r="O220" s="42"/>
      <c r="P220" s="42"/>
      <c r="Q220" s="52"/>
    </row>
    <row r="221" spans="1:17" x14ac:dyDescent="0.25">
      <c r="A221" s="7"/>
      <c r="B221" s="38"/>
      <c r="C221" s="38"/>
      <c r="D221" s="38"/>
      <c r="E221" s="18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52"/>
    </row>
    <row r="222" spans="1:17" x14ac:dyDescent="0.25">
      <c r="A222" s="7"/>
      <c r="B222" s="38"/>
      <c r="C222" s="38"/>
      <c r="D222" s="38"/>
      <c r="E222" s="18"/>
      <c r="G222" s="42"/>
      <c r="H222" s="42"/>
      <c r="I222" s="42"/>
      <c r="J222" s="42"/>
      <c r="K222" s="42"/>
      <c r="L222" s="42"/>
      <c r="M222" s="42"/>
      <c r="N222" s="42"/>
      <c r="O222" s="42"/>
      <c r="P222" s="42"/>
      <c r="Q222" s="52"/>
    </row>
    <row r="223" spans="1:17" x14ac:dyDescent="0.25">
      <c r="A223" s="7"/>
      <c r="B223" s="38"/>
      <c r="C223" s="38"/>
      <c r="D223" s="38"/>
      <c r="E223" s="18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52"/>
    </row>
    <row r="224" spans="1:17" x14ac:dyDescent="0.25">
      <c r="A224" s="7"/>
      <c r="B224" s="38"/>
      <c r="C224" s="38"/>
      <c r="D224" s="38"/>
      <c r="E224" s="18"/>
      <c r="G224" s="42"/>
      <c r="H224" s="42"/>
      <c r="I224" s="42"/>
      <c r="J224" s="42"/>
      <c r="K224" s="42"/>
      <c r="L224" s="42"/>
      <c r="M224" s="42"/>
      <c r="N224" s="42"/>
      <c r="O224" s="42"/>
      <c r="P224" s="42"/>
      <c r="Q224" s="52"/>
    </row>
    <row r="225" spans="1:17" x14ac:dyDescent="0.25">
      <c r="A225" s="7"/>
      <c r="B225" s="38"/>
      <c r="C225" s="38"/>
      <c r="D225" s="38"/>
      <c r="E225" s="18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52"/>
    </row>
    <row r="226" spans="1:17" x14ac:dyDescent="0.25">
      <c r="A226" s="7"/>
      <c r="B226" s="38"/>
      <c r="C226" s="38"/>
      <c r="D226" s="38"/>
      <c r="E226" s="18"/>
      <c r="G226" s="42"/>
      <c r="H226" s="42"/>
      <c r="I226" s="42"/>
      <c r="J226" s="42"/>
      <c r="K226" s="42"/>
      <c r="L226" s="42"/>
      <c r="M226" s="42"/>
      <c r="N226" s="42"/>
      <c r="O226" s="42"/>
      <c r="P226" s="42"/>
      <c r="Q226" s="52"/>
    </row>
    <row r="227" spans="1:17" x14ac:dyDescent="0.25">
      <c r="A227" s="7"/>
      <c r="B227" s="38"/>
      <c r="C227" s="38"/>
      <c r="D227" s="38"/>
      <c r="E227" s="18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52"/>
    </row>
    <row r="228" spans="1:17" x14ac:dyDescent="0.25">
      <c r="A228" s="7"/>
      <c r="B228" s="38"/>
      <c r="C228" s="38"/>
      <c r="D228" s="38"/>
      <c r="E228" s="18"/>
      <c r="G228" s="42"/>
      <c r="H228" s="42"/>
      <c r="I228" s="42"/>
      <c r="J228" s="42"/>
      <c r="K228" s="42"/>
      <c r="L228" s="42"/>
      <c r="M228" s="42"/>
      <c r="N228" s="42"/>
      <c r="O228" s="42"/>
      <c r="P228" s="42"/>
      <c r="Q228" s="52"/>
    </row>
    <row r="229" spans="1:17" x14ac:dyDescent="0.25">
      <c r="A229" s="7"/>
      <c r="B229" s="38"/>
      <c r="C229" s="38"/>
      <c r="D229" s="38"/>
      <c r="E229" s="18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52"/>
    </row>
    <row r="230" spans="1:17" x14ac:dyDescent="0.25">
      <c r="A230" s="7"/>
      <c r="B230" s="38"/>
      <c r="C230" s="38"/>
      <c r="D230" s="38"/>
      <c r="E230" s="18"/>
      <c r="G230" s="42"/>
      <c r="H230" s="42"/>
      <c r="I230" s="42"/>
      <c r="J230" s="42"/>
      <c r="K230" s="42"/>
      <c r="L230" s="42"/>
      <c r="M230" s="42"/>
      <c r="N230" s="42"/>
      <c r="O230" s="42"/>
      <c r="P230" s="42"/>
      <c r="Q230" s="52"/>
    </row>
    <row r="231" spans="1:17" x14ac:dyDescent="0.25">
      <c r="A231" s="7"/>
      <c r="B231" s="38"/>
      <c r="C231" s="38"/>
      <c r="D231" s="38"/>
      <c r="E231" s="18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52"/>
    </row>
    <row r="232" spans="1:17" x14ac:dyDescent="0.25">
      <c r="A232" s="7"/>
      <c r="B232" s="38"/>
      <c r="C232" s="38"/>
      <c r="D232" s="38"/>
      <c r="E232" s="18"/>
      <c r="G232" s="42"/>
      <c r="H232" s="42"/>
      <c r="I232" s="42"/>
      <c r="J232" s="42"/>
      <c r="K232" s="42"/>
      <c r="L232" s="42"/>
      <c r="M232" s="42"/>
      <c r="N232" s="42"/>
      <c r="O232" s="42"/>
      <c r="P232" s="42"/>
      <c r="Q232" s="52"/>
    </row>
    <row r="233" spans="1:17" x14ac:dyDescent="0.25">
      <c r="A233" s="7"/>
      <c r="B233" s="38"/>
      <c r="C233" s="38"/>
      <c r="D233" s="38"/>
      <c r="E233" s="18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52"/>
    </row>
    <row r="234" spans="1:17" x14ac:dyDescent="0.25">
      <c r="A234" s="7"/>
      <c r="B234" s="38"/>
      <c r="C234" s="38"/>
      <c r="D234" s="38"/>
      <c r="E234" s="18"/>
      <c r="G234" s="42"/>
      <c r="H234" s="42"/>
      <c r="I234" s="42"/>
      <c r="J234" s="42"/>
      <c r="K234" s="42"/>
      <c r="L234" s="42"/>
      <c r="M234" s="42"/>
      <c r="N234" s="42"/>
      <c r="O234" s="42"/>
      <c r="P234" s="42"/>
      <c r="Q234" s="52"/>
    </row>
    <row r="235" spans="1:17" x14ac:dyDescent="0.25">
      <c r="A235" s="7"/>
      <c r="B235" s="38"/>
      <c r="C235" s="38"/>
      <c r="D235" s="38"/>
      <c r="E235" s="18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52"/>
    </row>
    <row r="236" spans="1:17" x14ac:dyDescent="0.25">
      <c r="A236" s="7"/>
      <c r="B236" s="38"/>
      <c r="C236" s="38"/>
      <c r="D236" s="38"/>
      <c r="E236" s="18"/>
      <c r="G236" s="42"/>
      <c r="H236" s="42"/>
      <c r="I236" s="42"/>
      <c r="J236" s="42"/>
      <c r="K236" s="42"/>
      <c r="L236" s="42"/>
      <c r="M236" s="42"/>
      <c r="N236" s="42"/>
      <c r="O236" s="42"/>
      <c r="P236" s="42"/>
      <c r="Q236" s="52"/>
    </row>
    <row r="237" spans="1:17" x14ac:dyDescent="0.25">
      <c r="A237" s="7"/>
      <c r="B237" s="38"/>
      <c r="C237" s="38"/>
      <c r="D237" s="38"/>
      <c r="E237" s="18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52"/>
    </row>
    <row r="238" spans="1:17" x14ac:dyDescent="0.25">
      <c r="A238" s="7"/>
      <c r="B238" s="38"/>
      <c r="C238" s="38"/>
      <c r="D238" s="38"/>
      <c r="E238" s="18"/>
      <c r="G238" s="42"/>
      <c r="H238" s="42"/>
      <c r="I238" s="42"/>
      <c r="J238" s="42"/>
      <c r="K238" s="42"/>
      <c r="L238" s="42"/>
      <c r="M238" s="42"/>
      <c r="N238" s="42"/>
      <c r="O238" s="42"/>
      <c r="P238" s="42"/>
      <c r="Q238" s="52"/>
    </row>
    <row r="239" spans="1:17" x14ac:dyDescent="0.25">
      <c r="A239" s="7"/>
      <c r="B239" s="38"/>
      <c r="C239" s="38"/>
      <c r="D239" s="38"/>
      <c r="E239" s="18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52"/>
    </row>
    <row r="240" spans="1:17" x14ac:dyDescent="0.25">
      <c r="A240" s="7"/>
      <c r="B240" s="38"/>
      <c r="C240" s="38"/>
      <c r="D240" s="38"/>
      <c r="E240" s="18"/>
      <c r="G240" s="42"/>
      <c r="H240" s="42"/>
      <c r="I240" s="42"/>
      <c r="J240" s="42"/>
      <c r="K240" s="42"/>
      <c r="L240" s="42"/>
      <c r="M240" s="42"/>
      <c r="N240" s="42"/>
      <c r="O240" s="42"/>
      <c r="P240" s="42"/>
      <c r="Q240" s="52"/>
    </row>
    <row r="241" spans="1:17" x14ac:dyDescent="0.25">
      <c r="A241" s="7"/>
      <c r="B241" s="38"/>
      <c r="C241" s="38"/>
      <c r="D241" s="38"/>
      <c r="E241" s="18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52"/>
    </row>
    <row r="242" spans="1:17" x14ac:dyDescent="0.25">
      <c r="A242" s="7"/>
      <c r="B242" s="38"/>
      <c r="C242" s="38"/>
      <c r="D242" s="38"/>
      <c r="E242" s="18"/>
      <c r="G242" s="42"/>
      <c r="H242" s="42"/>
      <c r="I242" s="42"/>
      <c r="J242" s="42"/>
      <c r="K242" s="42"/>
      <c r="L242" s="42"/>
      <c r="M242" s="42"/>
      <c r="N242" s="42"/>
      <c r="O242" s="42"/>
      <c r="P242" s="42"/>
      <c r="Q242" s="52"/>
    </row>
    <row r="243" spans="1:17" x14ac:dyDescent="0.25">
      <c r="A243" s="7"/>
      <c r="B243" s="38"/>
      <c r="C243" s="38"/>
      <c r="D243" s="38"/>
      <c r="E243" s="18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52"/>
    </row>
    <row r="244" spans="1:17" x14ac:dyDescent="0.25">
      <c r="A244" s="7"/>
      <c r="B244" s="38"/>
      <c r="C244" s="38"/>
      <c r="D244" s="38"/>
      <c r="E244" s="18"/>
      <c r="G244" s="42"/>
      <c r="H244" s="42"/>
      <c r="I244" s="42"/>
      <c r="J244" s="42"/>
      <c r="K244" s="42"/>
      <c r="L244" s="42"/>
      <c r="M244" s="42"/>
      <c r="N244" s="42"/>
      <c r="O244" s="42"/>
      <c r="P244" s="42"/>
      <c r="Q244" s="52"/>
    </row>
    <row r="245" spans="1:17" x14ac:dyDescent="0.25">
      <c r="A245" s="7"/>
      <c r="B245" s="38"/>
      <c r="C245" s="38"/>
      <c r="D245" s="38"/>
      <c r="E245" s="18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52"/>
    </row>
    <row r="246" spans="1:17" x14ac:dyDescent="0.25">
      <c r="A246" s="7"/>
      <c r="B246" s="38"/>
      <c r="C246" s="38"/>
      <c r="D246" s="38"/>
      <c r="E246" s="18"/>
      <c r="G246" s="42"/>
      <c r="H246" s="42"/>
      <c r="I246" s="42"/>
      <c r="J246" s="42"/>
      <c r="K246" s="42"/>
      <c r="L246" s="42"/>
      <c r="M246" s="42"/>
      <c r="N246" s="42"/>
      <c r="O246" s="42"/>
      <c r="P246" s="42"/>
      <c r="Q246" s="52"/>
    </row>
    <row r="247" spans="1:17" x14ac:dyDescent="0.25">
      <c r="A247" s="7"/>
      <c r="B247" s="38"/>
      <c r="C247" s="38"/>
      <c r="D247" s="38"/>
      <c r="E247" s="18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52"/>
    </row>
    <row r="248" spans="1:17" x14ac:dyDescent="0.25">
      <c r="A248" s="7"/>
      <c r="B248" s="38"/>
      <c r="C248" s="38"/>
      <c r="D248" s="38"/>
      <c r="E248" s="18"/>
      <c r="G248" s="42"/>
      <c r="H248" s="42"/>
      <c r="I248" s="42"/>
      <c r="J248" s="42"/>
      <c r="K248" s="42"/>
      <c r="L248" s="42"/>
      <c r="M248" s="42"/>
      <c r="N248" s="42"/>
      <c r="O248" s="42"/>
      <c r="P248" s="42"/>
      <c r="Q248" s="52"/>
    </row>
    <row r="249" spans="1:17" x14ac:dyDescent="0.25">
      <c r="A249" s="7"/>
      <c r="B249" s="38"/>
      <c r="C249" s="38"/>
      <c r="D249" s="38"/>
      <c r="E249" s="18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52"/>
    </row>
    <row r="250" spans="1:17" x14ac:dyDescent="0.25">
      <c r="A250" s="7"/>
      <c r="B250" s="38"/>
      <c r="C250" s="38"/>
      <c r="D250" s="38"/>
      <c r="E250" s="18"/>
      <c r="G250" s="42"/>
      <c r="H250" s="42"/>
      <c r="I250" s="42"/>
      <c r="J250" s="42"/>
      <c r="K250" s="42"/>
      <c r="L250" s="42"/>
      <c r="M250" s="42"/>
      <c r="N250" s="42"/>
      <c r="O250" s="42"/>
      <c r="P250" s="42"/>
      <c r="Q250" s="52"/>
    </row>
    <row r="251" spans="1:17" x14ac:dyDescent="0.25">
      <c r="A251" s="7"/>
      <c r="B251" s="38"/>
      <c r="C251" s="38"/>
      <c r="D251" s="38"/>
      <c r="E251" s="18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52"/>
    </row>
    <row r="252" spans="1:17" x14ac:dyDescent="0.25">
      <c r="A252" s="7"/>
      <c r="B252" s="38"/>
      <c r="C252" s="38"/>
      <c r="D252" s="38"/>
      <c r="E252" s="18"/>
      <c r="G252" s="42"/>
      <c r="H252" s="42"/>
      <c r="I252" s="42"/>
      <c r="J252" s="42"/>
      <c r="K252" s="42"/>
      <c r="L252" s="42"/>
      <c r="M252" s="42"/>
      <c r="N252" s="42"/>
      <c r="O252" s="42"/>
      <c r="P252" s="42"/>
      <c r="Q252" s="52"/>
    </row>
    <row r="253" spans="1:17" x14ac:dyDescent="0.25">
      <c r="A253" s="7"/>
      <c r="B253" s="38"/>
      <c r="C253" s="38"/>
      <c r="D253" s="38"/>
      <c r="E253" s="18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52"/>
    </row>
    <row r="254" spans="1:17" x14ac:dyDescent="0.25">
      <c r="A254" s="7"/>
      <c r="B254" s="38"/>
      <c r="C254" s="38"/>
      <c r="D254" s="38"/>
      <c r="E254" s="18"/>
      <c r="G254" s="42"/>
      <c r="H254" s="42"/>
      <c r="I254" s="42"/>
      <c r="J254" s="42"/>
      <c r="K254" s="42"/>
      <c r="L254" s="42"/>
      <c r="M254" s="42"/>
      <c r="N254" s="42"/>
      <c r="O254" s="42"/>
      <c r="P254" s="42"/>
      <c r="Q254" s="52"/>
    </row>
    <row r="255" spans="1:17" x14ac:dyDescent="0.25">
      <c r="A255" s="7"/>
      <c r="B255" s="38"/>
      <c r="C255" s="38"/>
      <c r="D255" s="38"/>
      <c r="E255" s="18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52"/>
    </row>
    <row r="256" spans="1:17" x14ac:dyDescent="0.25">
      <c r="A256" s="7"/>
      <c r="B256" s="38"/>
      <c r="C256" s="38"/>
      <c r="D256" s="38"/>
      <c r="E256" s="18"/>
      <c r="G256" s="42"/>
      <c r="H256" s="42"/>
      <c r="I256" s="42"/>
      <c r="J256" s="42"/>
      <c r="K256" s="42"/>
      <c r="L256" s="42"/>
      <c r="M256" s="42"/>
      <c r="N256" s="42"/>
      <c r="O256" s="42"/>
      <c r="P256" s="42"/>
      <c r="Q256" s="52"/>
    </row>
    <row r="257" spans="1:17" x14ac:dyDescent="0.25">
      <c r="A257" s="7"/>
      <c r="B257" s="38"/>
      <c r="C257" s="38"/>
      <c r="D257" s="38"/>
      <c r="E257" s="18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52"/>
    </row>
    <row r="258" spans="1:17" x14ac:dyDescent="0.25">
      <c r="A258" s="7"/>
      <c r="B258" s="38"/>
      <c r="C258" s="38"/>
      <c r="D258" s="38"/>
      <c r="E258" s="18"/>
      <c r="G258" s="42"/>
      <c r="H258" s="42"/>
      <c r="I258" s="42"/>
      <c r="J258" s="42"/>
      <c r="K258" s="42"/>
      <c r="L258" s="42"/>
      <c r="M258" s="42"/>
      <c r="N258" s="42"/>
      <c r="O258" s="42"/>
      <c r="P258" s="42"/>
      <c r="Q258" s="52"/>
    </row>
    <row r="259" spans="1:17" x14ac:dyDescent="0.25">
      <c r="A259" s="7"/>
      <c r="B259" s="38"/>
      <c r="C259" s="38"/>
      <c r="D259" s="38"/>
      <c r="E259" s="18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52"/>
    </row>
    <row r="260" spans="1:17" x14ac:dyDescent="0.25">
      <c r="A260" s="7"/>
      <c r="B260" s="38"/>
      <c r="C260" s="38"/>
      <c r="D260" s="38"/>
      <c r="E260" s="18"/>
      <c r="G260" s="42"/>
      <c r="H260" s="42"/>
      <c r="I260" s="42"/>
      <c r="J260" s="42"/>
      <c r="K260" s="42"/>
      <c r="L260" s="42"/>
      <c r="M260" s="42"/>
      <c r="N260" s="42"/>
      <c r="O260" s="42"/>
      <c r="P260" s="42"/>
      <c r="Q260" s="52"/>
    </row>
    <row r="261" spans="1:17" x14ac:dyDescent="0.25">
      <c r="A261" s="7"/>
      <c r="B261" s="38"/>
      <c r="C261" s="38"/>
      <c r="D261" s="38"/>
      <c r="E261" s="18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52"/>
    </row>
    <row r="262" spans="1:17" x14ac:dyDescent="0.25">
      <c r="A262" s="7"/>
      <c r="B262" s="38"/>
      <c r="C262" s="38"/>
      <c r="D262" s="38"/>
      <c r="E262" s="18"/>
      <c r="G262" s="42"/>
      <c r="H262" s="42"/>
      <c r="I262" s="42"/>
      <c r="J262" s="42"/>
      <c r="K262" s="42"/>
      <c r="L262" s="42"/>
      <c r="M262" s="42"/>
      <c r="N262" s="42"/>
      <c r="O262" s="42"/>
      <c r="P262" s="42"/>
      <c r="Q262" s="52"/>
    </row>
    <row r="263" spans="1:17" x14ac:dyDescent="0.25">
      <c r="A263" s="7"/>
      <c r="B263" s="38"/>
      <c r="C263" s="38"/>
      <c r="D263" s="38"/>
      <c r="E263" s="18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52"/>
    </row>
    <row r="264" spans="1:17" x14ac:dyDescent="0.25">
      <c r="A264" s="7"/>
      <c r="B264" s="38"/>
      <c r="C264" s="38"/>
      <c r="D264" s="38"/>
      <c r="E264" s="18"/>
      <c r="G264" s="42"/>
      <c r="H264" s="42"/>
      <c r="I264" s="42"/>
      <c r="J264" s="42"/>
      <c r="K264" s="42"/>
      <c r="L264" s="42"/>
      <c r="M264" s="42"/>
      <c r="N264" s="42"/>
      <c r="O264" s="42"/>
      <c r="P264" s="42"/>
      <c r="Q264" s="52"/>
    </row>
    <row r="265" spans="1:17" x14ac:dyDescent="0.25">
      <c r="A265" s="7"/>
      <c r="B265" s="15"/>
      <c r="C265" s="15"/>
      <c r="D265" s="15"/>
      <c r="E265" s="11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52"/>
    </row>
    <row r="266" spans="1:17" x14ac:dyDescent="0.25">
      <c r="A266" s="7"/>
      <c r="B266" s="15"/>
      <c r="C266" s="15"/>
      <c r="D266" s="15"/>
      <c r="E266" s="11"/>
      <c r="F266" s="42"/>
      <c r="G266" s="42"/>
      <c r="H266" s="42"/>
      <c r="I266" s="42"/>
      <c r="J266" s="42"/>
      <c r="K266" s="42"/>
      <c r="L266" s="42"/>
      <c r="M266" s="42"/>
      <c r="N266" s="42"/>
      <c r="O266" s="42"/>
      <c r="P266" s="42"/>
      <c r="Q266" s="52"/>
    </row>
    <row r="267" spans="1:17" x14ac:dyDescent="0.25">
      <c r="A267" s="7"/>
      <c r="B267" s="15"/>
      <c r="C267" s="15"/>
      <c r="D267" s="15"/>
      <c r="E267" s="11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52"/>
    </row>
    <row r="268" spans="1:17" x14ac:dyDescent="0.25">
      <c r="A268" s="7"/>
      <c r="B268" s="15"/>
      <c r="C268" s="15"/>
      <c r="D268" s="15"/>
      <c r="E268" s="11"/>
      <c r="F268" s="42"/>
      <c r="G268" s="42"/>
      <c r="H268" s="42"/>
      <c r="I268" s="42"/>
      <c r="J268" s="42"/>
      <c r="K268" s="42"/>
      <c r="L268" s="42"/>
      <c r="M268" s="42"/>
      <c r="N268" s="42"/>
      <c r="O268" s="42"/>
      <c r="P268" s="42"/>
      <c r="Q268" s="52"/>
    </row>
    <row r="269" spans="1:17" x14ac:dyDescent="0.25">
      <c r="A269" s="7"/>
      <c r="B269" s="15"/>
      <c r="C269" s="15"/>
      <c r="D269" s="15"/>
      <c r="E269" s="11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52"/>
    </row>
    <row r="270" spans="1:17" x14ac:dyDescent="0.25">
      <c r="A270" s="7"/>
      <c r="B270" s="15"/>
      <c r="C270" s="15"/>
      <c r="D270" s="15"/>
      <c r="E270" s="11"/>
      <c r="F270" s="42"/>
      <c r="G270" s="42"/>
      <c r="H270" s="42"/>
      <c r="I270" s="42"/>
      <c r="J270" s="42"/>
      <c r="K270" s="42"/>
      <c r="L270" s="42"/>
      <c r="M270" s="42"/>
      <c r="N270" s="42"/>
      <c r="O270" s="42"/>
      <c r="P270" s="42"/>
      <c r="Q270" s="52"/>
    </row>
    <row r="271" spans="1:17" x14ac:dyDescent="0.25">
      <c r="A271" s="7"/>
      <c r="B271" s="15"/>
      <c r="C271" s="15"/>
      <c r="D271" s="15"/>
      <c r="E271" s="11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52"/>
    </row>
    <row r="272" spans="1:17" x14ac:dyDescent="0.25">
      <c r="A272" s="7"/>
      <c r="B272" s="15"/>
      <c r="C272" s="15"/>
      <c r="D272" s="15"/>
      <c r="E272" s="11"/>
      <c r="F272" s="42"/>
      <c r="G272" s="42"/>
      <c r="H272" s="42"/>
      <c r="I272" s="42"/>
      <c r="J272" s="42"/>
      <c r="K272" s="42"/>
      <c r="L272" s="42"/>
      <c r="M272" s="42"/>
      <c r="N272" s="42"/>
      <c r="O272" s="42"/>
      <c r="P272" s="42"/>
      <c r="Q272" s="52"/>
    </row>
    <row r="273" spans="1:17" x14ac:dyDescent="0.25">
      <c r="A273" s="7"/>
      <c r="B273" s="15"/>
      <c r="C273" s="15"/>
      <c r="D273" s="15"/>
      <c r="E273" s="11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52"/>
    </row>
    <row r="274" spans="1:17" x14ac:dyDescent="0.25">
      <c r="A274" s="7"/>
      <c r="B274" s="15"/>
      <c r="C274" s="15"/>
      <c r="D274" s="15"/>
      <c r="E274" s="11"/>
      <c r="F274" s="42"/>
      <c r="G274" s="42"/>
      <c r="H274" s="42"/>
      <c r="I274" s="42"/>
      <c r="J274" s="42"/>
      <c r="K274" s="42"/>
      <c r="L274" s="42"/>
      <c r="M274" s="42"/>
      <c r="N274" s="42"/>
      <c r="O274" s="42"/>
      <c r="P274" s="42"/>
      <c r="Q274" s="52"/>
    </row>
    <row r="275" spans="1:17" x14ac:dyDescent="0.25">
      <c r="A275" s="7"/>
      <c r="B275" s="15"/>
      <c r="C275" s="15"/>
      <c r="D275" s="15"/>
      <c r="E275" s="11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52"/>
    </row>
    <row r="276" spans="1:17" x14ac:dyDescent="0.25">
      <c r="A276" s="7"/>
      <c r="B276" s="15"/>
      <c r="C276" s="15"/>
      <c r="D276" s="15"/>
      <c r="E276" s="11"/>
      <c r="F276" s="42"/>
      <c r="G276" s="42"/>
      <c r="H276" s="42"/>
      <c r="I276" s="42"/>
      <c r="J276" s="42"/>
      <c r="K276" s="42"/>
      <c r="L276" s="42"/>
      <c r="M276" s="42"/>
      <c r="N276" s="42"/>
      <c r="O276" s="42"/>
      <c r="P276" s="42"/>
      <c r="Q276" s="52"/>
    </row>
    <row r="277" spans="1:17" x14ac:dyDescent="0.25">
      <c r="A277" s="7"/>
      <c r="B277" s="15"/>
      <c r="C277" s="15"/>
      <c r="D277" s="15"/>
      <c r="E277" s="11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52"/>
    </row>
    <row r="278" spans="1:17" x14ac:dyDescent="0.25">
      <c r="A278" s="7"/>
      <c r="B278" s="15"/>
      <c r="C278" s="15"/>
      <c r="D278" s="15"/>
      <c r="E278" s="11"/>
      <c r="F278" s="42"/>
      <c r="G278" s="42"/>
      <c r="H278" s="42"/>
      <c r="I278" s="42"/>
      <c r="J278" s="42"/>
      <c r="K278" s="42"/>
      <c r="L278" s="42"/>
      <c r="M278" s="42"/>
      <c r="N278" s="42"/>
      <c r="O278" s="42"/>
      <c r="P278" s="42"/>
      <c r="Q278" s="52"/>
    </row>
    <row r="279" spans="1:17" x14ac:dyDescent="0.25">
      <c r="A279" s="7"/>
      <c r="B279" s="15"/>
      <c r="C279" s="15"/>
      <c r="D279" s="15"/>
      <c r="E279" s="11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52"/>
    </row>
    <row r="280" spans="1:17" x14ac:dyDescent="0.25">
      <c r="A280" s="7"/>
      <c r="B280" s="15"/>
      <c r="C280" s="15"/>
      <c r="D280" s="15"/>
      <c r="E280" s="11"/>
      <c r="F280" s="42"/>
      <c r="G280" s="42"/>
      <c r="H280" s="42"/>
      <c r="I280" s="42"/>
      <c r="J280" s="42"/>
      <c r="K280" s="42"/>
      <c r="L280" s="42"/>
      <c r="M280" s="42"/>
      <c r="N280" s="42"/>
      <c r="O280" s="42"/>
      <c r="P280" s="42"/>
      <c r="Q280" s="52"/>
    </row>
    <row r="281" spans="1:17" x14ac:dyDescent="0.25">
      <c r="A281" s="7"/>
      <c r="B281" s="15"/>
      <c r="C281" s="15"/>
      <c r="D281" s="15"/>
      <c r="E281" s="11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52"/>
    </row>
    <row r="282" spans="1:17" x14ac:dyDescent="0.25">
      <c r="A282" s="7"/>
      <c r="B282" s="15"/>
      <c r="C282" s="15"/>
      <c r="D282" s="15"/>
      <c r="E282" s="11"/>
      <c r="F282" s="42"/>
      <c r="G282" s="42"/>
      <c r="H282" s="42"/>
      <c r="I282" s="42"/>
      <c r="J282" s="42"/>
      <c r="K282" s="42"/>
      <c r="L282" s="42"/>
      <c r="M282" s="42"/>
      <c r="N282" s="42"/>
      <c r="O282" s="42"/>
      <c r="P282" s="42"/>
      <c r="Q282" s="52"/>
    </row>
    <row r="283" spans="1:17" x14ac:dyDescent="0.25">
      <c r="A283" s="7"/>
      <c r="B283" s="15"/>
      <c r="C283" s="15"/>
      <c r="D283" s="15"/>
      <c r="E283" s="11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42"/>
      <c r="Q283" s="52"/>
    </row>
    <row r="284" spans="1:17" x14ac:dyDescent="0.25">
      <c r="A284" s="7"/>
      <c r="B284" s="15"/>
      <c r="C284" s="15"/>
      <c r="D284" s="15"/>
      <c r="E284" s="11"/>
      <c r="F284" s="42"/>
      <c r="G284" s="42"/>
      <c r="H284" s="42"/>
      <c r="I284" s="42"/>
      <c r="J284" s="42"/>
      <c r="K284" s="42"/>
      <c r="L284" s="42"/>
      <c r="M284" s="42"/>
      <c r="N284" s="42"/>
      <c r="O284" s="42"/>
      <c r="P284" s="42"/>
      <c r="Q284" s="52"/>
    </row>
    <row r="285" spans="1:17" x14ac:dyDescent="0.25">
      <c r="A285" s="7"/>
      <c r="B285" s="15"/>
      <c r="C285" s="15"/>
      <c r="D285" s="15"/>
      <c r="E285" s="11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42"/>
      <c r="Q285" s="52"/>
    </row>
    <row r="286" spans="1:17" x14ac:dyDescent="0.25">
      <c r="A286" s="7"/>
      <c r="B286" s="15"/>
      <c r="C286" s="15"/>
      <c r="D286" s="15"/>
      <c r="E286" s="11"/>
      <c r="F286" s="42"/>
      <c r="G286" s="42"/>
      <c r="H286" s="42"/>
      <c r="I286" s="42"/>
      <c r="J286" s="42"/>
      <c r="K286" s="42"/>
      <c r="L286" s="42"/>
      <c r="M286" s="42"/>
      <c r="N286" s="42"/>
      <c r="O286" s="42"/>
      <c r="P286" s="42"/>
      <c r="Q286" s="52"/>
    </row>
    <row r="287" spans="1:17" x14ac:dyDescent="0.25">
      <c r="A287" s="7"/>
      <c r="B287" s="15"/>
      <c r="C287" s="15"/>
      <c r="D287" s="15"/>
      <c r="E287" s="11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42"/>
      <c r="Q287" s="52"/>
    </row>
    <row r="288" spans="1:17" x14ac:dyDescent="0.25">
      <c r="A288" s="7"/>
      <c r="B288" s="15"/>
      <c r="C288" s="15"/>
      <c r="D288" s="15"/>
      <c r="E288" s="11"/>
      <c r="F288" s="42"/>
      <c r="G288" s="42"/>
      <c r="H288" s="42"/>
      <c r="I288" s="42"/>
      <c r="J288" s="42"/>
      <c r="K288" s="42"/>
      <c r="L288" s="42"/>
      <c r="M288" s="42"/>
      <c r="N288" s="42"/>
      <c r="O288" s="42"/>
      <c r="P288" s="42"/>
      <c r="Q288" s="52"/>
    </row>
    <row r="289" spans="1:17" x14ac:dyDescent="0.25">
      <c r="A289" s="7"/>
      <c r="B289" s="15"/>
      <c r="C289" s="15"/>
      <c r="D289" s="15"/>
      <c r="E289" s="11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42"/>
      <c r="Q289" s="52"/>
    </row>
    <row r="290" spans="1:17" x14ac:dyDescent="0.25">
      <c r="A290" s="7"/>
      <c r="B290" s="15"/>
      <c r="C290" s="15"/>
      <c r="D290" s="15"/>
      <c r="E290" s="11"/>
      <c r="F290" s="42"/>
      <c r="G290" s="42"/>
      <c r="H290" s="42"/>
      <c r="I290" s="42"/>
      <c r="J290" s="42"/>
      <c r="K290" s="42"/>
      <c r="L290" s="42"/>
      <c r="M290" s="42"/>
      <c r="N290" s="42"/>
      <c r="O290" s="42"/>
      <c r="P290" s="42"/>
      <c r="Q290" s="52"/>
    </row>
    <row r="291" spans="1:17" x14ac:dyDescent="0.25">
      <c r="A291" s="7"/>
      <c r="B291" s="15"/>
      <c r="C291" s="15"/>
      <c r="D291" s="15"/>
      <c r="E291" s="11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42"/>
      <c r="Q291" s="52"/>
    </row>
    <row r="292" spans="1:17" x14ac:dyDescent="0.25">
      <c r="A292" s="7"/>
      <c r="B292" s="15"/>
      <c r="C292" s="15"/>
      <c r="D292" s="15"/>
      <c r="E292" s="11"/>
      <c r="F292" s="42"/>
      <c r="G292" s="42"/>
      <c r="H292" s="42"/>
      <c r="I292" s="42"/>
      <c r="J292" s="42"/>
      <c r="K292" s="42"/>
      <c r="L292" s="42"/>
      <c r="M292" s="42"/>
      <c r="N292" s="42"/>
      <c r="O292" s="42"/>
      <c r="P292" s="42"/>
      <c r="Q292" s="52"/>
    </row>
    <row r="293" spans="1:17" x14ac:dyDescent="0.25">
      <c r="A293" s="7"/>
      <c r="B293" s="15"/>
      <c r="C293" s="15"/>
      <c r="D293" s="15"/>
      <c r="E293" s="11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42"/>
      <c r="Q293" s="52"/>
    </row>
    <row r="294" spans="1:17" x14ac:dyDescent="0.25">
      <c r="A294" s="7"/>
      <c r="B294" s="15"/>
      <c r="C294" s="15"/>
      <c r="D294" s="15"/>
      <c r="E294" s="11"/>
      <c r="F294" s="42"/>
      <c r="G294" s="42"/>
      <c r="H294" s="42"/>
      <c r="I294" s="42"/>
      <c r="J294" s="42"/>
      <c r="K294" s="42"/>
      <c r="L294" s="42"/>
      <c r="M294" s="42"/>
      <c r="N294" s="42"/>
      <c r="O294" s="42"/>
      <c r="P294" s="42"/>
      <c r="Q294" s="52"/>
    </row>
    <row r="295" spans="1:17" x14ac:dyDescent="0.25">
      <c r="A295" s="7"/>
      <c r="B295" s="15"/>
      <c r="C295" s="15"/>
      <c r="D295" s="15"/>
      <c r="E295" s="11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42"/>
      <c r="Q295" s="52"/>
    </row>
    <row r="296" spans="1:17" x14ac:dyDescent="0.25">
      <c r="A296" s="7"/>
      <c r="B296" s="15"/>
      <c r="C296" s="15"/>
      <c r="D296" s="15"/>
      <c r="E296" s="11"/>
      <c r="F296" s="42"/>
      <c r="G296" s="42"/>
      <c r="H296" s="42"/>
      <c r="I296" s="42"/>
      <c r="J296" s="42"/>
      <c r="K296" s="42"/>
      <c r="L296" s="42"/>
      <c r="M296" s="42"/>
      <c r="N296" s="42"/>
      <c r="O296" s="42"/>
      <c r="P296" s="42"/>
      <c r="Q296" s="52"/>
    </row>
    <row r="297" spans="1:17" x14ac:dyDescent="0.25">
      <c r="A297" s="7"/>
      <c r="B297" s="15"/>
      <c r="C297" s="15"/>
      <c r="D297" s="15"/>
      <c r="E297" s="11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42"/>
      <c r="Q297" s="52"/>
    </row>
    <row r="298" spans="1:17" x14ac:dyDescent="0.25">
      <c r="A298" s="7"/>
      <c r="B298" s="15"/>
      <c r="C298" s="15"/>
      <c r="D298" s="15"/>
      <c r="E298" s="11"/>
      <c r="F298" s="45"/>
      <c r="G298" s="45"/>
      <c r="H298" s="45"/>
      <c r="I298" s="45"/>
      <c r="J298" s="42"/>
      <c r="K298" s="42"/>
      <c r="L298" s="42"/>
      <c r="M298" s="42"/>
      <c r="N298" s="42"/>
      <c r="O298" s="42"/>
      <c r="P298" s="42"/>
      <c r="Q298" s="52"/>
    </row>
    <row r="299" spans="1:17" x14ac:dyDescent="0.25">
      <c r="A299" s="7"/>
      <c r="B299" s="15"/>
      <c r="C299" s="15"/>
      <c r="D299" s="15"/>
      <c r="E299" s="11"/>
      <c r="F299" s="45"/>
      <c r="G299" s="45"/>
      <c r="H299" s="45"/>
      <c r="I299" s="45"/>
      <c r="J299" s="42"/>
      <c r="K299" s="42"/>
      <c r="L299" s="42"/>
      <c r="M299" s="42"/>
      <c r="N299" s="42"/>
      <c r="O299" s="42"/>
      <c r="P299" s="42"/>
      <c r="Q299" s="52"/>
    </row>
    <row r="300" spans="1:17" x14ac:dyDescent="0.25">
      <c r="A300" s="7"/>
      <c r="B300" s="15"/>
      <c r="C300" s="15"/>
      <c r="D300" s="15"/>
      <c r="E300" s="11"/>
      <c r="F300" s="45"/>
      <c r="G300" s="45"/>
      <c r="H300" s="45"/>
      <c r="I300" s="45"/>
      <c r="J300" s="42"/>
      <c r="K300" s="42"/>
      <c r="L300" s="42"/>
      <c r="M300" s="42"/>
      <c r="N300" s="42"/>
      <c r="O300" s="42"/>
      <c r="P300" s="42"/>
      <c r="Q300" s="52"/>
    </row>
    <row r="301" spans="1:17" x14ac:dyDescent="0.25">
      <c r="A301" s="7"/>
      <c r="B301" s="15"/>
      <c r="C301" s="15"/>
      <c r="D301" s="15"/>
      <c r="E301" s="11"/>
      <c r="F301" s="45"/>
      <c r="G301" s="45"/>
      <c r="H301" s="45"/>
      <c r="I301" s="45"/>
      <c r="J301" s="42"/>
      <c r="K301" s="42"/>
      <c r="L301" s="42"/>
      <c r="M301" s="42"/>
      <c r="N301" s="42"/>
      <c r="O301" s="42"/>
      <c r="P301" s="42"/>
      <c r="Q301" s="52"/>
    </row>
    <row r="302" spans="1:17" x14ac:dyDescent="0.25">
      <c r="A302" s="7"/>
      <c r="B302" s="15"/>
      <c r="C302" s="15"/>
      <c r="D302" s="15"/>
      <c r="E302" s="11"/>
      <c r="F302" s="45"/>
      <c r="G302" s="45"/>
      <c r="H302" s="45"/>
      <c r="I302" s="45"/>
      <c r="J302" s="42"/>
      <c r="K302" s="42"/>
      <c r="L302" s="42"/>
      <c r="M302" s="42"/>
      <c r="N302" s="42"/>
      <c r="O302" s="42"/>
      <c r="P302" s="42"/>
      <c r="Q302" s="52"/>
    </row>
    <row r="303" spans="1:17" x14ac:dyDescent="0.25">
      <c r="A303" s="7"/>
      <c r="B303" s="15"/>
      <c r="C303" s="15"/>
      <c r="D303" s="15"/>
      <c r="E303" s="11"/>
      <c r="F303" s="45"/>
      <c r="G303" s="45"/>
      <c r="H303" s="45"/>
      <c r="I303" s="45"/>
      <c r="J303" s="42"/>
      <c r="K303" s="42"/>
      <c r="L303" s="42"/>
      <c r="M303" s="42"/>
      <c r="N303" s="42"/>
      <c r="O303" s="42"/>
      <c r="P303" s="42"/>
      <c r="Q303" s="52"/>
    </row>
    <row r="304" spans="1:17" x14ac:dyDescent="0.25">
      <c r="A304" s="7"/>
      <c r="B304" s="15"/>
      <c r="C304" s="15"/>
      <c r="D304" s="15"/>
      <c r="E304" s="11"/>
      <c r="F304" s="45"/>
      <c r="G304" s="45"/>
      <c r="H304" s="45"/>
      <c r="I304" s="45"/>
      <c r="J304" s="42"/>
      <c r="K304" s="42"/>
      <c r="L304" s="42"/>
      <c r="M304" s="42"/>
      <c r="N304" s="42"/>
      <c r="O304" s="42"/>
      <c r="P304" s="42"/>
      <c r="Q304" s="52"/>
    </row>
    <row r="305" spans="1:17" x14ac:dyDescent="0.25">
      <c r="A305" s="7"/>
      <c r="B305" s="15"/>
      <c r="C305" s="15"/>
      <c r="D305" s="15"/>
      <c r="E305" s="11"/>
      <c r="F305" s="45"/>
      <c r="G305" s="45"/>
      <c r="H305" s="45"/>
      <c r="I305" s="45"/>
      <c r="J305" s="42"/>
      <c r="K305" s="42"/>
      <c r="L305" s="42"/>
      <c r="M305" s="42"/>
      <c r="N305" s="42"/>
      <c r="O305" s="42"/>
      <c r="P305" s="42"/>
      <c r="Q305" s="52"/>
    </row>
    <row r="306" spans="1:17" x14ac:dyDescent="0.25">
      <c r="A306" s="7"/>
      <c r="B306" s="15"/>
      <c r="C306" s="15"/>
      <c r="D306" s="15"/>
      <c r="E306" s="11"/>
      <c r="F306" s="45"/>
      <c r="G306" s="45"/>
      <c r="H306" s="45"/>
      <c r="I306" s="45"/>
      <c r="J306" s="42"/>
      <c r="K306" s="42"/>
      <c r="L306" s="42"/>
      <c r="M306" s="42"/>
      <c r="N306" s="42"/>
      <c r="O306" s="42"/>
      <c r="P306" s="42"/>
      <c r="Q306" s="52"/>
    </row>
    <row r="307" spans="1:17" x14ac:dyDescent="0.25">
      <c r="A307" s="7"/>
      <c r="B307" s="15"/>
      <c r="C307" s="15"/>
      <c r="D307" s="15"/>
      <c r="E307" s="11"/>
      <c r="F307" s="45"/>
      <c r="G307" s="45"/>
      <c r="H307" s="45"/>
      <c r="I307" s="45"/>
      <c r="J307" s="42"/>
      <c r="K307" s="42"/>
      <c r="L307" s="42"/>
      <c r="M307" s="42"/>
      <c r="N307" s="42"/>
      <c r="O307" s="42"/>
      <c r="P307" s="42"/>
      <c r="Q307" s="52"/>
    </row>
    <row r="308" spans="1:17" x14ac:dyDescent="0.25">
      <c r="A308" s="7"/>
      <c r="B308" s="15"/>
      <c r="C308" s="15"/>
      <c r="D308" s="15"/>
      <c r="E308" s="11"/>
      <c r="F308" s="45"/>
      <c r="G308" s="45"/>
      <c r="H308" s="45"/>
      <c r="I308" s="45"/>
      <c r="J308" s="42"/>
      <c r="K308" s="42"/>
      <c r="L308" s="42"/>
      <c r="M308" s="42"/>
      <c r="N308" s="42"/>
      <c r="O308" s="42"/>
      <c r="P308" s="42"/>
      <c r="Q308" s="52"/>
    </row>
    <row r="309" spans="1:17" x14ac:dyDescent="0.25">
      <c r="A309" s="7"/>
      <c r="B309" s="15"/>
      <c r="C309" s="15"/>
      <c r="D309" s="15"/>
      <c r="E309" s="11"/>
      <c r="F309" s="45"/>
      <c r="G309" s="45"/>
      <c r="H309" s="45"/>
      <c r="I309" s="45"/>
      <c r="J309" s="42"/>
      <c r="K309" s="42"/>
      <c r="L309" s="42"/>
      <c r="M309" s="42"/>
      <c r="N309" s="42"/>
      <c r="O309" s="42"/>
      <c r="P309" s="42"/>
      <c r="Q309" s="52"/>
    </row>
    <row r="310" spans="1:17" x14ac:dyDescent="0.25">
      <c r="A310" s="7"/>
      <c r="B310" s="15"/>
      <c r="C310" s="15"/>
      <c r="D310" s="15"/>
      <c r="E310" s="11"/>
      <c r="F310" s="45"/>
      <c r="G310" s="45"/>
      <c r="H310" s="45"/>
      <c r="I310" s="45"/>
      <c r="J310" s="42"/>
      <c r="K310" s="42"/>
      <c r="L310" s="42"/>
      <c r="M310" s="42"/>
      <c r="N310" s="42"/>
      <c r="O310" s="42"/>
      <c r="P310" s="42"/>
      <c r="Q310" s="52"/>
    </row>
    <row r="311" spans="1:17" x14ac:dyDescent="0.25">
      <c r="A311" s="7"/>
      <c r="B311" s="15"/>
      <c r="C311" s="15"/>
      <c r="D311" s="15"/>
      <c r="E311" s="11"/>
      <c r="F311" s="45"/>
      <c r="G311" s="45"/>
      <c r="H311" s="45"/>
      <c r="I311" s="45"/>
      <c r="J311" s="42"/>
      <c r="K311" s="42"/>
      <c r="L311" s="42"/>
      <c r="M311" s="42"/>
      <c r="N311" s="42"/>
      <c r="O311" s="42"/>
      <c r="P311" s="42"/>
      <c r="Q311" s="52"/>
    </row>
    <row r="312" spans="1:17" x14ac:dyDescent="0.25">
      <c r="A312" s="7"/>
      <c r="B312" s="15"/>
      <c r="C312" s="15"/>
      <c r="D312" s="15"/>
      <c r="E312" s="11"/>
      <c r="F312" s="45"/>
      <c r="G312" s="45"/>
      <c r="H312" s="45"/>
      <c r="I312" s="45"/>
      <c r="J312" s="42"/>
      <c r="K312" s="42"/>
      <c r="L312" s="42"/>
      <c r="M312" s="42"/>
      <c r="N312" s="42"/>
      <c r="O312" s="42"/>
      <c r="P312" s="42"/>
      <c r="Q312" s="52"/>
    </row>
    <row r="313" spans="1:17" x14ac:dyDescent="0.25">
      <c r="A313" s="7"/>
      <c r="B313" s="15"/>
      <c r="C313" s="15"/>
      <c r="D313" s="15"/>
      <c r="E313" s="11"/>
      <c r="F313" s="45"/>
      <c r="G313" s="45"/>
      <c r="H313" s="45"/>
      <c r="I313" s="45"/>
      <c r="J313" s="42"/>
      <c r="K313" s="42"/>
      <c r="L313" s="42"/>
      <c r="M313" s="42"/>
      <c r="N313" s="42"/>
      <c r="O313" s="42"/>
      <c r="P313" s="42"/>
      <c r="Q313" s="52"/>
    </row>
    <row r="314" spans="1:17" x14ac:dyDescent="0.25">
      <c r="A314" s="7"/>
      <c r="B314" s="15"/>
      <c r="C314" s="15"/>
      <c r="D314" s="15"/>
      <c r="E314" s="11"/>
      <c r="F314" s="45"/>
      <c r="G314" s="45"/>
      <c r="H314" s="45"/>
      <c r="I314" s="45"/>
      <c r="J314" s="42"/>
      <c r="K314" s="42"/>
      <c r="L314" s="42"/>
      <c r="M314" s="42"/>
      <c r="N314" s="42"/>
      <c r="O314" s="42"/>
      <c r="P314" s="42"/>
      <c r="Q314" s="52"/>
    </row>
    <row r="315" spans="1:17" x14ac:dyDescent="0.25">
      <c r="A315" s="7"/>
      <c r="B315" s="15"/>
      <c r="C315" s="15"/>
      <c r="D315" s="15"/>
      <c r="E315" s="11"/>
      <c r="F315" s="45"/>
      <c r="G315" s="45"/>
      <c r="H315" s="45"/>
      <c r="I315" s="45"/>
      <c r="J315" s="42"/>
      <c r="K315" s="42"/>
      <c r="L315" s="42"/>
      <c r="M315" s="42"/>
      <c r="N315" s="42"/>
      <c r="O315" s="42"/>
      <c r="P315" s="42"/>
      <c r="Q315" s="52"/>
    </row>
    <row r="316" spans="1:17" x14ac:dyDescent="0.25">
      <c r="A316" s="7"/>
      <c r="B316" s="15"/>
      <c r="C316" s="15"/>
      <c r="D316" s="15"/>
      <c r="E316" s="11"/>
      <c r="F316" s="45"/>
      <c r="G316" s="45"/>
      <c r="H316" s="45"/>
      <c r="I316" s="45"/>
      <c r="J316" s="42"/>
      <c r="K316" s="42"/>
      <c r="L316" s="42"/>
      <c r="M316" s="42"/>
      <c r="N316" s="42"/>
      <c r="O316" s="42"/>
      <c r="P316" s="42"/>
      <c r="Q316" s="52"/>
    </row>
    <row r="317" spans="1:17" x14ac:dyDescent="0.25">
      <c r="A317" s="7"/>
      <c r="B317" s="15"/>
      <c r="C317" s="15"/>
      <c r="D317" s="15"/>
      <c r="E317" s="11"/>
      <c r="F317" s="45"/>
      <c r="G317" s="45"/>
      <c r="H317" s="45"/>
      <c r="I317" s="45"/>
      <c r="J317" s="42"/>
      <c r="K317" s="42"/>
      <c r="L317" s="42"/>
      <c r="M317" s="42"/>
      <c r="N317" s="42"/>
      <c r="O317" s="42"/>
      <c r="P317" s="42"/>
      <c r="Q317" s="52"/>
    </row>
    <row r="318" spans="1:17" x14ac:dyDescent="0.25">
      <c r="A318" s="7"/>
      <c r="B318" s="15"/>
      <c r="C318" s="15"/>
      <c r="D318" s="15"/>
      <c r="E318" s="11"/>
      <c r="F318" s="45"/>
      <c r="G318" s="45"/>
      <c r="H318" s="45"/>
      <c r="I318" s="45"/>
      <c r="J318" s="42"/>
      <c r="K318" s="42"/>
      <c r="L318" s="42"/>
      <c r="M318" s="42"/>
      <c r="N318" s="42"/>
      <c r="O318" s="42"/>
      <c r="P318" s="42"/>
      <c r="Q318" s="52"/>
    </row>
    <row r="319" spans="1:17" x14ac:dyDescent="0.25">
      <c r="A319" s="7"/>
      <c r="B319" s="15"/>
      <c r="C319" s="15"/>
      <c r="D319" s="15"/>
      <c r="E319" s="11"/>
      <c r="F319" s="45"/>
      <c r="G319" s="45"/>
      <c r="H319" s="45"/>
      <c r="I319" s="45"/>
      <c r="J319" s="42"/>
      <c r="K319" s="42"/>
      <c r="L319" s="42"/>
      <c r="M319" s="42"/>
      <c r="N319" s="42"/>
      <c r="O319" s="42"/>
      <c r="P319" s="42"/>
      <c r="Q319" s="52"/>
    </row>
    <row r="320" spans="1:17" x14ac:dyDescent="0.25">
      <c r="A320" s="7"/>
      <c r="B320" s="15"/>
      <c r="C320" s="15"/>
      <c r="D320" s="15"/>
      <c r="E320" s="11"/>
      <c r="F320" s="45"/>
      <c r="G320" s="45"/>
      <c r="H320" s="45"/>
      <c r="I320" s="45"/>
      <c r="J320" s="42"/>
      <c r="K320" s="42"/>
      <c r="L320" s="42"/>
      <c r="M320" s="42"/>
      <c r="N320" s="42"/>
      <c r="O320" s="42"/>
      <c r="P320" s="42"/>
      <c r="Q320" s="52"/>
    </row>
    <row r="321" spans="1:17" x14ac:dyDescent="0.25">
      <c r="A321" s="7"/>
      <c r="B321" s="15"/>
      <c r="C321" s="15"/>
      <c r="D321" s="15"/>
      <c r="E321" s="11"/>
      <c r="F321" s="45"/>
      <c r="G321" s="45"/>
      <c r="H321" s="45"/>
      <c r="I321" s="45"/>
      <c r="J321" s="42"/>
      <c r="K321" s="42"/>
      <c r="L321" s="42"/>
      <c r="M321" s="42"/>
      <c r="N321" s="42"/>
      <c r="O321" s="42"/>
      <c r="P321" s="42"/>
      <c r="Q321" s="52"/>
    </row>
    <row r="322" spans="1:17" x14ac:dyDescent="0.25">
      <c r="A322" s="7"/>
      <c r="B322" s="15"/>
      <c r="C322" s="15"/>
      <c r="D322" s="15"/>
      <c r="E322" s="11"/>
      <c r="F322" s="45"/>
      <c r="G322" s="45"/>
      <c r="H322" s="45"/>
      <c r="I322" s="45"/>
      <c r="J322" s="42"/>
      <c r="K322" s="42"/>
      <c r="L322" s="42"/>
      <c r="M322" s="42"/>
      <c r="N322" s="42"/>
      <c r="O322" s="42"/>
      <c r="P322" s="42"/>
      <c r="Q322" s="52"/>
    </row>
    <row r="323" spans="1:17" x14ac:dyDescent="0.25">
      <c r="A323" s="7"/>
      <c r="B323" s="15"/>
      <c r="C323" s="15"/>
      <c r="D323" s="15"/>
      <c r="E323" s="11"/>
      <c r="F323" s="45"/>
      <c r="G323" s="45"/>
      <c r="H323" s="45"/>
      <c r="I323" s="45"/>
      <c r="J323" s="42"/>
      <c r="K323" s="42"/>
      <c r="L323" s="42"/>
      <c r="M323" s="42"/>
      <c r="N323" s="42"/>
      <c r="O323" s="42"/>
      <c r="P323" s="42"/>
      <c r="Q323" s="52"/>
    </row>
    <row r="324" spans="1:17" x14ac:dyDescent="0.25">
      <c r="A324" s="7"/>
      <c r="B324" s="15"/>
      <c r="C324" s="15"/>
      <c r="D324" s="15"/>
      <c r="E324" s="11"/>
      <c r="F324" s="45"/>
      <c r="G324" s="45"/>
      <c r="H324" s="45"/>
      <c r="I324" s="45"/>
      <c r="J324" s="42"/>
      <c r="K324" s="42"/>
      <c r="L324" s="42"/>
      <c r="M324" s="42"/>
      <c r="N324" s="42"/>
      <c r="O324" s="42"/>
      <c r="P324" s="42"/>
      <c r="Q324" s="52"/>
    </row>
    <row r="325" spans="1:17" x14ac:dyDescent="0.25">
      <c r="A325" s="7"/>
      <c r="B325" s="15"/>
      <c r="C325" s="15"/>
      <c r="D325" s="15"/>
      <c r="E325" s="11"/>
      <c r="F325" s="45"/>
      <c r="G325" s="45"/>
      <c r="H325" s="45"/>
      <c r="I325" s="45"/>
      <c r="J325" s="42"/>
      <c r="K325" s="42"/>
      <c r="L325" s="42"/>
      <c r="M325" s="42"/>
      <c r="N325" s="42"/>
      <c r="O325" s="42"/>
      <c r="P325" s="42"/>
      <c r="Q325" s="52"/>
    </row>
    <row r="326" spans="1:17" x14ac:dyDescent="0.25">
      <c r="A326" s="7"/>
      <c r="B326" s="15"/>
      <c r="C326" s="15"/>
      <c r="D326" s="15"/>
      <c r="E326" s="11"/>
      <c r="F326" s="45"/>
      <c r="G326" s="45"/>
      <c r="H326" s="45"/>
      <c r="I326" s="45"/>
      <c r="J326" s="42"/>
      <c r="K326" s="42"/>
      <c r="L326" s="42"/>
      <c r="M326" s="42"/>
      <c r="N326" s="42"/>
      <c r="O326" s="42"/>
      <c r="P326" s="42"/>
      <c r="Q326" s="52"/>
    </row>
    <row r="327" spans="1:17" x14ac:dyDescent="0.25">
      <c r="A327" s="7"/>
      <c r="B327" s="15"/>
      <c r="C327" s="15"/>
      <c r="D327" s="15"/>
      <c r="E327" s="11"/>
      <c r="F327" s="45"/>
      <c r="G327" s="45"/>
      <c r="H327" s="45"/>
      <c r="I327" s="45"/>
      <c r="J327" s="42"/>
      <c r="K327" s="42"/>
      <c r="L327" s="42"/>
      <c r="M327" s="42"/>
      <c r="N327" s="42"/>
      <c r="O327" s="42"/>
      <c r="P327" s="42"/>
      <c r="Q327" s="52"/>
    </row>
    <row r="328" spans="1:17" x14ac:dyDescent="0.25">
      <c r="A328" s="7"/>
      <c r="B328" s="15"/>
      <c r="C328" s="15"/>
      <c r="D328" s="15"/>
      <c r="E328" s="11"/>
      <c r="F328" s="45"/>
      <c r="G328" s="45"/>
      <c r="H328" s="45"/>
      <c r="I328" s="45"/>
      <c r="J328" s="42"/>
      <c r="K328" s="42"/>
      <c r="L328" s="42"/>
      <c r="M328" s="42"/>
      <c r="N328" s="42"/>
      <c r="O328" s="42"/>
      <c r="P328" s="42"/>
      <c r="Q328" s="52"/>
    </row>
    <row r="329" spans="1:17" x14ac:dyDescent="0.25">
      <c r="A329" s="7"/>
      <c r="B329" s="15"/>
      <c r="C329" s="15"/>
      <c r="D329" s="15"/>
      <c r="E329" s="11"/>
      <c r="F329" s="45"/>
      <c r="G329" s="45"/>
      <c r="H329" s="45"/>
      <c r="I329" s="45"/>
      <c r="J329" s="42"/>
      <c r="K329" s="42"/>
      <c r="L329" s="42"/>
      <c r="M329" s="42"/>
      <c r="N329" s="42"/>
      <c r="O329" s="42"/>
      <c r="P329" s="42"/>
      <c r="Q329" s="52"/>
    </row>
    <row r="330" spans="1:17" x14ac:dyDescent="0.25">
      <c r="A330" s="7"/>
      <c r="B330" s="15"/>
      <c r="C330" s="15"/>
      <c r="D330" s="15"/>
      <c r="E330" s="11"/>
      <c r="F330" s="45"/>
      <c r="G330" s="45"/>
      <c r="H330" s="45"/>
      <c r="I330" s="45"/>
      <c r="J330" s="42"/>
      <c r="K330" s="42"/>
      <c r="L330" s="42"/>
      <c r="M330" s="42"/>
      <c r="N330" s="42"/>
      <c r="O330" s="42"/>
      <c r="P330" s="42"/>
      <c r="Q330" s="52"/>
    </row>
    <row r="331" spans="1:17" x14ac:dyDescent="0.25">
      <c r="A331" s="7"/>
      <c r="B331" s="15"/>
      <c r="C331" s="15"/>
      <c r="D331" s="15"/>
      <c r="E331" s="11"/>
      <c r="F331" s="45"/>
      <c r="G331" s="45"/>
      <c r="H331" s="45"/>
      <c r="I331" s="45"/>
      <c r="J331" s="42"/>
      <c r="K331" s="42"/>
      <c r="L331" s="42"/>
      <c r="M331" s="42"/>
      <c r="N331" s="42"/>
      <c r="O331" s="42"/>
      <c r="P331" s="42"/>
      <c r="Q331" s="52"/>
    </row>
    <row r="332" spans="1:17" x14ac:dyDescent="0.25">
      <c r="A332" s="7"/>
      <c r="B332" s="15"/>
      <c r="C332" s="15"/>
      <c r="D332" s="15"/>
      <c r="E332" s="11"/>
      <c r="F332" s="45"/>
      <c r="G332" s="45"/>
      <c r="H332" s="45"/>
      <c r="I332" s="45"/>
      <c r="J332" s="42"/>
      <c r="K332" s="42"/>
      <c r="L332" s="42"/>
      <c r="M332" s="42"/>
      <c r="N332" s="42"/>
      <c r="O332" s="42"/>
      <c r="P332" s="42"/>
      <c r="Q332" s="52"/>
    </row>
    <row r="333" spans="1:17" x14ac:dyDescent="0.25">
      <c r="A333" s="7"/>
      <c r="B333" s="15"/>
      <c r="C333" s="15"/>
      <c r="D333" s="15"/>
      <c r="E333" s="11"/>
      <c r="F333" s="45"/>
      <c r="G333" s="45"/>
      <c r="H333" s="45"/>
      <c r="I333" s="45"/>
      <c r="J333" s="42"/>
      <c r="K333" s="42"/>
      <c r="L333" s="42"/>
      <c r="M333" s="42"/>
      <c r="N333" s="42"/>
      <c r="O333" s="42"/>
      <c r="P333" s="42"/>
      <c r="Q333" s="52"/>
    </row>
    <row r="334" spans="1:17" x14ac:dyDescent="0.25">
      <c r="A334" s="7"/>
      <c r="B334" s="15"/>
      <c r="C334" s="15"/>
      <c r="D334" s="15"/>
      <c r="E334" s="11"/>
      <c r="F334" s="45"/>
      <c r="G334" s="45"/>
      <c r="H334" s="45"/>
      <c r="I334" s="45"/>
      <c r="J334" s="42"/>
      <c r="K334" s="42"/>
      <c r="L334" s="42"/>
      <c r="M334" s="42"/>
      <c r="N334" s="42"/>
      <c r="O334" s="42"/>
      <c r="P334" s="42"/>
      <c r="Q334" s="52"/>
    </row>
    <row r="335" spans="1:17" x14ac:dyDescent="0.25">
      <c r="A335" s="7"/>
      <c r="B335" s="15"/>
      <c r="C335" s="15"/>
      <c r="D335" s="15"/>
      <c r="E335" s="11"/>
      <c r="F335" s="45"/>
      <c r="G335" s="45"/>
      <c r="H335" s="45"/>
      <c r="I335" s="45"/>
      <c r="J335" s="42"/>
      <c r="K335" s="42"/>
      <c r="L335" s="42"/>
      <c r="M335" s="42"/>
      <c r="N335" s="42"/>
      <c r="O335" s="42"/>
      <c r="P335" s="42"/>
      <c r="Q335" s="52"/>
    </row>
    <row r="336" spans="1:17" x14ac:dyDescent="0.25">
      <c r="A336" s="7"/>
      <c r="B336" s="15"/>
      <c r="C336" s="15"/>
      <c r="D336" s="15"/>
      <c r="E336" s="11"/>
      <c r="F336" s="45"/>
      <c r="G336" s="45"/>
      <c r="H336" s="45"/>
      <c r="I336" s="45"/>
      <c r="J336" s="42"/>
      <c r="K336" s="42"/>
      <c r="L336" s="42"/>
      <c r="M336" s="42"/>
      <c r="N336" s="42"/>
      <c r="O336" s="42"/>
      <c r="P336" s="42"/>
      <c r="Q336" s="52"/>
    </row>
    <row r="337" spans="1:17" x14ac:dyDescent="0.25">
      <c r="A337" s="7"/>
      <c r="B337" s="15"/>
      <c r="C337" s="15"/>
      <c r="D337" s="15"/>
      <c r="E337" s="11"/>
      <c r="F337" s="45"/>
      <c r="G337" s="45"/>
      <c r="H337" s="45"/>
      <c r="I337" s="45"/>
      <c r="J337" s="42"/>
      <c r="K337" s="42"/>
      <c r="L337" s="42"/>
      <c r="M337" s="42"/>
      <c r="N337" s="42"/>
      <c r="O337" s="42"/>
      <c r="P337" s="42"/>
      <c r="Q337" s="52"/>
    </row>
    <row r="338" spans="1:17" x14ac:dyDescent="0.25">
      <c r="A338" s="7"/>
      <c r="B338" s="15"/>
      <c r="C338" s="15"/>
      <c r="D338" s="15"/>
      <c r="E338" s="11"/>
      <c r="F338" s="45"/>
      <c r="G338" s="45"/>
      <c r="H338" s="45"/>
      <c r="I338" s="45"/>
      <c r="J338" s="42"/>
      <c r="K338" s="42"/>
      <c r="L338" s="42"/>
      <c r="M338" s="42"/>
      <c r="N338" s="42"/>
      <c r="O338" s="42"/>
      <c r="P338" s="42"/>
      <c r="Q338" s="52"/>
    </row>
    <row r="339" spans="1:17" x14ac:dyDescent="0.25">
      <c r="A339" s="7"/>
      <c r="B339" s="15"/>
      <c r="C339" s="15"/>
      <c r="D339" s="15"/>
      <c r="E339" s="11"/>
      <c r="F339" s="45"/>
      <c r="G339" s="45"/>
      <c r="H339" s="45"/>
      <c r="I339" s="45"/>
      <c r="J339" s="42"/>
      <c r="K339" s="42"/>
      <c r="L339" s="42"/>
      <c r="M339" s="42"/>
      <c r="N339" s="42"/>
      <c r="O339" s="42"/>
      <c r="P339" s="42"/>
      <c r="Q339" s="52"/>
    </row>
    <row r="340" spans="1:17" x14ac:dyDescent="0.25">
      <c r="A340" s="7"/>
      <c r="B340" s="15"/>
      <c r="C340" s="15"/>
      <c r="D340" s="15"/>
      <c r="E340" s="11"/>
      <c r="F340" s="45"/>
      <c r="G340" s="45"/>
      <c r="H340" s="45"/>
      <c r="I340" s="45"/>
      <c r="J340" s="42"/>
      <c r="K340" s="42"/>
      <c r="L340" s="42"/>
      <c r="M340" s="42"/>
      <c r="N340" s="42"/>
      <c r="O340" s="42"/>
      <c r="P340" s="42"/>
      <c r="Q340" s="52"/>
    </row>
    <row r="341" spans="1:17" x14ac:dyDescent="0.25">
      <c r="A341" s="7"/>
      <c r="B341" s="15"/>
      <c r="C341" s="15"/>
      <c r="D341" s="15"/>
      <c r="E341" s="11"/>
      <c r="F341" s="45"/>
      <c r="G341" s="45"/>
      <c r="H341" s="45"/>
      <c r="I341" s="45"/>
      <c r="J341" s="42"/>
      <c r="K341" s="42"/>
      <c r="L341" s="42"/>
      <c r="M341" s="42"/>
      <c r="N341" s="42"/>
      <c r="O341" s="42"/>
      <c r="P341" s="42"/>
      <c r="Q341" s="52"/>
    </row>
    <row r="342" spans="1:17" x14ac:dyDescent="0.25">
      <c r="A342" s="7"/>
      <c r="B342" s="15"/>
      <c r="C342" s="15"/>
      <c r="D342" s="15"/>
      <c r="E342" s="11"/>
      <c r="F342" s="45"/>
      <c r="G342" s="45"/>
      <c r="H342" s="45"/>
      <c r="I342" s="45"/>
      <c r="J342" s="42"/>
      <c r="K342" s="42"/>
      <c r="L342" s="42"/>
      <c r="M342" s="42"/>
      <c r="N342" s="42"/>
      <c r="O342" s="42"/>
      <c r="P342" s="42"/>
      <c r="Q342" s="52"/>
    </row>
    <row r="343" spans="1:17" x14ac:dyDescent="0.25">
      <c r="A343" s="7"/>
      <c r="B343" s="15"/>
      <c r="C343" s="15"/>
      <c r="D343" s="15"/>
      <c r="E343" s="11"/>
      <c r="F343" s="45"/>
      <c r="G343" s="45"/>
      <c r="H343" s="45"/>
      <c r="I343" s="45"/>
      <c r="J343" s="42"/>
      <c r="K343" s="42"/>
      <c r="L343" s="42"/>
      <c r="M343" s="42"/>
      <c r="N343" s="42"/>
      <c r="O343" s="42"/>
      <c r="P343" s="42"/>
      <c r="Q343" s="52"/>
    </row>
    <row r="344" spans="1:17" x14ac:dyDescent="0.25">
      <c r="A344" s="7"/>
      <c r="B344" s="15"/>
      <c r="C344" s="15"/>
      <c r="D344" s="15"/>
      <c r="E344" s="11"/>
      <c r="F344" s="45"/>
      <c r="G344" s="45"/>
      <c r="H344" s="45"/>
      <c r="I344" s="45"/>
      <c r="J344" s="42"/>
      <c r="K344" s="42"/>
      <c r="L344" s="42"/>
      <c r="M344" s="42"/>
      <c r="N344" s="42"/>
      <c r="O344" s="42"/>
      <c r="P344" s="42"/>
      <c r="Q344" s="52"/>
    </row>
    <row r="345" spans="1:17" x14ac:dyDescent="0.25">
      <c r="A345" s="7"/>
      <c r="B345" s="15"/>
      <c r="C345" s="15"/>
      <c r="D345" s="15"/>
      <c r="E345" s="11"/>
      <c r="F345" s="45"/>
      <c r="G345" s="45"/>
      <c r="H345" s="45"/>
      <c r="I345" s="45"/>
      <c r="J345" s="42"/>
      <c r="K345" s="42"/>
      <c r="L345" s="42"/>
      <c r="M345" s="42"/>
      <c r="N345" s="42"/>
      <c r="O345" s="42"/>
      <c r="P345" s="42"/>
      <c r="Q345" s="52"/>
    </row>
    <row r="346" spans="1:17" x14ac:dyDescent="0.25">
      <c r="A346" s="7"/>
      <c r="B346" s="15"/>
      <c r="C346" s="15"/>
      <c r="D346" s="15"/>
      <c r="E346" s="11"/>
      <c r="F346" s="45"/>
      <c r="G346" s="45"/>
      <c r="H346" s="45"/>
      <c r="I346" s="45"/>
      <c r="J346" s="42"/>
      <c r="K346" s="42"/>
      <c r="L346" s="42"/>
      <c r="M346" s="42"/>
      <c r="N346" s="42"/>
      <c r="O346" s="42"/>
      <c r="P346" s="42"/>
      <c r="Q346" s="52"/>
    </row>
    <row r="347" spans="1:17" x14ac:dyDescent="0.25">
      <c r="A347" s="7"/>
      <c r="B347" s="15"/>
      <c r="C347" s="15"/>
      <c r="D347" s="15"/>
      <c r="E347" s="11"/>
      <c r="F347" s="45"/>
      <c r="G347" s="45"/>
      <c r="H347" s="45"/>
      <c r="I347" s="45"/>
      <c r="J347" s="42"/>
      <c r="K347" s="42"/>
      <c r="L347" s="42"/>
      <c r="M347" s="42"/>
      <c r="N347" s="42"/>
      <c r="O347" s="42"/>
      <c r="P347" s="42"/>
      <c r="Q347" s="52"/>
    </row>
    <row r="348" spans="1:17" x14ac:dyDescent="0.25">
      <c r="A348" s="7"/>
      <c r="B348" s="15"/>
      <c r="C348" s="15"/>
      <c r="D348" s="15"/>
      <c r="E348" s="11"/>
      <c r="F348" s="45"/>
      <c r="G348" s="45"/>
      <c r="H348" s="45"/>
      <c r="I348" s="45"/>
      <c r="J348" s="42"/>
      <c r="K348" s="42"/>
      <c r="L348" s="42"/>
      <c r="M348" s="42"/>
      <c r="N348" s="42"/>
      <c r="O348" s="42"/>
      <c r="P348" s="42"/>
      <c r="Q348" s="52"/>
    </row>
    <row r="349" spans="1:17" x14ac:dyDescent="0.25">
      <c r="A349" s="7"/>
      <c r="B349" s="15"/>
      <c r="C349" s="15"/>
      <c r="D349" s="15"/>
      <c r="E349" s="11"/>
      <c r="F349" s="45"/>
      <c r="G349" s="45"/>
      <c r="H349" s="45"/>
      <c r="I349" s="45"/>
      <c r="J349" s="42"/>
      <c r="K349" s="42"/>
      <c r="L349" s="42"/>
      <c r="M349" s="42"/>
      <c r="N349" s="42"/>
      <c r="O349" s="42"/>
      <c r="P349" s="42"/>
      <c r="Q349" s="52"/>
    </row>
    <row r="350" spans="1:17" x14ac:dyDescent="0.25">
      <c r="A350" s="7"/>
      <c r="B350" s="15"/>
      <c r="C350" s="15"/>
      <c r="D350" s="15"/>
      <c r="E350" s="11"/>
      <c r="F350" s="45"/>
      <c r="G350" s="45"/>
      <c r="H350" s="45"/>
      <c r="I350" s="45"/>
      <c r="J350" s="42"/>
      <c r="K350" s="42"/>
      <c r="L350" s="42"/>
      <c r="M350" s="42"/>
      <c r="N350" s="42"/>
      <c r="O350" s="42"/>
      <c r="P350" s="42"/>
      <c r="Q350" s="52"/>
    </row>
    <row r="351" spans="1:17" x14ac:dyDescent="0.25">
      <c r="A351" s="7"/>
      <c r="B351" s="15"/>
      <c r="C351" s="15"/>
      <c r="D351" s="15"/>
      <c r="E351" s="11"/>
      <c r="F351" s="45"/>
      <c r="G351" s="45"/>
      <c r="H351" s="45"/>
      <c r="I351" s="45"/>
      <c r="J351" s="42"/>
      <c r="K351" s="42"/>
      <c r="L351" s="42"/>
      <c r="M351" s="42"/>
      <c r="N351" s="42"/>
      <c r="O351" s="42"/>
      <c r="P351" s="42"/>
      <c r="Q351" s="52"/>
    </row>
    <row r="352" spans="1:17" x14ac:dyDescent="0.25">
      <c r="A352" s="7"/>
      <c r="B352" s="15"/>
      <c r="C352" s="15"/>
      <c r="D352" s="15"/>
      <c r="E352" s="11"/>
      <c r="F352" s="45"/>
      <c r="G352" s="45"/>
      <c r="H352" s="45"/>
      <c r="I352" s="45"/>
      <c r="J352" s="42"/>
      <c r="K352" s="42"/>
      <c r="L352" s="42"/>
      <c r="M352" s="42"/>
      <c r="N352" s="42"/>
      <c r="O352" s="42"/>
      <c r="P352" s="42"/>
      <c r="Q352" s="52"/>
    </row>
    <row r="353" spans="1:17" x14ac:dyDescent="0.25">
      <c r="A353" s="7"/>
      <c r="B353" s="15"/>
      <c r="C353" s="15"/>
      <c r="D353" s="15"/>
      <c r="E353" s="11"/>
      <c r="F353" s="45"/>
      <c r="G353" s="45"/>
      <c r="H353" s="45"/>
      <c r="I353" s="45"/>
      <c r="J353" s="42"/>
      <c r="K353" s="42"/>
      <c r="L353" s="42"/>
      <c r="M353" s="42"/>
      <c r="N353" s="42"/>
      <c r="O353" s="42"/>
      <c r="P353" s="42"/>
      <c r="Q353" s="52"/>
    </row>
    <row r="354" spans="1:17" x14ac:dyDescent="0.25">
      <c r="A354" s="7"/>
      <c r="B354" s="15"/>
      <c r="C354" s="15"/>
      <c r="D354" s="15"/>
      <c r="E354" s="11"/>
      <c r="F354" s="45"/>
      <c r="G354" s="45"/>
      <c r="H354" s="45"/>
      <c r="I354" s="45"/>
      <c r="J354" s="42"/>
      <c r="K354" s="42"/>
      <c r="L354" s="42"/>
      <c r="M354" s="42"/>
      <c r="N354" s="42"/>
      <c r="O354" s="42"/>
      <c r="P354" s="42"/>
      <c r="Q354" s="52"/>
    </row>
    <row r="355" spans="1:17" x14ac:dyDescent="0.25">
      <c r="A355" s="7"/>
      <c r="B355" s="15"/>
      <c r="C355" s="15"/>
      <c r="D355" s="15"/>
      <c r="E355" s="11"/>
      <c r="F355" s="45"/>
      <c r="G355" s="45"/>
      <c r="H355" s="45"/>
      <c r="I355" s="45"/>
      <c r="J355" s="42"/>
      <c r="K355" s="42"/>
      <c r="L355" s="42"/>
      <c r="M355" s="42"/>
      <c r="N355" s="42"/>
      <c r="O355" s="42"/>
      <c r="P355" s="42"/>
      <c r="Q355" s="52"/>
    </row>
    <row r="356" spans="1:17" x14ac:dyDescent="0.25">
      <c r="A356" s="7"/>
      <c r="B356" s="15"/>
      <c r="C356" s="15"/>
      <c r="D356" s="15"/>
      <c r="E356" s="11"/>
      <c r="F356" s="45"/>
      <c r="G356" s="45"/>
      <c r="H356" s="45"/>
      <c r="I356" s="45"/>
      <c r="J356" s="42"/>
      <c r="K356" s="42"/>
      <c r="L356" s="42"/>
      <c r="M356" s="42"/>
      <c r="N356" s="42"/>
      <c r="O356" s="42"/>
      <c r="P356" s="42"/>
      <c r="Q356" s="52"/>
    </row>
    <row r="357" spans="1:17" x14ac:dyDescent="0.25">
      <c r="A357" s="7"/>
      <c r="B357" s="15"/>
      <c r="C357" s="15"/>
      <c r="D357" s="15"/>
      <c r="E357" s="11"/>
      <c r="F357" s="45"/>
      <c r="G357" s="45"/>
      <c r="H357" s="45"/>
      <c r="I357" s="45"/>
      <c r="J357" s="42"/>
      <c r="K357" s="42"/>
      <c r="L357" s="42"/>
      <c r="M357" s="42"/>
      <c r="N357" s="42"/>
      <c r="O357" s="42"/>
      <c r="P357" s="42"/>
      <c r="Q357" s="52"/>
    </row>
    <row r="358" spans="1:17" x14ac:dyDescent="0.25">
      <c r="A358" s="7"/>
      <c r="B358" s="15"/>
      <c r="C358" s="15"/>
      <c r="D358" s="15"/>
      <c r="E358" s="11"/>
      <c r="F358" s="45"/>
      <c r="G358" s="45"/>
      <c r="H358" s="45"/>
      <c r="I358" s="45"/>
      <c r="J358" s="42"/>
      <c r="K358" s="42"/>
      <c r="L358" s="42"/>
      <c r="M358" s="42"/>
      <c r="N358" s="42"/>
      <c r="O358" s="42"/>
      <c r="P358" s="42"/>
      <c r="Q358" s="52"/>
    </row>
    <row r="359" spans="1:17" x14ac:dyDescent="0.25">
      <c r="A359" s="7"/>
      <c r="B359" s="15"/>
      <c r="C359" s="15"/>
      <c r="D359" s="15"/>
      <c r="E359" s="11"/>
      <c r="F359" s="45"/>
      <c r="G359" s="45"/>
      <c r="H359" s="45"/>
      <c r="I359" s="45"/>
      <c r="J359" s="42"/>
      <c r="K359" s="42"/>
      <c r="L359" s="42"/>
      <c r="M359" s="42"/>
      <c r="N359" s="42"/>
      <c r="O359" s="42"/>
      <c r="P359" s="42"/>
      <c r="Q359" s="52"/>
    </row>
    <row r="360" spans="1:17" x14ac:dyDescent="0.25">
      <c r="A360" s="7"/>
      <c r="B360" s="15"/>
      <c r="C360" s="15"/>
      <c r="D360" s="15"/>
      <c r="E360" s="11"/>
      <c r="F360" s="45"/>
      <c r="G360" s="45"/>
      <c r="H360" s="45"/>
      <c r="I360" s="45"/>
      <c r="J360" s="42"/>
      <c r="K360" s="42"/>
      <c r="L360" s="42"/>
      <c r="M360" s="42"/>
      <c r="N360" s="42"/>
      <c r="O360" s="42"/>
      <c r="P360" s="42"/>
      <c r="Q360" s="52"/>
    </row>
    <row r="361" spans="1:17" x14ac:dyDescent="0.25">
      <c r="A361" s="7"/>
      <c r="B361" s="15"/>
      <c r="C361" s="15"/>
      <c r="D361" s="15"/>
      <c r="E361" s="11"/>
      <c r="F361" s="45"/>
      <c r="G361" s="45"/>
      <c r="H361" s="45"/>
      <c r="I361" s="45"/>
      <c r="J361" s="42"/>
      <c r="K361" s="42"/>
      <c r="L361" s="42"/>
      <c r="M361" s="42"/>
      <c r="N361" s="42"/>
      <c r="O361" s="42"/>
      <c r="P361" s="42"/>
      <c r="Q361" s="52"/>
    </row>
    <row r="362" spans="1:17" x14ac:dyDescent="0.25">
      <c r="A362" s="7"/>
      <c r="B362" s="15"/>
      <c r="C362" s="15"/>
      <c r="D362" s="15"/>
      <c r="E362" s="11"/>
      <c r="F362" s="45"/>
      <c r="G362" s="45"/>
      <c r="H362" s="45"/>
      <c r="I362" s="45"/>
      <c r="J362" s="42"/>
      <c r="K362" s="42"/>
      <c r="L362" s="42"/>
      <c r="M362" s="42"/>
      <c r="N362" s="42"/>
      <c r="O362" s="42"/>
      <c r="P362" s="42"/>
      <c r="Q362" s="52"/>
    </row>
    <row r="363" spans="1:17" x14ac:dyDescent="0.25">
      <c r="A363" s="7"/>
      <c r="B363" s="15"/>
      <c r="C363" s="15"/>
      <c r="D363" s="15"/>
      <c r="E363" s="11"/>
      <c r="F363" s="45"/>
      <c r="G363" s="45"/>
      <c r="H363" s="45"/>
      <c r="I363" s="45"/>
      <c r="J363" s="42"/>
      <c r="K363" s="42"/>
      <c r="L363" s="42"/>
      <c r="M363" s="42"/>
      <c r="N363" s="42"/>
      <c r="O363" s="42"/>
      <c r="P363" s="42"/>
      <c r="Q363" s="52"/>
    </row>
    <row r="364" spans="1:17" x14ac:dyDescent="0.25">
      <c r="A364" s="7"/>
      <c r="B364" s="15"/>
      <c r="C364" s="15"/>
      <c r="D364" s="15"/>
      <c r="E364" s="11"/>
      <c r="F364" s="45"/>
      <c r="G364" s="45"/>
      <c r="H364" s="45"/>
      <c r="I364" s="45"/>
      <c r="J364" s="42"/>
      <c r="K364" s="42"/>
      <c r="L364" s="42"/>
      <c r="M364" s="42"/>
      <c r="N364" s="42"/>
      <c r="O364" s="42"/>
      <c r="P364" s="42"/>
      <c r="Q364" s="52"/>
    </row>
    <row r="365" spans="1:17" x14ac:dyDescent="0.25">
      <c r="A365" s="7"/>
      <c r="B365" s="15"/>
      <c r="C365" s="15"/>
      <c r="D365" s="15"/>
      <c r="E365" s="11"/>
      <c r="F365" s="45"/>
      <c r="G365" s="45"/>
      <c r="H365" s="45"/>
      <c r="I365" s="45"/>
      <c r="J365" s="42"/>
      <c r="K365" s="42"/>
      <c r="L365" s="42"/>
      <c r="M365" s="42"/>
      <c r="N365" s="42"/>
      <c r="O365" s="42"/>
      <c r="P365" s="42"/>
      <c r="Q365" s="52"/>
    </row>
    <row r="366" spans="1:17" x14ac:dyDescent="0.25">
      <c r="A366" s="7"/>
      <c r="B366" s="15"/>
      <c r="C366" s="15"/>
      <c r="D366" s="15"/>
      <c r="E366" s="11"/>
      <c r="F366" s="45"/>
      <c r="G366" s="45"/>
      <c r="H366" s="45"/>
      <c r="I366" s="45"/>
      <c r="J366" s="42"/>
      <c r="K366" s="42"/>
      <c r="L366" s="42"/>
      <c r="M366" s="42"/>
      <c r="N366" s="42"/>
      <c r="O366" s="42"/>
      <c r="P366" s="42"/>
      <c r="Q366" s="52"/>
    </row>
    <row r="367" spans="1:17" x14ac:dyDescent="0.25">
      <c r="A367" s="7"/>
      <c r="B367" s="15"/>
      <c r="C367" s="15"/>
      <c r="D367" s="15"/>
      <c r="E367" s="11"/>
      <c r="F367" s="45"/>
      <c r="G367" s="45"/>
      <c r="H367" s="45"/>
      <c r="I367" s="45"/>
      <c r="J367" s="42"/>
      <c r="K367" s="42"/>
      <c r="L367" s="42"/>
      <c r="M367" s="42"/>
      <c r="N367" s="42"/>
      <c r="O367" s="42"/>
      <c r="P367" s="42"/>
      <c r="Q367" s="52"/>
    </row>
    <row r="368" spans="1:17" x14ac:dyDescent="0.25">
      <c r="A368" s="7"/>
      <c r="B368" s="15"/>
      <c r="C368" s="15"/>
      <c r="D368" s="15"/>
      <c r="E368" s="11"/>
      <c r="F368" s="45"/>
      <c r="G368" s="45"/>
      <c r="H368" s="45"/>
      <c r="I368" s="45"/>
      <c r="J368" s="42"/>
      <c r="K368" s="42"/>
      <c r="L368" s="42"/>
      <c r="M368" s="42"/>
      <c r="N368" s="42"/>
      <c r="O368" s="42"/>
      <c r="P368" s="42"/>
      <c r="Q368" s="52"/>
    </row>
    <row r="369" spans="1:17" x14ac:dyDescent="0.25">
      <c r="A369" s="7"/>
      <c r="B369" s="15"/>
      <c r="C369" s="15"/>
      <c r="D369" s="15"/>
      <c r="E369" s="11"/>
      <c r="F369" s="45"/>
      <c r="G369" s="45"/>
      <c r="H369" s="45"/>
      <c r="I369" s="45"/>
      <c r="J369" s="42"/>
      <c r="K369" s="42"/>
      <c r="L369" s="42"/>
      <c r="M369" s="42"/>
      <c r="N369" s="42"/>
      <c r="O369" s="42"/>
      <c r="P369" s="42"/>
      <c r="Q369" s="52"/>
    </row>
    <row r="370" spans="1:17" x14ac:dyDescent="0.25">
      <c r="A370" s="7"/>
      <c r="B370" s="15"/>
      <c r="C370" s="15"/>
      <c r="D370" s="15"/>
      <c r="E370" s="11"/>
      <c r="F370" s="45"/>
      <c r="G370" s="45"/>
      <c r="H370" s="45"/>
      <c r="I370" s="45"/>
      <c r="J370" s="42"/>
      <c r="K370" s="42"/>
      <c r="L370" s="42"/>
      <c r="M370" s="42"/>
      <c r="N370" s="42"/>
      <c r="O370" s="42"/>
      <c r="P370" s="42"/>
      <c r="Q370" s="52"/>
    </row>
    <row r="371" spans="1:17" x14ac:dyDescent="0.25">
      <c r="A371" s="7"/>
      <c r="B371" s="15"/>
      <c r="C371" s="15"/>
      <c r="D371" s="15"/>
      <c r="E371" s="11"/>
      <c r="F371" s="45"/>
      <c r="G371" s="45"/>
      <c r="H371" s="45"/>
      <c r="I371" s="45"/>
      <c r="J371" s="42"/>
      <c r="K371" s="42"/>
      <c r="L371" s="42"/>
      <c r="M371" s="42"/>
      <c r="N371" s="42"/>
      <c r="O371" s="42"/>
      <c r="P371" s="42"/>
      <c r="Q371" s="52"/>
    </row>
    <row r="372" spans="1:17" x14ac:dyDescent="0.25">
      <c r="A372" s="7"/>
      <c r="B372" s="15"/>
      <c r="C372" s="15"/>
      <c r="D372" s="15"/>
      <c r="E372" s="11"/>
      <c r="F372" s="45"/>
      <c r="G372" s="45"/>
      <c r="H372" s="45"/>
      <c r="I372" s="45"/>
      <c r="J372" s="42"/>
      <c r="K372" s="42"/>
      <c r="L372" s="42"/>
      <c r="M372" s="42"/>
      <c r="N372" s="42"/>
      <c r="O372" s="42"/>
      <c r="P372" s="42"/>
      <c r="Q372" s="52"/>
    </row>
    <row r="373" spans="1:17" x14ac:dyDescent="0.25">
      <c r="A373" s="7"/>
      <c r="B373" s="15"/>
      <c r="C373" s="15"/>
      <c r="D373" s="15"/>
      <c r="E373" s="11"/>
      <c r="F373" s="45"/>
      <c r="G373" s="45"/>
      <c r="H373" s="45"/>
      <c r="I373" s="45"/>
      <c r="J373" s="42"/>
      <c r="K373" s="42"/>
      <c r="L373" s="42"/>
      <c r="M373" s="42"/>
      <c r="N373" s="42"/>
      <c r="O373" s="42"/>
      <c r="P373" s="42"/>
      <c r="Q373" s="52"/>
    </row>
    <row r="374" spans="1:17" x14ac:dyDescent="0.25">
      <c r="A374" s="7"/>
      <c r="B374" s="15"/>
      <c r="C374" s="15"/>
      <c r="D374" s="15"/>
      <c r="E374" s="11"/>
      <c r="F374" s="45"/>
      <c r="G374" s="45"/>
      <c r="H374" s="45"/>
      <c r="I374" s="45"/>
      <c r="J374" s="42"/>
      <c r="K374" s="42"/>
      <c r="L374" s="42"/>
      <c r="M374" s="42"/>
      <c r="N374" s="42"/>
      <c r="O374" s="42"/>
      <c r="P374" s="42"/>
      <c r="Q374" s="52"/>
    </row>
    <row r="375" spans="1:17" x14ac:dyDescent="0.25">
      <c r="A375" s="7"/>
      <c r="B375" s="15"/>
      <c r="C375" s="15"/>
      <c r="D375" s="15"/>
      <c r="E375" s="11"/>
      <c r="F375" s="45"/>
      <c r="G375" s="45"/>
      <c r="H375" s="45"/>
      <c r="I375" s="45"/>
      <c r="J375" s="42"/>
      <c r="K375" s="42"/>
      <c r="L375" s="42"/>
      <c r="M375" s="42"/>
      <c r="N375" s="42"/>
      <c r="O375" s="42"/>
      <c r="P375" s="42"/>
      <c r="Q375" s="52"/>
    </row>
    <row r="376" spans="1:17" x14ac:dyDescent="0.25">
      <c r="A376" s="7"/>
      <c r="B376" s="15"/>
      <c r="C376" s="15"/>
      <c r="D376" s="15"/>
      <c r="E376" s="11"/>
      <c r="F376" s="45"/>
      <c r="G376" s="45"/>
      <c r="H376" s="45"/>
      <c r="I376" s="45"/>
      <c r="J376" s="42"/>
      <c r="K376" s="42"/>
      <c r="L376" s="42"/>
      <c r="M376" s="42"/>
      <c r="N376" s="42"/>
      <c r="O376" s="42"/>
      <c r="P376" s="42"/>
      <c r="Q376" s="52"/>
    </row>
    <row r="377" spans="1:17" x14ac:dyDescent="0.25">
      <c r="A377" s="7"/>
      <c r="B377" s="15"/>
      <c r="C377" s="15"/>
      <c r="D377" s="15"/>
      <c r="E377" s="11"/>
      <c r="F377" s="45"/>
      <c r="G377" s="45"/>
      <c r="H377" s="45"/>
      <c r="I377" s="45"/>
      <c r="J377" s="42"/>
      <c r="K377" s="42"/>
      <c r="L377" s="42"/>
      <c r="M377" s="42"/>
      <c r="N377" s="42"/>
      <c r="O377" s="42"/>
      <c r="P377" s="42"/>
      <c r="Q377" s="52"/>
    </row>
    <row r="378" spans="1:17" x14ac:dyDescent="0.25">
      <c r="A378" s="7"/>
      <c r="B378" s="15"/>
      <c r="C378" s="15"/>
      <c r="D378" s="15"/>
      <c r="E378" s="11"/>
      <c r="F378" s="45"/>
      <c r="G378" s="45"/>
      <c r="H378" s="45"/>
      <c r="I378" s="45"/>
      <c r="J378" s="42"/>
      <c r="K378" s="42"/>
      <c r="L378" s="42"/>
      <c r="M378" s="42"/>
      <c r="N378" s="42"/>
      <c r="O378" s="42"/>
      <c r="P378" s="42"/>
      <c r="Q378" s="52"/>
    </row>
    <row r="379" spans="1:17" x14ac:dyDescent="0.25">
      <c r="A379" s="7"/>
      <c r="B379" s="15"/>
      <c r="C379" s="15"/>
      <c r="D379" s="15"/>
      <c r="E379" s="11"/>
      <c r="F379" s="45"/>
      <c r="G379" s="45"/>
      <c r="H379" s="45"/>
      <c r="I379" s="45"/>
      <c r="J379" s="42"/>
      <c r="K379" s="42"/>
      <c r="L379" s="42"/>
      <c r="M379" s="42"/>
      <c r="N379" s="42"/>
      <c r="O379" s="42"/>
      <c r="P379" s="42"/>
      <c r="Q379" s="52"/>
    </row>
    <row r="380" spans="1:17" x14ac:dyDescent="0.25">
      <c r="A380" s="7"/>
      <c r="B380" s="15"/>
      <c r="C380" s="15"/>
      <c r="D380" s="15"/>
      <c r="E380" s="11"/>
      <c r="F380" s="45"/>
      <c r="G380" s="45"/>
      <c r="H380" s="45"/>
      <c r="I380" s="45"/>
      <c r="J380" s="42"/>
      <c r="K380" s="42"/>
      <c r="L380" s="42"/>
      <c r="M380" s="42"/>
      <c r="N380" s="42"/>
      <c r="O380" s="42"/>
      <c r="P380" s="42"/>
      <c r="Q380" s="52"/>
    </row>
    <row r="381" spans="1:17" x14ac:dyDescent="0.25">
      <c r="A381" s="7"/>
      <c r="B381" s="15"/>
      <c r="C381" s="15"/>
      <c r="D381" s="15"/>
      <c r="E381" s="11"/>
      <c r="F381" s="45"/>
      <c r="G381" s="45"/>
      <c r="H381" s="45"/>
      <c r="I381" s="45"/>
      <c r="J381" s="42"/>
      <c r="K381" s="42"/>
      <c r="L381" s="42"/>
      <c r="M381" s="42"/>
      <c r="N381" s="42"/>
      <c r="O381" s="42"/>
      <c r="P381" s="42"/>
      <c r="Q381" s="52"/>
    </row>
    <row r="382" spans="1:17" x14ac:dyDescent="0.25">
      <c r="A382" s="7"/>
      <c r="B382" s="15"/>
      <c r="C382" s="15"/>
      <c r="D382" s="15"/>
      <c r="E382" s="11"/>
      <c r="F382" s="45"/>
      <c r="G382" s="45"/>
      <c r="H382" s="45"/>
      <c r="I382" s="45"/>
      <c r="J382" s="42"/>
      <c r="K382" s="42"/>
      <c r="L382" s="42"/>
      <c r="M382" s="42"/>
      <c r="N382" s="42"/>
      <c r="O382" s="42"/>
      <c r="P382" s="42"/>
      <c r="Q382" s="52"/>
    </row>
    <row r="383" spans="1:17" x14ac:dyDescent="0.25">
      <c r="A383" s="7"/>
      <c r="B383" s="15"/>
      <c r="C383" s="15"/>
      <c r="D383" s="15"/>
      <c r="E383" s="11"/>
      <c r="F383" s="45"/>
      <c r="G383" s="45"/>
      <c r="H383" s="45"/>
      <c r="I383" s="45"/>
      <c r="J383" s="42"/>
      <c r="K383" s="42"/>
      <c r="L383" s="42"/>
      <c r="M383" s="42"/>
      <c r="N383" s="42"/>
      <c r="O383" s="42"/>
      <c r="P383" s="42"/>
      <c r="Q383" s="52"/>
    </row>
    <row r="384" spans="1:17" x14ac:dyDescent="0.25">
      <c r="A384" s="7"/>
      <c r="B384" s="15"/>
      <c r="C384" s="15"/>
      <c r="D384" s="15"/>
      <c r="E384" s="11"/>
      <c r="F384" s="45"/>
      <c r="G384" s="45"/>
      <c r="H384" s="45"/>
      <c r="I384" s="45"/>
      <c r="J384" s="42"/>
      <c r="K384" s="42"/>
      <c r="L384" s="42"/>
      <c r="M384" s="42"/>
      <c r="N384" s="42"/>
      <c r="O384" s="42"/>
      <c r="P384" s="42"/>
      <c r="Q384" s="52"/>
    </row>
    <row r="385" spans="1:17" x14ac:dyDescent="0.25">
      <c r="A385" s="7"/>
      <c r="B385" s="15"/>
      <c r="C385" s="15"/>
      <c r="D385" s="15"/>
      <c r="E385" s="11"/>
      <c r="F385" s="45"/>
      <c r="G385" s="45"/>
      <c r="H385" s="45"/>
      <c r="I385" s="45"/>
      <c r="J385" s="42"/>
      <c r="K385" s="42"/>
      <c r="L385" s="42"/>
      <c r="M385" s="42"/>
      <c r="N385" s="42"/>
      <c r="O385" s="42"/>
      <c r="P385" s="42"/>
      <c r="Q385" s="52"/>
    </row>
    <row r="386" spans="1:17" x14ac:dyDescent="0.25">
      <c r="A386" s="7"/>
      <c r="B386" s="15"/>
      <c r="C386" s="15"/>
      <c r="D386" s="15"/>
      <c r="E386" s="11"/>
      <c r="F386" s="45"/>
      <c r="G386" s="45"/>
      <c r="H386" s="45"/>
      <c r="I386" s="45"/>
      <c r="J386" s="42"/>
      <c r="K386" s="42"/>
      <c r="L386" s="42"/>
      <c r="M386" s="42"/>
      <c r="N386" s="42"/>
      <c r="O386" s="42"/>
      <c r="P386" s="42"/>
      <c r="Q386" s="52"/>
    </row>
    <row r="387" spans="1:17" x14ac:dyDescent="0.25">
      <c r="A387" s="7"/>
      <c r="B387" s="15"/>
      <c r="C387" s="15"/>
      <c r="D387" s="15"/>
      <c r="E387" s="11"/>
      <c r="F387" s="45"/>
      <c r="G387" s="45"/>
      <c r="H387" s="45"/>
      <c r="I387" s="45"/>
      <c r="J387" s="42"/>
      <c r="K387" s="42"/>
      <c r="L387" s="42"/>
      <c r="M387" s="42"/>
      <c r="N387" s="42"/>
      <c r="O387" s="42"/>
      <c r="P387" s="42"/>
      <c r="Q387" s="52"/>
    </row>
    <row r="388" spans="1:17" x14ac:dyDescent="0.25">
      <c r="A388" s="7"/>
      <c r="B388" s="15"/>
      <c r="C388" s="15"/>
      <c r="D388" s="15"/>
      <c r="E388" s="11"/>
      <c r="F388" s="45"/>
      <c r="G388" s="45"/>
      <c r="H388" s="45"/>
      <c r="I388" s="45"/>
      <c r="J388" s="42"/>
      <c r="K388" s="42"/>
      <c r="L388" s="42"/>
      <c r="M388" s="42"/>
      <c r="N388" s="42"/>
      <c r="O388" s="42"/>
      <c r="P388" s="42"/>
      <c r="Q388" s="52"/>
    </row>
    <row r="389" spans="1:17" x14ac:dyDescent="0.25">
      <c r="A389" s="7"/>
      <c r="B389" s="15"/>
      <c r="C389" s="15"/>
      <c r="D389" s="15"/>
      <c r="E389" s="11"/>
      <c r="F389" s="45"/>
      <c r="G389" s="45"/>
      <c r="H389" s="45"/>
      <c r="I389" s="45"/>
      <c r="J389" s="42"/>
      <c r="K389" s="42"/>
      <c r="L389" s="42"/>
      <c r="M389" s="42"/>
      <c r="N389" s="42"/>
      <c r="O389" s="42"/>
      <c r="P389" s="42"/>
      <c r="Q389" s="52"/>
    </row>
    <row r="390" spans="1:17" x14ac:dyDescent="0.25">
      <c r="A390" s="7"/>
      <c r="B390" s="15"/>
      <c r="C390" s="15"/>
      <c r="D390" s="15"/>
      <c r="E390" s="11"/>
      <c r="F390" s="45"/>
      <c r="G390" s="45"/>
      <c r="H390" s="45"/>
      <c r="I390" s="45"/>
      <c r="J390" s="42"/>
      <c r="K390" s="42"/>
      <c r="L390" s="42"/>
      <c r="M390" s="42"/>
      <c r="N390" s="42"/>
      <c r="O390" s="42"/>
      <c r="P390" s="42"/>
      <c r="Q390" s="52"/>
    </row>
    <row r="391" spans="1:17" x14ac:dyDescent="0.25">
      <c r="A391" s="7"/>
      <c r="B391" s="15"/>
      <c r="C391" s="15"/>
      <c r="D391" s="15"/>
      <c r="E391" s="11"/>
      <c r="F391" s="45"/>
      <c r="G391" s="45"/>
      <c r="H391" s="45"/>
      <c r="I391" s="45"/>
      <c r="J391" s="42"/>
      <c r="K391" s="42"/>
      <c r="L391" s="42"/>
      <c r="M391" s="42"/>
      <c r="N391" s="42"/>
      <c r="O391" s="42"/>
      <c r="P391" s="42"/>
      <c r="Q391" s="52"/>
    </row>
    <row r="392" spans="1:17" x14ac:dyDescent="0.25">
      <c r="A392" s="7"/>
      <c r="B392" s="15"/>
      <c r="C392" s="15"/>
      <c r="D392" s="15"/>
      <c r="E392" s="11"/>
      <c r="F392" s="45"/>
      <c r="G392" s="45"/>
      <c r="H392" s="45"/>
      <c r="I392" s="45"/>
      <c r="J392" s="42"/>
      <c r="K392" s="42"/>
      <c r="L392" s="42"/>
      <c r="M392" s="42"/>
      <c r="N392" s="42"/>
      <c r="O392" s="42"/>
      <c r="P392" s="42"/>
      <c r="Q392" s="52"/>
    </row>
    <row r="393" spans="1:17" x14ac:dyDescent="0.25">
      <c r="A393" s="7"/>
      <c r="B393" s="15"/>
      <c r="C393" s="15"/>
      <c r="D393" s="15"/>
      <c r="E393" s="11"/>
      <c r="F393" s="45"/>
      <c r="G393" s="45"/>
      <c r="H393" s="45"/>
      <c r="I393" s="45"/>
      <c r="J393" s="42"/>
      <c r="K393" s="42"/>
      <c r="L393" s="42"/>
      <c r="M393" s="42"/>
      <c r="N393" s="42"/>
      <c r="O393" s="42"/>
      <c r="P393" s="42"/>
      <c r="Q393" s="52"/>
    </row>
    <row r="394" spans="1:17" x14ac:dyDescent="0.25">
      <c r="A394" s="7"/>
      <c r="B394" s="15"/>
      <c r="C394" s="15"/>
      <c r="D394" s="15"/>
      <c r="E394" s="11"/>
      <c r="F394" s="45"/>
      <c r="G394" s="45"/>
      <c r="H394" s="45"/>
      <c r="I394" s="45"/>
      <c r="J394" s="42"/>
      <c r="K394" s="42"/>
      <c r="L394" s="42"/>
      <c r="M394" s="42"/>
      <c r="N394" s="42"/>
      <c r="O394" s="42"/>
      <c r="P394" s="42"/>
      <c r="Q394" s="52"/>
    </row>
    <row r="395" spans="1:17" x14ac:dyDescent="0.25">
      <c r="A395" s="7"/>
      <c r="B395" s="15"/>
      <c r="C395" s="15"/>
      <c r="D395" s="15"/>
      <c r="E395" s="11"/>
      <c r="F395" s="45"/>
      <c r="G395" s="45"/>
      <c r="H395" s="45"/>
      <c r="I395" s="45"/>
      <c r="J395" s="42"/>
      <c r="K395" s="42"/>
      <c r="L395" s="42"/>
      <c r="M395" s="42"/>
      <c r="N395" s="42"/>
      <c r="O395" s="42"/>
      <c r="P395" s="42"/>
      <c r="Q395" s="52"/>
    </row>
    <row r="396" spans="1:17" x14ac:dyDescent="0.25">
      <c r="A396" s="7"/>
      <c r="B396" s="15"/>
      <c r="C396" s="15"/>
      <c r="D396" s="15"/>
      <c r="E396" s="11"/>
      <c r="F396" s="45"/>
      <c r="G396" s="45"/>
      <c r="H396" s="45"/>
      <c r="I396" s="45"/>
      <c r="J396" s="42"/>
      <c r="K396" s="42"/>
      <c r="L396" s="42"/>
      <c r="M396" s="42"/>
      <c r="N396" s="42"/>
      <c r="O396" s="42"/>
      <c r="P396" s="42"/>
      <c r="Q396" s="52"/>
    </row>
    <row r="397" spans="1:17" x14ac:dyDescent="0.25">
      <c r="A397" s="7"/>
      <c r="B397" s="15"/>
      <c r="C397" s="15"/>
      <c r="D397" s="15"/>
      <c r="E397" s="11"/>
      <c r="F397" s="45"/>
      <c r="G397" s="45"/>
      <c r="H397" s="45"/>
      <c r="I397" s="45"/>
      <c r="J397" s="42"/>
      <c r="K397" s="42"/>
      <c r="L397" s="42"/>
      <c r="M397" s="42"/>
      <c r="N397" s="42"/>
      <c r="O397" s="42"/>
      <c r="P397" s="42"/>
      <c r="Q397" s="52"/>
    </row>
    <row r="398" spans="1:17" x14ac:dyDescent="0.25">
      <c r="A398" s="7"/>
      <c r="B398" s="15"/>
      <c r="C398" s="15"/>
      <c r="D398" s="15"/>
      <c r="E398" s="11"/>
      <c r="F398" s="45"/>
      <c r="G398" s="45"/>
      <c r="H398" s="45"/>
      <c r="I398" s="45"/>
      <c r="J398" s="42"/>
      <c r="K398" s="42"/>
      <c r="L398" s="42"/>
      <c r="M398" s="42"/>
      <c r="N398" s="42"/>
      <c r="O398" s="42"/>
      <c r="P398" s="42"/>
      <c r="Q398" s="52"/>
    </row>
    <row r="399" spans="1:17" x14ac:dyDescent="0.25">
      <c r="A399" s="7"/>
      <c r="B399" s="15"/>
      <c r="C399" s="15"/>
      <c r="D399" s="15"/>
      <c r="E399" s="11"/>
      <c r="F399" s="45"/>
      <c r="G399" s="45"/>
      <c r="H399" s="45"/>
      <c r="I399" s="45"/>
      <c r="J399" s="42"/>
      <c r="K399" s="42"/>
      <c r="L399" s="42"/>
      <c r="M399" s="42"/>
      <c r="N399" s="42"/>
      <c r="O399" s="42"/>
      <c r="P399" s="42"/>
      <c r="Q399" s="52"/>
    </row>
    <row r="400" spans="1:17" x14ac:dyDescent="0.25">
      <c r="A400" s="7"/>
      <c r="B400" s="15"/>
      <c r="C400" s="15"/>
      <c r="D400" s="15"/>
      <c r="E400" s="11"/>
      <c r="F400" s="45"/>
      <c r="G400" s="45"/>
      <c r="H400" s="45"/>
      <c r="I400" s="45"/>
      <c r="J400" s="42"/>
      <c r="K400" s="42"/>
      <c r="L400" s="42"/>
      <c r="M400" s="42"/>
      <c r="N400" s="42"/>
      <c r="O400" s="42"/>
      <c r="P400" s="42"/>
      <c r="Q400" s="52"/>
    </row>
    <row r="401" spans="1:17" x14ac:dyDescent="0.25">
      <c r="A401" s="7"/>
      <c r="B401" s="15"/>
      <c r="C401" s="15"/>
      <c r="D401" s="15"/>
      <c r="E401" s="11"/>
      <c r="F401" s="45"/>
      <c r="G401" s="45"/>
      <c r="H401" s="45"/>
      <c r="I401" s="45"/>
      <c r="J401" s="42"/>
      <c r="K401" s="42"/>
      <c r="L401" s="42"/>
      <c r="M401" s="42"/>
      <c r="N401" s="42"/>
      <c r="O401" s="42"/>
      <c r="P401" s="42"/>
      <c r="Q401" s="52"/>
    </row>
    <row r="402" spans="1:17" x14ac:dyDescent="0.25">
      <c r="A402" s="7"/>
      <c r="B402" s="15"/>
      <c r="C402" s="15"/>
      <c r="D402" s="15"/>
      <c r="E402" s="11"/>
      <c r="F402" s="45"/>
      <c r="G402" s="45"/>
      <c r="H402" s="45"/>
      <c r="I402" s="45"/>
      <c r="J402" s="42"/>
      <c r="K402" s="42"/>
      <c r="L402" s="42"/>
      <c r="M402" s="42"/>
      <c r="N402" s="42"/>
      <c r="O402" s="42"/>
      <c r="P402" s="42"/>
      <c r="Q402" s="52"/>
    </row>
    <row r="403" spans="1:17" x14ac:dyDescent="0.25">
      <c r="A403" s="7"/>
      <c r="B403" s="15"/>
      <c r="C403" s="15"/>
      <c r="D403" s="15"/>
      <c r="E403" s="11"/>
      <c r="F403" s="45"/>
      <c r="G403" s="45"/>
      <c r="H403" s="45"/>
      <c r="I403" s="45"/>
      <c r="J403" s="42"/>
      <c r="K403" s="42"/>
      <c r="L403" s="42"/>
      <c r="M403" s="42"/>
      <c r="N403" s="42"/>
      <c r="O403" s="42"/>
      <c r="P403" s="42"/>
      <c r="Q403" s="52"/>
    </row>
    <row r="404" spans="1:17" x14ac:dyDescent="0.25">
      <c r="A404" s="7"/>
      <c r="B404" s="15"/>
      <c r="C404" s="15"/>
      <c r="D404" s="15"/>
      <c r="E404" s="11"/>
      <c r="F404" s="45"/>
      <c r="G404" s="45"/>
      <c r="H404" s="45"/>
      <c r="I404" s="45"/>
      <c r="J404" s="42"/>
      <c r="K404" s="42"/>
      <c r="L404" s="42"/>
      <c r="M404" s="42"/>
      <c r="N404" s="42"/>
      <c r="O404" s="42"/>
      <c r="P404" s="42"/>
      <c r="Q404" s="52"/>
    </row>
    <row r="405" spans="1:17" x14ac:dyDescent="0.25">
      <c r="A405" s="7"/>
      <c r="B405" s="15"/>
      <c r="C405" s="15"/>
      <c r="D405" s="15"/>
      <c r="E405" s="11"/>
      <c r="F405" s="45"/>
      <c r="G405" s="45"/>
      <c r="H405" s="45"/>
      <c r="I405" s="45"/>
      <c r="J405" s="42"/>
      <c r="K405" s="42"/>
      <c r="L405" s="42"/>
      <c r="M405" s="42"/>
      <c r="N405" s="42"/>
      <c r="O405" s="42"/>
      <c r="P405" s="42"/>
      <c r="Q405" s="52"/>
    </row>
    <row r="406" spans="1:17" x14ac:dyDescent="0.25">
      <c r="A406" s="7"/>
      <c r="B406" s="15"/>
      <c r="C406" s="15"/>
      <c r="D406" s="15"/>
      <c r="E406" s="11"/>
      <c r="F406" s="45"/>
      <c r="G406" s="45"/>
      <c r="H406" s="45"/>
      <c r="I406" s="45"/>
      <c r="J406" s="42"/>
      <c r="K406" s="42"/>
      <c r="L406" s="42"/>
      <c r="M406" s="42"/>
      <c r="N406" s="42"/>
      <c r="O406" s="42"/>
      <c r="P406" s="42"/>
      <c r="Q406" s="52"/>
    </row>
    <row r="407" spans="1:17" x14ac:dyDescent="0.25">
      <c r="A407" s="7"/>
      <c r="B407" s="15"/>
      <c r="C407" s="15"/>
      <c r="D407" s="15"/>
      <c r="E407" s="11"/>
      <c r="F407" s="45"/>
      <c r="G407" s="45"/>
      <c r="H407" s="45"/>
      <c r="I407" s="45"/>
      <c r="J407" s="42"/>
      <c r="K407" s="42"/>
      <c r="L407" s="42"/>
      <c r="M407" s="42"/>
      <c r="N407" s="42"/>
      <c r="O407" s="42"/>
      <c r="P407" s="42"/>
      <c r="Q407" s="52"/>
    </row>
    <row r="408" spans="1:17" x14ac:dyDescent="0.25">
      <c r="A408" s="7"/>
      <c r="B408" s="15"/>
      <c r="C408" s="15"/>
      <c r="D408" s="15"/>
      <c r="E408" s="11"/>
      <c r="F408" s="45"/>
      <c r="G408" s="45"/>
      <c r="H408" s="45"/>
      <c r="I408" s="45"/>
      <c r="J408" s="42"/>
      <c r="K408" s="42"/>
      <c r="L408" s="42"/>
      <c r="M408" s="42"/>
      <c r="N408" s="42"/>
      <c r="O408" s="42"/>
      <c r="P408" s="42"/>
      <c r="Q408" s="52"/>
    </row>
    <row r="409" spans="1:17" x14ac:dyDescent="0.25">
      <c r="A409" s="7"/>
      <c r="B409" s="15"/>
      <c r="C409" s="15"/>
      <c r="D409" s="15"/>
      <c r="E409" s="11"/>
      <c r="F409" s="45"/>
      <c r="G409" s="45"/>
      <c r="H409" s="45"/>
      <c r="I409" s="45"/>
      <c r="J409" s="42"/>
      <c r="K409" s="42"/>
      <c r="L409" s="42"/>
      <c r="M409" s="42"/>
      <c r="N409" s="42"/>
      <c r="O409" s="42"/>
      <c r="P409" s="42"/>
      <c r="Q409" s="52"/>
    </row>
    <row r="410" spans="1:17" x14ac:dyDescent="0.25">
      <c r="A410" s="7"/>
      <c r="B410" s="15"/>
      <c r="C410" s="15"/>
      <c r="D410" s="15"/>
      <c r="E410" s="11"/>
      <c r="F410" s="45"/>
      <c r="G410" s="45"/>
      <c r="H410" s="45"/>
      <c r="I410" s="45"/>
      <c r="J410" s="42"/>
      <c r="K410" s="42"/>
      <c r="L410" s="42"/>
      <c r="M410" s="42"/>
      <c r="N410" s="42"/>
      <c r="O410" s="42"/>
      <c r="P410" s="42"/>
      <c r="Q410" s="52"/>
    </row>
    <row r="411" spans="1:17" x14ac:dyDescent="0.25">
      <c r="A411" s="7"/>
      <c r="B411" s="15"/>
      <c r="C411" s="15"/>
      <c r="D411" s="15"/>
      <c r="E411" s="11"/>
      <c r="F411" s="45"/>
      <c r="G411" s="45"/>
      <c r="H411" s="45"/>
      <c r="I411" s="45"/>
      <c r="J411" s="42"/>
      <c r="K411" s="42"/>
      <c r="L411" s="42"/>
      <c r="M411" s="42"/>
      <c r="N411" s="42"/>
      <c r="O411" s="42"/>
      <c r="P411" s="42"/>
      <c r="Q411" s="52"/>
    </row>
    <row r="412" spans="1:17" x14ac:dyDescent="0.25">
      <c r="A412" s="7"/>
      <c r="B412" s="15"/>
      <c r="C412" s="15"/>
      <c r="D412" s="15"/>
      <c r="E412" s="11"/>
      <c r="F412" s="45"/>
      <c r="G412" s="45"/>
      <c r="H412" s="45"/>
      <c r="I412" s="45"/>
      <c r="J412" s="42"/>
      <c r="K412" s="42"/>
      <c r="L412" s="42"/>
      <c r="M412" s="42"/>
      <c r="N412" s="42"/>
      <c r="O412" s="42"/>
      <c r="P412" s="42"/>
      <c r="Q412" s="52"/>
    </row>
    <row r="413" spans="1:17" x14ac:dyDescent="0.25">
      <c r="A413" s="7"/>
      <c r="B413" s="15"/>
      <c r="C413" s="15"/>
      <c r="D413" s="15"/>
      <c r="E413" s="11"/>
      <c r="F413" s="45"/>
      <c r="G413" s="45"/>
      <c r="H413" s="45"/>
      <c r="I413" s="45"/>
      <c r="J413" s="42"/>
      <c r="K413" s="42"/>
      <c r="L413" s="42"/>
      <c r="M413" s="42"/>
      <c r="N413" s="42"/>
      <c r="O413" s="42"/>
      <c r="P413" s="42"/>
      <c r="Q413" s="52"/>
    </row>
    <row r="414" spans="1:17" x14ac:dyDescent="0.25">
      <c r="A414" s="7"/>
      <c r="B414" s="15"/>
      <c r="C414" s="15"/>
      <c r="D414" s="15"/>
      <c r="E414" s="11"/>
      <c r="F414" s="45"/>
      <c r="G414" s="45"/>
      <c r="H414" s="45"/>
      <c r="I414" s="45"/>
      <c r="J414" s="42"/>
      <c r="K414" s="42"/>
      <c r="L414" s="42"/>
      <c r="M414" s="42"/>
      <c r="N414" s="42"/>
      <c r="O414" s="42"/>
      <c r="P414" s="42"/>
      <c r="Q414" s="52"/>
    </row>
    <row r="415" spans="1:17" x14ac:dyDescent="0.25">
      <c r="A415" s="7"/>
      <c r="B415" s="15"/>
      <c r="C415" s="15"/>
      <c r="D415" s="15"/>
      <c r="E415" s="11"/>
      <c r="F415" s="45"/>
      <c r="G415" s="45"/>
      <c r="H415" s="45"/>
      <c r="I415" s="45"/>
      <c r="J415" s="42"/>
      <c r="K415" s="42"/>
      <c r="L415" s="42"/>
      <c r="M415" s="42"/>
      <c r="N415" s="42"/>
      <c r="O415" s="42"/>
      <c r="P415" s="42"/>
      <c r="Q415" s="52"/>
    </row>
    <row r="416" spans="1:17" x14ac:dyDescent="0.25">
      <c r="A416" s="7"/>
      <c r="B416" s="15"/>
      <c r="C416" s="15"/>
      <c r="D416" s="15"/>
      <c r="E416" s="11"/>
      <c r="F416" s="45"/>
      <c r="G416" s="45"/>
      <c r="H416" s="45"/>
      <c r="I416" s="45"/>
      <c r="J416" s="42"/>
      <c r="K416" s="42"/>
      <c r="L416" s="42"/>
      <c r="M416" s="42"/>
      <c r="N416" s="42"/>
      <c r="O416" s="42"/>
      <c r="P416" s="42"/>
      <c r="Q416" s="52"/>
    </row>
    <row r="417" spans="1:17" x14ac:dyDescent="0.25">
      <c r="A417" s="7"/>
      <c r="B417" s="15"/>
      <c r="C417" s="15"/>
      <c r="D417" s="15"/>
      <c r="E417" s="11"/>
      <c r="F417" s="45"/>
      <c r="G417" s="45"/>
      <c r="H417" s="45"/>
      <c r="I417" s="45"/>
      <c r="J417" s="42"/>
      <c r="K417" s="42"/>
      <c r="L417" s="42"/>
      <c r="M417" s="42"/>
      <c r="N417" s="42"/>
      <c r="O417" s="42"/>
      <c r="P417" s="42"/>
      <c r="Q417" s="52"/>
    </row>
    <row r="418" spans="1:17" x14ac:dyDescent="0.25">
      <c r="A418" s="7"/>
      <c r="B418" s="15"/>
      <c r="C418" s="15"/>
      <c r="D418" s="15"/>
      <c r="E418" s="11"/>
      <c r="F418" s="45"/>
      <c r="G418" s="45"/>
      <c r="H418" s="45"/>
      <c r="I418" s="45"/>
      <c r="J418" s="42"/>
      <c r="K418" s="42"/>
      <c r="L418" s="42"/>
      <c r="M418" s="42"/>
      <c r="N418" s="42"/>
      <c r="O418" s="42"/>
      <c r="P418" s="42"/>
      <c r="Q418" s="52"/>
    </row>
    <row r="419" spans="1:17" x14ac:dyDescent="0.25">
      <c r="A419" s="7"/>
      <c r="B419" s="15"/>
      <c r="C419" s="15"/>
      <c r="D419" s="15"/>
      <c r="E419" s="11"/>
      <c r="F419" s="45"/>
      <c r="G419" s="45"/>
      <c r="H419" s="45"/>
      <c r="I419" s="45"/>
      <c r="J419" s="42"/>
      <c r="K419" s="42"/>
      <c r="L419" s="42"/>
      <c r="M419" s="42"/>
      <c r="N419" s="42"/>
      <c r="O419" s="42"/>
      <c r="P419" s="42"/>
      <c r="Q419" s="52"/>
    </row>
    <row r="420" spans="1:17" x14ac:dyDescent="0.25">
      <c r="A420" s="7"/>
      <c r="B420" s="15"/>
      <c r="C420" s="15"/>
      <c r="D420" s="15"/>
      <c r="E420" s="11"/>
      <c r="F420" s="45"/>
      <c r="G420" s="45"/>
      <c r="H420" s="45"/>
      <c r="I420" s="45"/>
      <c r="J420" s="42"/>
      <c r="K420" s="42"/>
      <c r="L420" s="42"/>
      <c r="M420" s="42"/>
      <c r="N420" s="42"/>
      <c r="O420" s="42"/>
      <c r="P420" s="42"/>
      <c r="Q420" s="52"/>
    </row>
    <row r="421" spans="1:17" x14ac:dyDescent="0.25">
      <c r="A421" s="7"/>
      <c r="B421" s="15"/>
      <c r="C421" s="15"/>
      <c r="D421" s="15"/>
      <c r="E421" s="11"/>
      <c r="F421" s="45"/>
      <c r="G421" s="45"/>
      <c r="H421" s="45"/>
      <c r="I421" s="45"/>
      <c r="J421" s="42"/>
      <c r="K421" s="42"/>
      <c r="L421" s="42"/>
      <c r="M421" s="42"/>
      <c r="N421" s="42"/>
      <c r="O421" s="42"/>
      <c r="P421" s="42"/>
      <c r="Q421" s="52"/>
    </row>
    <row r="422" spans="1:17" x14ac:dyDescent="0.25">
      <c r="A422" s="7"/>
      <c r="B422" s="15"/>
      <c r="C422" s="15"/>
      <c r="D422" s="15"/>
      <c r="E422" s="11"/>
      <c r="F422" s="45"/>
      <c r="G422" s="45"/>
      <c r="H422" s="45"/>
      <c r="I422" s="45"/>
      <c r="J422" s="42"/>
      <c r="K422" s="42"/>
      <c r="L422" s="42"/>
      <c r="M422" s="42"/>
      <c r="N422" s="42"/>
      <c r="O422" s="42"/>
      <c r="P422" s="42"/>
      <c r="Q422" s="52"/>
    </row>
    <row r="423" spans="1:17" x14ac:dyDescent="0.25">
      <c r="A423" s="7"/>
      <c r="B423" s="15"/>
      <c r="C423" s="15"/>
      <c r="D423" s="15"/>
      <c r="E423" s="11"/>
      <c r="F423" s="45"/>
      <c r="G423" s="45"/>
      <c r="H423" s="45"/>
      <c r="I423" s="45"/>
      <c r="J423" s="42"/>
      <c r="K423" s="42"/>
      <c r="L423" s="42"/>
      <c r="M423" s="42"/>
      <c r="N423" s="42"/>
      <c r="O423" s="42"/>
      <c r="P423" s="42"/>
      <c r="Q423" s="52"/>
    </row>
    <row r="424" spans="1:17" x14ac:dyDescent="0.25">
      <c r="A424" s="7"/>
      <c r="B424" s="15"/>
      <c r="C424" s="15"/>
      <c r="D424" s="15"/>
      <c r="E424" s="11"/>
      <c r="F424" s="45"/>
      <c r="G424" s="45"/>
      <c r="H424" s="45"/>
      <c r="I424" s="45"/>
      <c r="J424" s="42"/>
      <c r="K424" s="42"/>
      <c r="L424" s="42"/>
      <c r="M424" s="42"/>
      <c r="N424" s="42"/>
      <c r="O424" s="42"/>
      <c r="P424" s="42"/>
      <c r="Q424" s="52"/>
    </row>
    <row r="425" spans="1:17" x14ac:dyDescent="0.25">
      <c r="A425" s="7"/>
      <c r="B425" s="15"/>
      <c r="C425" s="15"/>
      <c r="D425" s="15"/>
      <c r="E425" s="11"/>
      <c r="F425" s="45"/>
      <c r="G425" s="45"/>
      <c r="H425" s="45"/>
      <c r="I425" s="45"/>
      <c r="J425" s="42"/>
      <c r="K425" s="42"/>
      <c r="L425" s="42"/>
      <c r="M425" s="42"/>
      <c r="N425" s="42"/>
      <c r="O425" s="42"/>
      <c r="P425" s="42"/>
      <c r="Q425" s="52"/>
    </row>
    <row r="426" spans="1:17" x14ac:dyDescent="0.25">
      <c r="A426" s="7"/>
      <c r="B426" s="15"/>
      <c r="C426" s="15"/>
      <c r="D426" s="15"/>
      <c r="E426" s="11"/>
      <c r="F426" s="45"/>
      <c r="G426" s="45"/>
      <c r="H426" s="45"/>
      <c r="I426" s="45"/>
      <c r="J426" s="42"/>
      <c r="K426" s="42"/>
      <c r="L426" s="42"/>
      <c r="M426" s="42"/>
      <c r="N426" s="42"/>
      <c r="O426" s="42"/>
      <c r="P426" s="42"/>
      <c r="Q426" s="52"/>
    </row>
    <row r="427" spans="1:17" x14ac:dyDescent="0.25">
      <c r="A427" s="7"/>
      <c r="B427" s="15"/>
      <c r="C427" s="15"/>
      <c r="D427" s="15"/>
      <c r="E427" s="11"/>
      <c r="F427" s="45"/>
      <c r="G427" s="45"/>
      <c r="H427" s="45"/>
      <c r="I427" s="45"/>
      <c r="J427" s="42"/>
      <c r="K427" s="42"/>
      <c r="L427" s="42"/>
      <c r="M427" s="42"/>
      <c r="N427" s="42"/>
      <c r="O427" s="42"/>
      <c r="P427" s="42"/>
      <c r="Q427" s="52"/>
    </row>
    <row r="428" spans="1:17" x14ac:dyDescent="0.25">
      <c r="A428" s="7"/>
      <c r="B428" s="15"/>
      <c r="C428" s="15"/>
      <c r="D428" s="15"/>
      <c r="E428" s="11"/>
      <c r="F428" s="45"/>
      <c r="G428" s="45"/>
      <c r="H428" s="45"/>
      <c r="I428" s="45"/>
      <c r="J428" s="42"/>
      <c r="K428" s="42"/>
      <c r="L428" s="42"/>
      <c r="M428" s="42"/>
      <c r="N428" s="42"/>
      <c r="O428" s="42"/>
      <c r="P428" s="42"/>
      <c r="Q428" s="52"/>
    </row>
    <row r="429" spans="1:17" x14ac:dyDescent="0.25">
      <c r="A429" s="7"/>
      <c r="B429" s="15"/>
      <c r="C429" s="15"/>
      <c r="D429" s="15"/>
      <c r="E429" s="11"/>
      <c r="F429" s="45"/>
      <c r="G429" s="45"/>
      <c r="H429" s="45"/>
      <c r="I429" s="45"/>
      <c r="J429" s="42"/>
      <c r="K429" s="42"/>
      <c r="L429" s="42"/>
      <c r="M429" s="42"/>
      <c r="N429" s="42"/>
      <c r="O429" s="42"/>
      <c r="P429" s="42"/>
      <c r="Q429" s="52"/>
    </row>
    <row r="430" spans="1:17" x14ac:dyDescent="0.25">
      <c r="A430" s="7"/>
      <c r="B430" s="15"/>
      <c r="C430" s="15"/>
      <c r="D430" s="15"/>
      <c r="E430" s="11"/>
      <c r="F430" s="45"/>
      <c r="G430" s="45"/>
      <c r="H430" s="45"/>
      <c r="I430" s="45"/>
      <c r="J430" s="42"/>
      <c r="K430" s="42"/>
      <c r="L430" s="42"/>
      <c r="M430" s="42"/>
      <c r="N430" s="42"/>
      <c r="O430" s="42"/>
      <c r="P430" s="42"/>
      <c r="Q430" s="52"/>
    </row>
    <row r="431" spans="1:17" x14ac:dyDescent="0.25">
      <c r="A431" s="7"/>
      <c r="B431" s="15"/>
      <c r="C431" s="15"/>
      <c r="D431" s="15"/>
      <c r="E431" s="11"/>
      <c r="F431" s="45"/>
      <c r="G431" s="45"/>
      <c r="H431" s="45"/>
      <c r="I431" s="45"/>
      <c r="J431" s="42"/>
      <c r="K431" s="42"/>
      <c r="L431" s="42"/>
      <c r="M431" s="42"/>
      <c r="N431" s="42"/>
      <c r="O431" s="42"/>
      <c r="P431" s="42"/>
      <c r="Q431" s="52"/>
    </row>
    <row r="432" spans="1:17" x14ac:dyDescent="0.25">
      <c r="A432" s="7"/>
      <c r="B432" s="15"/>
      <c r="C432" s="15"/>
      <c r="D432" s="15"/>
      <c r="E432" s="11"/>
      <c r="F432" s="45"/>
      <c r="G432" s="45"/>
      <c r="H432" s="45"/>
      <c r="I432" s="45"/>
      <c r="J432" s="42"/>
      <c r="K432" s="42"/>
      <c r="L432" s="42"/>
      <c r="M432" s="42"/>
      <c r="N432" s="42"/>
      <c r="O432" s="42"/>
      <c r="P432" s="42"/>
      <c r="Q432" s="52"/>
    </row>
    <row r="433" spans="1:17" x14ac:dyDescent="0.25">
      <c r="A433" s="7"/>
      <c r="B433" s="15"/>
      <c r="C433" s="15"/>
      <c r="D433" s="15"/>
      <c r="E433" s="11"/>
      <c r="F433" s="45"/>
      <c r="G433" s="45"/>
      <c r="H433" s="45"/>
      <c r="I433" s="45"/>
      <c r="J433" s="42"/>
      <c r="K433" s="42"/>
      <c r="L433" s="42"/>
      <c r="M433" s="42"/>
      <c r="N433" s="42"/>
      <c r="O433" s="42"/>
      <c r="P433" s="42"/>
      <c r="Q433" s="52"/>
    </row>
    <row r="434" spans="1:17" x14ac:dyDescent="0.25">
      <c r="A434" s="7"/>
      <c r="B434" s="15"/>
      <c r="C434" s="15"/>
      <c r="D434" s="15"/>
      <c r="E434" s="11"/>
      <c r="F434" s="45"/>
      <c r="G434" s="45"/>
      <c r="H434" s="45"/>
      <c r="I434" s="45"/>
      <c r="J434" s="42"/>
      <c r="K434" s="42"/>
      <c r="L434" s="42"/>
      <c r="M434" s="42"/>
      <c r="N434" s="42"/>
      <c r="O434" s="42"/>
      <c r="P434" s="42"/>
      <c r="Q434" s="52"/>
    </row>
    <row r="435" spans="1:17" x14ac:dyDescent="0.25">
      <c r="A435" s="7"/>
      <c r="B435" s="15"/>
      <c r="C435" s="15"/>
      <c r="D435" s="15"/>
      <c r="E435" s="11"/>
      <c r="F435" s="45"/>
      <c r="G435" s="45"/>
      <c r="H435" s="45"/>
      <c r="I435" s="45"/>
      <c r="J435" s="42"/>
      <c r="K435" s="42"/>
      <c r="L435" s="42"/>
      <c r="M435" s="42"/>
      <c r="N435" s="42"/>
      <c r="O435" s="42"/>
      <c r="P435" s="42"/>
      <c r="Q435" s="52"/>
    </row>
    <row r="436" spans="1:17" x14ac:dyDescent="0.25">
      <c r="A436" s="7"/>
      <c r="B436" s="15"/>
      <c r="C436" s="15"/>
      <c r="D436" s="15"/>
      <c r="E436" s="11"/>
      <c r="F436" s="45"/>
      <c r="G436" s="45"/>
      <c r="H436" s="45"/>
      <c r="I436" s="45"/>
      <c r="J436" s="42"/>
      <c r="K436" s="42"/>
      <c r="L436" s="42"/>
      <c r="M436" s="42"/>
      <c r="N436" s="42"/>
      <c r="O436" s="42"/>
      <c r="P436" s="42"/>
      <c r="Q436" s="52"/>
    </row>
    <row r="437" spans="1:17" x14ac:dyDescent="0.25">
      <c r="A437" s="7"/>
      <c r="B437" s="15"/>
      <c r="C437" s="15"/>
      <c r="D437" s="15"/>
      <c r="E437" s="11"/>
      <c r="F437" s="45"/>
      <c r="G437" s="45"/>
      <c r="H437" s="45"/>
      <c r="I437" s="45"/>
      <c r="J437" s="42"/>
      <c r="K437" s="42"/>
      <c r="L437" s="42"/>
      <c r="M437" s="42"/>
      <c r="N437" s="42"/>
      <c r="O437" s="42"/>
      <c r="P437" s="42"/>
      <c r="Q437" s="52"/>
    </row>
    <row r="438" spans="1:17" x14ac:dyDescent="0.25">
      <c r="A438" s="7"/>
      <c r="B438" s="15"/>
      <c r="C438" s="15"/>
      <c r="D438" s="15"/>
      <c r="E438" s="11"/>
      <c r="F438" s="45"/>
      <c r="G438" s="45"/>
      <c r="H438" s="45"/>
      <c r="I438" s="45"/>
      <c r="J438" s="42"/>
      <c r="K438" s="42"/>
      <c r="L438" s="42"/>
      <c r="M438" s="42"/>
      <c r="N438" s="42"/>
      <c r="O438" s="42"/>
      <c r="P438" s="42"/>
      <c r="Q438" s="52"/>
    </row>
    <row r="439" spans="1:17" x14ac:dyDescent="0.25">
      <c r="A439" s="7"/>
      <c r="B439" s="15"/>
      <c r="C439" s="15"/>
      <c r="D439" s="15"/>
      <c r="E439" s="11"/>
      <c r="F439" s="45"/>
      <c r="G439" s="45"/>
      <c r="H439" s="45"/>
      <c r="I439" s="45"/>
      <c r="J439" s="42"/>
      <c r="K439" s="42"/>
      <c r="L439" s="42"/>
      <c r="M439" s="42"/>
      <c r="N439" s="42"/>
      <c r="O439" s="42"/>
      <c r="P439" s="42"/>
      <c r="Q439" s="52"/>
    </row>
    <row r="440" spans="1:17" x14ac:dyDescent="0.25">
      <c r="A440" s="7"/>
      <c r="B440" s="15"/>
      <c r="C440" s="15"/>
      <c r="D440" s="15"/>
      <c r="E440" s="11"/>
      <c r="F440" s="45"/>
      <c r="G440" s="45"/>
      <c r="H440" s="45"/>
      <c r="I440" s="45"/>
      <c r="J440" s="42"/>
      <c r="K440" s="42"/>
      <c r="L440" s="42"/>
      <c r="M440" s="42"/>
      <c r="N440" s="42"/>
      <c r="O440" s="42"/>
      <c r="P440" s="42"/>
      <c r="Q440" s="52"/>
    </row>
    <row r="441" spans="1:17" x14ac:dyDescent="0.25">
      <c r="A441" s="7"/>
      <c r="B441" s="15"/>
      <c r="C441" s="15"/>
      <c r="D441" s="15"/>
      <c r="E441" s="11"/>
      <c r="F441" s="45"/>
      <c r="G441" s="45"/>
      <c r="H441" s="45"/>
      <c r="I441" s="45"/>
      <c r="J441" s="42"/>
      <c r="K441" s="42"/>
      <c r="L441" s="42"/>
      <c r="M441" s="42"/>
      <c r="N441" s="42"/>
      <c r="O441" s="42"/>
      <c r="P441" s="42"/>
      <c r="Q441" s="52"/>
    </row>
    <row r="442" spans="1:17" x14ac:dyDescent="0.25">
      <c r="A442" s="7"/>
      <c r="B442" s="15"/>
      <c r="C442" s="15"/>
      <c r="D442" s="15"/>
      <c r="E442" s="11"/>
      <c r="F442" s="45"/>
      <c r="G442" s="45"/>
      <c r="H442" s="45"/>
      <c r="I442" s="45"/>
      <c r="J442" s="42"/>
      <c r="K442" s="42"/>
      <c r="L442" s="42"/>
      <c r="M442" s="42"/>
      <c r="N442" s="42"/>
      <c r="O442" s="42"/>
      <c r="P442" s="42"/>
      <c r="Q442" s="52"/>
    </row>
    <row r="443" spans="1:17" x14ac:dyDescent="0.25">
      <c r="A443" s="7"/>
      <c r="B443" s="15"/>
      <c r="C443" s="15"/>
      <c r="D443" s="15"/>
      <c r="E443" s="11"/>
      <c r="F443" s="45"/>
      <c r="G443" s="45"/>
      <c r="H443" s="45"/>
      <c r="I443" s="45"/>
      <c r="J443" s="42"/>
      <c r="K443" s="42"/>
      <c r="L443" s="42"/>
      <c r="M443" s="42"/>
      <c r="N443" s="42"/>
      <c r="O443" s="42"/>
      <c r="P443" s="42"/>
      <c r="Q443" s="52"/>
    </row>
    <row r="444" spans="1:17" x14ac:dyDescent="0.25">
      <c r="A444" s="7"/>
      <c r="B444" s="15"/>
      <c r="C444" s="15"/>
      <c r="D444" s="15"/>
      <c r="E444" s="11"/>
      <c r="F444" s="45"/>
      <c r="G444" s="45"/>
      <c r="H444" s="45"/>
      <c r="I444" s="45"/>
      <c r="J444" s="42"/>
      <c r="K444" s="42"/>
      <c r="L444" s="42"/>
      <c r="M444" s="42"/>
      <c r="N444" s="42"/>
      <c r="O444" s="42"/>
      <c r="P444" s="42"/>
      <c r="Q444" s="52"/>
    </row>
    <row r="445" spans="1:17" x14ac:dyDescent="0.25">
      <c r="A445" s="7"/>
      <c r="B445" s="15"/>
      <c r="C445" s="15"/>
      <c r="D445" s="15"/>
      <c r="E445" s="11"/>
      <c r="F445" s="45"/>
      <c r="G445" s="45"/>
      <c r="H445" s="45"/>
      <c r="I445" s="45"/>
      <c r="J445" s="42"/>
      <c r="K445" s="42"/>
      <c r="L445" s="42"/>
      <c r="M445" s="42"/>
      <c r="N445" s="42"/>
      <c r="O445" s="42"/>
      <c r="P445" s="42"/>
      <c r="Q445" s="52"/>
    </row>
    <row r="446" spans="1:17" x14ac:dyDescent="0.25">
      <c r="A446" s="7"/>
      <c r="B446" s="15"/>
      <c r="C446" s="15"/>
      <c r="D446" s="15"/>
      <c r="E446" s="11"/>
      <c r="F446" s="45"/>
      <c r="G446" s="45"/>
      <c r="H446" s="45"/>
      <c r="I446" s="45"/>
      <c r="J446" s="42"/>
      <c r="K446" s="42"/>
      <c r="L446" s="42"/>
      <c r="M446" s="42"/>
      <c r="N446" s="42"/>
      <c r="O446" s="42"/>
      <c r="P446" s="42"/>
      <c r="Q446" s="52"/>
    </row>
  </sheetData>
  <hyperlinks>
    <hyperlink ref="E95" r:id="rId1" xr:uid="{D4A332A1-A47F-4B48-84A2-10CBFF7DEA6A}"/>
    <hyperlink ref="E3" r:id="rId2" xr:uid="{826724A0-D31F-4E4A-BFAA-E4245CBF6C83}"/>
    <hyperlink ref="E4:E16" r:id="rId3" display="Census" xr:uid="{BAC2CAE2-C400-413C-AA75-109D9491C3FE}"/>
    <hyperlink ref="E96:E108" r:id="rId4" display="NRCan NEUD" xr:uid="{CCAE47BF-64C9-4AD2-9C4D-D1274878717F}"/>
    <hyperlink ref="E109" r:id="rId5" xr:uid="{84CAF6A8-1A2D-4D54-966F-CF5CDC4F58A9}"/>
    <hyperlink ref="E110:E122" r:id="rId6" display="NRCan NEUD" xr:uid="{6C821455-32F8-4FBB-A6CC-03A80839B471}"/>
    <hyperlink ref="E123" r:id="rId7" xr:uid="{0ACB84C8-AC4F-4542-8675-E8FF16260D27}"/>
    <hyperlink ref="E124:E136" r:id="rId8" display="NRCan NEUD" xr:uid="{7881ED2E-9B20-44FF-A5E1-F577FE860D9E}"/>
    <hyperlink ref="E137" r:id="rId9" xr:uid="{070E75ED-8DE1-47A0-94CE-3BC22D48396B}"/>
    <hyperlink ref="E138:E150" r:id="rId10" display="NRCan NEUD" xr:uid="{4149BCAF-989F-4727-BBE5-48FB1E1B49F9}"/>
    <hyperlink ref="E20:E32" r:id="rId11" display="Census" xr:uid="{003F5CDC-D7AF-4FCF-8EBE-8199ECF80BB9}"/>
    <hyperlink ref="E36" r:id="rId12" xr:uid="{B85865D0-0F53-4C8D-A1DD-CDC0062C7ECE}"/>
    <hyperlink ref="E37:E49" r:id="rId13" display="NRCan NEUD" xr:uid="{94337504-BCFA-460C-859A-5474FFBD5691}"/>
    <hyperlink ref="E50" r:id="rId14" xr:uid="{5D0F1F3F-F14C-4A66-8B99-5972C9136445}"/>
    <hyperlink ref="E51:E63" r:id="rId15" display="NRCan NEUD" xr:uid="{3E687931-CBB0-4D25-9E1D-259FDA747328}"/>
    <hyperlink ref="E64" r:id="rId16" xr:uid="{31BE3213-CBB0-4A05-B192-875EEAF0DC1E}"/>
    <hyperlink ref="E65:E77" r:id="rId17" display="NRCan NEUD" xr:uid="{3420F4E9-03B0-4E48-A934-088649D8AB47}"/>
    <hyperlink ref="E78" r:id="rId18" xr:uid="{DAA19C1E-944F-4C4F-B199-D692E4822A22}"/>
    <hyperlink ref="E79:E91" r:id="rId19" display="NRCan NEUD" xr:uid="{5211E783-7872-420B-AE45-3E7F68B24291}"/>
  </hyperlinks>
  <pageMargins left="0.7" right="0.7" top="0.75" bottom="0.75" header="0.3" footer="0.3"/>
  <pageSetup orientation="portrait" horizontalDpi="4294967293" verticalDpi="0"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Lists</vt:lpstr>
      <vt:lpstr>Model</vt:lpstr>
      <vt:lpstr>Example calcs 2000</vt:lpstr>
      <vt:lpstr>Example calcs 2005</vt:lpstr>
      <vt:lpstr>Macro</vt:lpstr>
      <vt:lpstr>Residential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Brad GRIFFIN</cp:lastModifiedBy>
  <dcterms:created xsi:type="dcterms:W3CDTF">2019-06-05T23:49:53Z</dcterms:created>
  <dcterms:modified xsi:type="dcterms:W3CDTF">2019-10-23T19:49:50Z</dcterms:modified>
</cp:coreProperties>
</file>