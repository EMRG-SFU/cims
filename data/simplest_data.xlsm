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Projects\2019\pyCIMS\Model Description\"/>
    </mc:Choice>
  </mc:AlternateContent>
  <xr:revisionPtr revIDLastSave="0" documentId="13_ncr:1_{586742EB-0757-4C2F-A6CE-3546902A60F9}" xr6:coauthVersionLast="41" xr6:coauthVersionMax="41" xr10:uidLastSave="{00000000-0000-0000-0000-000000000000}"/>
  <bookViews>
    <workbookView xWindow="-120" yWindow="-120" windowWidth="29040" windowHeight="15840" xr2:uid="{57BCF0D5-B2E8-4C3F-B953-0D3205BAF188}"/>
  </bookViews>
  <sheets>
    <sheet name="Alberta" sheetId="1" r:id="rId1"/>
    <sheet name="Calc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3" i="2" l="1"/>
  <c r="P53" i="2"/>
  <c r="O53" i="2"/>
  <c r="N53" i="2"/>
  <c r="M53" i="2"/>
  <c r="L53" i="2"/>
  <c r="K53" i="2"/>
  <c r="J53" i="2"/>
  <c r="I53" i="2"/>
  <c r="H53" i="2"/>
  <c r="G53" i="2"/>
  <c r="Q40" i="2"/>
  <c r="P40" i="2"/>
  <c r="O40" i="2"/>
  <c r="N40" i="2"/>
  <c r="M40" i="2"/>
  <c r="L40" i="2"/>
  <c r="K40" i="2"/>
  <c r="J40" i="2"/>
  <c r="I40" i="2"/>
  <c r="H40" i="2"/>
  <c r="G40" i="2"/>
  <c r="Q24" i="2"/>
  <c r="P24" i="2"/>
  <c r="O24" i="2"/>
  <c r="N24" i="2"/>
  <c r="M24" i="2"/>
  <c r="L24" i="2"/>
  <c r="K24" i="2"/>
  <c r="J24" i="2"/>
  <c r="I24" i="2"/>
  <c r="H24" i="2"/>
  <c r="G24" i="2"/>
  <c r="Q11" i="2"/>
  <c r="P11" i="2"/>
  <c r="O11" i="2"/>
  <c r="N11" i="2"/>
  <c r="M11" i="2"/>
  <c r="L11" i="2"/>
  <c r="K11" i="2"/>
  <c r="J11" i="2"/>
  <c r="I11" i="2"/>
  <c r="H11" i="2"/>
  <c r="G11" i="2"/>
  <c r="Q52" i="2"/>
  <c r="P52" i="2"/>
  <c r="O52" i="2"/>
  <c r="N52" i="2"/>
  <c r="M52" i="2"/>
  <c r="L52" i="2"/>
  <c r="K52" i="2"/>
  <c r="J52" i="2"/>
  <c r="I52" i="2"/>
  <c r="H52" i="2"/>
  <c r="G52" i="2"/>
  <c r="Q51" i="2"/>
  <c r="Q50" i="2" s="1"/>
  <c r="P51" i="2"/>
  <c r="P50" i="2" s="1"/>
  <c r="O51" i="2"/>
  <c r="O50" i="2" s="1"/>
  <c r="N51" i="2"/>
  <c r="M51" i="2"/>
  <c r="M50" i="2" s="1"/>
  <c r="L51" i="2"/>
  <c r="L50" i="2" s="1"/>
  <c r="K51" i="2"/>
  <c r="K50" i="2" s="1"/>
  <c r="J51" i="2"/>
  <c r="J50" i="2" s="1"/>
  <c r="I51" i="2"/>
  <c r="I50" i="2" s="1"/>
  <c r="H51" i="2"/>
  <c r="H50" i="2" s="1"/>
  <c r="G51" i="2"/>
  <c r="G50" i="2" s="1"/>
  <c r="N50" i="2"/>
  <c r="Q39" i="2"/>
  <c r="P39" i="2"/>
  <c r="O39" i="2"/>
  <c r="N39" i="2"/>
  <c r="M39" i="2"/>
  <c r="L39" i="2"/>
  <c r="K39" i="2"/>
  <c r="J39" i="2"/>
  <c r="I39" i="2"/>
  <c r="H39" i="2"/>
  <c r="G39" i="2"/>
  <c r="Q38" i="2"/>
  <c r="Q37" i="2" s="1"/>
  <c r="P38" i="2"/>
  <c r="P37" i="2" s="1"/>
  <c r="O38" i="2"/>
  <c r="O37" i="2" s="1"/>
  <c r="N38" i="2"/>
  <c r="M38" i="2"/>
  <c r="L38" i="2"/>
  <c r="L37" i="2" s="1"/>
  <c r="K38" i="2"/>
  <c r="K37" i="2" s="1"/>
  <c r="J38" i="2"/>
  <c r="J37" i="2" s="1"/>
  <c r="I38" i="2"/>
  <c r="I37" i="2" s="1"/>
  <c r="H38" i="2"/>
  <c r="H37" i="2" s="1"/>
  <c r="G38" i="2"/>
  <c r="G37" i="2" s="1"/>
  <c r="N37" i="2"/>
  <c r="M37" i="2"/>
  <c r="Q23" i="2"/>
  <c r="P23" i="2"/>
  <c r="O23" i="2"/>
  <c r="N23" i="2"/>
  <c r="M23" i="2"/>
  <c r="L23" i="2"/>
  <c r="K23" i="2"/>
  <c r="J23" i="2"/>
  <c r="I23" i="2"/>
  <c r="H23" i="2"/>
  <c r="G23" i="2"/>
  <c r="Q22" i="2"/>
  <c r="Q21" i="2" s="1"/>
  <c r="P22" i="2"/>
  <c r="P21" i="2" s="1"/>
  <c r="O22" i="2"/>
  <c r="O21" i="2" s="1"/>
  <c r="N22" i="2"/>
  <c r="M22" i="2"/>
  <c r="M21" i="2" s="1"/>
  <c r="L22" i="2"/>
  <c r="L21" i="2" s="1"/>
  <c r="K22" i="2"/>
  <c r="K21" i="2" s="1"/>
  <c r="J22" i="2"/>
  <c r="J21" i="2" s="1"/>
  <c r="I22" i="2"/>
  <c r="I21" i="2" s="1"/>
  <c r="H22" i="2"/>
  <c r="H21" i="2" s="1"/>
  <c r="G22" i="2"/>
  <c r="G21" i="2" s="1"/>
  <c r="N21" i="2"/>
  <c r="Q65" i="1"/>
  <c r="P65" i="1"/>
  <c r="O65" i="1"/>
  <c r="N65" i="1"/>
  <c r="M65" i="1"/>
  <c r="L65" i="1"/>
  <c r="K65" i="1"/>
  <c r="J65" i="1"/>
  <c r="I65" i="1"/>
  <c r="H65" i="1"/>
  <c r="G65" i="1"/>
  <c r="Q10" i="2"/>
  <c r="P10" i="2"/>
  <c r="O10" i="2"/>
  <c r="N10" i="2"/>
  <c r="M10" i="2"/>
  <c r="L10" i="2"/>
  <c r="K10" i="2"/>
  <c r="J10" i="2"/>
  <c r="I10" i="2"/>
  <c r="H10" i="2"/>
  <c r="G10" i="2"/>
  <c r="Q9" i="2"/>
  <c r="Q8" i="2" s="1"/>
  <c r="P9" i="2"/>
  <c r="P8" i="2" s="1"/>
  <c r="O9" i="2"/>
  <c r="O8" i="2" s="1"/>
  <c r="N9" i="2"/>
  <c r="N8" i="2" s="1"/>
  <c r="M9" i="2"/>
  <c r="M8" i="2" s="1"/>
  <c r="L9" i="2"/>
  <c r="L8" i="2" s="1"/>
  <c r="K9" i="2"/>
  <c r="K8" i="2" s="1"/>
  <c r="J9" i="2"/>
  <c r="J8" i="2" s="1"/>
  <c r="I9" i="2"/>
  <c r="I8" i="2" s="1"/>
  <c r="H9" i="2"/>
  <c r="H8" i="2" s="1"/>
  <c r="G9" i="2"/>
  <c r="G8" i="2" s="1"/>
  <c r="M49" i="2" l="1"/>
  <c r="H36" i="2"/>
  <c r="P36" i="2"/>
  <c r="K36" i="2"/>
  <c r="J7" i="2"/>
  <c r="L36" i="2"/>
  <c r="G36" i="2"/>
  <c r="H20" i="2"/>
  <c r="H27" i="2" s="1"/>
  <c r="P20" i="2"/>
  <c r="N36" i="2"/>
  <c r="I49" i="2"/>
  <c r="I36" i="2"/>
  <c r="Q36" i="2"/>
  <c r="L49" i="2"/>
  <c r="L56" i="2" s="1"/>
  <c r="J36" i="2"/>
  <c r="I20" i="2"/>
  <c r="I27" i="2" s="1"/>
  <c r="Q20" i="2"/>
  <c r="M36" i="2"/>
  <c r="Q49" i="2"/>
  <c r="O36" i="2"/>
  <c r="N49" i="2"/>
  <c r="H49" i="2"/>
  <c r="P49" i="2"/>
  <c r="P56" i="2" s="1"/>
  <c r="G49" i="2"/>
  <c r="G56" i="2" s="1"/>
  <c r="K49" i="2"/>
  <c r="J49" i="2"/>
  <c r="O49" i="2"/>
  <c r="J20" i="2"/>
  <c r="K20" i="2"/>
  <c r="G20" i="2"/>
  <c r="N20" i="2"/>
  <c r="O20" i="2"/>
  <c r="O27" i="2" s="1"/>
  <c r="L20" i="2"/>
  <c r="M20" i="2"/>
  <c r="M7" i="2"/>
  <c r="H7" i="2"/>
  <c r="N7" i="2"/>
  <c r="G7" i="2"/>
  <c r="G14" i="2" s="1"/>
  <c r="O7" i="2"/>
  <c r="P7" i="2"/>
  <c r="P14" i="2" s="1"/>
  <c r="L7" i="2"/>
  <c r="L14" i="2" s="1"/>
  <c r="I7" i="2"/>
  <c r="Q7" i="2"/>
  <c r="Q14" i="2" s="1"/>
  <c r="K7" i="2"/>
  <c r="H56" i="2" l="1"/>
  <c r="J43" i="2"/>
  <c r="J27" i="2"/>
  <c r="I43" i="2"/>
  <c r="N56" i="2"/>
  <c r="K56" i="2"/>
  <c r="Q43" i="2"/>
  <c r="K27" i="2"/>
  <c r="O56" i="2"/>
  <c r="I56" i="2"/>
  <c r="N27" i="2"/>
  <c r="K14" i="2"/>
  <c r="M27" i="2"/>
  <c r="M43" i="2"/>
  <c r="O14" i="2"/>
  <c r="G43" i="2"/>
  <c r="G27" i="2"/>
  <c r="L43" i="2"/>
  <c r="N14" i="2"/>
  <c r="J14" i="2"/>
  <c r="H14" i="2"/>
  <c r="O43" i="2"/>
  <c r="K43" i="2"/>
  <c r="M14" i="2"/>
  <c r="Q56" i="2"/>
  <c r="P43" i="2"/>
  <c r="I14" i="2"/>
  <c r="J56" i="2"/>
  <c r="N43" i="2"/>
  <c r="H43" i="2"/>
  <c r="L27" i="2"/>
  <c r="Q27" i="2"/>
  <c r="P27" i="2"/>
  <c r="M5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E5" authorId="0" shapeId="0" xr:uid="{9678F026-E2C2-44A5-9251-F1C5EEC58F94}">
      <text>
        <r>
          <rPr>
            <b/>
            <sz val="9"/>
            <color indexed="81"/>
            <rFont val="Tahoma"/>
            <family val="2"/>
          </rPr>
          <t>Brad:</t>
        </r>
        <r>
          <rPr>
            <sz val="9"/>
            <color indexed="81"/>
            <rFont val="Tahoma"/>
            <family val="2"/>
          </rPr>
          <t xml:space="preserve">
Elasticity</t>
        </r>
      </text>
    </comment>
    <comment ref="E34" authorId="0" shapeId="0" xr:uid="{73D99690-93E2-4B7B-9717-7253A0FB7429}">
      <text>
        <r>
          <rPr>
            <b/>
            <sz val="9"/>
            <color indexed="81"/>
            <rFont val="Tahoma"/>
            <family val="2"/>
          </rPr>
          <t>Brad:</t>
        </r>
        <r>
          <rPr>
            <sz val="9"/>
            <color indexed="81"/>
            <rFont val="Tahoma"/>
            <family val="2"/>
          </rPr>
          <t xml:space="preserve">
Elasticity</t>
        </r>
      </text>
    </comment>
    <comment ref="E63" authorId="0" shapeId="0" xr:uid="{71E6898E-29EB-4FBD-AABA-CB45B001DFCA}">
      <text>
        <r>
          <rPr>
            <b/>
            <sz val="9"/>
            <color indexed="81"/>
            <rFont val="Tahoma"/>
            <family val="2"/>
          </rPr>
          <t>Brad:</t>
        </r>
        <r>
          <rPr>
            <sz val="9"/>
            <color indexed="81"/>
            <rFont val="Tahoma"/>
            <family val="2"/>
          </rPr>
          <t xml:space="preserve">
Elasticity</t>
        </r>
      </text>
    </comment>
    <comment ref="G65" authorId="0" shapeId="0" xr:uid="{EA2FAD31-95E3-46C4-8632-48F29BC3E6CD}">
      <text>
        <r>
          <rPr>
            <b/>
            <sz val="9"/>
            <color indexed="81"/>
            <rFont val="Tahoma"/>
            <family val="2"/>
          </rPr>
          <t>Brad:</t>
        </r>
        <r>
          <rPr>
            <sz val="9"/>
            <color indexed="81"/>
            <rFont val="Tahoma"/>
            <family val="2"/>
          </rPr>
          <t xml:space="preserve">
Normally, price should change with supply and demand. But will need to sort out production functions for supply to find prices. Use fixed price for now.</t>
        </r>
      </text>
    </comment>
    <comment ref="E94" authorId="0" shapeId="0" xr:uid="{6DD5341D-AFF0-48B0-B6CB-275005682028}">
      <text>
        <r>
          <rPr>
            <b/>
            <sz val="9"/>
            <color indexed="81"/>
            <rFont val="Tahoma"/>
            <family val="2"/>
          </rPr>
          <t>Brad:</t>
        </r>
        <r>
          <rPr>
            <sz val="9"/>
            <color indexed="81"/>
            <rFont val="Tahoma"/>
            <family val="2"/>
          </rPr>
          <t xml:space="preserve">
Elasticity</t>
        </r>
      </text>
    </comment>
  </commentList>
</comments>
</file>

<file path=xl/sharedStrings.xml><?xml version="1.0" encoding="utf-8"?>
<sst xmlns="http://schemas.openxmlformats.org/spreadsheetml/2006/main" count="224" uniqueCount="46">
  <si>
    <t>Alberta</t>
  </si>
  <si>
    <t>Region</t>
  </si>
  <si>
    <t>Sector</t>
  </si>
  <si>
    <t>End Use</t>
  </si>
  <si>
    <t>Tech</t>
  </si>
  <si>
    <t>Residential</t>
  </si>
  <si>
    <t>Electricity</t>
  </si>
  <si>
    <t>Natural Gas</t>
  </si>
  <si>
    <t>Attributes</t>
  </si>
  <si>
    <t>Demand Unit</t>
  </si>
  <si>
    <t>Stock</t>
  </si>
  <si>
    <t>Lifetime</t>
  </si>
  <si>
    <t>Unavailable</t>
  </si>
  <si>
    <t>Available</t>
  </si>
  <si>
    <t>Value</t>
  </si>
  <si>
    <t>Cost</t>
  </si>
  <si>
    <t>Heating</t>
  </si>
  <si>
    <t>Intangible</t>
  </si>
  <si>
    <t>Capital</t>
  </si>
  <si>
    <t>O&amp;M</t>
  </si>
  <si>
    <t>Discount rate</t>
  </si>
  <si>
    <t>Single Family_Standard Shell_Electric baseboard</t>
  </si>
  <si>
    <t>Single family_Standard shell_Natural Gas furnace</t>
  </si>
  <si>
    <t>Commercial</t>
  </si>
  <si>
    <t>Natural Gas Extraction</t>
  </si>
  <si>
    <t>Retail_Standard Shell_Electric baseboard</t>
  </si>
  <si>
    <t>Retail_Standard shell_Natural Gas furnace</t>
  </si>
  <si>
    <t>Baseload_Natural Gas_Combined Cycle</t>
  </si>
  <si>
    <t>Baseload_Wind</t>
  </si>
  <si>
    <t>Wind</t>
  </si>
  <si>
    <t>Processing</t>
  </si>
  <si>
    <t>Units</t>
  </si>
  <si>
    <t>GJ</t>
  </si>
  <si>
    <t>m2</t>
  </si>
  <si>
    <t>Floorspace</t>
  </si>
  <si>
    <t>Output</t>
  </si>
  <si>
    <t>LCC</t>
  </si>
  <si>
    <t>CC</t>
  </si>
  <si>
    <t>CRF</t>
  </si>
  <si>
    <t>OM</t>
  </si>
  <si>
    <t>EC</t>
  </si>
  <si>
    <t>SC</t>
  </si>
  <si>
    <t>Price</t>
  </si>
  <si>
    <t>$/GJ</t>
  </si>
  <si>
    <t>v</t>
  </si>
  <si>
    <t>Market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</si>
</sst>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20"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49BB1-3584-4508-8401-24E3C073CCC3}">
  <sheetPr codeName="Sheet1">
    <outlinePr summaryBelow="0"/>
  </sheetPr>
  <dimension ref="A1:Q109"/>
  <sheetViews>
    <sheetView tabSelected="1" zoomScaleNormal="100" workbookViewId="0">
      <pane xSplit="1" ySplit="1" topLeftCell="B2" activePane="bottomRight" state="frozen"/>
      <selection activeCell="D1" sqref="D1"/>
      <selection pane="topRight" activeCell="F1" sqref="F1"/>
      <selection pane="bottomLeft" activeCell="D2" sqref="D2"/>
      <selection pane="bottomRight" activeCell="B2" sqref="B2"/>
    </sheetView>
  </sheetViews>
  <sheetFormatPr defaultRowHeight="15" outlineLevelRow="2" x14ac:dyDescent="0.25"/>
  <cols>
    <col min="1" max="1" width="7.5703125" style="1" bestFit="1" customWidth="1"/>
    <col min="2" max="2" width="11" style="1" bestFit="1" customWidth="1"/>
    <col min="3" max="3" width="13.28515625" style="1" bestFit="1" customWidth="1"/>
    <col min="4" max="4" width="24.42578125" style="1" customWidth="1"/>
    <col min="5" max="5" width="16.85546875" style="12" bestFit="1" customWidth="1"/>
    <col min="6" max="6" width="15.85546875" style="1" bestFit="1" customWidth="1"/>
    <col min="7" max="17" width="12.28515625" style="5" customWidth="1"/>
  </cols>
  <sheetData>
    <row r="1" spans="1:17" s="2" customFormat="1" ht="15.75" thickBot="1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8</v>
      </c>
      <c r="F1" s="3" t="s">
        <v>14</v>
      </c>
      <c r="G1" s="4">
        <v>2000</v>
      </c>
      <c r="H1" s="4">
        <v>2005</v>
      </c>
      <c r="I1" s="4">
        <v>2010</v>
      </c>
      <c r="J1" s="4">
        <v>2015</v>
      </c>
      <c r="K1" s="4">
        <v>2020</v>
      </c>
      <c r="L1" s="4">
        <v>2025</v>
      </c>
      <c r="M1" s="4">
        <v>2030</v>
      </c>
      <c r="N1" s="4">
        <v>2035</v>
      </c>
      <c r="O1" s="4">
        <v>2040</v>
      </c>
      <c r="P1" s="4">
        <v>2045</v>
      </c>
      <c r="Q1" s="4">
        <v>2050</v>
      </c>
    </row>
    <row r="2" spans="1:17" x14ac:dyDescent="0.25">
      <c r="A2" s="1" t="s">
        <v>0</v>
      </c>
    </row>
    <row r="3" spans="1:17" x14ac:dyDescent="0.25">
      <c r="B3" s="1" t="s">
        <v>5</v>
      </c>
    </row>
    <row r="4" spans="1:17" outlineLevel="1" x14ac:dyDescent="0.25">
      <c r="C4" s="1" t="s">
        <v>16</v>
      </c>
    </row>
    <row r="5" spans="1:17" outlineLevel="2" x14ac:dyDescent="0.25">
      <c r="E5" s="12" t="s">
        <v>44</v>
      </c>
      <c r="F5" s="1">
        <v>10</v>
      </c>
    </row>
    <row r="6" spans="1:17" outlineLevel="2" x14ac:dyDescent="0.25">
      <c r="D6" s="1" t="s">
        <v>21</v>
      </c>
    </row>
    <row r="7" spans="1:17" outlineLevel="2" x14ac:dyDescent="0.25">
      <c r="E7" s="12" t="s">
        <v>9</v>
      </c>
      <c r="F7" s="1" t="s">
        <v>34</v>
      </c>
    </row>
    <row r="8" spans="1:17" outlineLevel="2" x14ac:dyDescent="0.25">
      <c r="E8" s="12" t="s">
        <v>31</v>
      </c>
      <c r="F8" s="1" t="s">
        <v>33</v>
      </c>
    </row>
    <row r="9" spans="1:17" outlineLevel="2" x14ac:dyDescent="0.25">
      <c r="E9" s="12" t="s">
        <v>10</v>
      </c>
      <c r="F9" s="1">
        <v>20000</v>
      </c>
    </row>
    <row r="10" spans="1:17" outlineLevel="2" x14ac:dyDescent="0.25">
      <c r="E10" s="12" t="s">
        <v>13</v>
      </c>
      <c r="F10" s="1">
        <v>1900</v>
      </c>
    </row>
    <row r="11" spans="1:17" outlineLevel="2" x14ac:dyDescent="0.25">
      <c r="E11" s="12" t="s">
        <v>12</v>
      </c>
      <c r="F11" s="1">
        <v>2100</v>
      </c>
    </row>
    <row r="12" spans="1:17" outlineLevel="2" x14ac:dyDescent="0.25">
      <c r="E12" s="12" t="s">
        <v>11</v>
      </c>
      <c r="F12" s="1">
        <v>25</v>
      </c>
    </row>
    <row r="13" spans="1:17" outlineLevel="2" x14ac:dyDescent="0.25">
      <c r="E13" s="12" t="s">
        <v>18</v>
      </c>
      <c r="F13" s="1" t="s">
        <v>15</v>
      </c>
      <c r="G13" s="5">
        <v>2655</v>
      </c>
      <c r="H13" s="5">
        <v>2655</v>
      </c>
      <c r="I13" s="5">
        <v>2655</v>
      </c>
      <c r="J13" s="5">
        <v>2655</v>
      </c>
      <c r="K13" s="5">
        <v>2655</v>
      </c>
      <c r="L13" s="5">
        <v>2655</v>
      </c>
      <c r="M13" s="5">
        <v>2655</v>
      </c>
      <c r="N13" s="5">
        <v>2655</v>
      </c>
      <c r="O13" s="5">
        <v>2655</v>
      </c>
      <c r="P13" s="5">
        <v>2655</v>
      </c>
      <c r="Q13" s="5">
        <v>2655</v>
      </c>
    </row>
    <row r="14" spans="1:17" outlineLevel="2" x14ac:dyDescent="0.25">
      <c r="E14" s="12" t="s">
        <v>19</v>
      </c>
      <c r="F14" s="1" t="s">
        <v>15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</row>
    <row r="15" spans="1:17" outlineLevel="2" x14ac:dyDescent="0.25">
      <c r="E15" s="12" t="s">
        <v>17</v>
      </c>
      <c r="F15" s="1" t="s">
        <v>15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</row>
    <row r="16" spans="1:17" outlineLevel="2" x14ac:dyDescent="0.25">
      <c r="E16" s="12" t="s">
        <v>35</v>
      </c>
      <c r="F16" s="1" t="s">
        <v>15</v>
      </c>
      <c r="G16" s="5">
        <v>170</v>
      </c>
      <c r="H16" s="5">
        <v>170</v>
      </c>
      <c r="I16" s="5">
        <v>170</v>
      </c>
      <c r="J16" s="5">
        <v>170</v>
      </c>
      <c r="K16" s="5">
        <v>170</v>
      </c>
      <c r="L16" s="5">
        <v>170</v>
      </c>
      <c r="M16" s="5">
        <v>170</v>
      </c>
      <c r="N16" s="5">
        <v>170</v>
      </c>
      <c r="O16" s="5">
        <v>170</v>
      </c>
      <c r="P16" s="5">
        <v>170</v>
      </c>
      <c r="Q16" s="5">
        <v>170</v>
      </c>
    </row>
    <row r="17" spans="2:17" outlineLevel="2" x14ac:dyDescent="0.25">
      <c r="E17" s="12" t="s">
        <v>20</v>
      </c>
      <c r="F17" s="1" t="s">
        <v>15</v>
      </c>
      <c r="G17" s="5">
        <v>0.25</v>
      </c>
      <c r="H17" s="5">
        <v>0.25</v>
      </c>
      <c r="I17" s="5">
        <v>0.25</v>
      </c>
      <c r="J17" s="5">
        <v>0.25</v>
      </c>
      <c r="K17" s="5">
        <v>0.25</v>
      </c>
      <c r="L17" s="5">
        <v>0.25</v>
      </c>
      <c r="M17" s="5">
        <v>0.25</v>
      </c>
      <c r="N17" s="5">
        <v>0.25</v>
      </c>
      <c r="O17" s="5">
        <v>0.25</v>
      </c>
      <c r="P17" s="5">
        <v>0.25</v>
      </c>
      <c r="Q17" s="5">
        <v>0.25</v>
      </c>
    </row>
    <row r="18" spans="2:17" outlineLevel="2" x14ac:dyDescent="0.25">
      <c r="E18" s="12" t="s">
        <v>6</v>
      </c>
      <c r="F18" s="1" t="s">
        <v>3</v>
      </c>
      <c r="G18" s="5">
        <v>0.51500000000000001</v>
      </c>
      <c r="H18" s="5">
        <v>0.51500000000000001</v>
      </c>
      <c r="I18" s="5">
        <v>0.51500000000000001</v>
      </c>
      <c r="J18" s="5">
        <v>0.51500000000000001</v>
      </c>
      <c r="K18" s="5">
        <v>0.51500000000000001</v>
      </c>
      <c r="L18" s="5">
        <v>0.51500000000000001</v>
      </c>
      <c r="M18" s="5">
        <v>0.51500000000000001</v>
      </c>
      <c r="N18" s="5">
        <v>0.51500000000000001</v>
      </c>
      <c r="O18" s="5">
        <v>0.51500000000000001</v>
      </c>
      <c r="P18" s="5">
        <v>0.51500000000000001</v>
      </c>
      <c r="Q18" s="5">
        <v>0.51500000000000001</v>
      </c>
    </row>
    <row r="19" spans="2:17" outlineLevel="2" x14ac:dyDescent="0.25">
      <c r="D19" s="1" t="s">
        <v>22</v>
      </c>
    </row>
    <row r="20" spans="2:17" outlineLevel="2" x14ac:dyDescent="0.25">
      <c r="E20" s="12" t="s">
        <v>9</v>
      </c>
      <c r="F20" s="1" t="s">
        <v>34</v>
      </c>
    </row>
    <row r="21" spans="2:17" outlineLevel="2" x14ac:dyDescent="0.25">
      <c r="E21" s="12" t="s">
        <v>31</v>
      </c>
      <c r="F21" s="1" t="s">
        <v>33</v>
      </c>
    </row>
    <row r="22" spans="2:17" outlineLevel="2" x14ac:dyDescent="0.25">
      <c r="E22" s="12" t="s">
        <v>10</v>
      </c>
      <c r="F22" s="1">
        <v>45000</v>
      </c>
    </row>
    <row r="23" spans="2:17" outlineLevel="2" x14ac:dyDescent="0.25">
      <c r="E23" s="12" t="s">
        <v>13</v>
      </c>
      <c r="F23" s="1">
        <v>1900</v>
      </c>
    </row>
    <row r="24" spans="2:17" outlineLevel="2" x14ac:dyDescent="0.25">
      <c r="E24" s="12" t="s">
        <v>12</v>
      </c>
      <c r="F24" s="1">
        <v>2100</v>
      </c>
    </row>
    <row r="25" spans="2:17" outlineLevel="2" x14ac:dyDescent="0.25">
      <c r="E25" s="12" t="s">
        <v>11</v>
      </c>
      <c r="F25" s="1">
        <v>25</v>
      </c>
    </row>
    <row r="26" spans="2:17" outlineLevel="2" x14ac:dyDescent="0.25">
      <c r="E26" s="12" t="s">
        <v>18</v>
      </c>
      <c r="F26" s="1" t="s">
        <v>15</v>
      </c>
      <c r="G26" s="5">
        <v>1927</v>
      </c>
      <c r="H26" s="5">
        <v>1927</v>
      </c>
      <c r="I26" s="5">
        <v>1927</v>
      </c>
      <c r="J26" s="5">
        <v>1927</v>
      </c>
      <c r="K26" s="5">
        <v>1927</v>
      </c>
      <c r="L26" s="5">
        <v>1927</v>
      </c>
      <c r="M26" s="5">
        <v>1927</v>
      </c>
      <c r="N26" s="5">
        <v>1927</v>
      </c>
      <c r="O26" s="5">
        <v>1927</v>
      </c>
      <c r="P26" s="5">
        <v>1927</v>
      </c>
      <c r="Q26" s="5">
        <v>1927</v>
      </c>
    </row>
    <row r="27" spans="2:17" outlineLevel="2" x14ac:dyDescent="0.25">
      <c r="E27" s="12" t="s">
        <v>19</v>
      </c>
      <c r="F27" s="1" t="s">
        <v>15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</row>
    <row r="28" spans="2:17" outlineLevel="2" x14ac:dyDescent="0.25">
      <c r="E28" s="12" t="s">
        <v>17</v>
      </c>
      <c r="F28" s="1" t="s">
        <v>15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</row>
    <row r="29" spans="2:17" outlineLevel="2" x14ac:dyDescent="0.25">
      <c r="E29" s="12" t="s">
        <v>35</v>
      </c>
      <c r="F29" s="1" t="s">
        <v>15</v>
      </c>
      <c r="G29" s="5">
        <v>170</v>
      </c>
      <c r="H29" s="5">
        <v>170</v>
      </c>
      <c r="I29" s="5">
        <v>170</v>
      </c>
      <c r="J29" s="5">
        <v>170</v>
      </c>
      <c r="K29" s="5">
        <v>170</v>
      </c>
      <c r="L29" s="5">
        <v>170</v>
      </c>
      <c r="M29" s="5">
        <v>170</v>
      </c>
      <c r="N29" s="5">
        <v>170</v>
      </c>
      <c r="O29" s="5">
        <v>170</v>
      </c>
      <c r="P29" s="5">
        <v>170</v>
      </c>
      <c r="Q29" s="5">
        <v>170</v>
      </c>
    </row>
    <row r="30" spans="2:17" outlineLevel="2" x14ac:dyDescent="0.25">
      <c r="E30" s="12" t="s">
        <v>20</v>
      </c>
      <c r="F30" s="1" t="s">
        <v>15</v>
      </c>
      <c r="G30" s="5">
        <v>0.25</v>
      </c>
      <c r="H30" s="5">
        <v>0.25</v>
      </c>
      <c r="I30" s="5">
        <v>0.25</v>
      </c>
      <c r="J30" s="5">
        <v>0.25</v>
      </c>
      <c r="K30" s="5">
        <v>0.25</v>
      </c>
      <c r="L30" s="5">
        <v>0.25</v>
      </c>
      <c r="M30" s="5">
        <v>0.25</v>
      </c>
      <c r="N30" s="5">
        <v>0.25</v>
      </c>
      <c r="O30" s="5">
        <v>0.25</v>
      </c>
      <c r="P30" s="5">
        <v>0.25</v>
      </c>
      <c r="Q30" s="5">
        <v>0.25</v>
      </c>
    </row>
    <row r="31" spans="2:17" outlineLevel="2" x14ac:dyDescent="0.25">
      <c r="E31" s="12" t="s">
        <v>7</v>
      </c>
      <c r="F31" s="1" t="s">
        <v>3</v>
      </c>
      <c r="G31" s="5">
        <v>0.313</v>
      </c>
      <c r="H31" s="5">
        <v>0.313</v>
      </c>
      <c r="I31" s="5">
        <v>0.313</v>
      </c>
      <c r="J31" s="5">
        <v>0.313</v>
      </c>
      <c r="K31" s="5">
        <v>0.313</v>
      </c>
      <c r="L31" s="5">
        <v>0.313</v>
      </c>
      <c r="M31" s="5">
        <v>0.313</v>
      </c>
      <c r="N31" s="5">
        <v>0.313</v>
      </c>
      <c r="O31" s="5">
        <v>0.313</v>
      </c>
      <c r="P31" s="5">
        <v>0.313</v>
      </c>
      <c r="Q31" s="5">
        <v>0.313</v>
      </c>
    </row>
    <row r="32" spans="2:17" x14ac:dyDescent="0.25">
      <c r="B32" s="1" t="s">
        <v>23</v>
      </c>
    </row>
    <row r="33" spans="3:17" outlineLevel="1" x14ac:dyDescent="0.25">
      <c r="C33" s="1" t="s">
        <v>16</v>
      </c>
    </row>
    <row r="34" spans="3:17" outlineLevel="2" x14ac:dyDescent="0.25">
      <c r="E34" s="12" t="s">
        <v>44</v>
      </c>
      <c r="F34" s="1">
        <v>10</v>
      </c>
    </row>
    <row r="35" spans="3:17" outlineLevel="2" x14ac:dyDescent="0.25">
      <c r="D35" s="1" t="s">
        <v>25</v>
      </c>
    </row>
    <row r="36" spans="3:17" outlineLevel="2" x14ac:dyDescent="0.25">
      <c r="E36" s="12" t="s">
        <v>9</v>
      </c>
      <c r="F36" s="1" t="s">
        <v>34</v>
      </c>
    </row>
    <row r="37" spans="3:17" outlineLevel="2" x14ac:dyDescent="0.25">
      <c r="E37" s="12" t="s">
        <v>31</v>
      </c>
      <c r="F37" s="1" t="s">
        <v>33</v>
      </c>
    </row>
    <row r="38" spans="3:17" outlineLevel="2" x14ac:dyDescent="0.25">
      <c r="E38" s="12" t="s">
        <v>10</v>
      </c>
      <c r="F38" s="1">
        <v>10000</v>
      </c>
    </row>
    <row r="39" spans="3:17" outlineLevel="2" x14ac:dyDescent="0.25">
      <c r="E39" s="12" t="s">
        <v>13</v>
      </c>
      <c r="F39" s="1">
        <v>1900</v>
      </c>
    </row>
    <row r="40" spans="3:17" outlineLevel="2" x14ac:dyDescent="0.25">
      <c r="E40" s="12" t="s">
        <v>12</v>
      </c>
      <c r="F40" s="1">
        <v>2100</v>
      </c>
    </row>
    <row r="41" spans="3:17" outlineLevel="2" x14ac:dyDescent="0.25">
      <c r="E41" s="12" t="s">
        <v>11</v>
      </c>
      <c r="F41" s="1">
        <v>25</v>
      </c>
    </row>
    <row r="42" spans="3:17" outlineLevel="2" x14ac:dyDescent="0.25">
      <c r="E42" s="12" t="s">
        <v>18</v>
      </c>
      <c r="F42" s="1" t="s">
        <v>15</v>
      </c>
      <c r="G42" s="5">
        <v>2655</v>
      </c>
      <c r="H42" s="5">
        <v>2655</v>
      </c>
      <c r="I42" s="5">
        <v>2655</v>
      </c>
      <c r="J42" s="5">
        <v>2655</v>
      </c>
      <c r="K42" s="5">
        <v>2655</v>
      </c>
      <c r="L42" s="5">
        <v>2655</v>
      </c>
      <c r="M42" s="5">
        <v>2655</v>
      </c>
      <c r="N42" s="5">
        <v>2655</v>
      </c>
      <c r="O42" s="5">
        <v>2655</v>
      </c>
      <c r="P42" s="5">
        <v>2655</v>
      </c>
      <c r="Q42" s="5">
        <v>2655</v>
      </c>
    </row>
    <row r="43" spans="3:17" outlineLevel="2" x14ac:dyDescent="0.25">
      <c r="E43" s="12" t="s">
        <v>19</v>
      </c>
      <c r="F43" s="1" t="s">
        <v>15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</row>
    <row r="44" spans="3:17" outlineLevel="2" x14ac:dyDescent="0.25">
      <c r="E44" s="12" t="s">
        <v>17</v>
      </c>
      <c r="F44" s="1" t="s">
        <v>15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</row>
    <row r="45" spans="3:17" outlineLevel="2" x14ac:dyDescent="0.25">
      <c r="E45" s="12" t="s">
        <v>35</v>
      </c>
      <c r="F45" s="1" t="s">
        <v>15</v>
      </c>
      <c r="G45" s="5">
        <v>300</v>
      </c>
      <c r="H45" s="5">
        <v>300</v>
      </c>
      <c r="I45" s="5">
        <v>300</v>
      </c>
      <c r="J45" s="5">
        <v>300</v>
      </c>
      <c r="K45" s="5">
        <v>300</v>
      </c>
      <c r="L45" s="5">
        <v>300</v>
      </c>
      <c r="M45" s="5">
        <v>300</v>
      </c>
      <c r="N45" s="5">
        <v>300</v>
      </c>
      <c r="O45" s="5">
        <v>300</v>
      </c>
      <c r="P45" s="5">
        <v>300</v>
      </c>
      <c r="Q45" s="5">
        <v>300</v>
      </c>
    </row>
    <row r="46" spans="3:17" outlineLevel="2" x14ac:dyDescent="0.25">
      <c r="E46" s="12" t="s">
        <v>20</v>
      </c>
      <c r="F46" s="1" t="s">
        <v>15</v>
      </c>
      <c r="G46" s="5">
        <v>0.25</v>
      </c>
      <c r="H46" s="5">
        <v>0.25</v>
      </c>
      <c r="I46" s="5">
        <v>0.25</v>
      </c>
      <c r="J46" s="5">
        <v>0.25</v>
      </c>
      <c r="K46" s="5">
        <v>0.25</v>
      </c>
      <c r="L46" s="5">
        <v>0.25</v>
      </c>
      <c r="M46" s="5">
        <v>0.25</v>
      </c>
      <c r="N46" s="5">
        <v>0.25</v>
      </c>
      <c r="O46" s="5">
        <v>0.25</v>
      </c>
      <c r="P46" s="5">
        <v>0.25</v>
      </c>
      <c r="Q46" s="5">
        <v>0.25</v>
      </c>
    </row>
    <row r="47" spans="3:17" outlineLevel="2" x14ac:dyDescent="0.25">
      <c r="E47" s="12" t="s">
        <v>6</v>
      </c>
      <c r="F47" s="1" t="s">
        <v>3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</row>
    <row r="48" spans="3:17" outlineLevel="2" x14ac:dyDescent="0.25">
      <c r="D48" s="1" t="s">
        <v>26</v>
      </c>
    </row>
    <row r="49" spans="2:17" outlineLevel="2" x14ac:dyDescent="0.25">
      <c r="E49" s="12" t="s">
        <v>9</v>
      </c>
      <c r="F49" s="1" t="s">
        <v>34</v>
      </c>
    </row>
    <row r="50" spans="2:17" outlineLevel="2" x14ac:dyDescent="0.25">
      <c r="E50" s="12" t="s">
        <v>31</v>
      </c>
      <c r="F50" s="1" t="s">
        <v>33</v>
      </c>
    </row>
    <row r="51" spans="2:17" outlineLevel="2" x14ac:dyDescent="0.25">
      <c r="E51" s="12" t="s">
        <v>10</v>
      </c>
      <c r="F51" s="1">
        <v>20000</v>
      </c>
    </row>
    <row r="52" spans="2:17" outlineLevel="2" x14ac:dyDescent="0.25">
      <c r="E52" s="12" t="s">
        <v>13</v>
      </c>
      <c r="F52" s="1">
        <v>1900</v>
      </c>
    </row>
    <row r="53" spans="2:17" outlineLevel="2" x14ac:dyDescent="0.25">
      <c r="E53" s="12" t="s">
        <v>12</v>
      </c>
      <c r="F53" s="1">
        <v>2100</v>
      </c>
    </row>
    <row r="54" spans="2:17" outlineLevel="2" x14ac:dyDescent="0.25">
      <c r="E54" s="12" t="s">
        <v>11</v>
      </c>
      <c r="F54" s="1">
        <v>25</v>
      </c>
    </row>
    <row r="55" spans="2:17" outlineLevel="2" x14ac:dyDescent="0.25">
      <c r="E55" s="12" t="s">
        <v>18</v>
      </c>
      <c r="F55" s="1" t="s">
        <v>15</v>
      </c>
      <c r="G55" s="5">
        <v>1927</v>
      </c>
      <c r="H55" s="5">
        <v>1927</v>
      </c>
      <c r="I55" s="5">
        <v>1927</v>
      </c>
      <c r="J55" s="5">
        <v>1927</v>
      </c>
      <c r="K55" s="5">
        <v>1927</v>
      </c>
      <c r="L55" s="5">
        <v>1927</v>
      </c>
      <c r="M55" s="5">
        <v>1927</v>
      </c>
      <c r="N55" s="5">
        <v>1927</v>
      </c>
      <c r="O55" s="5">
        <v>1927</v>
      </c>
      <c r="P55" s="5">
        <v>1927</v>
      </c>
      <c r="Q55" s="5">
        <v>1927</v>
      </c>
    </row>
    <row r="56" spans="2:17" outlineLevel="2" x14ac:dyDescent="0.25">
      <c r="E56" s="12" t="s">
        <v>19</v>
      </c>
      <c r="F56" s="1" t="s">
        <v>15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</row>
    <row r="57" spans="2:17" outlineLevel="2" x14ac:dyDescent="0.25">
      <c r="E57" s="12" t="s">
        <v>17</v>
      </c>
      <c r="F57" s="1" t="s">
        <v>15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</row>
    <row r="58" spans="2:17" outlineLevel="2" x14ac:dyDescent="0.25">
      <c r="E58" s="12" t="s">
        <v>35</v>
      </c>
      <c r="F58" s="1" t="s">
        <v>15</v>
      </c>
      <c r="G58" s="5">
        <v>300</v>
      </c>
      <c r="H58" s="5">
        <v>300</v>
      </c>
      <c r="I58" s="5">
        <v>300</v>
      </c>
      <c r="J58" s="5">
        <v>300</v>
      </c>
      <c r="K58" s="5">
        <v>300</v>
      </c>
      <c r="L58" s="5">
        <v>300</v>
      </c>
      <c r="M58" s="5">
        <v>300</v>
      </c>
      <c r="N58" s="5">
        <v>300</v>
      </c>
      <c r="O58" s="5">
        <v>300</v>
      </c>
      <c r="P58" s="5">
        <v>300</v>
      </c>
      <c r="Q58" s="5">
        <v>300</v>
      </c>
    </row>
    <row r="59" spans="2:17" outlineLevel="2" x14ac:dyDescent="0.25">
      <c r="E59" s="12" t="s">
        <v>20</v>
      </c>
      <c r="F59" s="1" t="s">
        <v>15</v>
      </c>
      <c r="G59" s="5">
        <v>0.25</v>
      </c>
      <c r="H59" s="5">
        <v>0.25</v>
      </c>
      <c r="I59" s="5">
        <v>0.25</v>
      </c>
      <c r="J59" s="5">
        <v>0.25</v>
      </c>
      <c r="K59" s="5">
        <v>0.25</v>
      </c>
      <c r="L59" s="5">
        <v>0.25</v>
      </c>
      <c r="M59" s="5">
        <v>0.25</v>
      </c>
      <c r="N59" s="5">
        <v>0.25</v>
      </c>
      <c r="O59" s="5">
        <v>0.25</v>
      </c>
      <c r="P59" s="5">
        <v>0.25</v>
      </c>
      <c r="Q59" s="5">
        <v>0.25</v>
      </c>
    </row>
    <row r="60" spans="2:17" outlineLevel="2" x14ac:dyDescent="0.25">
      <c r="E60" s="12" t="s">
        <v>7</v>
      </c>
      <c r="F60" s="1" t="s">
        <v>3</v>
      </c>
      <c r="G60" s="5">
        <v>0.6</v>
      </c>
      <c r="H60" s="5">
        <v>0.6</v>
      </c>
      <c r="I60" s="5">
        <v>0.6</v>
      </c>
      <c r="J60" s="5">
        <v>0.6</v>
      </c>
      <c r="K60" s="5">
        <v>0.6</v>
      </c>
      <c r="L60" s="5">
        <v>0.6</v>
      </c>
      <c r="M60" s="5">
        <v>0.6</v>
      </c>
      <c r="N60" s="5">
        <v>0.6</v>
      </c>
      <c r="O60" s="5">
        <v>0.6</v>
      </c>
      <c r="P60" s="5">
        <v>0.6</v>
      </c>
      <c r="Q60" s="5">
        <v>0.6</v>
      </c>
    </row>
    <row r="61" spans="2:17" x14ac:dyDescent="0.25">
      <c r="B61" s="1" t="s">
        <v>6</v>
      </c>
    </row>
    <row r="62" spans="2:17" outlineLevel="1" x14ac:dyDescent="0.25">
      <c r="C62" s="1" t="s">
        <v>6</v>
      </c>
    </row>
    <row r="63" spans="2:17" outlineLevel="2" x14ac:dyDescent="0.25">
      <c r="E63" s="12" t="s">
        <v>44</v>
      </c>
      <c r="F63" s="1">
        <v>10</v>
      </c>
    </row>
    <row r="64" spans="2:17" outlineLevel="2" x14ac:dyDescent="0.25">
      <c r="E64" s="12" t="s">
        <v>31</v>
      </c>
      <c r="F64" s="1" t="s">
        <v>43</v>
      </c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</row>
    <row r="65" spans="4:17" outlineLevel="2" collapsed="1" x14ac:dyDescent="0.25">
      <c r="E65" s="12" t="s">
        <v>6</v>
      </c>
      <c r="F65" s="1" t="s">
        <v>42</v>
      </c>
      <c r="G65" s="11">
        <f>0.08/0.0036</f>
        <v>22.222222222222225</v>
      </c>
      <c r="H65" s="11">
        <f t="shared" ref="H65:Q65" si="0">0.08/0.0036</f>
        <v>22.222222222222225</v>
      </c>
      <c r="I65" s="11">
        <f t="shared" si="0"/>
        <v>22.222222222222225</v>
      </c>
      <c r="J65" s="11">
        <f t="shared" si="0"/>
        <v>22.222222222222225</v>
      </c>
      <c r="K65" s="11">
        <f t="shared" si="0"/>
        <v>22.222222222222225</v>
      </c>
      <c r="L65" s="11">
        <f t="shared" si="0"/>
        <v>22.222222222222225</v>
      </c>
      <c r="M65" s="11">
        <f t="shared" si="0"/>
        <v>22.222222222222225</v>
      </c>
      <c r="N65" s="11">
        <f t="shared" si="0"/>
        <v>22.222222222222225</v>
      </c>
      <c r="O65" s="11">
        <f t="shared" si="0"/>
        <v>22.222222222222225</v>
      </c>
      <c r="P65" s="11">
        <f t="shared" si="0"/>
        <v>22.222222222222225</v>
      </c>
      <c r="Q65" s="11">
        <f t="shared" si="0"/>
        <v>22.222222222222225</v>
      </c>
    </row>
    <row r="66" spans="4:17" outlineLevel="2" x14ac:dyDescent="0.25">
      <c r="D66" s="1" t="s">
        <v>27</v>
      </c>
    </row>
    <row r="67" spans="4:17" outlineLevel="2" x14ac:dyDescent="0.25">
      <c r="E67" s="12" t="s">
        <v>9</v>
      </c>
      <c r="F67" s="1" t="s">
        <v>6</v>
      </c>
    </row>
    <row r="68" spans="4:17" outlineLevel="2" x14ac:dyDescent="0.25">
      <c r="E68" s="12" t="s">
        <v>31</v>
      </c>
      <c r="F68" s="7" t="s">
        <v>32</v>
      </c>
    </row>
    <row r="69" spans="4:17" outlineLevel="2" x14ac:dyDescent="0.25">
      <c r="E69" s="12" t="s">
        <v>10</v>
      </c>
      <c r="F69" s="7">
        <v>15000000</v>
      </c>
    </row>
    <row r="70" spans="4:17" outlineLevel="2" x14ac:dyDescent="0.25">
      <c r="E70" s="12" t="s">
        <v>13</v>
      </c>
      <c r="F70" s="1">
        <v>1900</v>
      </c>
    </row>
    <row r="71" spans="4:17" outlineLevel="2" x14ac:dyDescent="0.25">
      <c r="E71" s="12" t="s">
        <v>12</v>
      </c>
      <c r="F71" s="1">
        <v>2100</v>
      </c>
    </row>
    <row r="72" spans="4:17" outlineLevel="2" x14ac:dyDescent="0.25">
      <c r="E72" s="12" t="s">
        <v>11</v>
      </c>
      <c r="F72" s="1">
        <v>30</v>
      </c>
    </row>
    <row r="73" spans="4:17" outlineLevel="2" x14ac:dyDescent="0.25">
      <c r="E73" s="12" t="s">
        <v>18</v>
      </c>
      <c r="F73" s="1" t="s">
        <v>15</v>
      </c>
      <c r="G73" s="6">
        <v>135000000</v>
      </c>
      <c r="H73" s="6">
        <v>135000000</v>
      </c>
      <c r="I73" s="6">
        <v>135000000</v>
      </c>
      <c r="J73" s="6">
        <v>135000000</v>
      </c>
      <c r="K73" s="6">
        <v>135000000</v>
      </c>
      <c r="L73" s="6">
        <v>135000000</v>
      </c>
      <c r="M73" s="6">
        <v>135000000</v>
      </c>
      <c r="N73" s="6">
        <v>135000000</v>
      </c>
      <c r="O73" s="6">
        <v>135000000</v>
      </c>
      <c r="P73" s="6">
        <v>135000000</v>
      </c>
      <c r="Q73" s="6">
        <v>135000000</v>
      </c>
    </row>
    <row r="74" spans="4:17" outlineLevel="2" x14ac:dyDescent="0.25">
      <c r="E74" s="12" t="s">
        <v>19</v>
      </c>
      <c r="F74" s="1" t="s">
        <v>15</v>
      </c>
      <c r="G74" s="6">
        <v>4000000</v>
      </c>
      <c r="H74" s="6">
        <v>4000000</v>
      </c>
      <c r="I74" s="6">
        <v>4000000</v>
      </c>
      <c r="J74" s="6">
        <v>4000000</v>
      </c>
      <c r="K74" s="6">
        <v>4000000</v>
      </c>
      <c r="L74" s="6">
        <v>4000000</v>
      </c>
      <c r="M74" s="6">
        <v>4000000</v>
      </c>
      <c r="N74" s="6">
        <v>4000000</v>
      </c>
      <c r="O74" s="6">
        <v>4000000</v>
      </c>
      <c r="P74" s="6">
        <v>4000000</v>
      </c>
      <c r="Q74" s="6">
        <v>4000000</v>
      </c>
    </row>
    <row r="75" spans="4:17" outlineLevel="2" x14ac:dyDescent="0.25">
      <c r="E75" s="12" t="s">
        <v>17</v>
      </c>
      <c r="F75" s="1" t="s">
        <v>15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</row>
    <row r="76" spans="4:17" outlineLevel="2" x14ac:dyDescent="0.25">
      <c r="E76" s="12" t="s">
        <v>35</v>
      </c>
      <c r="F76" s="1" t="s">
        <v>15</v>
      </c>
      <c r="G76" s="6">
        <v>2000000</v>
      </c>
      <c r="H76" s="6">
        <v>2000000</v>
      </c>
      <c r="I76" s="6">
        <v>2000000</v>
      </c>
      <c r="J76" s="6">
        <v>2000000</v>
      </c>
      <c r="K76" s="6">
        <v>2000000</v>
      </c>
      <c r="L76" s="6">
        <v>2000000</v>
      </c>
      <c r="M76" s="6">
        <v>2000000</v>
      </c>
      <c r="N76" s="6">
        <v>2000000</v>
      </c>
      <c r="O76" s="6">
        <v>2000000</v>
      </c>
      <c r="P76" s="6">
        <v>2000000</v>
      </c>
      <c r="Q76" s="6">
        <v>2000000</v>
      </c>
    </row>
    <row r="77" spans="4:17" outlineLevel="2" x14ac:dyDescent="0.25">
      <c r="E77" s="12" t="s">
        <v>20</v>
      </c>
      <c r="F77" s="1" t="s">
        <v>15</v>
      </c>
      <c r="G77" s="5">
        <v>0.125</v>
      </c>
      <c r="H77" s="5">
        <v>0.125</v>
      </c>
      <c r="I77" s="5">
        <v>0.125</v>
      </c>
      <c r="J77" s="5">
        <v>0.125</v>
      </c>
      <c r="K77" s="5">
        <v>0.125</v>
      </c>
      <c r="L77" s="5">
        <v>0.125</v>
      </c>
      <c r="M77" s="5">
        <v>0.125</v>
      </c>
      <c r="N77" s="5">
        <v>0.125</v>
      </c>
      <c r="O77" s="5">
        <v>0.125</v>
      </c>
      <c r="P77" s="5">
        <v>0.125</v>
      </c>
      <c r="Q77" s="5">
        <v>0.125</v>
      </c>
    </row>
    <row r="78" spans="4:17" outlineLevel="2" x14ac:dyDescent="0.25">
      <c r="E78" s="12" t="s">
        <v>7</v>
      </c>
      <c r="F78" s="1" t="s">
        <v>3</v>
      </c>
      <c r="G78" s="5">
        <v>1.9</v>
      </c>
      <c r="H78" s="5">
        <v>1.9</v>
      </c>
      <c r="I78" s="5">
        <v>1.9</v>
      </c>
      <c r="J78" s="5">
        <v>1.9</v>
      </c>
      <c r="K78" s="5">
        <v>1.9</v>
      </c>
      <c r="L78" s="5">
        <v>1.9</v>
      </c>
      <c r="M78" s="5">
        <v>1.9</v>
      </c>
      <c r="N78" s="5">
        <v>1.9</v>
      </c>
      <c r="O78" s="5">
        <v>1.9</v>
      </c>
      <c r="P78" s="5">
        <v>1.9</v>
      </c>
      <c r="Q78" s="5">
        <v>1.9</v>
      </c>
    </row>
    <row r="79" spans="4:17" outlineLevel="2" x14ac:dyDescent="0.25">
      <c r="D79" s="1" t="s">
        <v>28</v>
      </c>
    </row>
    <row r="80" spans="4:17" outlineLevel="2" x14ac:dyDescent="0.25">
      <c r="E80" s="12" t="s">
        <v>9</v>
      </c>
      <c r="F80" s="1" t="s">
        <v>6</v>
      </c>
    </row>
    <row r="81" spans="2:17" outlineLevel="2" x14ac:dyDescent="0.25">
      <c r="E81" s="12" t="s">
        <v>31</v>
      </c>
      <c r="F81" s="7" t="s">
        <v>32</v>
      </c>
    </row>
    <row r="82" spans="2:17" outlineLevel="2" x14ac:dyDescent="0.25">
      <c r="E82" s="12" t="s">
        <v>10</v>
      </c>
      <c r="F82" s="7">
        <v>1500000</v>
      </c>
    </row>
    <row r="83" spans="2:17" outlineLevel="2" x14ac:dyDescent="0.25">
      <c r="E83" s="12" t="s">
        <v>13</v>
      </c>
      <c r="F83" s="1">
        <v>1900</v>
      </c>
    </row>
    <row r="84" spans="2:17" outlineLevel="2" x14ac:dyDescent="0.25">
      <c r="E84" s="12" t="s">
        <v>12</v>
      </c>
      <c r="F84" s="1">
        <v>2100</v>
      </c>
    </row>
    <row r="85" spans="2:17" outlineLevel="2" x14ac:dyDescent="0.25">
      <c r="E85" s="12" t="s">
        <v>11</v>
      </c>
      <c r="F85" s="1">
        <v>30</v>
      </c>
    </row>
    <row r="86" spans="2:17" outlineLevel="2" x14ac:dyDescent="0.25">
      <c r="E86" s="12" t="s">
        <v>18</v>
      </c>
      <c r="F86" s="1" t="s">
        <v>15</v>
      </c>
      <c r="G86" s="6">
        <v>140000000</v>
      </c>
      <c r="H86" s="6">
        <v>170000000</v>
      </c>
      <c r="I86" s="6">
        <v>170000000</v>
      </c>
      <c r="J86" s="6">
        <v>170000000</v>
      </c>
      <c r="K86" s="6">
        <v>170000000</v>
      </c>
      <c r="L86" s="6">
        <v>170000000</v>
      </c>
      <c r="M86" s="6">
        <v>170000000</v>
      </c>
      <c r="N86" s="6">
        <v>170000000</v>
      </c>
      <c r="O86" s="6">
        <v>170000000</v>
      </c>
      <c r="P86" s="6">
        <v>170000000</v>
      </c>
      <c r="Q86" s="6">
        <v>170000000</v>
      </c>
    </row>
    <row r="87" spans="2:17" outlineLevel="2" x14ac:dyDescent="0.25">
      <c r="E87" s="12" t="s">
        <v>19</v>
      </c>
      <c r="F87" s="1" t="s">
        <v>15</v>
      </c>
      <c r="G87" s="6">
        <v>2000000</v>
      </c>
      <c r="H87" s="6">
        <v>3000000</v>
      </c>
      <c r="I87" s="6">
        <v>3000000</v>
      </c>
      <c r="J87" s="6">
        <v>3000000</v>
      </c>
      <c r="K87" s="6">
        <v>3000000</v>
      </c>
      <c r="L87" s="6">
        <v>3000000</v>
      </c>
      <c r="M87" s="6">
        <v>3000000</v>
      </c>
      <c r="N87" s="6">
        <v>3000000</v>
      </c>
      <c r="O87" s="6">
        <v>3000000</v>
      </c>
      <c r="P87" s="6">
        <v>3000000</v>
      </c>
      <c r="Q87" s="6">
        <v>3000000</v>
      </c>
    </row>
    <row r="88" spans="2:17" outlineLevel="2" x14ac:dyDescent="0.25">
      <c r="E88" s="12" t="s">
        <v>17</v>
      </c>
      <c r="F88" s="1" t="s">
        <v>15</v>
      </c>
      <c r="G88" s="6">
        <v>20000000</v>
      </c>
      <c r="H88" s="6">
        <v>15000000</v>
      </c>
      <c r="I88" s="6">
        <v>10000000</v>
      </c>
      <c r="J88" s="6">
        <v>5000000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</row>
    <row r="89" spans="2:17" outlineLevel="2" x14ac:dyDescent="0.25">
      <c r="E89" s="12" t="s">
        <v>35</v>
      </c>
      <c r="F89" s="1" t="s">
        <v>15</v>
      </c>
      <c r="G89" s="6">
        <v>600000</v>
      </c>
      <c r="H89" s="6">
        <v>600000</v>
      </c>
      <c r="I89" s="6">
        <v>600000</v>
      </c>
      <c r="J89" s="6">
        <v>600000</v>
      </c>
      <c r="K89" s="6">
        <v>600000</v>
      </c>
      <c r="L89" s="6">
        <v>600000</v>
      </c>
      <c r="M89" s="6">
        <v>600000</v>
      </c>
      <c r="N89" s="6">
        <v>600000</v>
      </c>
      <c r="O89" s="6">
        <v>600000</v>
      </c>
      <c r="P89" s="6">
        <v>600000</v>
      </c>
      <c r="Q89" s="6">
        <v>600000</v>
      </c>
    </row>
    <row r="90" spans="2:17" outlineLevel="2" x14ac:dyDescent="0.25">
      <c r="E90" s="12" t="s">
        <v>20</v>
      </c>
      <c r="F90" s="1" t="s">
        <v>15</v>
      </c>
      <c r="G90" s="5">
        <v>0.125</v>
      </c>
      <c r="H90" s="5">
        <v>0.125</v>
      </c>
      <c r="I90" s="5">
        <v>0.125</v>
      </c>
      <c r="J90" s="5">
        <v>0.125</v>
      </c>
      <c r="K90" s="5">
        <v>0.125</v>
      </c>
      <c r="L90" s="5">
        <v>0.125</v>
      </c>
      <c r="M90" s="5">
        <v>0.125</v>
      </c>
      <c r="N90" s="5">
        <v>0.125</v>
      </c>
      <c r="O90" s="5">
        <v>0.125</v>
      </c>
      <c r="P90" s="5">
        <v>0.125</v>
      </c>
      <c r="Q90" s="5">
        <v>0.125</v>
      </c>
    </row>
    <row r="91" spans="2:17" outlineLevel="2" x14ac:dyDescent="0.25">
      <c r="E91" s="12" t="s">
        <v>29</v>
      </c>
      <c r="F91" s="1" t="s">
        <v>3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 s="5">
        <v>1</v>
      </c>
      <c r="M91" s="5">
        <v>1</v>
      </c>
      <c r="N91" s="5">
        <v>1</v>
      </c>
      <c r="O91" s="5">
        <v>1</v>
      </c>
      <c r="P91" s="5">
        <v>1</v>
      </c>
      <c r="Q91" s="5">
        <v>1</v>
      </c>
    </row>
    <row r="92" spans="2:17" x14ac:dyDescent="0.25">
      <c r="B92" s="1" t="s">
        <v>24</v>
      </c>
    </row>
    <row r="93" spans="2:17" outlineLevel="1" x14ac:dyDescent="0.25">
      <c r="C93" s="1" t="s">
        <v>7</v>
      </c>
    </row>
    <row r="94" spans="2:17" outlineLevel="2" x14ac:dyDescent="0.25">
      <c r="E94" s="12" t="s">
        <v>44</v>
      </c>
      <c r="F94" s="1">
        <v>10</v>
      </c>
    </row>
    <row r="95" spans="2:17" outlineLevel="2" x14ac:dyDescent="0.25">
      <c r="E95" s="12" t="s">
        <v>31</v>
      </c>
      <c r="F95" s="1" t="s">
        <v>43</v>
      </c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</row>
    <row r="96" spans="2:17" outlineLevel="2" collapsed="1" x14ac:dyDescent="0.25">
      <c r="E96" s="12" t="s">
        <v>7</v>
      </c>
      <c r="F96" s="1" t="s">
        <v>42</v>
      </c>
      <c r="G96" s="11">
        <v>8.9</v>
      </c>
      <c r="H96" s="11">
        <v>8.9</v>
      </c>
      <c r="I96" s="11">
        <v>8.9</v>
      </c>
      <c r="J96" s="11">
        <v>8.9</v>
      </c>
      <c r="K96" s="11">
        <v>8.9</v>
      </c>
      <c r="L96" s="11">
        <v>8.9</v>
      </c>
      <c r="M96" s="11">
        <v>8.9</v>
      </c>
      <c r="N96" s="11">
        <v>8.9</v>
      </c>
      <c r="O96" s="11">
        <v>8.9</v>
      </c>
      <c r="P96" s="11">
        <v>8.9</v>
      </c>
      <c r="Q96" s="11">
        <v>8.9</v>
      </c>
    </row>
    <row r="97" spans="4:17" outlineLevel="2" x14ac:dyDescent="0.25">
      <c r="D97" s="1" t="s">
        <v>30</v>
      </c>
    </row>
    <row r="98" spans="4:17" outlineLevel="2" x14ac:dyDescent="0.25">
      <c r="E98" s="12" t="s">
        <v>9</v>
      </c>
      <c r="F98" s="1" t="s">
        <v>7</v>
      </c>
    </row>
    <row r="99" spans="4:17" outlineLevel="2" x14ac:dyDescent="0.25">
      <c r="E99" s="12" t="s">
        <v>31</v>
      </c>
      <c r="F99" s="7" t="s">
        <v>32</v>
      </c>
    </row>
    <row r="100" spans="4:17" outlineLevel="2" x14ac:dyDescent="0.25">
      <c r="E100" s="12" t="s">
        <v>10</v>
      </c>
      <c r="F100" s="7">
        <v>100000000</v>
      </c>
    </row>
    <row r="101" spans="4:17" outlineLevel="2" x14ac:dyDescent="0.25">
      <c r="E101" s="12" t="s">
        <v>13</v>
      </c>
      <c r="F101" s="1">
        <v>1900</v>
      </c>
    </row>
    <row r="102" spans="4:17" outlineLevel="2" x14ac:dyDescent="0.25">
      <c r="E102" s="12" t="s">
        <v>12</v>
      </c>
      <c r="F102" s="1">
        <v>2100</v>
      </c>
    </row>
    <row r="103" spans="4:17" outlineLevel="2" x14ac:dyDescent="0.25">
      <c r="E103" s="12" t="s">
        <v>11</v>
      </c>
      <c r="F103" s="1">
        <v>50</v>
      </c>
    </row>
    <row r="104" spans="4:17" outlineLevel="2" x14ac:dyDescent="0.25">
      <c r="E104" s="12" t="s">
        <v>18</v>
      </c>
      <c r="F104" s="1" t="s">
        <v>15</v>
      </c>
      <c r="G104" s="6">
        <v>115</v>
      </c>
      <c r="H104" s="6">
        <v>115</v>
      </c>
      <c r="I104" s="6">
        <v>115</v>
      </c>
      <c r="J104" s="6">
        <v>115</v>
      </c>
      <c r="K104" s="6">
        <v>115</v>
      </c>
      <c r="L104" s="6">
        <v>115</v>
      </c>
      <c r="M104" s="6">
        <v>115</v>
      </c>
      <c r="N104" s="6">
        <v>115</v>
      </c>
      <c r="O104" s="6">
        <v>115</v>
      </c>
      <c r="P104" s="6">
        <v>115</v>
      </c>
      <c r="Q104" s="6">
        <v>115</v>
      </c>
    </row>
    <row r="105" spans="4:17" outlineLevel="2" x14ac:dyDescent="0.25">
      <c r="E105" s="12" t="s">
        <v>19</v>
      </c>
      <c r="F105" s="1" t="s">
        <v>15</v>
      </c>
      <c r="G105" s="6">
        <v>7</v>
      </c>
      <c r="H105" s="6">
        <v>7</v>
      </c>
      <c r="I105" s="6">
        <v>7</v>
      </c>
      <c r="J105" s="6">
        <v>7</v>
      </c>
      <c r="K105" s="6">
        <v>7</v>
      </c>
      <c r="L105" s="6">
        <v>7</v>
      </c>
      <c r="M105" s="6">
        <v>7</v>
      </c>
      <c r="N105" s="6">
        <v>7</v>
      </c>
      <c r="O105" s="6">
        <v>7</v>
      </c>
      <c r="P105" s="6">
        <v>7</v>
      </c>
      <c r="Q105" s="6">
        <v>7</v>
      </c>
    </row>
    <row r="106" spans="4:17" outlineLevel="2" x14ac:dyDescent="0.25">
      <c r="E106" s="12" t="s">
        <v>35</v>
      </c>
      <c r="F106" s="1" t="s">
        <v>15</v>
      </c>
      <c r="G106" s="6">
        <v>1</v>
      </c>
      <c r="H106" s="6">
        <v>1</v>
      </c>
      <c r="I106" s="6">
        <v>1</v>
      </c>
      <c r="J106" s="6">
        <v>1</v>
      </c>
      <c r="K106" s="6">
        <v>1</v>
      </c>
      <c r="L106" s="6">
        <v>1</v>
      </c>
      <c r="M106" s="6">
        <v>1</v>
      </c>
      <c r="N106" s="6">
        <v>1</v>
      </c>
      <c r="O106" s="6">
        <v>1</v>
      </c>
      <c r="P106" s="6">
        <v>1</v>
      </c>
      <c r="Q106" s="6">
        <v>1</v>
      </c>
    </row>
    <row r="107" spans="4:17" outlineLevel="2" x14ac:dyDescent="0.25">
      <c r="E107" s="12" t="s">
        <v>17</v>
      </c>
      <c r="F107" s="1" t="s">
        <v>15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</row>
    <row r="108" spans="4:17" outlineLevel="2" x14ac:dyDescent="0.25">
      <c r="E108" s="12" t="s">
        <v>20</v>
      </c>
      <c r="F108" s="1" t="s">
        <v>15</v>
      </c>
      <c r="G108" s="5">
        <v>0.35</v>
      </c>
      <c r="H108" s="5">
        <v>0.35</v>
      </c>
      <c r="I108" s="5">
        <v>0.35</v>
      </c>
      <c r="J108" s="5">
        <v>0.35</v>
      </c>
      <c r="K108" s="5">
        <v>0.35</v>
      </c>
      <c r="L108" s="5">
        <v>0.35</v>
      </c>
      <c r="M108" s="5">
        <v>0.35</v>
      </c>
      <c r="N108" s="5">
        <v>0.35</v>
      </c>
      <c r="O108" s="5">
        <v>0.35</v>
      </c>
      <c r="P108" s="5">
        <v>0.35</v>
      </c>
      <c r="Q108" s="5">
        <v>0.35</v>
      </c>
    </row>
    <row r="109" spans="4:17" outlineLevel="2" x14ac:dyDescent="0.25">
      <c r="E109" s="12" t="s">
        <v>6</v>
      </c>
      <c r="F109" s="1" t="s">
        <v>3</v>
      </c>
      <c r="G109" s="5">
        <v>0.22</v>
      </c>
      <c r="H109" s="5">
        <v>0.22</v>
      </c>
      <c r="I109" s="5">
        <v>0.22</v>
      </c>
      <c r="J109" s="5">
        <v>0.22</v>
      </c>
      <c r="K109" s="5">
        <v>0.22</v>
      </c>
      <c r="L109" s="5">
        <v>0.22</v>
      </c>
      <c r="M109" s="5">
        <v>0.22</v>
      </c>
      <c r="N109" s="5">
        <v>0.22</v>
      </c>
      <c r="O109" s="5">
        <v>0.22</v>
      </c>
      <c r="P109" s="5">
        <v>0.22</v>
      </c>
      <c r="Q109" s="5">
        <v>0.22</v>
      </c>
    </row>
  </sheetData>
  <conditionalFormatting sqref="A2:XFD91 A93:XFD109">
    <cfRule type="expression" dxfId="19" priority="21">
      <formula>ISBLANK($A2)=FALSE</formula>
    </cfRule>
    <cfRule type="expression" dxfId="18" priority="22">
      <formula>ISBLANK($B2)=FALSE</formula>
    </cfRule>
    <cfRule type="expression" dxfId="17" priority="23">
      <formula>ISBLANK($C2)=FALSE</formula>
    </cfRule>
    <cfRule type="expression" dxfId="16" priority="24">
      <formula>ISBLANK($D2)=FALSE</formula>
    </cfRule>
    <cfRule type="expression" dxfId="15" priority="25">
      <formula>ISBLANK($E2)=FALSE</formula>
    </cfRule>
  </conditionalFormatting>
  <conditionalFormatting sqref="A92:XFD92">
    <cfRule type="expression" dxfId="14" priority="6">
      <formula>ISBLANK($A92)=FALSE</formula>
    </cfRule>
    <cfRule type="expression" dxfId="13" priority="7">
      <formula>ISBLANK($B92)=FALSE</formula>
    </cfRule>
    <cfRule type="expression" dxfId="12" priority="8">
      <formula>ISBLANK($C92)=FALSE</formula>
    </cfRule>
    <cfRule type="expression" dxfId="11" priority="9">
      <formula>ISBLANK($D92)=FALSE</formula>
    </cfRule>
    <cfRule type="expression" dxfId="10" priority="10">
      <formula>ISBLANK($E92)=FALSE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03001-A159-4AA3-BEDF-54A1EAF53AAD}">
  <sheetPr codeName="Sheet2">
    <outlinePr summaryBelow="0"/>
  </sheetPr>
  <dimension ref="A1:Q109"/>
  <sheetViews>
    <sheetView zoomScaleNormal="100" workbookViewId="0">
      <pane xSplit="1" ySplit="1" topLeftCell="B2" activePane="bottomRight" state="frozen"/>
      <selection activeCell="G8" sqref="G8"/>
      <selection pane="topRight" activeCell="G8" sqref="G8"/>
      <selection pane="bottomLeft" activeCell="G8" sqref="G8"/>
      <selection pane="bottomRight" activeCell="G14" sqref="G14"/>
    </sheetView>
  </sheetViews>
  <sheetFormatPr defaultRowHeight="15" outlineLevelRow="2" x14ac:dyDescent="0.25"/>
  <cols>
    <col min="1" max="1" width="7.5703125" style="1" bestFit="1" customWidth="1"/>
    <col min="2" max="2" width="11" style="1" bestFit="1" customWidth="1"/>
    <col min="3" max="3" width="13.28515625" style="1" bestFit="1" customWidth="1"/>
    <col min="4" max="4" width="24.42578125" style="1" customWidth="1"/>
    <col min="5" max="5" width="16.85546875" style="1" bestFit="1" customWidth="1"/>
    <col min="6" max="6" width="15.85546875" style="1" bestFit="1" customWidth="1"/>
    <col min="7" max="17" width="12.28515625" style="5" customWidth="1"/>
  </cols>
  <sheetData>
    <row r="1" spans="1:17" s="2" customFormat="1" ht="15.75" thickBot="1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8</v>
      </c>
      <c r="F1" s="3" t="s">
        <v>14</v>
      </c>
      <c r="G1" s="4">
        <v>2000</v>
      </c>
      <c r="H1" s="4">
        <v>2005</v>
      </c>
      <c r="I1" s="4">
        <v>2010</v>
      </c>
      <c r="J1" s="4">
        <v>2015</v>
      </c>
      <c r="K1" s="4">
        <v>2020</v>
      </c>
      <c r="L1" s="4">
        <v>2025</v>
      </c>
      <c r="M1" s="4">
        <v>2030</v>
      </c>
      <c r="N1" s="4">
        <v>2035</v>
      </c>
      <c r="O1" s="4">
        <v>2040</v>
      </c>
      <c r="P1" s="4">
        <v>2045</v>
      </c>
      <c r="Q1" s="4">
        <v>2050</v>
      </c>
    </row>
    <row r="2" spans="1:17" x14ac:dyDescent="0.25">
      <c r="A2" s="1" t="s">
        <v>0</v>
      </c>
    </row>
    <row r="3" spans="1:17" x14ac:dyDescent="0.25">
      <c r="B3" s="1" t="s">
        <v>5</v>
      </c>
    </row>
    <row r="4" spans="1:17" outlineLevel="1" x14ac:dyDescent="0.25">
      <c r="C4" s="1" t="s">
        <v>16</v>
      </c>
    </row>
    <row r="5" spans="1:17" outlineLevel="1" x14ac:dyDescent="0.25"/>
    <row r="6" spans="1:17" outlineLevel="2" x14ac:dyDescent="0.25">
      <c r="D6" s="1" t="s">
        <v>21</v>
      </c>
    </row>
    <row r="7" spans="1:17" outlineLevel="2" x14ac:dyDescent="0.25">
      <c r="E7" s="1" t="s">
        <v>36</v>
      </c>
      <c r="G7" s="10">
        <f>G8+G10+G11+G12</f>
        <v>3.9865384136968163</v>
      </c>
      <c r="H7" s="10">
        <f t="shared" ref="H7:Q7" si="0">H8+H10+H11+H12</f>
        <v>3.9865384136968163</v>
      </c>
      <c r="I7" s="10">
        <f t="shared" si="0"/>
        <v>3.9865384136968163</v>
      </c>
      <c r="J7" s="10">
        <f t="shared" si="0"/>
        <v>3.9865384136968163</v>
      </c>
      <c r="K7" s="10">
        <f t="shared" si="0"/>
        <v>3.9865384136968163</v>
      </c>
      <c r="L7" s="10">
        <f t="shared" si="0"/>
        <v>3.9865384136968163</v>
      </c>
      <c r="M7" s="10">
        <f t="shared" si="0"/>
        <v>3.9865384136968163</v>
      </c>
      <c r="N7" s="10">
        <f t="shared" si="0"/>
        <v>3.9865384136968163</v>
      </c>
      <c r="O7" s="10">
        <f t="shared" si="0"/>
        <v>3.9865384136968163</v>
      </c>
      <c r="P7" s="10">
        <f t="shared" si="0"/>
        <v>3.9865384136968163</v>
      </c>
      <c r="Q7" s="10">
        <f t="shared" si="0"/>
        <v>3.9865384136968163</v>
      </c>
    </row>
    <row r="8" spans="1:17" outlineLevel="2" x14ac:dyDescent="0.25">
      <c r="E8" s="8" t="s">
        <v>37</v>
      </c>
      <c r="G8" s="10">
        <f>(Alberta!G13/Alberta!G16)*G9</f>
        <v>3.9192181522589076</v>
      </c>
      <c r="H8" s="10">
        <f>(Alberta!H13/Alberta!H16)*H9</f>
        <v>3.9192181522589076</v>
      </c>
      <c r="I8" s="10">
        <f>(Alberta!I13/Alberta!I16)*I9</f>
        <v>3.9192181522589076</v>
      </c>
      <c r="J8" s="10">
        <f>(Alberta!J13/Alberta!J16)*J9</f>
        <v>3.9192181522589076</v>
      </c>
      <c r="K8" s="10">
        <f>(Alberta!K13/Alberta!K16)*K9</f>
        <v>3.9192181522589076</v>
      </c>
      <c r="L8" s="10">
        <f>(Alberta!L13/Alberta!L16)*L9</f>
        <v>3.9192181522589076</v>
      </c>
      <c r="M8" s="10">
        <f>(Alberta!M13/Alberta!M16)*M9</f>
        <v>3.9192181522589076</v>
      </c>
      <c r="N8" s="10">
        <f>(Alberta!N13/Alberta!N16)*N9</f>
        <v>3.9192181522589076</v>
      </c>
      <c r="O8" s="10">
        <f>(Alberta!O13/Alberta!O16)*O9</f>
        <v>3.9192181522589076</v>
      </c>
      <c r="P8" s="10">
        <f>(Alberta!P13/Alberta!P16)*P9</f>
        <v>3.9192181522589076</v>
      </c>
      <c r="Q8" s="10">
        <f>(Alberta!Q13/Alberta!Q16)*Q9</f>
        <v>3.9192181522589076</v>
      </c>
    </row>
    <row r="9" spans="1:17" outlineLevel="2" x14ac:dyDescent="0.25">
      <c r="E9" s="9" t="s">
        <v>38</v>
      </c>
      <c r="G9" s="10">
        <f>Alberta!G17/(1-(1+Alberta!G17)^(-Alberta!$F12))</f>
        <v>0.25094805494689804</v>
      </c>
      <c r="H9" s="10">
        <f>Alberta!H17/(1-(1+Alberta!H17)^(-Alberta!$F12))</f>
        <v>0.25094805494689804</v>
      </c>
      <c r="I9" s="10">
        <f>Alberta!I17/(1-(1+Alberta!I17)^(-Alberta!$F12))</f>
        <v>0.25094805494689804</v>
      </c>
      <c r="J9" s="10">
        <f>Alberta!J17/(1-(1+Alberta!J17)^(-Alberta!$F12))</f>
        <v>0.25094805494689804</v>
      </c>
      <c r="K9" s="10">
        <f>Alberta!K17/(1-(1+Alberta!K17)^(-Alberta!$F12))</f>
        <v>0.25094805494689804</v>
      </c>
      <c r="L9" s="10">
        <f>Alberta!L17/(1-(1+Alberta!L17)^(-Alberta!$F12))</f>
        <v>0.25094805494689804</v>
      </c>
      <c r="M9" s="10">
        <f>Alberta!M17/(1-(1+Alberta!M17)^(-Alberta!$F12))</f>
        <v>0.25094805494689804</v>
      </c>
      <c r="N9" s="10">
        <f>Alberta!N17/(1-(1+Alberta!N17)^(-Alberta!$F12))</f>
        <v>0.25094805494689804</v>
      </c>
      <c r="O9" s="10">
        <f>Alberta!O17/(1-(1+Alberta!O17)^(-Alberta!$F12))</f>
        <v>0.25094805494689804</v>
      </c>
      <c r="P9" s="10">
        <f>Alberta!P17/(1-(1+Alberta!P17)^(-Alberta!$F12))</f>
        <v>0.25094805494689804</v>
      </c>
      <c r="Q9" s="10">
        <f>Alberta!Q17/(1-(1+Alberta!Q17)^(-Alberta!$F12))</f>
        <v>0.25094805494689804</v>
      </c>
    </row>
    <row r="10" spans="1:17" outlineLevel="2" x14ac:dyDescent="0.25">
      <c r="E10" s="8" t="s">
        <v>39</v>
      </c>
      <c r="G10" s="5">
        <f>(Alberta!G14+Alberta!G15)/Alberta!G16</f>
        <v>0</v>
      </c>
      <c r="H10" s="5">
        <f>(Alberta!H14+Alberta!H15)/Alberta!H16</f>
        <v>0</v>
      </c>
      <c r="I10" s="5">
        <f>(Alberta!I14+Alberta!I15)/Alberta!I16</f>
        <v>0</v>
      </c>
      <c r="J10" s="5">
        <f>(Alberta!J14+Alberta!J15)/Alberta!J16</f>
        <v>0</v>
      </c>
      <c r="K10" s="5">
        <f>(Alberta!K14+Alberta!K15)/Alberta!K16</f>
        <v>0</v>
      </c>
      <c r="L10" s="5">
        <f>(Alberta!L14+Alberta!L15)/Alberta!L16</f>
        <v>0</v>
      </c>
      <c r="M10" s="5">
        <f>(Alberta!M14+Alberta!M15)/Alberta!M16</f>
        <v>0</v>
      </c>
      <c r="N10" s="5">
        <f>(Alberta!N14+Alberta!N15)/Alberta!N16</f>
        <v>0</v>
      </c>
      <c r="O10" s="5">
        <f>(Alberta!O14+Alberta!O15)/Alberta!O16</f>
        <v>0</v>
      </c>
      <c r="P10" s="5">
        <f>(Alberta!P14+Alberta!P15)/Alberta!P16</f>
        <v>0</v>
      </c>
      <c r="Q10" s="5">
        <f>(Alberta!Q14+Alberta!Q15)/Alberta!Q16</f>
        <v>0</v>
      </c>
    </row>
    <row r="11" spans="1:17" outlineLevel="2" x14ac:dyDescent="0.25">
      <c r="E11" s="8" t="s">
        <v>40</v>
      </c>
      <c r="G11" s="11">
        <f>Alberta!G18/Alberta!G16*Alberta!G$65</f>
        <v>6.7320261437908507E-2</v>
      </c>
      <c r="H11" s="11">
        <f>Alberta!H18/Alberta!H16*Alberta!H$65</f>
        <v>6.7320261437908507E-2</v>
      </c>
      <c r="I11" s="11">
        <f>Alberta!I18/Alberta!I16*Alberta!I$65</f>
        <v>6.7320261437908507E-2</v>
      </c>
      <c r="J11" s="11">
        <f>Alberta!J18/Alberta!J16*Alberta!J$65</f>
        <v>6.7320261437908507E-2</v>
      </c>
      <c r="K11" s="11">
        <f>Alberta!K18/Alberta!K16*Alberta!K$65</f>
        <v>6.7320261437908507E-2</v>
      </c>
      <c r="L11" s="11">
        <f>Alberta!L18/Alberta!L16*Alberta!L$65</f>
        <v>6.7320261437908507E-2</v>
      </c>
      <c r="M11" s="11">
        <f>Alberta!M18/Alberta!M16*Alberta!M$65</f>
        <v>6.7320261437908507E-2</v>
      </c>
      <c r="N11" s="11">
        <f>Alberta!N18/Alberta!N16*Alberta!N$65</f>
        <v>6.7320261437908507E-2</v>
      </c>
      <c r="O11" s="11">
        <f>Alberta!O18/Alberta!O16*Alberta!O$65</f>
        <v>6.7320261437908507E-2</v>
      </c>
      <c r="P11" s="11">
        <f>Alberta!P18/Alberta!P16*Alberta!P$65</f>
        <v>6.7320261437908507E-2</v>
      </c>
      <c r="Q11" s="11">
        <f>Alberta!Q18/Alberta!Q16*Alberta!Q$65</f>
        <v>6.7320261437908507E-2</v>
      </c>
    </row>
    <row r="12" spans="1:17" outlineLevel="2" x14ac:dyDescent="0.25">
      <c r="E12" s="8" t="s">
        <v>41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</row>
    <row r="13" spans="1:17" outlineLevel="2" x14ac:dyDescent="0.25"/>
    <row r="14" spans="1:17" outlineLevel="2" x14ac:dyDescent="0.25">
      <c r="E14" s="1" t="s">
        <v>45</v>
      </c>
      <c r="G14" s="11">
        <f>(G7^(-Alberta!$F$5))/SUM(G$7^(-Alberta!$F$5)+G$20^(-Alberta!$F$5))</f>
        <v>3.7968045475014492E-2</v>
      </c>
      <c r="H14" s="11">
        <f>(H7^(-Alberta!$F$5))/SUM(H$7^(-Alberta!$F$5)+H$20^(-Alberta!$F$5))</f>
        <v>3.7968045475014492E-2</v>
      </c>
      <c r="I14" s="11">
        <f>(I7^(-Alberta!$F$5))/SUM(I$7^(-Alberta!$F$5)+I$20^(-Alberta!$F$5))</f>
        <v>3.7968045475014492E-2</v>
      </c>
      <c r="J14" s="11">
        <f>(J7^(-Alberta!$F$5))/SUM(J$7^(-Alberta!$F$5)+J$20^(-Alberta!$F$5))</f>
        <v>3.7968045475014492E-2</v>
      </c>
      <c r="K14" s="11">
        <f>(K7^(-Alberta!$F$5))/SUM(K$7^(-Alberta!$F$5)+K$20^(-Alberta!$F$5))</f>
        <v>3.7968045475014492E-2</v>
      </c>
      <c r="L14" s="11">
        <f>(L7^(-Alberta!$F$5))/SUM(L$7^(-Alberta!$F$5)+L$20^(-Alberta!$F$5))</f>
        <v>3.7968045475014492E-2</v>
      </c>
      <c r="M14" s="11">
        <f>(M7^(-Alberta!$F$5))/SUM(M$7^(-Alberta!$F$5)+M$20^(-Alberta!$F$5))</f>
        <v>3.7968045475014492E-2</v>
      </c>
      <c r="N14" s="11">
        <f>(N7^(-Alberta!$F$5))/SUM(N$7^(-Alberta!$F$5)+N$20^(-Alberta!$F$5))</f>
        <v>3.7968045475014492E-2</v>
      </c>
      <c r="O14" s="11">
        <f>(O7^(-Alberta!$F$5))/SUM(O$7^(-Alberta!$F$5)+O$20^(-Alberta!$F$5))</f>
        <v>3.7968045475014492E-2</v>
      </c>
      <c r="P14" s="11">
        <f>(P7^(-Alberta!$F$5))/SUM(P$7^(-Alberta!$F$5)+P$20^(-Alberta!$F$5))</f>
        <v>3.7968045475014492E-2</v>
      </c>
      <c r="Q14" s="11">
        <f>(Q7^(-Alberta!$F$5))/SUM(Q$7^(-Alberta!$F$5)+Q$20^(-Alberta!$F$5))</f>
        <v>3.7968045475014492E-2</v>
      </c>
    </row>
    <row r="15" spans="1:17" outlineLevel="2" x14ac:dyDescent="0.25"/>
    <row r="16" spans="1:17" outlineLevel="2" x14ac:dyDescent="0.25"/>
    <row r="17" spans="2:17" outlineLevel="2" x14ac:dyDescent="0.25"/>
    <row r="18" spans="2:17" outlineLevel="2" x14ac:dyDescent="0.25"/>
    <row r="19" spans="2:17" outlineLevel="2" x14ac:dyDescent="0.25">
      <c r="D19" s="1" t="s">
        <v>22</v>
      </c>
    </row>
    <row r="20" spans="2:17" outlineLevel="2" x14ac:dyDescent="0.25">
      <c r="E20" s="1" t="s">
        <v>36</v>
      </c>
      <c r="G20" s="10">
        <f>G21+G23+G24+G25</f>
        <v>2.8854850437542829</v>
      </c>
      <c r="H20" s="10">
        <f t="shared" ref="H20" si="1">H21+H23+H24+H25</f>
        <v>2.8854850437542829</v>
      </c>
      <c r="I20" s="10">
        <f t="shared" ref="I20" si="2">I21+I23+I24+I25</f>
        <v>2.8854850437542829</v>
      </c>
      <c r="J20" s="10">
        <f t="shared" ref="J20" si="3">J21+J23+J24+J25</f>
        <v>2.8854850437542829</v>
      </c>
      <c r="K20" s="10">
        <f t="shared" ref="K20" si="4">K21+K23+K24+K25</f>
        <v>2.8854850437542829</v>
      </c>
      <c r="L20" s="10">
        <f t="shared" ref="L20" si="5">L21+L23+L24+L25</f>
        <v>2.8854850437542829</v>
      </c>
      <c r="M20" s="10">
        <f t="shared" ref="M20" si="6">M21+M23+M24+M25</f>
        <v>2.8854850437542829</v>
      </c>
      <c r="N20" s="10">
        <f t="shared" ref="N20" si="7">N21+N23+N24+N25</f>
        <v>2.8854850437542829</v>
      </c>
      <c r="O20" s="10">
        <f t="shared" ref="O20" si="8">O21+O23+O24+O25</f>
        <v>2.8854850437542829</v>
      </c>
      <c r="P20" s="10">
        <f t="shared" ref="P20" si="9">P21+P23+P24+P25</f>
        <v>2.8854850437542829</v>
      </c>
      <c r="Q20" s="10">
        <f t="shared" ref="Q20" si="10">Q21+Q23+Q24+Q25</f>
        <v>2.8854850437542829</v>
      </c>
    </row>
    <row r="21" spans="2:17" outlineLevel="2" x14ac:dyDescent="0.25">
      <c r="E21" s="8" t="s">
        <v>37</v>
      </c>
      <c r="G21" s="10">
        <f>(Alberta!G26/Alberta!G29)*G22</f>
        <v>2.8445700110745444</v>
      </c>
      <c r="H21" s="10">
        <f>(Alberta!H26/Alberta!H29)*H22</f>
        <v>2.8445700110745444</v>
      </c>
      <c r="I21" s="10">
        <f>(Alberta!I26/Alberta!I29)*I22</f>
        <v>2.8445700110745444</v>
      </c>
      <c r="J21" s="10">
        <f>(Alberta!J26/Alberta!J29)*J22</f>
        <v>2.8445700110745444</v>
      </c>
      <c r="K21" s="10">
        <f>(Alberta!K26/Alberta!K29)*K22</f>
        <v>2.8445700110745444</v>
      </c>
      <c r="L21" s="10">
        <f>(Alberta!L26/Alberta!L29)*L22</f>
        <v>2.8445700110745444</v>
      </c>
      <c r="M21" s="10">
        <f>(Alberta!M26/Alberta!M29)*M22</f>
        <v>2.8445700110745444</v>
      </c>
      <c r="N21" s="10">
        <f>(Alberta!N26/Alberta!N29)*N22</f>
        <v>2.8445700110745444</v>
      </c>
      <c r="O21" s="10">
        <f>(Alberta!O26/Alberta!O29)*O22</f>
        <v>2.8445700110745444</v>
      </c>
      <c r="P21" s="10">
        <f>(Alberta!P26/Alberta!P29)*P22</f>
        <v>2.8445700110745444</v>
      </c>
      <c r="Q21" s="10">
        <f>(Alberta!Q26/Alberta!Q29)*Q22</f>
        <v>2.8445700110745444</v>
      </c>
    </row>
    <row r="22" spans="2:17" outlineLevel="2" x14ac:dyDescent="0.25">
      <c r="E22" s="9" t="s">
        <v>38</v>
      </c>
      <c r="G22" s="10">
        <f>Alberta!G30/(1-(1+Alberta!G30)^(-Alberta!$F25))</f>
        <v>0.25094805494689804</v>
      </c>
      <c r="H22" s="10">
        <f>Alberta!H30/(1-(1+Alberta!H30)^(-Alberta!$F25))</f>
        <v>0.25094805494689804</v>
      </c>
      <c r="I22" s="10">
        <f>Alberta!I30/(1-(1+Alberta!I30)^(-Alberta!$F25))</f>
        <v>0.25094805494689804</v>
      </c>
      <c r="J22" s="10">
        <f>Alberta!J30/(1-(1+Alberta!J30)^(-Alberta!$F25))</f>
        <v>0.25094805494689804</v>
      </c>
      <c r="K22" s="10">
        <f>Alberta!K30/(1-(1+Alberta!K30)^(-Alberta!$F25))</f>
        <v>0.25094805494689804</v>
      </c>
      <c r="L22" s="10">
        <f>Alberta!L30/(1-(1+Alberta!L30)^(-Alberta!$F25))</f>
        <v>0.25094805494689804</v>
      </c>
      <c r="M22" s="10">
        <f>Alberta!M30/(1-(1+Alberta!M30)^(-Alberta!$F25))</f>
        <v>0.25094805494689804</v>
      </c>
      <c r="N22" s="10">
        <f>Alberta!N30/(1-(1+Alberta!N30)^(-Alberta!$F25))</f>
        <v>0.25094805494689804</v>
      </c>
      <c r="O22" s="10">
        <f>Alberta!O30/(1-(1+Alberta!O30)^(-Alberta!$F25))</f>
        <v>0.25094805494689804</v>
      </c>
      <c r="P22" s="10">
        <f>Alberta!P30/(1-(1+Alberta!P30)^(-Alberta!$F25))</f>
        <v>0.25094805494689804</v>
      </c>
      <c r="Q22" s="10">
        <f>Alberta!Q30/(1-(1+Alberta!Q30)^(-Alberta!$F25))</f>
        <v>0.25094805494689804</v>
      </c>
    </row>
    <row r="23" spans="2:17" outlineLevel="2" x14ac:dyDescent="0.25">
      <c r="E23" s="8" t="s">
        <v>39</v>
      </c>
      <c r="G23" s="5">
        <f>(Alberta!G27+Alberta!G28)/Alberta!G29</f>
        <v>0</v>
      </c>
      <c r="H23" s="5">
        <f>(Alberta!H27+Alberta!H28)/Alberta!H29</f>
        <v>0</v>
      </c>
      <c r="I23" s="5">
        <f>(Alberta!I27+Alberta!I28)/Alberta!I29</f>
        <v>0</v>
      </c>
      <c r="J23" s="5">
        <f>(Alberta!J27+Alberta!J28)/Alberta!J29</f>
        <v>0</v>
      </c>
      <c r="K23" s="5">
        <f>(Alberta!K27+Alberta!K28)/Alberta!K29</f>
        <v>0</v>
      </c>
      <c r="L23" s="5">
        <f>(Alberta!L27+Alberta!L28)/Alberta!L29</f>
        <v>0</v>
      </c>
      <c r="M23" s="5">
        <f>(Alberta!M27+Alberta!M28)/Alberta!M29</f>
        <v>0</v>
      </c>
      <c r="N23" s="5">
        <f>(Alberta!N27+Alberta!N28)/Alberta!N29</f>
        <v>0</v>
      </c>
      <c r="O23" s="5">
        <f>(Alberta!O27+Alberta!O28)/Alberta!O29</f>
        <v>0</v>
      </c>
      <c r="P23" s="5">
        <f>(Alberta!P27+Alberta!P28)/Alberta!P29</f>
        <v>0</v>
      </c>
      <c r="Q23" s="5">
        <f>(Alberta!Q27+Alberta!Q28)/Alberta!Q29</f>
        <v>0</v>
      </c>
    </row>
    <row r="24" spans="2:17" outlineLevel="2" x14ac:dyDescent="0.25">
      <c r="E24" s="8" t="s">
        <v>40</v>
      </c>
      <c r="G24" s="11">
        <f>Alberta!G31/Alberta!G29*Alberta!G$65</f>
        <v>4.0915032679738568E-2</v>
      </c>
      <c r="H24" s="11">
        <f>Alberta!H31/Alberta!H29*Alberta!H$65</f>
        <v>4.0915032679738568E-2</v>
      </c>
      <c r="I24" s="11">
        <f>Alberta!I31/Alberta!I29*Alberta!I$65</f>
        <v>4.0915032679738568E-2</v>
      </c>
      <c r="J24" s="11">
        <f>Alberta!J31/Alberta!J29*Alberta!J$65</f>
        <v>4.0915032679738568E-2</v>
      </c>
      <c r="K24" s="11">
        <f>Alberta!K31/Alberta!K29*Alberta!K$65</f>
        <v>4.0915032679738568E-2</v>
      </c>
      <c r="L24" s="11">
        <f>Alberta!L31/Alberta!L29*Alberta!L$65</f>
        <v>4.0915032679738568E-2</v>
      </c>
      <c r="M24" s="11">
        <f>Alberta!M31/Alberta!M29*Alberta!M$65</f>
        <v>4.0915032679738568E-2</v>
      </c>
      <c r="N24" s="11">
        <f>Alberta!N31/Alberta!N29*Alberta!N$65</f>
        <v>4.0915032679738568E-2</v>
      </c>
      <c r="O24" s="11">
        <f>Alberta!O31/Alberta!O29*Alberta!O$65</f>
        <v>4.0915032679738568E-2</v>
      </c>
      <c r="P24" s="11">
        <f>Alberta!P31/Alberta!P29*Alberta!P$65</f>
        <v>4.0915032679738568E-2</v>
      </c>
      <c r="Q24" s="11">
        <f>Alberta!Q31/Alberta!Q29*Alberta!Q$65</f>
        <v>4.0915032679738568E-2</v>
      </c>
    </row>
    <row r="25" spans="2:17" outlineLevel="2" x14ac:dyDescent="0.25">
      <c r="E25" s="8" t="s">
        <v>41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</row>
    <row r="26" spans="2:17" outlineLevel="2" x14ac:dyDescent="0.25"/>
    <row r="27" spans="2:17" outlineLevel="2" x14ac:dyDescent="0.25">
      <c r="E27" s="1" t="s">
        <v>45</v>
      </c>
      <c r="G27" s="11">
        <f>(G20^(-Alberta!$F$5))/SUM(G$7^(-Alberta!$F$5)+G$20^(-Alberta!$F$5))</f>
        <v>0.96203195452498547</v>
      </c>
      <c r="H27" s="11">
        <f>(H20^(-Alberta!$F$5))/SUM(H$7^(-Alberta!$F$5)+H$20^(-Alberta!$F$5))</f>
        <v>0.96203195452498547</v>
      </c>
      <c r="I27" s="11">
        <f>(I20^(-Alberta!$F$5))/SUM(I$7^(-Alberta!$F$5)+I$20^(-Alberta!$F$5))</f>
        <v>0.96203195452498547</v>
      </c>
      <c r="J27" s="11">
        <f>(J20^(-Alberta!$F$5))/SUM(J$7^(-Alberta!$F$5)+J$20^(-Alberta!$F$5))</f>
        <v>0.96203195452498547</v>
      </c>
      <c r="K27" s="11">
        <f>(K20^(-Alberta!$F$5))/SUM(K$7^(-Alberta!$F$5)+K$20^(-Alberta!$F$5))</f>
        <v>0.96203195452498547</v>
      </c>
      <c r="L27" s="11">
        <f>(L20^(-Alberta!$F$5))/SUM(L$7^(-Alberta!$F$5)+L$20^(-Alberta!$F$5))</f>
        <v>0.96203195452498547</v>
      </c>
      <c r="M27" s="11">
        <f>(M20^(-Alberta!$F$5))/SUM(M$7^(-Alberta!$F$5)+M$20^(-Alberta!$F$5))</f>
        <v>0.96203195452498547</v>
      </c>
      <c r="N27" s="11">
        <f>(N20^(-Alberta!$F$5))/SUM(N$7^(-Alberta!$F$5)+N$20^(-Alberta!$F$5))</f>
        <v>0.96203195452498547</v>
      </c>
      <c r="O27" s="11">
        <f>(O20^(-Alberta!$F$5))/SUM(O$7^(-Alberta!$F$5)+O$20^(-Alberta!$F$5))</f>
        <v>0.96203195452498547</v>
      </c>
      <c r="P27" s="11">
        <f>(P20^(-Alberta!$F$5))/SUM(P$7^(-Alberta!$F$5)+P$20^(-Alberta!$F$5))</f>
        <v>0.96203195452498547</v>
      </c>
      <c r="Q27" s="11">
        <f>(Q20^(-Alberta!$F$5))/SUM(Q$7^(-Alberta!$F$5)+Q$20^(-Alberta!$F$5))</f>
        <v>0.96203195452498547</v>
      </c>
    </row>
    <row r="28" spans="2:17" outlineLevel="2" x14ac:dyDescent="0.25"/>
    <row r="29" spans="2:17" outlineLevel="2" x14ac:dyDescent="0.25"/>
    <row r="30" spans="2:17" outlineLevel="2" x14ac:dyDescent="0.25"/>
    <row r="31" spans="2:17" outlineLevel="2" x14ac:dyDescent="0.25"/>
    <row r="32" spans="2:17" x14ac:dyDescent="0.25">
      <c r="B32" s="1" t="s">
        <v>23</v>
      </c>
    </row>
    <row r="34" spans="3:17" outlineLevel="1" x14ac:dyDescent="0.25">
      <c r="C34" s="1" t="s">
        <v>16</v>
      </c>
    </row>
    <row r="35" spans="3:17" outlineLevel="2" x14ac:dyDescent="0.25">
      <c r="D35" s="1" t="s">
        <v>25</v>
      </c>
    </row>
    <row r="36" spans="3:17" outlineLevel="2" x14ac:dyDescent="0.25">
      <c r="E36" s="1" t="s">
        <v>36</v>
      </c>
      <c r="G36" s="10">
        <f>G37+G39+G40+G41</f>
        <v>2.2949643603541214</v>
      </c>
      <c r="H36" s="10">
        <f t="shared" ref="H36" si="11">H37+H39+H40+H41</f>
        <v>2.2949643603541214</v>
      </c>
      <c r="I36" s="10">
        <f t="shared" ref="I36" si="12">I37+I39+I40+I41</f>
        <v>2.2949643603541214</v>
      </c>
      <c r="J36" s="10">
        <f t="shared" ref="J36" si="13">J37+J39+J40+J41</f>
        <v>2.2949643603541214</v>
      </c>
      <c r="K36" s="10">
        <f t="shared" ref="K36" si="14">K37+K39+K40+K41</f>
        <v>2.2949643603541214</v>
      </c>
      <c r="L36" s="10">
        <f t="shared" ref="L36" si="15">L37+L39+L40+L41</f>
        <v>2.2949643603541214</v>
      </c>
      <c r="M36" s="10">
        <f t="shared" ref="M36" si="16">M37+M39+M40+M41</f>
        <v>2.2949643603541214</v>
      </c>
      <c r="N36" s="10">
        <f t="shared" ref="N36" si="17">N37+N39+N40+N41</f>
        <v>2.2949643603541214</v>
      </c>
      <c r="O36" s="10">
        <f t="shared" ref="O36" si="18">O37+O39+O40+O41</f>
        <v>2.2949643603541214</v>
      </c>
      <c r="P36" s="10">
        <f t="shared" ref="P36" si="19">P37+P39+P40+P41</f>
        <v>2.2949643603541214</v>
      </c>
      <c r="Q36" s="10">
        <f t="shared" ref="Q36" si="20">Q37+Q39+Q40+Q41</f>
        <v>2.2949643603541214</v>
      </c>
    </row>
    <row r="37" spans="3:17" outlineLevel="2" x14ac:dyDescent="0.25">
      <c r="E37" s="8" t="s">
        <v>37</v>
      </c>
      <c r="G37" s="10">
        <f>(Alberta!G42/Alberta!G45)*G38</f>
        <v>2.2208902862800475</v>
      </c>
      <c r="H37" s="10">
        <f>(Alberta!H42/Alberta!H45)*H38</f>
        <v>2.2208902862800475</v>
      </c>
      <c r="I37" s="10">
        <f>(Alberta!I42/Alberta!I45)*I38</f>
        <v>2.2208902862800475</v>
      </c>
      <c r="J37" s="10">
        <f>(Alberta!J42/Alberta!J45)*J38</f>
        <v>2.2208902862800475</v>
      </c>
      <c r="K37" s="10">
        <f>(Alberta!K42/Alberta!K45)*K38</f>
        <v>2.2208902862800475</v>
      </c>
      <c r="L37" s="10">
        <f>(Alberta!L42/Alberta!L45)*L38</f>
        <v>2.2208902862800475</v>
      </c>
      <c r="M37" s="10">
        <f>(Alberta!M42/Alberta!M45)*M38</f>
        <v>2.2208902862800475</v>
      </c>
      <c r="N37" s="10">
        <f>(Alberta!N42/Alberta!N45)*N38</f>
        <v>2.2208902862800475</v>
      </c>
      <c r="O37" s="10">
        <f>(Alberta!O42/Alberta!O45)*O38</f>
        <v>2.2208902862800475</v>
      </c>
      <c r="P37" s="10">
        <f>(Alberta!P42/Alberta!P45)*P38</f>
        <v>2.2208902862800475</v>
      </c>
      <c r="Q37" s="10">
        <f>(Alberta!Q42/Alberta!Q45)*Q38</f>
        <v>2.2208902862800475</v>
      </c>
    </row>
    <row r="38" spans="3:17" outlineLevel="2" x14ac:dyDescent="0.25">
      <c r="E38" s="9" t="s">
        <v>38</v>
      </c>
      <c r="G38" s="10">
        <f>Alberta!G46/(1-(1+Alberta!G46)^(-Alberta!$F41))</f>
        <v>0.25094805494689804</v>
      </c>
      <c r="H38" s="10">
        <f>Alberta!H46/(1-(1+Alberta!H46)^(-Alberta!$F41))</f>
        <v>0.25094805494689804</v>
      </c>
      <c r="I38" s="10">
        <f>Alberta!I46/(1-(1+Alberta!I46)^(-Alberta!$F41))</f>
        <v>0.25094805494689804</v>
      </c>
      <c r="J38" s="10">
        <f>Alberta!J46/(1-(1+Alberta!J46)^(-Alberta!$F41))</f>
        <v>0.25094805494689804</v>
      </c>
      <c r="K38" s="10">
        <f>Alberta!K46/(1-(1+Alberta!K46)^(-Alberta!$F41))</f>
        <v>0.25094805494689804</v>
      </c>
      <c r="L38" s="10">
        <f>Alberta!L46/(1-(1+Alberta!L46)^(-Alberta!$F41))</f>
        <v>0.25094805494689804</v>
      </c>
      <c r="M38" s="10">
        <f>Alberta!M46/(1-(1+Alberta!M46)^(-Alberta!$F41))</f>
        <v>0.25094805494689804</v>
      </c>
      <c r="N38" s="10">
        <f>Alberta!N46/(1-(1+Alberta!N46)^(-Alberta!$F41))</f>
        <v>0.25094805494689804</v>
      </c>
      <c r="O38" s="10">
        <f>Alberta!O46/(1-(1+Alberta!O46)^(-Alberta!$F41))</f>
        <v>0.25094805494689804</v>
      </c>
      <c r="P38" s="10">
        <f>Alberta!P46/(1-(1+Alberta!P46)^(-Alberta!$F41))</f>
        <v>0.25094805494689804</v>
      </c>
      <c r="Q38" s="10">
        <f>Alberta!Q46/(1-(1+Alberta!Q46)^(-Alberta!$F41))</f>
        <v>0.25094805494689804</v>
      </c>
    </row>
    <row r="39" spans="3:17" outlineLevel="2" x14ac:dyDescent="0.25">
      <c r="E39" s="8" t="s">
        <v>39</v>
      </c>
      <c r="G39" s="5">
        <f>(Alberta!G43+Alberta!G44)/Alberta!G45</f>
        <v>0</v>
      </c>
      <c r="H39" s="5">
        <f>(Alberta!H43+Alberta!H44)/Alberta!H45</f>
        <v>0</v>
      </c>
      <c r="I39" s="5">
        <f>(Alberta!I43+Alberta!I44)/Alberta!I45</f>
        <v>0</v>
      </c>
      <c r="J39" s="5">
        <f>(Alberta!J43+Alberta!J44)/Alberta!J45</f>
        <v>0</v>
      </c>
      <c r="K39" s="5">
        <f>(Alberta!K43+Alberta!K44)/Alberta!K45</f>
        <v>0</v>
      </c>
      <c r="L39" s="5">
        <f>(Alberta!L43+Alberta!L44)/Alberta!L45</f>
        <v>0</v>
      </c>
      <c r="M39" s="5">
        <f>(Alberta!M43+Alberta!M44)/Alberta!M45</f>
        <v>0</v>
      </c>
      <c r="N39" s="5">
        <f>(Alberta!N43+Alberta!N44)/Alberta!N45</f>
        <v>0</v>
      </c>
      <c r="O39" s="5">
        <f>(Alberta!O43+Alberta!O44)/Alberta!O45</f>
        <v>0</v>
      </c>
      <c r="P39" s="5">
        <f>(Alberta!P43+Alberta!P44)/Alberta!P45</f>
        <v>0</v>
      </c>
      <c r="Q39" s="5">
        <f>(Alberta!Q43+Alberta!Q44)/Alberta!Q45</f>
        <v>0</v>
      </c>
    </row>
    <row r="40" spans="3:17" outlineLevel="2" x14ac:dyDescent="0.25">
      <c r="E40" s="8" t="s">
        <v>40</v>
      </c>
      <c r="G40" s="11">
        <f>Alberta!G47/Alberta!G45*Alberta!G$65</f>
        <v>7.4074074074074084E-2</v>
      </c>
      <c r="H40" s="11">
        <f>Alberta!H47/Alberta!H45*Alberta!H$65</f>
        <v>7.4074074074074084E-2</v>
      </c>
      <c r="I40" s="11">
        <f>Alberta!I47/Alberta!I45*Alberta!I$65</f>
        <v>7.4074074074074084E-2</v>
      </c>
      <c r="J40" s="11">
        <f>Alberta!J47/Alberta!J45*Alberta!J$65</f>
        <v>7.4074074074074084E-2</v>
      </c>
      <c r="K40" s="11">
        <f>Alberta!K47/Alberta!K45*Alberta!K$65</f>
        <v>7.4074074074074084E-2</v>
      </c>
      <c r="L40" s="11">
        <f>Alberta!L47/Alberta!L45*Alberta!L$65</f>
        <v>7.4074074074074084E-2</v>
      </c>
      <c r="M40" s="11">
        <f>Alberta!M47/Alberta!M45*Alberta!M$65</f>
        <v>7.4074074074074084E-2</v>
      </c>
      <c r="N40" s="11">
        <f>Alberta!N47/Alberta!N45*Alberta!N$65</f>
        <v>7.4074074074074084E-2</v>
      </c>
      <c r="O40" s="11">
        <f>Alberta!O47/Alberta!O45*Alberta!O$65</f>
        <v>7.4074074074074084E-2</v>
      </c>
      <c r="P40" s="11">
        <f>Alberta!P47/Alberta!P45*Alberta!P$65</f>
        <v>7.4074074074074084E-2</v>
      </c>
      <c r="Q40" s="11">
        <f>Alberta!Q47/Alberta!Q45*Alberta!Q$65</f>
        <v>7.4074074074074084E-2</v>
      </c>
    </row>
    <row r="41" spans="3:17" outlineLevel="2" x14ac:dyDescent="0.25">
      <c r="E41" s="8" t="s">
        <v>41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</row>
    <row r="42" spans="3:17" outlineLevel="2" x14ac:dyDescent="0.25"/>
    <row r="43" spans="3:17" outlineLevel="2" x14ac:dyDescent="0.25">
      <c r="E43" s="1" t="s">
        <v>45</v>
      </c>
      <c r="G43" s="11">
        <f>(G36^(-Alberta!$F$34))/SUM(G$36^(-Alberta!$F$34)+G$49^(-Alberta!$F$34))</f>
        <v>3.1582121991133395E-2</v>
      </c>
      <c r="H43" s="11">
        <f>(H36^(-Alberta!$F$34))/SUM(H$36^(-Alberta!$F$34)+H$49^(-Alberta!$F$34))</f>
        <v>3.1582121991133395E-2</v>
      </c>
      <c r="I43" s="11">
        <f>(I36^(-Alberta!$F$34))/SUM(I$36^(-Alberta!$F$34)+I$49^(-Alberta!$F$34))</f>
        <v>3.1582121991133395E-2</v>
      </c>
      <c r="J43" s="11">
        <f>(J36^(-Alberta!$F$34))/SUM(J$36^(-Alberta!$F$34)+J$49^(-Alberta!$F$34))</f>
        <v>3.1582121991133395E-2</v>
      </c>
      <c r="K43" s="11">
        <f>(K36^(-Alberta!$F$34))/SUM(K$36^(-Alberta!$F$34)+K$49^(-Alberta!$F$34))</f>
        <v>3.1582121991133395E-2</v>
      </c>
      <c r="L43" s="11">
        <f>(L36^(-Alberta!$F$34))/SUM(L$36^(-Alberta!$F$34)+L$49^(-Alberta!$F$34))</f>
        <v>3.1582121991133395E-2</v>
      </c>
      <c r="M43" s="11">
        <f>(M36^(-Alberta!$F$34))/SUM(M$36^(-Alberta!$F$34)+M$49^(-Alberta!$F$34))</f>
        <v>3.1582121991133395E-2</v>
      </c>
      <c r="N43" s="11">
        <f>(N36^(-Alberta!$F$34))/SUM(N$36^(-Alberta!$F$34)+N$49^(-Alberta!$F$34))</f>
        <v>3.1582121991133395E-2</v>
      </c>
      <c r="O43" s="11">
        <f>(O36^(-Alberta!$F$34))/SUM(O$36^(-Alberta!$F$34)+O$49^(-Alberta!$F$34))</f>
        <v>3.1582121991133395E-2</v>
      </c>
      <c r="P43" s="11">
        <f>(P36^(-Alberta!$F$34))/SUM(P$36^(-Alberta!$F$34)+P$49^(-Alberta!$F$34))</f>
        <v>3.1582121991133395E-2</v>
      </c>
      <c r="Q43" s="11">
        <f>(Q36^(-Alberta!$F$34))/SUM(Q$36^(-Alberta!$F$34)+Q$49^(-Alberta!$F$34))</f>
        <v>3.1582121991133395E-2</v>
      </c>
    </row>
    <row r="44" spans="3:17" outlineLevel="2" x14ac:dyDescent="0.25"/>
    <row r="45" spans="3:17" outlineLevel="2" x14ac:dyDescent="0.25"/>
    <row r="46" spans="3:17" outlineLevel="2" x14ac:dyDescent="0.25"/>
    <row r="47" spans="3:17" outlineLevel="2" x14ac:dyDescent="0.25"/>
    <row r="48" spans="3:17" outlineLevel="2" x14ac:dyDescent="0.25">
      <c r="D48" s="1" t="s">
        <v>26</v>
      </c>
    </row>
    <row r="49" spans="2:17" outlineLevel="2" x14ac:dyDescent="0.25">
      <c r="E49" s="1" t="s">
        <v>36</v>
      </c>
      <c r="G49" s="10">
        <f>G50+G52+G53+G54</f>
        <v>1.629723006275575</v>
      </c>
      <c r="H49" s="10">
        <f t="shared" ref="H49" si="21">H50+H52+H53+H54</f>
        <v>1.629723006275575</v>
      </c>
      <c r="I49" s="10">
        <f t="shared" ref="I49" si="22">I50+I52+I53+I54</f>
        <v>1.629723006275575</v>
      </c>
      <c r="J49" s="10">
        <f t="shared" ref="J49" si="23">J50+J52+J53+J54</f>
        <v>1.629723006275575</v>
      </c>
      <c r="K49" s="10">
        <f t="shared" ref="K49" si="24">K50+K52+K53+K54</f>
        <v>1.629723006275575</v>
      </c>
      <c r="L49" s="10">
        <f t="shared" ref="L49" si="25">L50+L52+L53+L54</f>
        <v>1.629723006275575</v>
      </c>
      <c r="M49" s="10">
        <f t="shared" ref="M49" si="26">M50+M52+M53+M54</f>
        <v>1.629723006275575</v>
      </c>
      <c r="N49" s="10">
        <f t="shared" ref="N49" si="27">N50+N52+N53+N54</f>
        <v>1.629723006275575</v>
      </c>
      <c r="O49" s="10">
        <f t="shared" ref="O49" si="28">O50+O52+O53+O54</f>
        <v>1.629723006275575</v>
      </c>
      <c r="P49" s="10">
        <f t="shared" ref="P49" si="29">P50+P52+P53+P54</f>
        <v>1.629723006275575</v>
      </c>
      <c r="Q49" s="10">
        <f t="shared" ref="Q49" si="30">Q50+Q52+Q53+Q54</f>
        <v>1.629723006275575</v>
      </c>
    </row>
    <row r="50" spans="2:17" outlineLevel="2" x14ac:dyDescent="0.25">
      <c r="E50" s="8" t="s">
        <v>37</v>
      </c>
      <c r="G50" s="10">
        <f>(Alberta!G55/Alberta!G58)*G51</f>
        <v>1.6119230062755749</v>
      </c>
      <c r="H50" s="10">
        <f>(Alberta!H55/Alberta!H58)*H51</f>
        <v>1.6119230062755749</v>
      </c>
      <c r="I50" s="10">
        <f>(Alberta!I55/Alberta!I58)*I51</f>
        <v>1.6119230062755749</v>
      </c>
      <c r="J50" s="10">
        <f>(Alberta!J55/Alberta!J58)*J51</f>
        <v>1.6119230062755749</v>
      </c>
      <c r="K50" s="10">
        <f>(Alberta!K55/Alberta!K58)*K51</f>
        <v>1.6119230062755749</v>
      </c>
      <c r="L50" s="10">
        <f>(Alberta!L55/Alberta!L58)*L51</f>
        <v>1.6119230062755749</v>
      </c>
      <c r="M50" s="10">
        <f>(Alberta!M55/Alberta!M58)*M51</f>
        <v>1.6119230062755749</v>
      </c>
      <c r="N50" s="10">
        <f>(Alberta!N55/Alberta!N58)*N51</f>
        <v>1.6119230062755749</v>
      </c>
      <c r="O50" s="10">
        <f>(Alberta!O55/Alberta!O58)*O51</f>
        <v>1.6119230062755749</v>
      </c>
      <c r="P50" s="10">
        <f>(Alberta!P55/Alberta!P58)*P51</f>
        <v>1.6119230062755749</v>
      </c>
      <c r="Q50" s="10">
        <f>(Alberta!Q55/Alberta!Q58)*Q51</f>
        <v>1.6119230062755749</v>
      </c>
    </row>
    <row r="51" spans="2:17" outlineLevel="2" x14ac:dyDescent="0.25">
      <c r="E51" s="9" t="s">
        <v>38</v>
      </c>
      <c r="G51" s="10">
        <f>Alberta!G59/(1-(1+Alberta!G59)^(-Alberta!$F54))</f>
        <v>0.25094805494689804</v>
      </c>
      <c r="H51" s="10">
        <f>Alberta!H59/(1-(1+Alberta!H59)^(-Alberta!$F54))</f>
        <v>0.25094805494689804</v>
      </c>
      <c r="I51" s="10">
        <f>Alberta!I59/(1-(1+Alberta!I59)^(-Alberta!$F54))</f>
        <v>0.25094805494689804</v>
      </c>
      <c r="J51" s="10">
        <f>Alberta!J59/(1-(1+Alberta!J59)^(-Alberta!$F54))</f>
        <v>0.25094805494689804</v>
      </c>
      <c r="K51" s="10">
        <f>Alberta!K59/(1-(1+Alberta!K59)^(-Alberta!$F54))</f>
        <v>0.25094805494689804</v>
      </c>
      <c r="L51" s="10">
        <f>Alberta!L59/(1-(1+Alberta!L59)^(-Alberta!$F54))</f>
        <v>0.25094805494689804</v>
      </c>
      <c r="M51" s="10">
        <f>Alberta!M59/(1-(1+Alberta!M59)^(-Alberta!$F54))</f>
        <v>0.25094805494689804</v>
      </c>
      <c r="N51" s="10">
        <f>Alberta!N59/(1-(1+Alberta!N59)^(-Alberta!$F54))</f>
        <v>0.25094805494689804</v>
      </c>
      <c r="O51" s="10">
        <f>Alberta!O59/(1-(1+Alberta!O59)^(-Alberta!$F54))</f>
        <v>0.25094805494689804</v>
      </c>
      <c r="P51" s="10">
        <f>Alberta!P59/(1-(1+Alberta!P59)^(-Alberta!$F54))</f>
        <v>0.25094805494689804</v>
      </c>
      <c r="Q51" s="10">
        <f>Alberta!Q59/(1-(1+Alberta!Q59)^(-Alberta!$F54))</f>
        <v>0.25094805494689804</v>
      </c>
    </row>
    <row r="52" spans="2:17" outlineLevel="2" x14ac:dyDescent="0.25">
      <c r="E52" s="8" t="s">
        <v>39</v>
      </c>
      <c r="G52" s="5">
        <f>(Alberta!G56+Alberta!G57)/Alberta!G58</f>
        <v>0</v>
      </c>
      <c r="H52" s="5">
        <f>(Alberta!H56+Alberta!H57)/Alberta!H58</f>
        <v>0</v>
      </c>
      <c r="I52" s="5">
        <f>(Alberta!I56+Alberta!I57)/Alberta!I58</f>
        <v>0</v>
      </c>
      <c r="J52" s="5">
        <f>(Alberta!J56+Alberta!J57)/Alberta!J58</f>
        <v>0</v>
      </c>
      <c r="K52" s="5">
        <f>(Alberta!K56+Alberta!K57)/Alberta!K58</f>
        <v>0</v>
      </c>
      <c r="L52" s="5">
        <f>(Alberta!L56+Alberta!L57)/Alberta!L58</f>
        <v>0</v>
      </c>
      <c r="M52" s="5">
        <f>(Alberta!M56+Alberta!M57)/Alberta!M58</f>
        <v>0</v>
      </c>
      <c r="N52" s="5">
        <f>(Alberta!N56+Alberta!N57)/Alberta!N58</f>
        <v>0</v>
      </c>
      <c r="O52" s="5">
        <f>(Alberta!O56+Alberta!O57)/Alberta!O58</f>
        <v>0</v>
      </c>
      <c r="P52" s="5">
        <f>(Alberta!P56+Alberta!P57)/Alberta!P58</f>
        <v>0</v>
      </c>
      <c r="Q52" s="5">
        <f>(Alberta!Q56+Alberta!Q57)/Alberta!Q58</f>
        <v>0</v>
      </c>
    </row>
    <row r="53" spans="2:17" outlineLevel="2" x14ac:dyDescent="0.25">
      <c r="E53" s="8" t="s">
        <v>40</v>
      </c>
      <c r="G53" s="11">
        <f>Alberta!G60/Alberta!G58*Alberta!G$96</f>
        <v>1.78E-2</v>
      </c>
      <c r="H53" s="11">
        <f>Alberta!H60/Alberta!H58*Alberta!H$96</f>
        <v>1.78E-2</v>
      </c>
      <c r="I53" s="11">
        <f>Alberta!I60/Alberta!I58*Alberta!I$96</f>
        <v>1.78E-2</v>
      </c>
      <c r="J53" s="11">
        <f>Alberta!J60/Alberta!J58*Alberta!J$96</f>
        <v>1.78E-2</v>
      </c>
      <c r="K53" s="11">
        <f>Alberta!K60/Alberta!K58*Alberta!K$96</f>
        <v>1.78E-2</v>
      </c>
      <c r="L53" s="11">
        <f>Alberta!L60/Alberta!L58*Alberta!L$96</f>
        <v>1.78E-2</v>
      </c>
      <c r="M53" s="11">
        <f>Alberta!M60/Alberta!M58*Alberta!M$96</f>
        <v>1.78E-2</v>
      </c>
      <c r="N53" s="11">
        <f>Alberta!N60/Alberta!N58*Alberta!N$96</f>
        <v>1.78E-2</v>
      </c>
      <c r="O53" s="11">
        <f>Alberta!O60/Alberta!O58*Alberta!O$96</f>
        <v>1.78E-2</v>
      </c>
      <c r="P53" s="11">
        <f>Alberta!P60/Alberta!P58*Alberta!P$96</f>
        <v>1.78E-2</v>
      </c>
      <c r="Q53" s="11">
        <f>Alberta!Q60/Alberta!Q58*Alberta!Q$96</f>
        <v>1.78E-2</v>
      </c>
    </row>
    <row r="54" spans="2:17" outlineLevel="2" x14ac:dyDescent="0.25">
      <c r="E54" s="8" t="s">
        <v>41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</row>
    <row r="55" spans="2:17" outlineLevel="2" x14ac:dyDescent="0.25"/>
    <row r="56" spans="2:17" outlineLevel="2" x14ac:dyDescent="0.25">
      <c r="E56" s="1" t="s">
        <v>45</v>
      </c>
      <c r="G56" s="11">
        <f>(G49^(-Alberta!$F$34))/SUM(G$36^(-Alberta!$F$34)+G$49^(-Alberta!$F$34))</f>
        <v>0.96841787800886658</v>
      </c>
      <c r="H56" s="11">
        <f>(H49^(-Alberta!$F$34))/SUM(H$36^(-Alberta!$F$34)+H$49^(-Alberta!$F$34))</f>
        <v>0.96841787800886658</v>
      </c>
      <c r="I56" s="11">
        <f>(I49^(-Alberta!$F$34))/SUM(I$36^(-Alberta!$F$34)+I$49^(-Alberta!$F$34))</f>
        <v>0.96841787800886658</v>
      </c>
      <c r="J56" s="11">
        <f>(J49^(-Alberta!$F$34))/SUM(J$36^(-Alberta!$F$34)+J$49^(-Alberta!$F$34))</f>
        <v>0.96841787800886658</v>
      </c>
      <c r="K56" s="11">
        <f>(K49^(-Alberta!$F$34))/SUM(K$36^(-Alberta!$F$34)+K$49^(-Alberta!$F$34))</f>
        <v>0.96841787800886658</v>
      </c>
      <c r="L56" s="11">
        <f>(L49^(-Alberta!$F$34))/SUM(L$36^(-Alberta!$F$34)+L$49^(-Alberta!$F$34))</f>
        <v>0.96841787800886658</v>
      </c>
      <c r="M56" s="11">
        <f>(M49^(-Alberta!$F$34))/SUM(M$36^(-Alberta!$F$34)+M$49^(-Alberta!$F$34))</f>
        <v>0.96841787800886658</v>
      </c>
      <c r="N56" s="11">
        <f>(N49^(-Alberta!$F$34))/SUM(N$36^(-Alberta!$F$34)+N$49^(-Alberta!$F$34))</f>
        <v>0.96841787800886658</v>
      </c>
      <c r="O56" s="11">
        <f>(O49^(-Alberta!$F$34))/SUM(O$36^(-Alberta!$F$34)+O$49^(-Alberta!$F$34))</f>
        <v>0.96841787800886658</v>
      </c>
      <c r="P56" s="11">
        <f>(P49^(-Alberta!$F$34))/SUM(P$36^(-Alberta!$F$34)+P$49^(-Alberta!$F$34))</f>
        <v>0.96841787800886658</v>
      </c>
      <c r="Q56" s="11">
        <f>(Q49^(-Alberta!$F$34))/SUM(Q$36^(-Alberta!$F$34)+Q$49^(-Alberta!$F$34))</f>
        <v>0.96841787800886658</v>
      </c>
    </row>
    <row r="57" spans="2:17" outlineLevel="2" x14ac:dyDescent="0.25"/>
    <row r="58" spans="2:17" outlineLevel="2" x14ac:dyDescent="0.25"/>
    <row r="59" spans="2:17" outlineLevel="2" x14ac:dyDescent="0.25"/>
    <row r="60" spans="2:17" outlineLevel="2" x14ac:dyDescent="0.25"/>
    <row r="61" spans="2:17" x14ac:dyDescent="0.25">
      <c r="B61" s="1" t="s">
        <v>6</v>
      </c>
    </row>
    <row r="65" spans="3:17" outlineLevel="1" x14ac:dyDescent="0.25">
      <c r="C65" s="1" t="s">
        <v>6</v>
      </c>
    </row>
    <row r="66" spans="3:17" outlineLevel="2" x14ac:dyDescent="0.25">
      <c r="D66" s="1" t="s">
        <v>27</v>
      </c>
    </row>
    <row r="67" spans="3:17" outlineLevel="2" x14ac:dyDescent="0.25"/>
    <row r="68" spans="3:17" outlineLevel="2" x14ac:dyDescent="0.25">
      <c r="F68" s="7"/>
    </row>
    <row r="69" spans="3:17" outlineLevel="2" x14ac:dyDescent="0.25">
      <c r="F69" s="7"/>
    </row>
    <row r="70" spans="3:17" outlineLevel="2" x14ac:dyDescent="0.25"/>
    <row r="71" spans="3:17" outlineLevel="2" x14ac:dyDescent="0.25"/>
    <row r="72" spans="3:17" outlineLevel="2" x14ac:dyDescent="0.25"/>
    <row r="73" spans="3:17" outlineLevel="2" x14ac:dyDescent="0.25"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3:17" outlineLevel="2" x14ac:dyDescent="0.25"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3:17" outlineLevel="2" x14ac:dyDescent="0.25"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3:17" outlineLevel="2" x14ac:dyDescent="0.25"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3:17" outlineLevel="2" x14ac:dyDescent="0.25"/>
    <row r="78" spans="3:17" outlineLevel="2" x14ac:dyDescent="0.25"/>
    <row r="79" spans="3:17" outlineLevel="2" x14ac:dyDescent="0.25">
      <c r="D79" s="1" t="s">
        <v>28</v>
      </c>
    </row>
    <row r="80" spans="3:17" outlineLevel="2" x14ac:dyDescent="0.25"/>
    <row r="81" spans="2:17" outlineLevel="2" x14ac:dyDescent="0.25">
      <c r="F81" s="7"/>
    </row>
    <row r="82" spans="2:17" outlineLevel="2" x14ac:dyDescent="0.25">
      <c r="F82" s="7"/>
    </row>
    <row r="83" spans="2:17" outlineLevel="2" x14ac:dyDescent="0.25"/>
    <row r="84" spans="2:17" outlineLevel="2" x14ac:dyDescent="0.25"/>
    <row r="85" spans="2:17" outlineLevel="2" x14ac:dyDescent="0.25"/>
    <row r="86" spans="2:17" outlineLevel="2" x14ac:dyDescent="0.25"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2:17" outlineLevel="2" x14ac:dyDescent="0.25"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2:17" outlineLevel="2" x14ac:dyDescent="0.25"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2:17" outlineLevel="2" x14ac:dyDescent="0.25"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2:17" outlineLevel="2" x14ac:dyDescent="0.25"/>
    <row r="91" spans="2:17" outlineLevel="2" x14ac:dyDescent="0.25"/>
    <row r="92" spans="2:17" x14ac:dyDescent="0.25">
      <c r="B92" s="1" t="s">
        <v>24</v>
      </c>
    </row>
    <row r="96" spans="2:17" outlineLevel="1" x14ac:dyDescent="0.25">
      <c r="C96" s="1" t="s">
        <v>7</v>
      </c>
    </row>
    <row r="97" spans="4:17" outlineLevel="2" x14ac:dyDescent="0.25">
      <c r="D97" s="1" t="s">
        <v>30</v>
      </c>
    </row>
    <row r="98" spans="4:17" outlineLevel="2" x14ac:dyDescent="0.25"/>
    <row r="99" spans="4:17" outlineLevel="2" x14ac:dyDescent="0.25">
      <c r="F99" s="7"/>
    </row>
    <row r="100" spans="4:17" outlineLevel="2" x14ac:dyDescent="0.25">
      <c r="F100" s="7"/>
    </row>
    <row r="101" spans="4:17" outlineLevel="2" x14ac:dyDescent="0.25"/>
    <row r="102" spans="4:17" outlineLevel="2" x14ac:dyDescent="0.25"/>
    <row r="103" spans="4:17" outlineLevel="2" x14ac:dyDescent="0.25"/>
    <row r="104" spans="4:17" outlineLevel="2" x14ac:dyDescent="0.25"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4:17" outlineLevel="2" x14ac:dyDescent="0.25"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4:17" outlineLevel="2" x14ac:dyDescent="0.25"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4:17" outlineLevel="2" x14ac:dyDescent="0.25"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4:17" outlineLevel="2" x14ac:dyDescent="0.25"/>
    <row r="109" spans="4:17" outlineLevel="2" x14ac:dyDescent="0.25"/>
  </sheetData>
  <conditionalFormatting sqref="A96:XFD109 A2:XFD91">
    <cfRule type="expression" dxfId="9" priority="6">
      <formula>ISBLANK($A2)=FALSE</formula>
    </cfRule>
    <cfRule type="expression" dxfId="8" priority="7">
      <formula>ISBLANK($B2)=FALSE</formula>
    </cfRule>
    <cfRule type="expression" dxfId="7" priority="8">
      <formula>ISBLANK($C2)=FALSE</formula>
    </cfRule>
    <cfRule type="expression" dxfId="6" priority="9">
      <formula>ISBLANK($D2)=FALSE</formula>
    </cfRule>
    <cfRule type="expression" dxfId="5" priority="10">
      <formula>ISBLANK($E2)=FALSE</formula>
    </cfRule>
  </conditionalFormatting>
  <conditionalFormatting sqref="A92:XFD95">
    <cfRule type="expression" dxfId="4" priority="1">
      <formula>ISBLANK($A92)=FALSE</formula>
    </cfRule>
    <cfRule type="expression" dxfId="3" priority="2">
      <formula>ISBLANK($B92)=FALSE</formula>
    </cfRule>
    <cfRule type="expression" dxfId="2" priority="3">
      <formula>ISBLANK($C92)=FALSE</formula>
    </cfRule>
    <cfRule type="expression" dxfId="1" priority="4">
      <formula>ISBLANK($D92)=FALSE</formula>
    </cfRule>
    <cfRule type="expression" dxfId="0" priority="5">
      <formula>ISBLANK($E92)=FALSE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Alberta</vt:lpstr>
      <vt:lpstr>Calcs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</cp:lastModifiedBy>
  <dcterms:created xsi:type="dcterms:W3CDTF">2019-04-02T21:04:33Z</dcterms:created>
  <dcterms:modified xsi:type="dcterms:W3CDTF">2019-04-04T00:40:04Z</dcterms:modified>
</cp:coreProperties>
</file>