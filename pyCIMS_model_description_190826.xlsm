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CIMS\pyCIMS\Model Description\"/>
    </mc:Choice>
  </mc:AlternateContent>
  <xr:revisionPtr revIDLastSave="0" documentId="13_ncr:1_{905D5E03-CEFF-494E-A80E-BFABBBE3A34B}" xr6:coauthVersionLast="43" xr6:coauthVersionMax="43" xr10:uidLastSave="{00000000-0000-0000-0000-000000000000}"/>
  <bookViews>
    <workbookView xWindow="-120" yWindow="-120" windowWidth="29040" windowHeight="15840" activeTab="3" xr2:uid="{E476153B-9FEF-4406-8A04-624F81383283}"/>
  </bookViews>
  <sheets>
    <sheet name="Lists" sheetId="16" r:id="rId1"/>
    <sheet name="Hierarchy" sheetId="23" r:id="rId2"/>
    <sheet name="Simulation" sheetId="15" r:id="rId3"/>
    <sheet name="Map" sheetId="1" r:id="rId4"/>
    <sheet name="CAN" sheetId="18" state="hidden" r:id="rId5"/>
    <sheet name="AB" sheetId="17" state="hidden" r:id="rId6"/>
    <sheet name="AB_RES" sheetId="2" state="hidden" r:id="rId7"/>
    <sheet name="AB_RES_BLDG" sheetId="3" state="hidden" r:id="rId8"/>
    <sheet name="AB_RES_FURN" sheetId="6" state="hidden" r:id="rId9"/>
    <sheet name="AB_RES_SHELL" sheetId="24" state="hidden" r:id="rId10"/>
    <sheet name="AB_RES_SPHEAT" sheetId="5" state="hidden" r:id="rId11"/>
    <sheet name="AB_ELEC" sheetId="14" state="hidden" r:id="rId12"/>
    <sheet name="AB_ELEC_GEN" sheetId="10" state="hidden" r:id="rId13"/>
  </sheets>
  <functionGroups builtInGroupCount="19"/>
  <definedNames>
    <definedName name="_xlnm._FilterDatabase" localSheetId="5" hidden="1">AB!$A$2:$E$2</definedName>
    <definedName name="_xlnm._FilterDatabase" localSheetId="11" hidden="1">AB_ELEC!$A$2:$E$2</definedName>
    <definedName name="_xlnm._FilterDatabase" localSheetId="12" hidden="1">AB_ELEC_GEN!$A$2:$E$2</definedName>
    <definedName name="_xlnm._FilterDatabase" localSheetId="6" hidden="1">AB_RES!$A$2:$E$2</definedName>
    <definedName name="_xlnm._FilterDatabase" localSheetId="7" hidden="1">AB_RES_BLDG!$A$2:$E$2</definedName>
    <definedName name="_xlnm._FilterDatabase" localSheetId="8" hidden="1">AB_RES_FURN!$A$2:$E$2</definedName>
    <definedName name="_xlnm._FilterDatabase" localSheetId="9" hidden="1">AB_RES_SHELL!$A$2:$E$70</definedName>
    <definedName name="_xlnm._FilterDatabase" localSheetId="10" hidden="1">AB_RES_SPHEAT!$A$2:$E$2</definedName>
    <definedName name="_xlnm._FilterDatabase" localSheetId="4" hidden="1">CAN!$A$2:$E$2</definedName>
    <definedName name="AB">AB!$E$4</definedName>
    <definedName name="AB_ELEC">AB_ELEC!$E$4</definedName>
    <definedName name="AB_ELEC_GEN">AB_ELEC_GEN!$E$4</definedName>
    <definedName name="AB_RES">AB_RES!$E$4</definedName>
    <definedName name="AB_RES_BLDG">AB_RES_BLDG!$E$4</definedName>
    <definedName name="AB_RES_FURN">AB_RES_FURN!$E$4</definedName>
    <definedName name="AB_RES_SHELL">AB_RES_SHELL!$E$4</definedName>
    <definedName name="AB_RES_SPHEAT">AB_RES_SPHEAT!$E$4</definedName>
    <definedName name="Branch">Hierarchy!$F$3:$F$14</definedName>
    <definedName name="CAN">CAN!$E$4</definedName>
    <definedName name="Collapse">Hierarchy!$J$1</definedName>
    <definedName name="Competition">Lists!$A$2:$A$6</definedName>
    <definedName name="EndUseCode">Hierarchy!$C$3:$C$14</definedName>
    <definedName name="Fuels">Lists!$H$2:$H$3</definedName>
    <definedName name="GHGs">Lists!$J$2:$J$4</definedName>
    <definedName name="Node">Hierarchy!$D$3:$D$14</definedName>
    <definedName name="NodeCode">Hierarchy!$G$3:$G$14</definedName>
    <definedName name="Parent">Hierarchy!$E$3:$E$14</definedName>
    <definedName name="RegionCode">Hierarchy!$A$3:$A$14</definedName>
    <definedName name="Regions">Lists!$C$2:$C$4</definedName>
    <definedName name="SectorCode">Hierarchy!$B$3:$B$14</definedName>
    <definedName name="Sectors">Lists!$F$2:$F$4</definedName>
    <definedName name="SheetsInFile">Lists!$P$2:$P$501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91" i="24" l="1"/>
  <c r="E91" i="24"/>
  <c r="F90" i="24"/>
  <c r="E90" i="24"/>
  <c r="F89" i="24"/>
  <c r="E89" i="24"/>
  <c r="F88" i="24"/>
  <c r="E88" i="24"/>
  <c r="F87" i="24"/>
  <c r="E87" i="24"/>
  <c r="F86" i="24"/>
  <c r="E86" i="24"/>
  <c r="F85" i="24"/>
  <c r="E85" i="24"/>
  <c r="F84" i="24"/>
  <c r="E84" i="24"/>
  <c r="F83" i="24"/>
  <c r="E83" i="24"/>
  <c r="F82" i="24"/>
  <c r="E82" i="24"/>
  <c r="F81" i="24"/>
  <c r="E81" i="24"/>
  <c r="F80" i="24"/>
  <c r="E80" i="24"/>
  <c r="F79" i="24"/>
  <c r="E79" i="24"/>
  <c r="F78" i="24"/>
  <c r="E78" i="24"/>
  <c r="F77" i="24"/>
  <c r="E77" i="24"/>
  <c r="F76" i="24"/>
  <c r="E76" i="24"/>
  <c r="F75" i="24"/>
  <c r="E75" i="24"/>
  <c r="F74" i="24"/>
  <c r="E74" i="24"/>
  <c r="F73" i="24"/>
  <c r="E73" i="24"/>
  <c r="F72" i="24"/>
  <c r="E72" i="24"/>
  <c r="E38" i="5" l="1"/>
  <c r="E37" i="5" l="1"/>
  <c r="F37" i="5"/>
  <c r="C68" i="24"/>
  <c r="C55" i="24"/>
  <c r="C42" i="24"/>
  <c r="C30" i="24"/>
  <c r="C18" i="24"/>
  <c r="BD2" i="24"/>
  <c r="BC2" i="24"/>
  <c r="BB2" i="24"/>
  <c r="BA2" i="24"/>
  <c r="AZ2" i="24"/>
  <c r="AY2" i="24"/>
  <c r="AX2" i="24"/>
  <c r="AW2" i="24"/>
  <c r="AV2" i="24"/>
  <c r="AU2" i="24"/>
  <c r="AT2" i="24"/>
  <c r="AS2" i="24"/>
  <c r="AR2" i="24"/>
  <c r="AQ2" i="24"/>
  <c r="AP2" i="24"/>
  <c r="AO2" i="24"/>
  <c r="AN2" i="24"/>
  <c r="AM2" i="24"/>
  <c r="AL2" i="24"/>
  <c r="AK2" i="24"/>
  <c r="AJ2" i="24"/>
  <c r="AI2" i="24"/>
  <c r="AH2" i="24"/>
  <c r="AG2" i="24"/>
  <c r="AF2" i="24"/>
  <c r="AE2" i="24"/>
  <c r="AD2" i="24"/>
  <c r="AC2" i="24"/>
  <c r="AB2" i="24"/>
  <c r="AA2" i="24"/>
  <c r="Z2" i="24"/>
  <c r="Y2" i="24"/>
  <c r="X2" i="24"/>
  <c r="W2" i="24"/>
  <c r="V2" i="24"/>
  <c r="U2" i="24"/>
  <c r="T2" i="24"/>
  <c r="S2" i="24"/>
  <c r="R2" i="24"/>
  <c r="Q2" i="24"/>
  <c r="P2" i="24"/>
  <c r="O2" i="24"/>
  <c r="N2" i="24"/>
  <c r="M2" i="24"/>
  <c r="L2" i="24"/>
  <c r="K2" i="24"/>
  <c r="J2" i="24"/>
  <c r="I2" i="24"/>
  <c r="H2" i="24"/>
  <c r="G2" i="24"/>
  <c r="F2" i="24"/>
  <c r="E59" i="6" l="1"/>
  <c r="F35" i="5"/>
  <c r="F38" i="5" s="1"/>
  <c r="F59" i="6" s="1"/>
  <c r="F60" i="6" l="1"/>
  <c r="E61" i="6"/>
  <c r="E60" i="6"/>
  <c r="F61" i="6"/>
  <c r="E58" i="6"/>
  <c r="F58" i="6"/>
  <c r="D42" i="1"/>
  <c r="C42" i="1"/>
  <c r="B42" i="1"/>
  <c r="A42" i="1"/>
  <c r="D41" i="1"/>
  <c r="C41" i="1"/>
  <c r="B41" i="1"/>
  <c r="A41" i="1"/>
  <c r="D40" i="1"/>
  <c r="C40" i="1"/>
  <c r="B40" i="1"/>
  <c r="A40" i="1"/>
  <c r="D39" i="1"/>
  <c r="C39" i="1"/>
  <c r="B39" i="1"/>
  <c r="A39" i="1"/>
  <c r="D38" i="1"/>
  <c r="C38" i="1"/>
  <c r="B38" i="1"/>
  <c r="A38" i="1"/>
  <c r="D37" i="1"/>
  <c r="C37" i="1"/>
  <c r="B37" i="1"/>
  <c r="A37" i="1"/>
  <c r="D36" i="1"/>
  <c r="C36" i="1"/>
  <c r="B36" i="1"/>
  <c r="A36" i="1"/>
  <c r="C35" i="1"/>
  <c r="B35" i="1"/>
  <c r="A35" i="1"/>
  <c r="D34" i="1"/>
  <c r="C34" i="1"/>
  <c r="B34" i="1"/>
  <c r="A34" i="1"/>
  <c r="C33" i="1"/>
  <c r="B33" i="1"/>
  <c r="A33" i="1"/>
  <c r="D32" i="1"/>
  <c r="C32" i="1"/>
  <c r="B32" i="1"/>
  <c r="A32" i="1"/>
  <c r="C31" i="1"/>
  <c r="B31" i="1"/>
  <c r="A31" i="1"/>
  <c r="D30" i="1"/>
  <c r="C30" i="1"/>
  <c r="B30" i="1"/>
  <c r="A30" i="1"/>
  <c r="C29" i="1"/>
  <c r="B29" i="1"/>
  <c r="A29" i="1"/>
  <c r="D28" i="1"/>
  <c r="C28" i="1"/>
  <c r="B28" i="1"/>
  <c r="A28" i="1"/>
  <c r="C27" i="1"/>
  <c r="B27" i="1"/>
  <c r="A27" i="1"/>
  <c r="D26" i="1"/>
  <c r="C26" i="1"/>
  <c r="B26" i="1"/>
  <c r="A26" i="1"/>
  <c r="C25" i="1"/>
  <c r="B25" i="1"/>
  <c r="A25" i="1"/>
  <c r="D24" i="1"/>
  <c r="C24" i="1"/>
  <c r="B24" i="1"/>
  <c r="A24" i="1"/>
  <c r="D23" i="1"/>
  <c r="C23" i="1"/>
  <c r="B23" i="1"/>
  <c r="A23" i="1"/>
  <c r="C22" i="1"/>
  <c r="B22" i="1"/>
  <c r="A22" i="1"/>
  <c r="D21" i="1"/>
  <c r="C21" i="1"/>
  <c r="B21" i="1"/>
  <c r="A21" i="1"/>
  <c r="C20" i="1"/>
  <c r="B20" i="1"/>
  <c r="A20" i="1"/>
  <c r="D19" i="1"/>
  <c r="C19" i="1"/>
  <c r="B19" i="1"/>
  <c r="A19" i="1"/>
  <c r="C18" i="1"/>
  <c r="B18" i="1"/>
  <c r="A18" i="1"/>
  <c r="D17" i="1"/>
  <c r="C17" i="1"/>
  <c r="B17" i="1"/>
  <c r="A17" i="1"/>
  <c r="C16" i="1"/>
  <c r="B16" i="1"/>
  <c r="A16" i="1"/>
  <c r="D15" i="1"/>
  <c r="C15" i="1"/>
  <c r="B15" i="1"/>
  <c r="A15" i="1"/>
  <c r="C14" i="1"/>
  <c r="B14" i="1"/>
  <c r="A14" i="1"/>
  <c r="D13" i="1"/>
  <c r="C13" i="1"/>
  <c r="B13" i="1"/>
  <c r="A13" i="1"/>
  <c r="C12" i="1"/>
  <c r="B12" i="1"/>
  <c r="A12" i="1"/>
  <c r="D11" i="1"/>
  <c r="C11" i="1"/>
  <c r="B11" i="1"/>
  <c r="A11" i="1"/>
  <c r="C10" i="1"/>
  <c r="B10" i="1"/>
  <c r="A10" i="1"/>
  <c r="D9" i="1"/>
  <c r="C9" i="1"/>
  <c r="B9" i="1"/>
  <c r="A9" i="1"/>
  <c r="C8" i="1"/>
  <c r="B8" i="1"/>
  <c r="A8" i="1"/>
  <c r="D7" i="1"/>
  <c r="C7" i="1"/>
  <c r="B7" i="1"/>
  <c r="A7" i="1"/>
  <c r="C6" i="1"/>
  <c r="B6" i="1"/>
  <c r="A6" i="1"/>
  <c r="D5" i="1"/>
  <c r="C5" i="1"/>
  <c r="B5" i="1"/>
  <c r="A5" i="1"/>
  <c r="C4" i="1"/>
  <c r="B4" i="1"/>
  <c r="A4" i="1"/>
  <c r="D4" i="1" s="1"/>
  <c r="D29" i="1" l="1"/>
  <c r="D8" i="1"/>
  <c r="D16" i="1"/>
  <c r="D6" i="1"/>
  <c r="D35" i="1"/>
  <c r="D14" i="1"/>
  <c r="D33" i="1"/>
  <c r="D12" i="1"/>
  <c r="D18" i="1"/>
  <c r="D20" i="1"/>
  <c r="D10" i="1"/>
  <c r="D22" i="1"/>
  <c r="D25" i="1"/>
  <c r="D27" i="1"/>
  <c r="D31" i="1"/>
  <c r="A14" i="23"/>
  <c r="A13" i="23"/>
  <c r="A12" i="23"/>
  <c r="A11" i="23"/>
  <c r="A10" i="23"/>
  <c r="A9" i="23"/>
  <c r="A8" i="23"/>
  <c r="A7" i="23"/>
  <c r="A6" i="23"/>
  <c r="A5" i="23"/>
  <c r="B14" i="23"/>
  <c r="B13" i="23"/>
  <c r="B12" i="23"/>
  <c r="B11" i="23"/>
  <c r="B9" i="23"/>
  <c r="B8" i="23"/>
  <c r="B7" i="23"/>
  <c r="B6" i="23"/>
  <c r="E9" i="23"/>
  <c r="E8" i="23"/>
  <c r="E7" i="23"/>
  <c r="E6" i="23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BD2" i="6"/>
  <c r="BC2" i="6"/>
  <c r="BB2" i="6"/>
  <c r="BA2" i="6"/>
  <c r="AZ2" i="6"/>
  <c r="AY2" i="6"/>
  <c r="AX2" i="6"/>
  <c r="AW2" i="6"/>
  <c r="AV2" i="6"/>
  <c r="AU2" i="6"/>
  <c r="AT2" i="6"/>
  <c r="AS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BD2" i="14"/>
  <c r="BC2" i="14"/>
  <c r="BB2" i="14"/>
  <c r="BA2" i="14"/>
  <c r="AZ2" i="14"/>
  <c r="AY2" i="14"/>
  <c r="AX2" i="14"/>
  <c r="AW2" i="14"/>
  <c r="AV2" i="14"/>
  <c r="AU2" i="14"/>
  <c r="AT2" i="14"/>
  <c r="AS2" i="14"/>
  <c r="AR2" i="14"/>
  <c r="AQ2" i="14"/>
  <c r="AP2" i="14"/>
  <c r="AO2" i="14"/>
  <c r="AN2" i="14"/>
  <c r="AM2" i="14"/>
  <c r="AL2" i="14"/>
  <c r="AK2" i="14"/>
  <c r="AJ2" i="14"/>
  <c r="AI2" i="14"/>
  <c r="AH2" i="14"/>
  <c r="AG2" i="14"/>
  <c r="AF2" i="14"/>
  <c r="AE2" i="14"/>
  <c r="AD2" i="14"/>
  <c r="AC2" i="14"/>
  <c r="AB2" i="14"/>
  <c r="AA2" i="14"/>
  <c r="Z2" i="14"/>
  <c r="Y2" i="14"/>
  <c r="X2" i="14"/>
  <c r="W2" i="14"/>
  <c r="V2" i="14"/>
  <c r="U2" i="14"/>
  <c r="T2" i="14"/>
  <c r="S2" i="14"/>
  <c r="R2" i="14"/>
  <c r="Q2" i="14"/>
  <c r="P2" i="14"/>
  <c r="O2" i="14"/>
  <c r="N2" i="14"/>
  <c r="M2" i="14"/>
  <c r="L2" i="14"/>
  <c r="K2" i="14"/>
  <c r="J2" i="14"/>
  <c r="I2" i="14"/>
  <c r="H2" i="14"/>
  <c r="G2" i="14"/>
  <c r="F2" i="14"/>
  <c r="BD2" i="10"/>
  <c r="BC2" i="10"/>
  <c r="BB2" i="10"/>
  <c r="BA2" i="10"/>
  <c r="AZ2" i="10"/>
  <c r="AY2" i="10"/>
  <c r="AX2" i="10"/>
  <c r="AW2" i="10"/>
  <c r="AV2" i="10"/>
  <c r="AU2" i="10"/>
  <c r="AT2" i="10"/>
  <c r="AS2" i="10"/>
  <c r="AR2" i="10"/>
  <c r="AQ2" i="10"/>
  <c r="AP2" i="10"/>
  <c r="AO2" i="10"/>
  <c r="AN2" i="10"/>
  <c r="AM2" i="10"/>
  <c r="AL2" i="10"/>
  <c r="AK2" i="10"/>
  <c r="AJ2" i="10"/>
  <c r="AI2" i="10"/>
  <c r="AH2" i="10"/>
  <c r="AG2" i="10"/>
  <c r="AF2" i="10"/>
  <c r="AE2" i="10"/>
  <c r="AD2" i="10"/>
  <c r="AC2" i="10"/>
  <c r="AB2" i="10"/>
  <c r="AA2" i="10"/>
  <c r="Z2" i="10"/>
  <c r="Y2" i="10"/>
  <c r="X2" i="10"/>
  <c r="W2" i="10"/>
  <c r="V2" i="10"/>
  <c r="U2" i="10"/>
  <c r="T2" i="10"/>
  <c r="S2" i="10"/>
  <c r="R2" i="10"/>
  <c r="Q2" i="10"/>
  <c r="P2" i="10"/>
  <c r="O2" i="10"/>
  <c r="N2" i="10"/>
  <c r="M2" i="10"/>
  <c r="L2" i="10"/>
  <c r="K2" i="10"/>
  <c r="J2" i="10"/>
  <c r="I2" i="10"/>
  <c r="H2" i="10"/>
  <c r="G2" i="10"/>
  <c r="F2" i="10"/>
  <c r="BD2" i="17"/>
  <c r="BC2" i="17"/>
  <c r="BB2" i="17"/>
  <c r="BA2" i="17"/>
  <c r="AZ2" i="17"/>
  <c r="AY2" i="17"/>
  <c r="AX2" i="17"/>
  <c r="AW2" i="17"/>
  <c r="AV2" i="17"/>
  <c r="AU2" i="17"/>
  <c r="AT2" i="17"/>
  <c r="AS2" i="17"/>
  <c r="AR2" i="17"/>
  <c r="AQ2" i="17"/>
  <c r="AP2" i="17"/>
  <c r="AO2" i="17"/>
  <c r="AN2" i="17"/>
  <c r="AM2" i="17"/>
  <c r="AL2" i="17"/>
  <c r="AK2" i="17"/>
  <c r="AJ2" i="17"/>
  <c r="AI2" i="17"/>
  <c r="AH2" i="17"/>
  <c r="AG2" i="17"/>
  <c r="AF2" i="17"/>
  <c r="AE2" i="17"/>
  <c r="AD2" i="17"/>
  <c r="AC2" i="17"/>
  <c r="AB2" i="17"/>
  <c r="AA2" i="17"/>
  <c r="Z2" i="17"/>
  <c r="Y2" i="17"/>
  <c r="X2" i="17"/>
  <c r="W2" i="17"/>
  <c r="V2" i="17"/>
  <c r="U2" i="17"/>
  <c r="T2" i="17"/>
  <c r="S2" i="17"/>
  <c r="R2" i="17"/>
  <c r="Q2" i="17"/>
  <c r="P2" i="17"/>
  <c r="O2" i="17"/>
  <c r="N2" i="17"/>
  <c r="M2" i="17"/>
  <c r="L2" i="17"/>
  <c r="K2" i="17"/>
  <c r="J2" i="17"/>
  <c r="I2" i="17"/>
  <c r="H2" i="17"/>
  <c r="G2" i="17"/>
  <c r="F2" i="17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10" i="23" l="1"/>
  <c r="E5" i="23"/>
  <c r="E4" i="23"/>
  <c r="F3" i="23"/>
  <c r="F4" i="23" l="1"/>
  <c r="C7" i="18" s="1"/>
  <c r="P184" i="16"/>
  <c r="P389" i="16"/>
  <c r="P134" i="16"/>
  <c r="P305" i="16"/>
  <c r="P163" i="16"/>
  <c r="P439" i="16"/>
  <c r="P14" i="16"/>
  <c r="P414" i="16"/>
  <c r="P189" i="16"/>
  <c r="P249" i="16"/>
  <c r="P372" i="16"/>
  <c r="P110" i="16"/>
  <c r="P496" i="16"/>
  <c r="P138" i="16"/>
  <c r="P33" i="16"/>
  <c r="P256" i="16"/>
  <c r="P173" i="16"/>
  <c r="P470" i="16"/>
  <c r="P100" i="16"/>
  <c r="P257" i="16"/>
  <c r="P270" i="16"/>
  <c r="P27" i="16"/>
  <c r="P310" i="16"/>
  <c r="P10" i="16"/>
  <c r="P37" i="16"/>
  <c r="P330" i="16"/>
  <c r="P345" i="16"/>
  <c r="P391" i="16"/>
  <c r="P399" i="16"/>
  <c r="P312" i="16"/>
  <c r="P98" i="16"/>
  <c r="P476" i="16"/>
  <c r="P231" i="16"/>
  <c r="P431" i="16"/>
  <c r="P436" i="16"/>
  <c r="P433" i="16"/>
  <c r="P455" i="16"/>
  <c r="P252" i="16"/>
  <c r="P468" i="16"/>
  <c r="P185" i="16"/>
  <c r="P68" i="16"/>
  <c r="P348" i="16"/>
  <c r="P296" i="16"/>
  <c r="P122" i="16"/>
  <c r="P340" i="16"/>
  <c r="P480" i="16"/>
  <c r="P394" i="16"/>
  <c r="P273" i="16"/>
  <c r="P192" i="16"/>
  <c r="P51" i="16"/>
  <c r="P124" i="16"/>
  <c r="P188" i="16"/>
  <c r="P46" i="16"/>
  <c r="P78" i="16"/>
  <c r="P242" i="16"/>
  <c r="P91" i="16"/>
  <c r="P444" i="16"/>
  <c r="P351" i="16"/>
  <c r="P254" i="16"/>
  <c r="P290" i="16"/>
  <c r="P484" i="16"/>
  <c r="P489" i="16"/>
  <c r="P28" i="16"/>
  <c r="P289" i="16"/>
  <c r="P401" i="16"/>
  <c r="P437" i="16"/>
  <c r="P95" i="16"/>
  <c r="P435" i="16"/>
  <c r="P347" i="16"/>
  <c r="P333" i="16"/>
  <c r="P210" i="16"/>
  <c r="P126" i="16"/>
  <c r="P104" i="16"/>
  <c r="P488" i="16"/>
  <c r="P82" i="16"/>
  <c r="P364" i="16"/>
  <c r="P418" i="16"/>
  <c r="P161" i="16"/>
  <c r="P235" i="16"/>
  <c r="P133" i="16"/>
  <c r="P343" i="16"/>
  <c r="P64" i="16"/>
  <c r="P281" i="16"/>
  <c r="P67" i="16"/>
  <c r="P371" i="16"/>
  <c r="P383" i="16"/>
  <c r="P135" i="16"/>
  <c r="P144" i="16"/>
  <c r="P379" i="16"/>
  <c r="P179" i="16"/>
  <c r="P255" i="16"/>
  <c r="P197" i="16"/>
  <c r="P388" i="16"/>
  <c r="P174" i="16"/>
  <c r="P241" i="16"/>
  <c r="P166" i="16"/>
  <c r="P85" i="16"/>
  <c r="P363" i="16"/>
  <c r="P75" i="16"/>
  <c r="P130" i="16"/>
  <c r="P473" i="16"/>
  <c r="P170" i="16"/>
  <c r="P94" i="16"/>
  <c r="P13" i="16"/>
  <c r="P378" i="16"/>
  <c r="P239" i="16"/>
  <c r="P301" i="16"/>
  <c r="P146" i="16"/>
  <c r="P438" i="16"/>
  <c r="P269" i="16"/>
  <c r="P417" i="16"/>
  <c r="P53" i="16"/>
  <c r="P325" i="16"/>
  <c r="P137" i="16"/>
  <c r="P462" i="16"/>
  <c r="P369" i="16"/>
  <c r="P224" i="16"/>
  <c r="P329" i="16"/>
  <c r="P214" i="16"/>
  <c r="P334" i="16"/>
  <c r="P141" i="16"/>
  <c r="P223" i="16"/>
  <c r="P240" i="16"/>
  <c r="P40" i="16"/>
  <c r="P225" i="16"/>
  <c r="P90" i="16"/>
  <c r="P164" i="16"/>
  <c r="P381" i="16"/>
  <c r="P22" i="16"/>
  <c r="P416" i="16"/>
  <c r="P11" i="16"/>
  <c r="P116" i="16"/>
  <c r="P275" i="16"/>
  <c r="P102" i="16"/>
  <c r="P191" i="16"/>
  <c r="P44" i="16"/>
  <c r="P99" i="16"/>
  <c r="P355" i="16"/>
  <c r="P49" i="16"/>
  <c r="P181" i="16"/>
  <c r="P465" i="16"/>
  <c r="P128" i="16"/>
  <c r="P26" i="16"/>
  <c r="P315" i="16"/>
  <c r="P457" i="16"/>
  <c r="P440" i="16"/>
  <c r="P410" i="16"/>
  <c r="P125" i="16"/>
  <c r="P169" i="16"/>
  <c r="P43" i="16"/>
  <c r="P77" i="16"/>
  <c r="P368" i="16"/>
  <c r="P328" i="16"/>
  <c r="P434" i="16"/>
  <c r="P159" i="16"/>
  <c r="P16" i="16"/>
  <c r="P384" i="16"/>
  <c r="P292" i="16"/>
  <c r="P155" i="16"/>
  <c r="P332" i="16"/>
  <c r="P406" i="16"/>
  <c r="P136" i="16"/>
  <c r="P320" i="16"/>
  <c r="P294" i="16"/>
  <c r="P39" i="16"/>
  <c r="P150" i="16"/>
  <c r="P477" i="16"/>
  <c r="P73" i="16"/>
  <c r="P354" i="16"/>
  <c r="P79" i="16"/>
  <c r="P195" i="16"/>
  <c r="P70" i="16"/>
  <c r="P293" i="16"/>
  <c r="P475" i="16"/>
  <c r="P300" i="16"/>
  <c r="P386" i="16"/>
  <c r="P17" i="16"/>
  <c r="P106" i="16"/>
  <c r="P302" i="16"/>
  <c r="P198" i="16"/>
  <c r="P132" i="16"/>
  <c r="P267" i="16"/>
  <c r="P487" i="16"/>
  <c r="P492" i="16"/>
  <c r="P229" i="16"/>
  <c r="P196" i="16"/>
  <c r="P283" i="16"/>
  <c r="P101" i="16"/>
  <c r="P478" i="16"/>
  <c r="P216" i="16"/>
  <c r="P190" i="16"/>
  <c r="P358" i="16"/>
  <c r="P449" i="16"/>
  <c r="P350" i="16"/>
  <c r="P96" i="16"/>
  <c r="P6" i="16"/>
  <c r="P92" i="16"/>
  <c r="P344" i="16"/>
  <c r="P396" i="16"/>
  <c r="P299" i="16"/>
  <c r="P157" i="16"/>
  <c r="P494" i="16"/>
  <c r="P490" i="16"/>
  <c r="P466" i="16"/>
  <c r="P81" i="16"/>
  <c r="P114" i="16"/>
  <c r="P69" i="16"/>
  <c r="P352" i="16"/>
  <c r="P48" i="16"/>
  <c r="P158" i="16"/>
  <c r="P66" i="16"/>
  <c r="P83" i="16"/>
  <c r="P385" i="16"/>
  <c r="P360" i="16"/>
  <c r="P34" i="16"/>
  <c r="P41" i="16"/>
  <c r="P366" i="16"/>
  <c r="P424" i="16"/>
  <c r="P54" i="16"/>
  <c r="P397" i="16"/>
  <c r="P374" i="16"/>
  <c r="P129" i="16"/>
  <c r="P412" i="16"/>
  <c r="P123" i="16"/>
  <c r="P57" i="16"/>
  <c r="P84" i="16"/>
  <c r="P314" i="16"/>
  <c r="P442" i="16"/>
  <c r="P61" i="16"/>
  <c r="P400" i="16"/>
  <c r="P221" i="16"/>
  <c r="P420" i="16"/>
  <c r="P12" i="16"/>
  <c r="P120" i="16"/>
  <c r="P291" i="16"/>
  <c r="P89" i="16"/>
  <c r="P201" i="16"/>
  <c r="P65" i="16"/>
  <c r="P18" i="16"/>
  <c r="P220" i="16"/>
  <c r="P25" i="16"/>
  <c r="P295" i="16"/>
  <c r="P426" i="16"/>
  <c r="P108" i="16"/>
  <c r="P177" i="16"/>
  <c r="P246" i="16"/>
  <c r="P151" i="16"/>
  <c r="P425" i="16"/>
  <c r="P297" i="16"/>
  <c r="P479" i="16"/>
  <c r="P165" i="16"/>
  <c r="P422" i="16"/>
  <c r="P60" i="16"/>
  <c r="P247" i="16"/>
  <c r="P103" i="16"/>
  <c r="P202" i="16"/>
  <c r="P445" i="16"/>
  <c r="P145" i="16"/>
  <c r="P234" i="16"/>
  <c r="P30" i="16"/>
  <c r="P357" i="16"/>
  <c r="P382" i="16"/>
  <c r="P271" i="16"/>
  <c r="P402" i="16"/>
  <c r="P63" i="16"/>
  <c r="P180" i="16"/>
  <c r="P238" i="16"/>
  <c r="P127" i="16"/>
  <c r="P121" i="16"/>
  <c r="P264" i="16"/>
  <c r="P451" i="16"/>
  <c r="P467" i="16"/>
  <c r="P285" i="16"/>
  <c r="P393" i="16"/>
  <c r="P140" i="16"/>
  <c r="P35" i="16"/>
  <c r="P24" i="16"/>
  <c r="P117" i="16"/>
  <c r="P227" i="16"/>
  <c r="P209" i="16"/>
  <c r="P266" i="16"/>
  <c r="P318" i="16"/>
  <c r="P232" i="16"/>
  <c r="P215" i="16"/>
  <c r="P337" i="16"/>
  <c r="P430" i="16"/>
  <c r="P335" i="16"/>
  <c r="P7" i="16"/>
  <c r="P407" i="16"/>
  <c r="P23" i="16"/>
  <c r="P309" i="16"/>
  <c r="P461" i="16"/>
  <c r="P349" i="16"/>
  <c r="P367" i="16"/>
  <c r="P36" i="16"/>
  <c r="P322" i="16"/>
  <c r="P15" i="16"/>
  <c r="P405" i="16"/>
  <c r="P263" i="16"/>
  <c r="P4" i="16"/>
  <c r="P171" i="16"/>
  <c r="P311" i="16"/>
  <c r="P233" i="16"/>
  <c r="P115" i="16"/>
  <c r="P131" i="16"/>
  <c r="P323" i="16"/>
  <c r="P428" i="16"/>
  <c r="P377" i="16"/>
  <c r="P193" i="16"/>
  <c r="P463" i="16"/>
  <c r="P321" i="16"/>
  <c r="P226" i="16"/>
  <c r="P205" i="16"/>
  <c r="P97" i="16"/>
  <c r="P409" i="16"/>
  <c r="P268" i="16"/>
  <c r="P5" i="16"/>
  <c r="P356" i="16"/>
  <c r="P376" i="16"/>
  <c r="P109" i="16"/>
  <c r="P204" i="16"/>
  <c r="P168" i="16"/>
  <c r="P272" i="16"/>
  <c r="P395" i="16"/>
  <c r="P403" i="16"/>
  <c r="P453" i="16"/>
  <c r="P258" i="16"/>
  <c r="P200" i="16"/>
  <c r="P280" i="16"/>
  <c r="P236" i="16"/>
  <c r="P9" i="16"/>
  <c r="P486" i="16"/>
  <c r="P199" i="16"/>
  <c r="P243" i="16"/>
  <c r="P58" i="16"/>
  <c r="P446" i="16"/>
  <c r="P404" i="16"/>
  <c r="P31" i="16"/>
  <c r="P500" i="16"/>
  <c r="P237" i="16"/>
  <c r="P2" i="16"/>
  <c r="P498" i="16"/>
  <c r="P282" i="16"/>
  <c r="P262" i="16"/>
  <c r="P72" i="16"/>
  <c r="P212" i="16"/>
  <c r="P62" i="16"/>
  <c r="P218" i="16"/>
  <c r="P19" i="16"/>
  <c r="P308" i="16"/>
  <c r="P154" i="16"/>
  <c r="P32" i="16"/>
  <c r="P52" i="16"/>
  <c r="P339" i="16"/>
  <c r="P217" i="16"/>
  <c r="P338" i="16"/>
  <c r="P497" i="16"/>
  <c r="P464" i="16"/>
  <c r="P148" i="16"/>
  <c r="P42" i="16"/>
  <c r="P20" i="16"/>
  <c r="P71" i="16"/>
  <c r="P183" i="16"/>
  <c r="P316" i="16"/>
  <c r="P253" i="16"/>
  <c r="P38" i="16"/>
  <c r="P471" i="16"/>
  <c r="P319" i="16"/>
  <c r="P143" i="16"/>
  <c r="P303" i="16"/>
  <c r="P277" i="16"/>
  <c r="P59" i="16"/>
  <c r="P176" i="16"/>
  <c r="P149" i="16"/>
  <c r="P501" i="16"/>
  <c r="P111" i="16"/>
  <c r="P8" i="16"/>
  <c r="P222" i="16"/>
  <c r="P298" i="16"/>
  <c r="P482" i="16"/>
  <c r="P327" i="16"/>
  <c r="P342" i="16"/>
  <c r="P456" i="16"/>
  <c r="P459" i="16"/>
  <c r="P427" i="16"/>
  <c r="P495" i="16"/>
  <c r="P380" i="16"/>
  <c r="P421" i="16"/>
  <c r="P304" i="16"/>
  <c r="P47" i="16"/>
  <c r="P261" i="16"/>
  <c r="P50" i="16"/>
  <c r="P474" i="16"/>
  <c r="P119" i="16"/>
  <c r="P139" i="16"/>
  <c r="P317" i="16"/>
  <c r="P29" i="16"/>
  <c r="P419" i="16"/>
  <c r="P245" i="16"/>
  <c r="P336" i="16"/>
  <c r="P87" i="16"/>
  <c r="P491" i="16"/>
  <c r="P452" i="16"/>
  <c r="P160" i="16"/>
  <c r="P287" i="16"/>
  <c r="P499" i="16"/>
  <c r="P408" i="16"/>
  <c r="P206" i="16"/>
  <c r="P313" i="16"/>
  <c r="P432" i="16"/>
  <c r="P153" i="16"/>
  <c r="P156" i="16"/>
  <c r="P447" i="16"/>
  <c r="P286" i="16"/>
  <c r="P162" i="16"/>
  <c r="P307" i="16"/>
  <c r="P93" i="16"/>
  <c r="P186" i="16"/>
  <c r="P172" i="16"/>
  <c r="P112" i="16"/>
  <c r="P359" i="16"/>
  <c r="P259" i="16"/>
  <c r="P373" i="16"/>
  <c r="P279" i="16"/>
  <c r="P248" i="16"/>
  <c r="P80" i="16"/>
  <c r="P230" i="16"/>
  <c r="P481" i="16"/>
  <c r="P493" i="16"/>
  <c r="P142" i="16"/>
  <c r="P362" i="16"/>
  <c r="P76" i="16"/>
  <c r="P284" i="16"/>
  <c r="P265" i="16"/>
  <c r="P288" i="16"/>
  <c r="P250" i="16"/>
  <c r="P56" i="16"/>
  <c r="P331" i="16"/>
  <c r="P411" i="16"/>
  <c r="P251" i="16"/>
  <c r="P167" i="16"/>
  <c r="P274" i="16"/>
  <c r="P346" i="16"/>
  <c r="P353" i="16"/>
  <c r="P361" i="16"/>
  <c r="P423" i="16"/>
  <c r="P228" i="16"/>
  <c r="P260" i="16"/>
  <c r="P182" i="16"/>
  <c r="P113" i="16"/>
  <c r="P219" i="16"/>
  <c r="P413" i="16"/>
  <c r="P458" i="16"/>
  <c r="P306" i="16"/>
  <c r="P390" i="16"/>
  <c r="P244" i="16"/>
  <c r="P207" i="16"/>
  <c r="P472" i="16"/>
  <c r="P276" i="16"/>
  <c r="P429" i="16"/>
  <c r="P152" i="16"/>
  <c r="P211" i="16"/>
  <c r="P326" i="16"/>
  <c r="P398" i="16"/>
  <c r="P88" i="16"/>
  <c r="P55" i="16"/>
  <c r="P203" i="16"/>
  <c r="P324" i="16"/>
  <c r="P187" i="16"/>
  <c r="P213" i="16"/>
  <c r="P194" i="16"/>
  <c r="P74" i="16"/>
  <c r="P483" i="16"/>
  <c r="P415" i="16"/>
  <c r="P86" i="16"/>
  <c r="P370" i="16"/>
  <c r="P341" i="16"/>
  <c r="P175" i="16"/>
  <c r="P441" i="16"/>
  <c r="P460" i="16"/>
  <c r="P3" i="16"/>
  <c r="P450" i="16"/>
  <c r="P375" i="16"/>
  <c r="P178" i="16"/>
  <c r="P443" i="16"/>
  <c r="P105" i="16"/>
  <c r="P454" i="16"/>
  <c r="P118" i="16"/>
  <c r="P107" i="16"/>
  <c r="P387" i="16"/>
  <c r="P147" i="16"/>
  <c r="P365" i="16"/>
  <c r="P469" i="16"/>
  <c r="P485" i="16"/>
  <c r="P448" i="16"/>
  <c r="P392" i="16"/>
  <c r="P45" i="16"/>
  <c r="P278" i="16"/>
  <c r="P208" i="16"/>
  <c r="P21" i="16"/>
  <c r="G4" i="23" l="1"/>
  <c r="G5" i="23"/>
  <c r="G14" i="23"/>
  <c r="G12" i="23"/>
  <c r="G6" i="23"/>
  <c r="G8" i="23"/>
  <c r="G7" i="23"/>
  <c r="G9" i="23"/>
  <c r="G3" i="23"/>
  <c r="G13" i="23"/>
  <c r="G11" i="23"/>
  <c r="G10" i="23"/>
  <c r="F5" i="23"/>
  <c r="F6" i="23" l="1"/>
  <c r="F7" i="23"/>
  <c r="C7" i="2"/>
  <c r="C34" i="5"/>
  <c r="C10" i="17"/>
  <c r="F8" i="23"/>
  <c r="F10" i="23"/>
  <c r="F11" i="23" l="1"/>
  <c r="F14" i="23" s="1"/>
  <c r="C9" i="10" s="1"/>
  <c r="C19" i="6"/>
  <c r="C20" i="5"/>
  <c r="F9" i="23"/>
  <c r="C9" i="3"/>
  <c r="C8" i="3"/>
  <c r="C7" i="3"/>
  <c r="C10" i="3"/>
  <c r="F10" i="17"/>
  <c r="F14" i="17" s="1"/>
  <c r="G10" i="17"/>
  <c r="G14" i="17" s="1"/>
  <c r="H10" i="17"/>
  <c r="H14" i="17" s="1"/>
  <c r="I10" i="17"/>
  <c r="I14" i="17" s="1"/>
  <c r="J10" i="17"/>
  <c r="J14" i="17" s="1"/>
  <c r="K10" i="17"/>
  <c r="K14" i="17" s="1"/>
  <c r="L10" i="17"/>
  <c r="L14" i="17" s="1"/>
  <c r="M10" i="17"/>
  <c r="M14" i="17" s="1"/>
  <c r="N10" i="17"/>
  <c r="N14" i="17" s="1"/>
  <c r="O10" i="17"/>
  <c r="O14" i="17" s="1"/>
  <c r="P10" i="17"/>
  <c r="P14" i="17" s="1"/>
  <c r="J6" i="17"/>
  <c r="K6" i="17" s="1"/>
  <c r="L6" i="17" s="1"/>
  <c r="M6" i="17" s="1"/>
  <c r="N6" i="17" s="1"/>
  <c r="O6" i="17" s="1"/>
  <c r="P6" i="17" s="1"/>
  <c r="F13" i="23" l="1"/>
  <c r="C8" i="10" s="1"/>
  <c r="F12" i="23"/>
  <c r="C19" i="14"/>
  <c r="H21" i="2"/>
  <c r="F21" i="2"/>
  <c r="G21" i="2"/>
  <c r="I21" i="2"/>
  <c r="J21" i="2"/>
  <c r="K21" i="2"/>
  <c r="L21" i="2"/>
  <c r="M21" i="2"/>
  <c r="N21" i="2"/>
  <c r="O21" i="2"/>
  <c r="P21" i="2"/>
  <c r="P10" i="3"/>
  <c r="O10" i="3"/>
  <c r="N10" i="3"/>
  <c r="M10" i="3"/>
  <c r="M15" i="3" s="1"/>
  <c r="L10" i="3"/>
  <c r="K10" i="3"/>
  <c r="J10" i="3"/>
  <c r="I10" i="3"/>
  <c r="I15" i="3" s="1"/>
  <c r="H10" i="3"/>
  <c r="G10" i="3"/>
  <c r="F10" i="3"/>
  <c r="C7" i="10" l="1"/>
  <c r="H15" i="3"/>
  <c r="K15" i="3"/>
  <c r="O15" i="3"/>
  <c r="L15" i="3"/>
  <c r="P15" i="3"/>
  <c r="G15" i="3"/>
  <c r="J11" i="10"/>
  <c r="J12" i="10"/>
  <c r="J13" i="10"/>
  <c r="I11" i="10"/>
  <c r="I12" i="10"/>
  <c r="I13" i="10"/>
  <c r="P13" i="10"/>
  <c r="P11" i="10"/>
  <c r="P12" i="10"/>
  <c r="L13" i="10"/>
  <c r="L11" i="10"/>
  <c r="L12" i="10"/>
  <c r="G12" i="10"/>
  <c r="G13" i="10"/>
  <c r="G11" i="10"/>
  <c r="N11" i="10"/>
  <c r="N12" i="10"/>
  <c r="N13" i="10"/>
  <c r="H13" i="10"/>
  <c r="H11" i="10"/>
  <c r="H12" i="10"/>
  <c r="M11" i="10"/>
  <c r="M12" i="10"/>
  <c r="M13" i="10"/>
  <c r="O12" i="10"/>
  <c r="O13" i="10"/>
  <c r="O11" i="10"/>
  <c r="K12" i="10"/>
  <c r="K13" i="10"/>
  <c r="K11" i="10"/>
  <c r="F11" i="10"/>
  <c r="F12" i="10"/>
  <c r="F13" i="10"/>
  <c r="O12" i="3"/>
  <c r="O14" i="3"/>
  <c r="O13" i="3"/>
  <c r="F14" i="3"/>
  <c r="F12" i="3"/>
  <c r="F13" i="3"/>
  <c r="J13" i="3"/>
  <c r="J14" i="3"/>
  <c r="J12" i="3"/>
  <c r="M14" i="3"/>
  <c r="M12" i="3"/>
  <c r="M13" i="3"/>
  <c r="I14" i="3"/>
  <c r="I13" i="3"/>
  <c r="I12" i="3"/>
  <c r="K12" i="3"/>
  <c r="K14" i="3"/>
  <c r="K13" i="3"/>
  <c r="N13" i="3"/>
  <c r="N14" i="3"/>
  <c r="N12" i="3"/>
  <c r="H13" i="3"/>
  <c r="H12" i="3"/>
  <c r="H14" i="3"/>
  <c r="F15" i="3"/>
  <c r="J15" i="3"/>
  <c r="N15" i="3"/>
  <c r="P13" i="3"/>
  <c r="P12" i="3"/>
  <c r="P14" i="3"/>
  <c r="L13" i="3"/>
  <c r="L12" i="3"/>
  <c r="L14" i="3"/>
  <c r="G12" i="3"/>
  <c r="G14" i="3"/>
  <c r="G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E1" authorId="0" shapeId="0" xr:uid="{F84376DF-BC57-4114-976F-EED18AC947F3}">
      <text>
        <r>
          <rPr>
            <b/>
            <sz val="11"/>
            <color indexed="81"/>
            <rFont val="Tahoma"/>
            <family val="2"/>
          </rPr>
          <t xml:space="preserve">Navigation: </t>
        </r>
        <r>
          <rPr>
            <sz val="11"/>
            <color indexed="81"/>
            <rFont val="Tahoma"/>
            <family val="2"/>
          </rPr>
          <t xml:space="preserve">Double-click on nodes to open/close the editing sheets. Region and sector nodes will open all sub-nodes in the branch. End use nodes will open/close only the node selected.
</t>
        </r>
        <r>
          <rPr>
            <b/>
            <sz val="11"/>
            <color indexed="81"/>
            <rFont val="Tahoma"/>
            <family val="2"/>
          </rPr>
          <t>Red text:</t>
        </r>
        <r>
          <rPr>
            <sz val="11"/>
            <color indexed="81"/>
            <rFont val="Tahoma"/>
            <family val="2"/>
          </rPr>
          <t xml:space="preserve"> Nodes highlighted in red indicate that an editing sheet is not included in the file. Add a sheet for the node and appropriate parameters to include the node in the simulation.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Griffin</author>
    <author>Brad</author>
  </authors>
  <commentList>
    <comment ref="A3" authorId="0" shapeId="0" xr:uid="{4002E7D1-C068-4C61-BE35-B5BD62278923}">
      <text>
        <r>
          <rPr>
            <sz val="9"/>
            <color indexed="81"/>
            <rFont val="Tahoma"/>
            <family val="2"/>
          </rPr>
          <t xml:space="preserve">Must match node listed on </t>
        </r>
        <r>
          <rPr>
            <b/>
            <sz val="9"/>
            <color indexed="81"/>
            <rFont val="Tahoma"/>
            <family val="2"/>
          </rPr>
          <t>Hierarchy</t>
        </r>
      </text>
    </comment>
    <comment ref="A4" authorId="0" shapeId="0" xr:uid="{B06FA3E3-8586-48E7-9F28-C494CB79C2B6}">
      <text>
        <r>
          <rPr>
            <sz val="9"/>
            <color indexed="81"/>
            <rFont val="Tahoma"/>
            <family val="2"/>
          </rPr>
          <t xml:space="preserve">Must match branch listed on </t>
        </r>
        <r>
          <rPr>
            <b/>
            <sz val="9"/>
            <color indexed="81"/>
            <rFont val="Tahoma"/>
            <family val="2"/>
          </rPr>
          <t>Hierarchy</t>
        </r>
      </text>
    </comment>
    <comment ref="E5" authorId="1" shapeId="0" xr:uid="{D53C5154-F90A-4876-BE3D-915ADED5CBA4}">
      <text>
        <r>
          <rPr>
            <sz val="9"/>
            <color indexed="81"/>
            <rFont val="Tahoma"/>
            <family val="2"/>
          </rPr>
          <t>Parameter values set at a higher point in the tree should prevail unless overwritten at a lower point in the tree (e.g. the discount rate would be 0.1 in subsequent calculations, unless set for a specific lower node).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  <author>Brad GRIFFIN</author>
  </authors>
  <commentList>
    <comment ref="E7" authorId="0" shapeId="0" xr:uid="{85CEB142-2EE4-44A8-8740-0739B60D7774}">
      <text>
        <r>
          <rPr>
            <sz val="9"/>
            <color indexed="81"/>
            <rFont val="Tahoma"/>
            <family val="2"/>
          </rPr>
          <t>Parameter values set at a higher point in the tree should prevail unless overwritten at a lower point in the tree (e.g. the discount rate would be 0.1 in subsequent calculations, unless set for a specific lower node).</t>
        </r>
      </text>
    </comment>
    <comment ref="E12" authorId="1" shapeId="0" xr:uid="{B236B8CF-931E-495A-9A27-45D010413559}">
      <text>
        <r>
          <rPr>
            <sz val="9"/>
            <color indexed="81"/>
            <rFont val="Tahoma"/>
            <family val="2"/>
          </rPr>
          <t>I'd like to be able to apply policies that filter down to nodes below in the tree. Is it possible to apply this policy to any node/tech/end use that has these keywords (i.e. "building" and "shell" and "standard")?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E6" authorId="0" shapeId="0" xr:uid="{61874455-23AA-4E1A-8546-F6148D0ED612}">
      <text>
        <r>
          <rPr>
            <sz val="9"/>
            <color indexed="81"/>
            <rFont val="Tahoma"/>
            <family val="2"/>
          </rPr>
          <t>Multiplier for "End use supply" (i.e. demand how many units (of m2 floorspace) per unit supplied (household)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E6" authorId="0" shapeId="0" xr:uid="{1CA68FDD-A745-4175-B9EB-5752D3677396}">
      <text>
        <r>
          <rPr>
            <sz val="9"/>
            <color indexed="81"/>
            <rFont val="Tahoma"/>
            <family val="2"/>
          </rPr>
          <t xml:space="preserve">Shares applied to m2 floorspace inherited from parent (due to m2/household used for end use demand).
Must add to 1.
Fixed Shares competition applies 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D19" authorId="0" shapeId="0" xr:uid="{6A2DA3D8-D793-4FA7-82D5-13327EB70B2F}">
      <text>
        <r>
          <rPr>
            <sz val="9"/>
            <color indexed="81"/>
            <rFont val="Tahoma"/>
            <family val="2"/>
          </rPr>
          <t xml:space="preserve">This is the inverse of efficiency (fuel use per GJ provided). It just happens that baseboard heating is 100% efficient. </t>
        </r>
      </text>
    </comment>
    <comment ref="A29" authorId="0" shapeId="0" xr:uid="{AC2D6676-4EE7-46A7-9F61-FD660A5A821A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30" authorId="0" shapeId="0" xr:uid="{262EE66B-6096-4936-BFA3-085F12AE6636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D31" authorId="0" shapeId="0" xr:uid="{6B8540AE-3688-4C64-9B86-CADE87CB9CC2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43" authorId="0" shapeId="0" xr:uid="{1B5FFA39-C086-4C01-B382-1EE0287F2C66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55" authorId="0" shapeId="0" xr:uid="{B2AA8E34-3983-4E14-86BB-23C07010F88B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A40" authorId="0" shapeId="0" xr:uid="{9A809DA3-A6A7-45E5-A7B8-BBE625C50AA6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41" authorId="0" shapeId="0" xr:uid="{B126CFB3-87A9-414B-BACC-D36C6581073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42" authorId="0" shapeId="0" xr:uid="{ADFB8B89-B3AD-4F34-BF22-A0BEC57E7535}">
      <text>
        <r>
          <rPr>
            <sz val="9"/>
            <color indexed="81"/>
            <rFont val="Tahoma"/>
            <family val="2"/>
          </rPr>
          <t>End use demanded for each technology per unit of demand (in this case, GJ of heating per m2 of floorspace for each shell type (e.g. Pre-1960)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Griffin</author>
    <author>Brad GRIFFIN</author>
  </authors>
  <commentList>
    <comment ref="A3" authorId="0" shapeId="0" xr:uid="{6556A54F-D40F-43E6-82CF-529A14C2EF1E}">
      <text>
        <r>
          <rPr>
            <sz val="9"/>
            <color indexed="81"/>
            <rFont val="Tahoma"/>
            <family val="2"/>
          </rPr>
          <t xml:space="preserve">Must match node listed on </t>
        </r>
        <r>
          <rPr>
            <b/>
            <sz val="9"/>
            <color indexed="81"/>
            <rFont val="Tahoma"/>
            <family val="2"/>
          </rPr>
          <t>Hierarchy</t>
        </r>
      </text>
    </comment>
    <comment ref="A4" authorId="0" shapeId="0" xr:uid="{570AB80A-960B-4531-8374-6487BB2175F4}">
      <text>
        <r>
          <rPr>
            <sz val="9"/>
            <color indexed="81"/>
            <rFont val="Tahoma"/>
            <family val="2"/>
          </rPr>
          <t xml:space="preserve">Must match branch listed on </t>
        </r>
        <r>
          <rPr>
            <b/>
            <sz val="9"/>
            <color indexed="81"/>
            <rFont val="Tahoma"/>
            <family val="2"/>
          </rPr>
          <t>Hierarchy</t>
        </r>
      </text>
    </comment>
    <comment ref="A16" authorId="1" shapeId="0" xr:uid="{4ACCD5F0-768B-4146-AC2F-4940673D7F5C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17" authorId="1" shapeId="0" xr:uid="{60BA9632-1835-49E0-BEA7-1AD974F2A6A3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A18" authorId="1" shapeId="0" xr:uid="{35E69A30-7298-41BC-A6D5-C1FAC33596C3}">
      <text>
        <r>
          <rPr>
            <sz val="9"/>
            <color indexed="81"/>
            <rFont val="Tahoma"/>
            <family val="2"/>
          </rPr>
          <t>If no value given, should be 1.</t>
        </r>
      </text>
    </comment>
    <comment ref="A19" authorId="1" shapeId="0" xr:uid="{01F8165E-44D2-4E6B-8846-0B0C6F3E4ACC}">
      <text>
        <r>
          <rPr>
            <sz val="9"/>
            <color indexed="81"/>
            <rFont val="Tahoma"/>
            <family val="2"/>
          </rPr>
          <t>If no value given, should be 0.</t>
        </r>
      </text>
    </comment>
    <comment ref="D20" authorId="1" shapeId="0" xr:uid="{190079D5-BF1D-43EA-BCC6-73F5B073E60E}">
      <text>
        <r>
          <rPr>
            <sz val="9"/>
            <color indexed="81"/>
            <rFont val="Tahoma"/>
            <family val="2"/>
          </rPr>
          <t>This is the inverse of efficiency (fuel use per GJ provided). It just happens that baseboard heating is 100% efficient. :)</t>
        </r>
      </text>
    </comment>
    <comment ref="D34" authorId="1" shapeId="0" xr:uid="{918B4565-DF1F-419C-9102-81A15131E4B6}">
      <text>
        <r>
          <rPr>
            <sz val="9"/>
            <color indexed="81"/>
            <rFont val="Tahoma"/>
            <family val="2"/>
          </rPr>
          <t>This ratio is just to pass along the GJ requirement (i.e. we want 1 GJ of heating, so require 1 GJ of furnace heating)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 GRIFFIN</author>
  </authors>
  <commentList>
    <comment ref="E5" authorId="0" shapeId="0" xr:uid="{503F9061-3435-443D-9265-03795D504B38}">
      <text>
        <r>
          <rPr>
            <sz val="9"/>
            <color indexed="81"/>
            <rFont val="Tahoma"/>
            <family val="2"/>
          </rPr>
          <t>Equal to total demand for electricity from all demand nodes</t>
        </r>
      </text>
    </comment>
    <comment ref="E18" authorId="0" shapeId="0" xr:uid="{8CBC480B-06B5-4C5D-A61A-DE29F8C631B5}">
      <text>
        <r>
          <rPr>
            <sz val="9"/>
            <color indexed="81"/>
            <rFont val="Tahoma"/>
            <family val="2"/>
          </rPr>
          <t>Multiplier for "End use supply" (i.e. demand how many units (of generation) per unit supplied (GJ electricity)</t>
        </r>
      </text>
    </comment>
    <comment ref="D19" authorId="0" shapeId="0" xr:uid="{F040DCB5-94D8-41A0-80BF-7138FBE4159F}">
      <text>
        <r>
          <rPr>
            <sz val="9"/>
            <color indexed="81"/>
            <rFont val="Tahoma"/>
            <family val="2"/>
          </rPr>
          <t>This ratio is just to pass along the GJ requirement (i.e. we want 1 GJ of electricity, so require 1 GJ of furnace generation)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Brad</author>
  </authors>
  <commentList>
    <comment ref="E6" authorId="0" shapeId="0" xr:uid="{C2C0499C-D502-48C2-986B-45CECF60B893}">
      <text>
        <r>
          <rPr>
            <sz val="9"/>
            <color indexed="81"/>
            <rFont val="Tahoma"/>
            <family val="2"/>
          </rPr>
          <t>Shares applied to m2 floorspace inherited from parent (due to m2/household used for end use demand).
Must add to 1.</t>
        </r>
      </text>
    </comment>
  </commentList>
</comments>
</file>

<file path=xl/sharedStrings.xml><?xml version="1.0" encoding="utf-8"?>
<sst xmlns="http://schemas.openxmlformats.org/spreadsheetml/2006/main" count="861" uniqueCount="144">
  <si>
    <t>Residential</t>
  </si>
  <si>
    <t>Building</t>
  </si>
  <si>
    <t>Shell</t>
  </si>
  <si>
    <t>Heating</t>
  </si>
  <si>
    <t>Electricity</t>
  </si>
  <si>
    <t>Shoulder load</t>
  </si>
  <si>
    <t>Base load</t>
  </si>
  <si>
    <t>Peak load</t>
  </si>
  <si>
    <t>Generation</t>
  </si>
  <si>
    <t>Alberta</t>
  </si>
  <si>
    <t>Parent</t>
  </si>
  <si>
    <t>Branch</t>
  </si>
  <si>
    <t>Retrofit Variance</t>
  </si>
  <si>
    <t>Value</t>
  </si>
  <si>
    <t>Parameter</t>
  </si>
  <si>
    <t>Years</t>
  </si>
  <si>
    <t>Price</t>
  </si>
  <si>
    <t>Diesel</t>
  </si>
  <si>
    <t>Light Fuel Oil</t>
  </si>
  <si>
    <t>Natural Gas</t>
  </si>
  <si>
    <t>Wood</t>
  </si>
  <si>
    <t>Unit</t>
  </si>
  <si>
    <t>2015$/GJ</t>
  </si>
  <si>
    <t>2015$/tCO2</t>
  </si>
  <si>
    <t>CO2</t>
  </si>
  <si>
    <t>CH4</t>
  </si>
  <si>
    <t>N2O</t>
  </si>
  <si>
    <t>Consumer Price Index</t>
  </si>
  <si>
    <t>Competition</t>
  </si>
  <si>
    <t>Exogenous</t>
  </si>
  <si>
    <t>Tech Compete</t>
  </si>
  <si>
    <t>Fixed Ratio</t>
  </si>
  <si>
    <t>Single Family Detached</t>
  </si>
  <si>
    <t>Single Family Attached</t>
  </si>
  <si>
    <t>Apartment</t>
  </si>
  <si>
    <t>Mobile</t>
  </si>
  <si>
    <t>Post-1960</t>
  </si>
  <si>
    <t>Pre-1960</t>
  </si>
  <si>
    <t>Standard</t>
  </si>
  <si>
    <t>R2000</t>
  </si>
  <si>
    <t>LEED</t>
  </si>
  <si>
    <t>Electric baseboard</t>
  </si>
  <si>
    <t>Furnace</t>
  </si>
  <si>
    <t>GJ</t>
  </si>
  <si>
    <t>v</t>
  </si>
  <si>
    <t>Capital Cost</t>
  </si>
  <si>
    <t>m2 floorspace</t>
  </si>
  <si>
    <t>Unavailable</t>
  </si>
  <si>
    <t>Available</t>
  </si>
  <si>
    <t>Lifetime</t>
  </si>
  <si>
    <t>Date</t>
  </si>
  <si>
    <t>Operating Cost</t>
  </si>
  <si>
    <t>r</t>
  </si>
  <si>
    <t>CPI</t>
  </si>
  <si>
    <t>Market share_Max</t>
  </si>
  <si>
    <t>Market share_Min</t>
  </si>
  <si>
    <t>Market penetration_Max</t>
  </si>
  <si>
    <t>Market penetration_Min</t>
  </si>
  <si>
    <t>Intangible Cost</t>
  </si>
  <si>
    <t>Percent</t>
  </si>
  <si>
    <t>***example - Stock</t>
  </si>
  <si>
    <t>total floorspace</t>
  </si>
  <si>
    <t>Population</t>
  </si>
  <si>
    <t>GDP</t>
  </si>
  <si>
    <t>m2 floorspace/household</t>
  </si>
  <si>
    <t>GJ/m2 floorspace</t>
  </si>
  <si>
    <t>household/person</t>
  </si>
  <si>
    <t>person/household</t>
  </si>
  <si>
    <t>household</t>
  </si>
  <si>
    <t>2015$ billion</t>
  </si>
  <si>
    <t>person</t>
  </si>
  <si>
    <t>total household</t>
  </si>
  <si>
    <t>Household</t>
  </si>
  <si>
    <t>Fixed Shares</t>
  </si>
  <si>
    <t>Base year share</t>
  </si>
  <si>
    <t>GJ used / GJ provided</t>
  </si>
  <si>
    <t>Competition type</t>
  </si>
  <si>
    <t>Canada</t>
  </si>
  <si>
    <t>na</t>
  </si>
  <si>
    <t>Building_Shell_Standard</t>
  </si>
  <si>
    <t>Tree Map</t>
  </si>
  <si>
    <t>Node</t>
  </si>
  <si>
    <t>End use supply</t>
  </si>
  <si>
    <t>End use demand</t>
  </si>
  <si>
    <t>Share</t>
  </si>
  <si>
    <t>Social discount rate</t>
  </si>
  <si>
    <t>Risk rate</t>
  </si>
  <si>
    <t>Target</t>
  </si>
  <si>
    <t>Air conditioning</t>
  </si>
  <si>
    <t>Technology</t>
  </si>
  <si>
    <t>Natural Gas_existing</t>
  </si>
  <si>
    <t>Natural Gas_high efficiency</t>
  </si>
  <si>
    <t>Natural Gas_low efficiency</t>
  </si>
  <si>
    <t>Heat pump_air source</t>
  </si>
  <si>
    <t>Financial discount rate</t>
  </si>
  <si>
    <t>Natural gas</t>
  </si>
  <si>
    <t>2015$/m2 floorspace</t>
  </si>
  <si>
    <t>GHG</t>
  </si>
  <si>
    <t>Sector</t>
  </si>
  <si>
    <t>Fuel</t>
  </si>
  <si>
    <t>Commercial</t>
  </si>
  <si>
    <t>Region</t>
  </si>
  <si>
    <t>Region_code</t>
  </si>
  <si>
    <t>British Columbia</t>
  </si>
  <si>
    <t>CAN</t>
  </si>
  <si>
    <t>AB</t>
  </si>
  <si>
    <t>BC</t>
  </si>
  <si>
    <t>Transmission</t>
  </si>
  <si>
    <t>Winner Take All</t>
  </si>
  <si>
    <t>total generation</t>
  </si>
  <si>
    <t>Total buildings</t>
  </si>
  <si>
    <t>Total residential</t>
  </si>
  <si>
    <t>Heterogeneity</t>
  </si>
  <si>
    <t>Space Heating</t>
  </si>
  <si>
    <t>Simulation</t>
  </si>
  <si>
    <t>Dishwasher</t>
  </si>
  <si>
    <t>Refrigerator</t>
  </si>
  <si>
    <t>Range</t>
  </si>
  <si>
    <t>Air Conditioning</t>
  </si>
  <si>
    <t>RES</t>
  </si>
  <si>
    <t>GEN</t>
  </si>
  <si>
    <t>BLDG</t>
  </si>
  <si>
    <t>FURN</t>
  </si>
  <si>
    <t>ELEC</t>
  </si>
  <si>
    <t>BASE</t>
  </si>
  <si>
    <t>SHLDR</t>
  </si>
  <si>
    <t>PEAK</t>
  </si>
  <si>
    <t>SPHEAT</t>
  </si>
  <si>
    <t>End Use</t>
  </si>
  <si>
    <t>SHELL</t>
  </si>
  <si>
    <t>Simulation Time</t>
  </si>
  <si>
    <t>Sheets</t>
  </si>
  <si>
    <t>Node Code</t>
  </si>
  <si>
    <t>Enter values in these columns</t>
  </si>
  <si>
    <t>Alberta_Electricity_Generation</t>
  </si>
  <si>
    <t>Alberta_Electricity</t>
  </si>
  <si>
    <t>Alberta_Residential_Building_Shell_Space Heating</t>
  </si>
  <si>
    <t>Alberta_Residential_Building_Shell</t>
  </si>
  <si>
    <t>Alberta_Residential_Furnace</t>
  </si>
  <si>
    <t>Alberta_Residential_Building</t>
  </si>
  <si>
    <t>Alberta_Residential</t>
  </si>
  <si>
    <t>Canada_Alberta</t>
  </si>
  <si>
    <t>Collapse sheets on file open?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</si>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</sst>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#,##0_ ;\-#,##0\ 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indexed="81"/>
      <name val="Tahoma"/>
      <family val="2"/>
    </font>
    <font>
      <sz val="11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</borders>
  <cellStyleXfs count="3">
    <xf numFmtId="0" fontId="0" fillId="0" borderId="0"/>
    <xf numFmtId="166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1" applyFont="1" applyAlignment="1">
      <alignment readingOrder="2"/>
    </xf>
    <xf numFmtId="166" fontId="0" fillId="0" borderId="0" xfId="1" applyFont="1"/>
    <xf numFmtId="0" fontId="0" fillId="0" borderId="0" xfId="0" applyFont="1"/>
    <xf numFmtId="0" fontId="1" fillId="7" borderId="1" xfId="0" applyFont="1" applyFill="1" applyBorder="1"/>
    <xf numFmtId="0" fontId="1" fillId="7" borderId="3" xfId="0" applyFont="1" applyFill="1" applyBorder="1"/>
    <xf numFmtId="0" fontId="6" fillId="8" borderId="0" xfId="2" applyFont="1" applyFill="1" applyAlignment="1">
      <alignment horizontal="center"/>
    </xf>
    <xf numFmtId="0" fontId="2" fillId="0" borderId="4" xfId="0" applyFont="1" applyBorder="1"/>
    <xf numFmtId="0" fontId="2" fillId="4" borderId="4" xfId="0" applyFont="1" applyFill="1" applyBorder="1"/>
    <xf numFmtId="0" fontId="0" fillId="0" borderId="4" xfId="0" applyBorder="1"/>
    <xf numFmtId="0" fontId="0" fillId="9" borderId="0" xfId="0" applyFill="1"/>
    <xf numFmtId="0" fontId="0" fillId="0" borderId="5" xfId="0" applyFill="1" applyBorder="1"/>
    <xf numFmtId="0" fontId="0" fillId="0" borderId="0" xfId="0" applyFill="1" applyBorder="1"/>
    <xf numFmtId="0" fontId="1" fillId="7" borderId="0" xfId="0" applyFont="1" applyFill="1" applyBorder="1"/>
    <xf numFmtId="0" fontId="1" fillId="7" borderId="4" xfId="0" applyFont="1" applyFill="1" applyBorder="1"/>
    <xf numFmtId="0" fontId="0" fillId="7" borderId="0" xfId="0" applyFont="1" applyFill="1"/>
    <xf numFmtId="0" fontId="1" fillId="7" borderId="1" xfId="2" applyFont="1" applyFill="1" applyBorder="1"/>
    <xf numFmtId="0" fontId="0" fillId="7" borderId="0" xfId="0" applyFont="1" applyFill="1" applyBorder="1"/>
    <xf numFmtId="0" fontId="1" fillId="7" borderId="0" xfId="2" applyFont="1" applyFill="1" applyBorder="1"/>
    <xf numFmtId="0" fontId="1" fillId="7" borderId="6" xfId="2" applyFont="1" applyFill="1" applyBorder="1"/>
    <xf numFmtId="0" fontId="0" fillId="7" borderId="5" xfId="0" applyFont="1" applyFill="1" applyBorder="1"/>
    <xf numFmtId="0" fontId="0" fillId="7" borderId="1" xfId="2" applyFont="1" applyFill="1" applyBorder="1"/>
    <xf numFmtId="0" fontId="0" fillId="7" borderId="0" xfId="2" applyFont="1" applyFill="1" applyBorder="1"/>
    <xf numFmtId="0" fontId="0" fillId="7" borderId="6" xfId="2" applyFont="1" applyFill="1" applyBorder="1"/>
    <xf numFmtId="0" fontId="0" fillId="7" borderId="1" xfId="0" applyFont="1" applyFill="1" applyBorder="1"/>
    <xf numFmtId="0" fontId="0" fillId="7" borderId="6" xfId="0" applyFont="1" applyFill="1" applyBorder="1"/>
    <xf numFmtId="0" fontId="1" fillId="7" borderId="7" xfId="2" applyFont="1" applyFill="1" applyBorder="1"/>
    <xf numFmtId="0" fontId="0" fillId="7" borderId="7" xfId="2" applyFont="1" applyFill="1" applyBorder="1"/>
    <xf numFmtId="0" fontId="0" fillId="7" borderId="3" xfId="0" applyFont="1" applyFill="1" applyBorder="1"/>
    <xf numFmtId="0" fontId="0" fillId="0" borderId="0" xfId="0" applyFill="1"/>
    <xf numFmtId="0" fontId="7" fillId="7" borderId="0" xfId="0" applyFont="1" applyFill="1" applyBorder="1"/>
    <xf numFmtId="0" fontId="7" fillId="7" borderId="3" xfId="0" applyFont="1" applyFill="1" applyBorder="1"/>
    <xf numFmtId="0" fontId="7" fillId="7" borderId="1" xfId="0" applyFont="1" applyFill="1" applyBorder="1"/>
    <xf numFmtId="0" fontId="7" fillId="7" borderId="0" xfId="2" applyFont="1" applyFill="1" applyBorder="1"/>
    <xf numFmtId="0" fontId="7" fillId="7" borderId="6" xfId="0" applyFont="1" applyFill="1" applyBorder="1"/>
    <xf numFmtId="0" fontId="7" fillId="7" borderId="0" xfId="0" applyFont="1" applyFill="1"/>
    <xf numFmtId="0" fontId="5" fillId="0" borderId="0" xfId="2"/>
    <xf numFmtId="0" fontId="1" fillId="6" borderId="0" xfId="0" applyFont="1" applyFill="1"/>
    <xf numFmtId="0" fontId="0" fillId="5" borderId="0" xfId="0" applyFill="1"/>
    <xf numFmtId="0" fontId="0" fillId="3" borderId="0" xfId="0" applyFill="1"/>
    <xf numFmtId="0" fontId="1" fillId="10" borderId="0" xfId="0" applyFont="1" applyFill="1"/>
    <xf numFmtId="0" fontId="0" fillId="0" borderId="0" xfId="0" applyAlignment="1">
      <alignment horizontal="center"/>
    </xf>
    <xf numFmtId="0" fontId="1" fillId="6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" fillId="10" borderId="0" xfId="0" applyFont="1" applyFill="1" applyAlignment="1">
      <alignment horizontal="center"/>
    </xf>
    <xf numFmtId="0" fontId="0" fillId="11" borderId="4" xfId="0" applyFill="1" applyBorder="1"/>
    <xf numFmtId="0" fontId="1" fillId="6" borderId="8" xfId="0" applyFont="1" applyFill="1" applyBorder="1"/>
    <xf numFmtId="0" fontId="0" fillId="5" borderId="8" xfId="0" applyFill="1" applyBorder="1"/>
    <xf numFmtId="0" fontId="0" fillId="3" borderId="8" xfId="0" applyFill="1" applyBorder="1"/>
    <xf numFmtId="0" fontId="0" fillId="0" borderId="8" xfId="0" applyBorder="1"/>
    <xf numFmtId="0" fontId="1" fillId="10" borderId="8" xfId="0" applyFont="1" applyFill="1" applyBorder="1"/>
    <xf numFmtId="0" fontId="1" fillId="6" borderId="2" xfId="0" applyFont="1" applyFill="1" applyBorder="1"/>
    <xf numFmtId="0" fontId="0" fillId="5" borderId="2" xfId="0" applyFill="1" applyBorder="1"/>
    <xf numFmtId="0" fontId="1" fillId="3" borderId="2" xfId="0" applyFont="1" applyFill="1" applyBorder="1"/>
    <xf numFmtId="0" fontId="1" fillId="10" borderId="2" xfId="0" applyFont="1" applyFill="1" applyBorder="1"/>
    <xf numFmtId="0" fontId="0" fillId="12" borderId="2" xfId="0" applyFill="1" applyBorder="1"/>
    <xf numFmtId="0" fontId="7" fillId="7" borderId="5" xfId="0" applyFont="1" applyFill="1" applyBorder="1"/>
    <xf numFmtId="0" fontId="1" fillId="2" borderId="2" xfId="0" applyFont="1" applyFill="1" applyBorder="1"/>
    <xf numFmtId="0" fontId="1" fillId="8" borderId="2" xfId="0" applyFont="1" applyFill="1" applyBorder="1"/>
    <xf numFmtId="0" fontId="0" fillId="11" borderId="0" xfId="0" applyFill="1"/>
    <xf numFmtId="0" fontId="1" fillId="6" borderId="0" xfId="0" applyFont="1" applyFill="1" applyBorder="1"/>
    <xf numFmtId="0" fontId="0" fillId="5" borderId="0" xfId="0" applyFill="1" applyBorder="1"/>
    <xf numFmtId="0" fontId="0" fillId="3" borderId="0" xfId="0" applyFill="1" applyBorder="1"/>
    <xf numFmtId="0" fontId="0" fillId="0" borderId="0" xfId="0" applyBorder="1"/>
    <xf numFmtId="0" fontId="1" fillId="10" borderId="0" xfId="0" applyFont="1" applyFill="1" applyBorder="1"/>
    <xf numFmtId="0" fontId="0" fillId="13" borderId="0" xfId="0" applyFill="1"/>
    <xf numFmtId="0" fontId="6" fillId="14" borderId="8" xfId="0" applyFont="1" applyFill="1" applyBorder="1"/>
    <xf numFmtId="0" fontId="6" fillId="14" borderId="0" xfId="0" applyFont="1" applyFill="1"/>
    <xf numFmtId="0" fontId="6" fillId="14" borderId="10" xfId="0" applyFont="1" applyFill="1" applyBorder="1" applyAlignment="1">
      <alignment horizontal="center"/>
    </xf>
    <xf numFmtId="0" fontId="6" fillId="14" borderId="11" xfId="0" applyFont="1" applyFill="1" applyBorder="1" applyAlignment="1">
      <alignment horizontal="center"/>
    </xf>
    <xf numFmtId="0" fontId="6" fillId="14" borderId="10" xfId="0" applyFont="1" applyFill="1" applyBorder="1"/>
    <xf numFmtId="0" fontId="5" fillId="0" borderId="0" xfId="2" applyFill="1"/>
    <xf numFmtId="0" fontId="11" fillId="9" borderId="0" xfId="0" applyFont="1" applyFill="1" applyAlignment="1">
      <alignment horizontal="center"/>
    </xf>
    <xf numFmtId="0" fontId="6" fillId="15" borderId="0" xfId="0" applyFont="1" applyFill="1" applyBorder="1" applyAlignment="1">
      <alignment horizontal="center"/>
    </xf>
    <xf numFmtId="0" fontId="6" fillId="15" borderId="9" xfId="0" applyFont="1" applyFill="1" applyBorder="1" applyAlignment="1">
      <alignment horizontal="center"/>
    </xf>
  </cellXfs>
  <cellStyles count="3">
    <cellStyle name="Comma" xfId="1" builtinId="3" customBuiltin="1"/>
    <cellStyle name="Hyperlink" xfId="2" builtinId="8"/>
    <cellStyle name="Normal" xfId="0" builtinId="0"/>
  </cellStyles>
  <dxfs count="2">
    <dxf>
      <font>
        <b/>
        <i val="0"/>
        <color rgb="FFC00000"/>
      </font>
    </dxf>
    <dxf>
      <font>
        <b/>
        <i val="0"/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449E9-551D-4918-9891-B804DE91249B}">
  <sheetPr codeName="Sheet7">
    <tabColor theme="1" tint="0.499984740745262"/>
    <outlinePr summaryBelow="0" summaryRight="0"/>
  </sheetPr>
  <dimension ref="A1:P501"/>
  <sheetViews>
    <sheetView zoomScale="85" zoomScaleNormal="85" workbookViewId="0">
      <pane ySplit="1" topLeftCell="A2" activePane="bottomLeft" state="frozen"/>
      <selection pane="bottomLeft" activeCell="L1" sqref="L1"/>
    </sheetView>
  </sheetViews>
  <sheetFormatPr defaultRowHeight="15" x14ac:dyDescent="0.25"/>
  <cols>
    <col min="1" max="1" width="16" bestFit="1" customWidth="1"/>
    <col min="2" max="2" width="3.140625" customWidth="1"/>
    <col min="3" max="3" width="16.5703125" bestFit="1" customWidth="1"/>
    <col min="4" max="4" width="11.85546875" customWidth="1"/>
    <col min="5" max="5" width="3.140625" customWidth="1"/>
    <col min="6" max="6" width="11.85546875" bestFit="1" customWidth="1"/>
    <col min="7" max="7" width="3.140625" customWidth="1"/>
    <col min="8" max="8" width="12.140625" bestFit="1" customWidth="1"/>
    <col min="9" max="9" width="3.140625" customWidth="1"/>
    <col min="11" max="11" width="3.140625" customWidth="1"/>
    <col min="13" max="13" width="3.140625" customWidth="1"/>
    <col min="15" max="15" width="3.140625" customWidth="1"/>
    <col min="16" max="16" width="15.42578125" bestFit="1" customWidth="1"/>
    <col min="17" max="17" width="3.140625" customWidth="1"/>
  </cols>
  <sheetData>
    <row r="1" spans="1:16" s="1" customFormat="1" x14ac:dyDescent="0.25">
      <c r="A1" s="1" t="s">
        <v>28</v>
      </c>
      <c r="C1" s="1" t="s">
        <v>101</v>
      </c>
      <c r="D1" s="1" t="s">
        <v>102</v>
      </c>
      <c r="F1" s="1" t="s">
        <v>98</v>
      </c>
      <c r="H1" s="1" t="s">
        <v>99</v>
      </c>
      <c r="J1" s="1" t="s">
        <v>97</v>
      </c>
      <c r="P1" s="1" t="s">
        <v>131</v>
      </c>
    </row>
    <row r="2" spans="1:16" x14ac:dyDescent="0.25">
      <c r="A2" t="s">
        <v>29</v>
      </c>
      <c r="C2" t="s">
        <v>77</v>
      </c>
      <c r="D2" t="s">
        <v>104</v>
      </c>
      <c r="F2" t="s">
        <v>0</v>
      </c>
      <c r="H2" t="s">
        <v>4</v>
      </c>
      <c r="J2" t="s">
        <v>24</v>
      </c>
      <c r="P2" s="70" t="str">
        <f ca="1">IFERROR(SheetNames(ROW()-1),"")</f>
        <v>Lists</v>
      </c>
    </row>
    <row r="3" spans="1:16" x14ac:dyDescent="0.25">
      <c r="A3" t="s">
        <v>31</v>
      </c>
      <c r="C3" t="s">
        <v>9</v>
      </c>
      <c r="D3" t="s">
        <v>105</v>
      </c>
      <c r="F3" t="s">
        <v>100</v>
      </c>
      <c r="H3" t="s">
        <v>19</v>
      </c>
      <c r="J3" t="s">
        <v>25</v>
      </c>
      <c r="P3" s="70" t="str">
        <f t="shared" ref="P3:P66" ca="1" si="0">IFERROR(SheetNames(ROW()-1),"")</f>
        <v>Hierarchy</v>
      </c>
    </row>
    <row r="4" spans="1:16" x14ac:dyDescent="0.25">
      <c r="A4" t="s">
        <v>73</v>
      </c>
      <c r="C4" t="s">
        <v>103</v>
      </c>
      <c r="D4" t="s">
        <v>106</v>
      </c>
      <c r="F4" t="s">
        <v>4</v>
      </c>
      <c r="J4" t="s">
        <v>26</v>
      </c>
      <c r="P4" s="70" t="str">
        <f t="shared" ca="1" si="0"/>
        <v>Simulation</v>
      </c>
    </row>
    <row r="5" spans="1:16" x14ac:dyDescent="0.25">
      <c r="A5" t="s">
        <v>30</v>
      </c>
      <c r="P5" s="70" t="str">
        <f t="shared" ca="1" si="0"/>
        <v>Map</v>
      </c>
    </row>
    <row r="6" spans="1:16" x14ac:dyDescent="0.25">
      <c r="A6" t="s">
        <v>108</v>
      </c>
      <c r="P6" s="70" t="str">
        <f t="shared" ca="1" si="0"/>
        <v>CAN</v>
      </c>
    </row>
    <row r="7" spans="1:16" x14ac:dyDescent="0.25">
      <c r="P7" s="70" t="str">
        <f t="shared" ca="1" si="0"/>
        <v>AB</v>
      </c>
    </row>
    <row r="8" spans="1:16" x14ac:dyDescent="0.25">
      <c r="P8" s="70" t="str">
        <f t="shared" ca="1" si="0"/>
        <v>AB_RES</v>
      </c>
    </row>
    <row r="9" spans="1:16" x14ac:dyDescent="0.25">
      <c r="P9" s="70" t="str">
        <f t="shared" ca="1" si="0"/>
        <v>AB_RES_BLDG</v>
      </c>
    </row>
    <row r="10" spans="1:16" x14ac:dyDescent="0.25">
      <c r="P10" s="70" t="str">
        <f t="shared" ca="1" si="0"/>
        <v>AB_RES_FURN</v>
      </c>
    </row>
    <row r="11" spans="1:16" x14ac:dyDescent="0.25">
      <c r="P11" s="70" t="str">
        <f t="shared" ca="1" si="0"/>
        <v>AB_RES_SHELL</v>
      </c>
    </row>
    <row r="12" spans="1:16" x14ac:dyDescent="0.25">
      <c r="P12" s="70" t="str">
        <f t="shared" ca="1" si="0"/>
        <v>AB_RES_SPHEAT</v>
      </c>
    </row>
    <row r="13" spans="1:16" x14ac:dyDescent="0.25">
      <c r="P13" s="70" t="str">
        <f t="shared" ca="1" si="0"/>
        <v>AB_ELEC</v>
      </c>
    </row>
    <row r="14" spans="1:16" x14ac:dyDescent="0.25">
      <c r="P14" s="70" t="str">
        <f t="shared" ca="1" si="0"/>
        <v>AB_ELEC_GEN</v>
      </c>
    </row>
    <row r="15" spans="1:16" x14ac:dyDescent="0.25">
      <c r="P15" s="70" t="str">
        <f t="shared" ca="1" si="0"/>
        <v/>
      </c>
    </row>
    <row r="16" spans="1:16" x14ac:dyDescent="0.25">
      <c r="P16" s="70" t="str">
        <f t="shared" ca="1" si="0"/>
        <v/>
      </c>
    </row>
    <row r="17" spans="16:16" x14ac:dyDescent="0.25">
      <c r="P17" s="70" t="str">
        <f t="shared" ca="1" si="0"/>
        <v/>
      </c>
    </row>
    <row r="18" spans="16:16" x14ac:dyDescent="0.25">
      <c r="P18" s="70" t="str">
        <f t="shared" ca="1" si="0"/>
        <v/>
      </c>
    </row>
    <row r="19" spans="16:16" x14ac:dyDescent="0.25">
      <c r="P19" s="70" t="str">
        <f t="shared" ca="1" si="0"/>
        <v/>
      </c>
    </row>
    <row r="20" spans="16:16" x14ac:dyDescent="0.25">
      <c r="P20" s="70" t="str">
        <f t="shared" ca="1" si="0"/>
        <v/>
      </c>
    </row>
    <row r="21" spans="16:16" x14ac:dyDescent="0.25">
      <c r="P21" s="70" t="str">
        <f t="shared" ca="1" si="0"/>
        <v/>
      </c>
    </row>
    <row r="22" spans="16:16" x14ac:dyDescent="0.25">
      <c r="P22" s="70" t="str">
        <f t="shared" ca="1" si="0"/>
        <v/>
      </c>
    </row>
    <row r="23" spans="16:16" x14ac:dyDescent="0.25">
      <c r="P23" s="70" t="str">
        <f t="shared" ca="1" si="0"/>
        <v/>
      </c>
    </row>
    <row r="24" spans="16:16" x14ac:dyDescent="0.25">
      <c r="P24" s="70" t="str">
        <f t="shared" ca="1" si="0"/>
        <v/>
      </c>
    </row>
    <row r="25" spans="16:16" x14ac:dyDescent="0.25">
      <c r="P25" s="70" t="str">
        <f t="shared" ca="1" si="0"/>
        <v/>
      </c>
    </row>
    <row r="26" spans="16:16" x14ac:dyDescent="0.25">
      <c r="P26" s="70" t="str">
        <f t="shared" ca="1" si="0"/>
        <v/>
      </c>
    </row>
    <row r="27" spans="16:16" x14ac:dyDescent="0.25">
      <c r="P27" s="70" t="str">
        <f t="shared" ca="1" si="0"/>
        <v/>
      </c>
    </row>
    <row r="28" spans="16:16" x14ac:dyDescent="0.25">
      <c r="P28" s="70" t="str">
        <f t="shared" ca="1" si="0"/>
        <v/>
      </c>
    </row>
    <row r="29" spans="16:16" x14ac:dyDescent="0.25">
      <c r="P29" s="70" t="str">
        <f t="shared" ca="1" si="0"/>
        <v/>
      </c>
    </row>
    <row r="30" spans="16:16" x14ac:dyDescent="0.25">
      <c r="P30" s="70" t="str">
        <f t="shared" ca="1" si="0"/>
        <v/>
      </c>
    </row>
    <row r="31" spans="16:16" x14ac:dyDescent="0.25">
      <c r="P31" s="70" t="str">
        <f t="shared" ca="1" si="0"/>
        <v/>
      </c>
    </row>
    <row r="32" spans="16:16" x14ac:dyDescent="0.25">
      <c r="P32" s="70" t="str">
        <f t="shared" ca="1" si="0"/>
        <v/>
      </c>
    </row>
    <row r="33" spans="16:16" x14ac:dyDescent="0.25">
      <c r="P33" s="70" t="str">
        <f t="shared" ca="1" si="0"/>
        <v/>
      </c>
    </row>
    <row r="34" spans="16:16" x14ac:dyDescent="0.25">
      <c r="P34" s="70" t="str">
        <f t="shared" ca="1" si="0"/>
        <v/>
      </c>
    </row>
    <row r="35" spans="16:16" x14ac:dyDescent="0.25">
      <c r="P35" s="70" t="str">
        <f t="shared" ca="1" si="0"/>
        <v/>
      </c>
    </row>
    <row r="36" spans="16:16" x14ac:dyDescent="0.25">
      <c r="P36" s="70" t="str">
        <f t="shared" ca="1" si="0"/>
        <v/>
      </c>
    </row>
    <row r="37" spans="16:16" x14ac:dyDescent="0.25">
      <c r="P37" s="70" t="str">
        <f t="shared" ca="1" si="0"/>
        <v/>
      </c>
    </row>
    <row r="38" spans="16:16" x14ac:dyDescent="0.25">
      <c r="P38" s="70" t="str">
        <f t="shared" ca="1" si="0"/>
        <v/>
      </c>
    </row>
    <row r="39" spans="16:16" x14ac:dyDescent="0.25">
      <c r="P39" s="70" t="str">
        <f t="shared" ca="1" si="0"/>
        <v/>
      </c>
    </row>
    <row r="40" spans="16:16" x14ac:dyDescent="0.25">
      <c r="P40" s="70" t="str">
        <f t="shared" ca="1" si="0"/>
        <v/>
      </c>
    </row>
    <row r="41" spans="16:16" x14ac:dyDescent="0.25">
      <c r="P41" s="70" t="str">
        <f t="shared" ca="1" si="0"/>
        <v/>
      </c>
    </row>
    <row r="42" spans="16:16" x14ac:dyDescent="0.25">
      <c r="P42" s="70" t="str">
        <f t="shared" ca="1" si="0"/>
        <v/>
      </c>
    </row>
    <row r="43" spans="16:16" x14ac:dyDescent="0.25">
      <c r="P43" s="70" t="str">
        <f t="shared" ca="1" si="0"/>
        <v/>
      </c>
    </row>
    <row r="44" spans="16:16" x14ac:dyDescent="0.25">
      <c r="P44" s="70" t="str">
        <f t="shared" ca="1" si="0"/>
        <v/>
      </c>
    </row>
    <row r="45" spans="16:16" x14ac:dyDescent="0.25">
      <c r="P45" s="70" t="str">
        <f t="shared" ca="1" si="0"/>
        <v/>
      </c>
    </row>
    <row r="46" spans="16:16" x14ac:dyDescent="0.25">
      <c r="P46" s="70" t="str">
        <f t="shared" ca="1" si="0"/>
        <v/>
      </c>
    </row>
    <row r="47" spans="16:16" x14ac:dyDescent="0.25">
      <c r="P47" s="70" t="str">
        <f t="shared" ca="1" si="0"/>
        <v/>
      </c>
    </row>
    <row r="48" spans="16:16" x14ac:dyDescent="0.25">
      <c r="P48" s="70" t="str">
        <f t="shared" ca="1" si="0"/>
        <v/>
      </c>
    </row>
    <row r="49" spans="16:16" x14ac:dyDescent="0.25">
      <c r="P49" s="70" t="str">
        <f t="shared" ca="1" si="0"/>
        <v/>
      </c>
    </row>
    <row r="50" spans="16:16" x14ac:dyDescent="0.25">
      <c r="P50" s="70" t="str">
        <f t="shared" ca="1" si="0"/>
        <v/>
      </c>
    </row>
    <row r="51" spans="16:16" x14ac:dyDescent="0.25">
      <c r="P51" s="70" t="str">
        <f t="shared" ca="1" si="0"/>
        <v/>
      </c>
    </row>
    <row r="52" spans="16:16" x14ac:dyDescent="0.25">
      <c r="P52" s="70" t="str">
        <f t="shared" ca="1" si="0"/>
        <v/>
      </c>
    </row>
    <row r="53" spans="16:16" x14ac:dyDescent="0.25">
      <c r="P53" s="70" t="str">
        <f t="shared" ca="1" si="0"/>
        <v/>
      </c>
    </row>
    <row r="54" spans="16:16" x14ac:dyDescent="0.25">
      <c r="P54" s="70" t="str">
        <f t="shared" ca="1" si="0"/>
        <v/>
      </c>
    </row>
    <row r="55" spans="16:16" x14ac:dyDescent="0.25">
      <c r="P55" s="70" t="str">
        <f t="shared" ca="1" si="0"/>
        <v/>
      </c>
    </row>
    <row r="56" spans="16:16" x14ac:dyDescent="0.25">
      <c r="P56" s="70" t="str">
        <f t="shared" ca="1" si="0"/>
        <v/>
      </c>
    </row>
    <row r="57" spans="16:16" x14ac:dyDescent="0.25">
      <c r="P57" s="70" t="str">
        <f t="shared" ca="1" si="0"/>
        <v/>
      </c>
    </row>
    <row r="58" spans="16:16" x14ac:dyDescent="0.25">
      <c r="P58" s="70" t="str">
        <f t="shared" ca="1" si="0"/>
        <v/>
      </c>
    </row>
    <row r="59" spans="16:16" x14ac:dyDescent="0.25">
      <c r="P59" s="70" t="str">
        <f t="shared" ca="1" si="0"/>
        <v/>
      </c>
    </row>
    <row r="60" spans="16:16" x14ac:dyDescent="0.25">
      <c r="P60" s="70" t="str">
        <f t="shared" ca="1" si="0"/>
        <v/>
      </c>
    </row>
    <row r="61" spans="16:16" x14ac:dyDescent="0.25">
      <c r="P61" s="70" t="str">
        <f t="shared" ca="1" si="0"/>
        <v/>
      </c>
    </row>
    <row r="62" spans="16:16" x14ac:dyDescent="0.25">
      <c r="P62" s="70" t="str">
        <f t="shared" ca="1" si="0"/>
        <v/>
      </c>
    </row>
    <row r="63" spans="16:16" x14ac:dyDescent="0.25">
      <c r="P63" s="70" t="str">
        <f t="shared" ca="1" si="0"/>
        <v/>
      </c>
    </row>
    <row r="64" spans="16:16" x14ac:dyDescent="0.25">
      <c r="P64" s="70" t="str">
        <f t="shared" ca="1" si="0"/>
        <v/>
      </c>
    </row>
    <row r="65" spans="16:16" x14ac:dyDescent="0.25">
      <c r="P65" s="70" t="str">
        <f t="shared" ca="1" si="0"/>
        <v/>
      </c>
    </row>
    <row r="66" spans="16:16" x14ac:dyDescent="0.25">
      <c r="P66" s="70" t="str">
        <f t="shared" ca="1" si="0"/>
        <v/>
      </c>
    </row>
    <row r="67" spans="16:16" x14ac:dyDescent="0.25">
      <c r="P67" s="70" t="str">
        <f t="shared" ref="P67:P130" ca="1" si="1">IFERROR(SheetNames(ROW()-1),"")</f>
        <v/>
      </c>
    </row>
    <row r="68" spans="16:16" x14ac:dyDescent="0.25">
      <c r="P68" s="70" t="str">
        <f t="shared" ca="1" si="1"/>
        <v/>
      </c>
    </row>
    <row r="69" spans="16:16" x14ac:dyDescent="0.25">
      <c r="P69" s="70" t="str">
        <f t="shared" ca="1" si="1"/>
        <v/>
      </c>
    </row>
    <row r="70" spans="16:16" x14ac:dyDescent="0.25">
      <c r="P70" s="70" t="str">
        <f t="shared" ca="1" si="1"/>
        <v/>
      </c>
    </row>
    <row r="71" spans="16:16" x14ac:dyDescent="0.25">
      <c r="P71" s="70" t="str">
        <f t="shared" ca="1" si="1"/>
        <v/>
      </c>
    </row>
    <row r="72" spans="16:16" x14ac:dyDescent="0.25">
      <c r="P72" s="70" t="str">
        <f t="shared" ca="1" si="1"/>
        <v/>
      </c>
    </row>
    <row r="73" spans="16:16" x14ac:dyDescent="0.25">
      <c r="P73" s="70" t="str">
        <f t="shared" ca="1" si="1"/>
        <v/>
      </c>
    </row>
    <row r="74" spans="16:16" x14ac:dyDescent="0.25">
      <c r="P74" s="70" t="str">
        <f t="shared" ca="1" si="1"/>
        <v/>
      </c>
    </row>
    <row r="75" spans="16:16" x14ac:dyDescent="0.25">
      <c r="P75" s="70" t="str">
        <f t="shared" ca="1" si="1"/>
        <v/>
      </c>
    </row>
    <row r="76" spans="16:16" x14ac:dyDescent="0.25">
      <c r="P76" s="70" t="str">
        <f t="shared" ca="1" si="1"/>
        <v/>
      </c>
    </row>
    <row r="77" spans="16:16" x14ac:dyDescent="0.25">
      <c r="P77" s="70" t="str">
        <f t="shared" ca="1" si="1"/>
        <v/>
      </c>
    </row>
    <row r="78" spans="16:16" x14ac:dyDescent="0.25">
      <c r="P78" s="70" t="str">
        <f t="shared" ca="1" si="1"/>
        <v/>
      </c>
    </row>
    <row r="79" spans="16:16" x14ac:dyDescent="0.25">
      <c r="P79" s="70" t="str">
        <f t="shared" ca="1" si="1"/>
        <v/>
      </c>
    </row>
    <row r="80" spans="16:16" x14ac:dyDescent="0.25">
      <c r="P80" s="70" t="str">
        <f t="shared" ca="1" si="1"/>
        <v/>
      </c>
    </row>
    <row r="81" spans="16:16" x14ac:dyDescent="0.25">
      <c r="P81" s="70" t="str">
        <f t="shared" ca="1" si="1"/>
        <v/>
      </c>
    </row>
    <row r="82" spans="16:16" x14ac:dyDescent="0.25">
      <c r="P82" s="70" t="str">
        <f t="shared" ca="1" si="1"/>
        <v/>
      </c>
    </row>
    <row r="83" spans="16:16" x14ac:dyDescent="0.25">
      <c r="P83" s="70" t="str">
        <f t="shared" ca="1" si="1"/>
        <v/>
      </c>
    </row>
    <row r="84" spans="16:16" x14ac:dyDescent="0.25">
      <c r="P84" s="70" t="str">
        <f t="shared" ca="1" si="1"/>
        <v/>
      </c>
    </row>
    <row r="85" spans="16:16" x14ac:dyDescent="0.25">
      <c r="P85" s="70" t="str">
        <f t="shared" ca="1" si="1"/>
        <v/>
      </c>
    </row>
    <row r="86" spans="16:16" x14ac:dyDescent="0.25">
      <c r="P86" s="70" t="str">
        <f t="shared" ca="1" si="1"/>
        <v/>
      </c>
    </row>
    <row r="87" spans="16:16" x14ac:dyDescent="0.25">
      <c r="P87" s="70" t="str">
        <f t="shared" ca="1" si="1"/>
        <v/>
      </c>
    </row>
    <row r="88" spans="16:16" x14ac:dyDescent="0.25">
      <c r="P88" s="70" t="str">
        <f t="shared" ca="1" si="1"/>
        <v/>
      </c>
    </row>
    <row r="89" spans="16:16" x14ac:dyDescent="0.25">
      <c r="P89" s="70" t="str">
        <f t="shared" ca="1" si="1"/>
        <v/>
      </c>
    </row>
    <row r="90" spans="16:16" x14ac:dyDescent="0.25">
      <c r="P90" s="70" t="str">
        <f t="shared" ca="1" si="1"/>
        <v/>
      </c>
    </row>
    <row r="91" spans="16:16" x14ac:dyDescent="0.25">
      <c r="P91" s="70" t="str">
        <f t="shared" ca="1" si="1"/>
        <v/>
      </c>
    </row>
    <row r="92" spans="16:16" x14ac:dyDescent="0.25">
      <c r="P92" s="70" t="str">
        <f t="shared" ca="1" si="1"/>
        <v/>
      </c>
    </row>
    <row r="93" spans="16:16" x14ac:dyDescent="0.25">
      <c r="P93" s="70" t="str">
        <f t="shared" ca="1" si="1"/>
        <v/>
      </c>
    </row>
    <row r="94" spans="16:16" x14ac:dyDescent="0.25">
      <c r="P94" s="70" t="str">
        <f t="shared" ca="1" si="1"/>
        <v/>
      </c>
    </row>
    <row r="95" spans="16:16" x14ac:dyDescent="0.25">
      <c r="P95" s="70" t="str">
        <f t="shared" ca="1" si="1"/>
        <v/>
      </c>
    </row>
    <row r="96" spans="16:16" x14ac:dyDescent="0.25">
      <c r="P96" s="70" t="str">
        <f t="shared" ca="1" si="1"/>
        <v/>
      </c>
    </row>
    <row r="97" spans="16:16" x14ac:dyDescent="0.25">
      <c r="P97" s="70" t="str">
        <f t="shared" ca="1" si="1"/>
        <v/>
      </c>
    </row>
    <row r="98" spans="16:16" x14ac:dyDescent="0.25">
      <c r="P98" s="70" t="str">
        <f t="shared" ca="1" si="1"/>
        <v/>
      </c>
    </row>
    <row r="99" spans="16:16" x14ac:dyDescent="0.25">
      <c r="P99" s="70" t="str">
        <f t="shared" ca="1" si="1"/>
        <v/>
      </c>
    </row>
    <row r="100" spans="16:16" x14ac:dyDescent="0.25">
      <c r="P100" s="70" t="str">
        <f t="shared" ca="1" si="1"/>
        <v/>
      </c>
    </row>
    <row r="101" spans="16:16" x14ac:dyDescent="0.25">
      <c r="P101" s="70" t="str">
        <f t="shared" ca="1" si="1"/>
        <v/>
      </c>
    </row>
    <row r="102" spans="16:16" x14ac:dyDescent="0.25">
      <c r="P102" s="70" t="str">
        <f t="shared" ca="1" si="1"/>
        <v/>
      </c>
    </row>
    <row r="103" spans="16:16" x14ac:dyDescent="0.25">
      <c r="P103" s="70" t="str">
        <f t="shared" ca="1" si="1"/>
        <v/>
      </c>
    </row>
    <row r="104" spans="16:16" x14ac:dyDescent="0.25">
      <c r="P104" s="70" t="str">
        <f t="shared" ca="1" si="1"/>
        <v/>
      </c>
    </row>
    <row r="105" spans="16:16" x14ac:dyDescent="0.25">
      <c r="P105" s="70" t="str">
        <f t="shared" ca="1" si="1"/>
        <v/>
      </c>
    </row>
    <row r="106" spans="16:16" x14ac:dyDescent="0.25">
      <c r="P106" s="70" t="str">
        <f t="shared" ca="1" si="1"/>
        <v/>
      </c>
    </row>
    <row r="107" spans="16:16" x14ac:dyDescent="0.25">
      <c r="P107" s="70" t="str">
        <f t="shared" ca="1" si="1"/>
        <v/>
      </c>
    </row>
    <row r="108" spans="16:16" x14ac:dyDescent="0.25">
      <c r="P108" s="70" t="str">
        <f t="shared" ca="1" si="1"/>
        <v/>
      </c>
    </row>
    <row r="109" spans="16:16" x14ac:dyDescent="0.25">
      <c r="P109" s="70" t="str">
        <f t="shared" ca="1" si="1"/>
        <v/>
      </c>
    </row>
    <row r="110" spans="16:16" x14ac:dyDescent="0.25">
      <c r="P110" s="70" t="str">
        <f t="shared" ca="1" si="1"/>
        <v/>
      </c>
    </row>
    <row r="111" spans="16:16" x14ac:dyDescent="0.25">
      <c r="P111" s="70" t="str">
        <f t="shared" ca="1" si="1"/>
        <v/>
      </c>
    </row>
    <row r="112" spans="16:16" x14ac:dyDescent="0.25">
      <c r="P112" s="70" t="str">
        <f t="shared" ca="1" si="1"/>
        <v/>
      </c>
    </row>
    <row r="113" spans="16:16" x14ac:dyDescent="0.25">
      <c r="P113" s="70" t="str">
        <f t="shared" ca="1" si="1"/>
        <v/>
      </c>
    </row>
    <row r="114" spans="16:16" x14ac:dyDescent="0.25">
      <c r="P114" s="70" t="str">
        <f t="shared" ca="1" si="1"/>
        <v/>
      </c>
    </row>
    <row r="115" spans="16:16" x14ac:dyDescent="0.25">
      <c r="P115" s="70" t="str">
        <f t="shared" ca="1" si="1"/>
        <v/>
      </c>
    </row>
    <row r="116" spans="16:16" x14ac:dyDescent="0.25">
      <c r="P116" s="70" t="str">
        <f t="shared" ca="1" si="1"/>
        <v/>
      </c>
    </row>
    <row r="117" spans="16:16" x14ac:dyDescent="0.25">
      <c r="P117" s="70" t="str">
        <f t="shared" ca="1" si="1"/>
        <v/>
      </c>
    </row>
    <row r="118" spans="16:16" x14ac:dyDescent="0.25">
      <c r="P118" s="70" t="str">
        <f t="shared" ca="1" si="1"/>
        <v/>
      </c>
    </row>
    <row r="119" spans="16:16" x14ac:dyDescent="0.25">
      <c r="P119" s="70" t="str">
        <f t="shared" ca="1" si="1"/>
        <v/>
      </c>
    </row>
    <row r="120" spans="16:16" x14ac:dyDescent="0.25">
      <c r="P120" s="70" t="str">
        <f t="shared" ca="1" si="1"/>
        <v/>
      </c>
    </row>
    <row r="121" spans="16:16" x14ac:dyDescent="0.25">
      <c r="P121" s="70" t="str">
        <f t="shared" ca="1" si="1"/>
        <v/>
      </c>
    </row>
    <row r="122" spans="16:16" x14ac:dyDescent="0.25">
      <c r="P122" s="70" t="str">
        <f t="shared" ca="1" si="1"/>
        <v/>
      </c>
    </row>
    <row r="123" spans="16:16" x14ac:dyDescent="0.25">
      <c r="P123" s="70" t="str">
        <f t="shared" ca="1" si="1"/>
        <v/>
      </c>
    </row>
    <row r="124" spans="16:16" x14ac:dyDescent="0.25">
      <c r="P124" s="70" t="str">
        <f t="shared" ca="1" si="1"/>
        <v/>
      </c>
    </row>
    <row r="125" spans="16:16" x14ac:dyDescent="0.25">
      <c r="P125" s="70" t="str">
        <f t="shared" ca="1" si="1"/>
        <v/>
      </c>
    </row>
    <row r="126" spans="16:16" x14ac:dyDescent="0.25">
      <c r="P126" s="70" t="str">
        <f t="shared" ca="1" si="1"/>
        <v/>
      </c>
    </row>
    <row r="127" spans="16:16" x14ac:dyDescent="0.25">
      <c r="P127" s="70" t="str">
        <f t="shared" ca="1" si="1"/>
        <v/>
      </c>
    </row>
    <row r="128" spans="16:16" x14ac:dyDescent="0.25">
      <c r="P128" s="70" t="str">
        <f t="shared" ca="1" si="1"/>
        <v/>
      </c>
    </row>
    <row r="129" spans="16:16" x14ac:dyDescent="0.25">
      <c r="P129" s="70" t="str">
        <f t="shared" ca="1" si="1"/>
        <v/>
      </c>
    </row>
    <row r="130" spans="16:16" x14ac:dyDescent="0.25">
      <c r="P130" s="70" t="str">
        <f t="shared" ca="1" si="1"/>
        <v/>
      </c>
    </row>
    <row r="131" spans="16:16" x14ac:dyDescent="0.25">
      <c r="P131" s="70" t="str">
        <f t="shared" ref="P131:P194" ca="1" si="2">IFERROR(SheetNames(ROW()-1),"")</f>
        <v/>
      </c>
    </row>
    <row r="132" spans="16:16" x14ac:dyDescent="0.25">
      <c r="P132" s="70" t="str">
        <f t="shared" ca="1" si="2"/>
        <v/>
      </c>
    </row>
    <row r="133" spans="16:16" x14ac:dyDescent="0.25">
      <c r="P133" s="70" t="str">
        <f t="shared" ca="1" si="2"/>
        <v/>
      </c>
    </row>
    <row r="134" spans="16:16" x14ac:dyDescent="0.25">
      <c r="P134" s="70" t="str">
        <f t="shared" ca="1" si="2"/>
        <v/>
      </c>
    </row>
    <row r="135" spans="16:16" x14ac:dyDescent="0.25">
      <c r="P135" s="70" t="str">
        <f t="shared" ca="1" si="2"/>
        <v/>
      </c>
    </row>
    <row r="136" spans="16:16" x14ac:dyDescent="0.25">
      <c r="P136" s="70" t="str">
        <f t="shared" ca="1" si="2"/>
        <v/>
      </c>
    </row>
    <row r="137" spans="16:16" x14ac:dyDescent="0.25">
      <c r="P137" s="70" t="str">
        <f t="shared" ca="1" si="2"/>
        <v/>
      </c>
    </row>
    <row r="138" spans="16:16" x14ac:dyDescent="0.25">
      <c r="P138" s="70" t="str">
        <f t="shared" ca="1" si="2"/>
        <v/>
      </c>
    </row>
    <row r="139" spans="16:16" x14ac:dyDescent="0.25">
      <c r="P139" s="70" t="str">
        <f t="shared" ca="1" si="2"/>
        <v/>
      </c>
    </row>
    <row r="140" spans="16:16" x14ac:dyDescent="0.25">
      <c r="P140" s="70" t="str">
        <f t="shared" ca="1" si="2"/>
        <v/>
      </c>
    </row>
    <row r="141" spans="16:16" x14ac:dyDescent="0.25">
      <c r="P141" s="70" t="str">
        <f t="shared" ca="1" si="2"/>
        <v/>
      </c>
    </row>
    <row r="142" spans="16:16" x14ac:dyDescent="0.25">
      <c r="P142" s="70" t="str">
        <f t="shared" ca="1" si="2"/>
        <v/>
      </c>
    </row>
    <row r="143" spans="16:16" x14ac:dyDescent="0.25">
      <c r="P143" s="70" t="str">
        <f t="shared" ca="1" si="2"/>
        <v/>
      </c>
    </row>
    <row r="144" spans="16:16" x14ac:dyDescent="0.25">
      <c r="P144" s="70" t="str">
        <f t="shared" ca="1" si="2"/>
        <v/>
      </c>
    </row>
    <row r="145" spans="16:16" x14ac:dyDescent="0.25">
      <c r="P145" s="70" t="str">
        <f t="shared" ca="1" si="2"/>
        <v/>
      </c>
    </row>
    <row r="146" spans="16:16" x14ac:dyDescent="0.25">
      <c r="P146" s="70" t="str">
        <f t="shared" ca="1" si="2"/>
        <v/>
      </c>
    </row>
    <row r="147" spans="16:16" x14ac:dyDescent="0.25">
      <c r="P147" s="70" t="str">
        <f t="shared" ca="1" si="2"/>
        <v/>
      </c>
    </row>
    <row r="148" spans="16:16" x14ac:dyDescent="0.25">
      <c r="P148" s="70" t="str">
        <f t="shared" ca="1" si="2"/>
        <v/>
      </c>
    </row>
    <row r="149" spans="16:16" x14ac:dyDescent="0.25">
      <c r="P149" s="70" t="str">
        <f t="shared" ca="1" si="2"/>
        <v/>
      </c>
    </row>
    <row r="150" spans="16:16" x14ac:dyDescent="0.25">
      <c r="P150" s="70" t="str">
        <f t="shared" ca="1" si="2"/>
        <v/>
      </c>
    </row>
    <row r="151" spans="16:16" x14ac:dyDescent="0.25">
      <c r="P151" s="70" t="str">
        <f t="shared" ca="1" si="2"/>
        <v/>
      </c>
    </row>
    <row r="152" spans="16:16" x14ac:dyDescent="0.25">
      <c r="P152" s="70" t="str">
        <f t="shared" ca="1" si="2"/>
        <v/>
      </c>
    </row>
    <row r="153" spans="16:16" x14ac:dyDescent="0.25">
      <c r="P153" s="70" t="str">
        <f t="shared" ca="1" si="2"/>
        <v/>
      </c>
    </row>
    <row r="154" spans="16:16" x14ac:dyDescent="0.25">
      <c r="P154" s="70" t="str">
        <f t="shared" ca="1" si="2"/>
        <v/>
      </c>
    </row>
    <row r="155" spans="16:16" x14ac:dyDescent="0.25">
      <c r="P155" s="70" t="str">
        <f t="shared" ca="1" si="2"/>
        <v/>
      </c>
    </row>
    <row r="156" spans="16:16" x14ac:dyDescent="0.25">
      <c r="P156" s="70" t="str">
        <f t="shared" ca="1" si="2"/>
        <v/>
      </c>
    </row>
    <row r="157" spans="16:16" x14ac:dyDescent="0.25">
      <c r="P157" s="70" t="str">
        <f t="shared" ca="1" si="2"/>
        <v/>
      </c>
    </row>
    <row r="158" spans="16:16" x14ac:dyDescent="0.25">
      <c r="P158" s="70" t="str">
        <f t="shared" ca="1" si="2"/>
        <v/>
      </c>
    </row>
    <row r="159" spans="16:16" x14ac:dyDescent="0.25">
      <c r="P159" s="70" t="str">
        <f t="shared" ca="1" si="2"/>
        <v/>
      </c>
    </row>
    <row r="160" spans="16:16" x14ac:dyDescent="0.25">
      <c r="P160" s="70" t="str">
        <f t="shared" ca="1" si="2"/>
        <v/>
      </c>
    </row>
    <row r="161" spans="16:16" x14ac:dyDescent="0.25">
      <c r="P161" s="70" t="str">
        <f t="shared" ca="1" si="2"/>
        <v/>
      </c>
    </row>
    <row r="162" spans="16:16" x14ac:dyDescent="0.25">
      <c r="P162" s="70" t="str">
        <f t="shared" ca="1" si="2"/>
        <v/>
      </c>
    </row>
    <row r="163" spans="16:16" x14ac:dyDescent="0.25">
      <c r="P163" s="70" t="str">
        <f t="shared" ca="1" si="2"/>
        <v/>
      </c>
    </row>
    <row r="164" spans="16:16" x14ac:dyDescent="0.25">
      <c r="P164" s="70" t="str">
        <f t="shared" ca="1" si="2"/>
        <v/>
      </c>
    </row>
    <row r="165" spans="16:16" x14ac:dyDescent="0.25">
      <c r="P165" s="70" t="str">
        <f t="shared" ca="1" si="2"/>
        <v/>
      </c>
    </row>
    <row r="166" spans="16:16" x14ac:dyDescent="0.25">
      <c r="P166" s="70" t="str">
        <f t="shared" ca="1" si="2"/>
        <v/>
      </c>
    </row>
    <row r="167" spans="16:16" x14ac:dyDescent="0.25">
      <c r="P167" s="70" t="str">
        <f t="shared" ca="1" si="2"/>
        <v/>
      </c>
    </row>
    <row r="168" spans="16:16" x14ac:dyDescent="0.25">
      <c r="P168" s="70" t="str">
        <f t="shared" ca="1" si="2"/>
        <v/>
      </c>
    </row>
    <row r="169" spans="16:16" x14ac:dyDescent="0.25">
      <c r="P169" s="70" t="str">
        <f t="shared" ca="1" si="2"/>
        <v/>
      </c>
    </row>
    <row r="170" spans="16:16" x14ac:dyDescent="0.25">
      <c r="P170" s="70" t="str">
        <f t="shared" ca="1" si="2"/>
        <v/>
      </c>
    </row>
    <row r="171" spans="16:16" x14ac:dyDescent="0.25">
      <c r="P171" s="70" t="str">
        <f t="shared" ca="1" si="2"/>
        <v/>
      </c>
    </row>
    <row r="172" spans="16:16" x14ac:dyDescent="0.25">
      <c r="P172" s="70" t="str">
        <f t="shared" ca="1" si="2"/>
        <v/>
      </c>
    </row>
    <row r="173" spans="16:16" x14ac:dyDescent="0.25">
      <c r="P173" s="70" t="str">
        <f t="shared" ca="1" si="2"/>
        <v/>
      </c>
    </row>
    <row r="174" spans="16:16" x14ac:dyDescent="0.25">
      <c r="P174" s="70" t="str">
        <f t="shared" ca="1" si="2"/>
        <v/>
      </c>
    </row>
    <row r="175" spans="16:16" x14ac:dyDescent="0.25">
      <c r="P175" s="70" t="str">
        <f t="shared" ca="1" si="2"/>
        <v/>
      </c>
    </row>
    <row r="176" spans="16:16" x14ac:dyDescent="0.25">
      <c r="P176" s="70" t="str">
        <f t="shared" ca="1" si="2"/>
        <v/>
      </c>
    </row>
    <row r="177" spans="16:16" x14ac:dyDescent="0.25">
      <c r="P177" s="70" t="str">
        <f t="shared" ca="1" si="2"/>
        <v/>
      </c>
    </row>
    <row r="178" spans="16:16" x14ac:dyDescent="0.25">
      <c r="P178" s="70" t="str">
        <f t="shared" ca="1" si="2"/>
        <v/>
      </c>
    </row>
    <row r="179" spans="16:16" x14ac:dyDescent="0.25">
      <c r="P179" s="70" t="str">
        <f t="shared" ca="1" si="2"/>
        <v/>
      </c>
    </row>
    <row r="180" spans="16:16" x14ac:dyDescent="0.25">
      <c r="P180" s="70" t="str">
        <f t="shared" ca="1" si="2"/>
        <v/>
      </c>
    </row>
    <row r="181" spans="16:16" x14ac:dyDescent="0.25">
      <c r="P181" s="70" t="str">
        <f t="shared" ca="1" si="2"/>
        <v/>
      </c>
    </row>
    <row r="182" spans="16:16" x14ac:dyDescent="0.25">
      <c r="P182" s="70" t="str">
        <f t="shared" ca="1" si="2"/>
        <v/>
      </c>
    </row>
    <row r="183" spans="16:16" x14ac:dyDescent="0.25">
      <c r="P183" s="70" t="str">
        <f t="shared" ca="1" si="2"/>
        <v/>
      </c>
    </row>
    <row r="184" spans="16:16" x14ac:dyDescent="0.25">
      <c r="P184" s="70" t="str">
        <f t="shared" ca="1" si="2"/>
        <v/>
      </c>
    </row>
    <row r="185" spans="16:16" x14ac:dyDescent="0.25">
      <c r="P185" s="70" t="str">
        <f t="shared" ca="1" si="2"/>
        <v/>
      </c>
    </row>
    <row r="186" spans="16:16" x14ac:dyDescent="0.25">
      <c r="P186" s="70" t="str">
        <f t="shared" ca="1" si="2"/>
        <v/>
      </c>
    </row>
    <row r="187" spans="16:16" x14ac:dyDescent="0.25">
      <c r="P187" s="70" t="str">
        <f t="shared" ca="1" si="2"/>
        <v/>
      </c>
    </row>
    <row r="188" spans="16:16" x14ac:dyDescent="0.25">
      <c r="P188" s="70" t="str">
        <f t="shared" ca="1" si="2"/>
        <v/>
      </c>
    </row>
    <row r="189" spans="16:16" x14ac:dyDescent="0.25">
      <c r="P189" s="70" t="str">
        <f t="shared" ca="1" si="2"/>
        <v/>
      </c>
    </row>
    <row r="190" spans="16:16" x14ac:dyDescent="0.25">
      <c r="P190" s="70" t="str">
        <f t="shared" ca="1" si="2"/>
        <v/>
      </c>
    </row>
    <row r="191" spans="16:16" x14ac:dyDescent="0.25">
      <c r="P191" s="70" t="str">
        <f t="shared" ca="1" si="2"/>
        <v/>
      </c>
    </row>
    <row r="192" spans="16:16" x14ac:dyDescent="0.25">
      <c r="P192" s="70" t="str">
        <f t="shared" ca="1" si="2"/>
        <v/>
      </c>
    </row>
    <row r="193" spans="16:16" x14ac:dyDescent="0.25">
      <c r="P193" s="70" t="str">
        <f t="shared" ca="1" si="2"/>
        <v/>
      </c>
    </row>
    <row r="194" spans="16:16" x14ac:dyDescent="0.25">
      <c r="P194" s="70" t="str">
        <f t="shared" ca="1" si="2"/>
        <v/>
      </c>
    </row>
    <row r="195" spans="16:16" x14ac:dyDescent="0.25">
      <c r="P195" s="70" t="str">
        <f t="shared" ref="P195:P258" ca="1" si="3">IFERROR(SheetNames(ROW()-1),"")</f>
        <v/>
      </c>
    </row>
    <row r="196" spans="16:16" x14ac:dyDescent="0.25">
      <c r="P196" s="70" t="str">
        <f t="shared" ca="1" si="3"/>
        <v/>
      </c>
    </row>
    <row r="197" spans="16:16" x14ac:dyDescent="0.25">
      <c r="P197" s="70" t="str">
        <f t="shared" ca="1" si="3"/>
        <v/>
      </c>
    </row>
    <row r="198" spans="16:16" x14ac:dyDescent="0.25">
      <c r="P198" s="70" t="str">
        <f t="shared" ca="1" si="3"/>
        <v/>
      </c>
    </row>
    <row r="199" spans="16:16" x14ac:dyDescent="0.25">
      <c r="P199" s="70" t="str">
        <f t="shared" ca="1" si="3"/>
        <v/>
      </c>
    </row>
    <row r="200" spans="16:16" x14ac:dyDescent="0.25">
      <c r="P200" s="70" t="str">
        <f t="shared" ca="1" si="3"/>
        <v/>
      </c>
    </row>
    <row r="201" spans="16:16" x14ac:dyDescent="0.25">
      <c r="P201" s="70" t="str">
        <f t="shared" ca="1" si="3"/>
        <v/>
      </c>
    </row>
    <row r="202" spans="16:16" x14ac:dyDescent="0.25">
      <c r="P202" s="70" t="str">
        <f t="shared" ca="1" si="3"/>
        <v/>
      </c>
    </row>
    <row r="203" spans="16:16" x14ac:dyDescent="0.25">
      <c r="P203" s="70" t="str">
        <f t="shared" ca="1" si="3"/>
        <v/>
      </c>
    </row>
    <row r="204" spans="16:16" x14ac:dyDescent="0.25">
      <c r="P204" s="70" t="str">
        <f t="shared" ca="1" si="3"/>
        <v/>
      </c>
    </row>
    <row r="205" spans="16:16" x14ac:dyDescent="0.25">
      <c r="P205" s="70" t="str">
        <f t="shared" ca="1" si="3"/>
        <v/>
      </c>
    </row>
    <row r="206" spans="16:16" x14ac:dyDescent="0.25">
      <c r="P206" s="70" t="str">
        <f t="shared" ca="1" si="3"/>
        <v/>
      </c>
    </row>
    <row r="207" spans="16:16" x14ac:dyDescent="0.25">
      <c r="P207" s="70" t="str">
        <f t="shared" ca="1" si="3"/>
        <v/>
      </c>
    </row>
    <row r="208" spans="16:16" x14ac:dyDescent="0.25">
      <c r="P208" s="70" t="str">
        <f t="shared" ca="1" si="3"/>
        <v/>
      </c>
    </row>
    <row r="209" spans="16:16" x14ac:dyDescent="0.25">
      <c r="P209" s="70" t="str">
        <f t="shared" ca="1" si="3"/>
        <v/>
      </c>
    </row>
    <row r="210" spans="16:16" x14ac:dyDescent="0.25">
      <c r="P210" s="70" t="str">
        <f t="shared" ca="1" si="3"/>
        <v/>
      </c>
    </row>
    <row r="211" spans="16:16" x14ac:dyDescent="0.25">
      <c r="P211" s="70" t="str">
        <f t="shared" ca="1" si="3"/>
        <v/>
      </c>
    </row>
    <row r="212" spans="16:16" x14ac:dyDescent="0.25">
      <c r="P212" s="70" t="str">
        <f t="shared" ca="1" si="3"/>
        <v/>
      </c>
    </row>
    <row r="213" spans="16:16" x14ac:dyDescent="0.25">
      <c r="P213" s="70" t="str">
        <f t="shared" ca="1" si="3"/>
        <v/>
      </c>
    </row>
    <row r="214" spans="16:16" x14ac:dyDescent="0.25">
      <c r="P214" s="70" t="str">
        <f t="shared" ca="1" si="3"/>
        <v/>
      </c>
    </row>
    <row r="215" spans="16:16" x14ac:dyDescent="0.25">
      <c r="P215" s="70" t="str">
        <f t="shared" ca="1" si="3"/>
        <v/>
      </c>
    </row>
    <row r="216" spans="16:16" x14ac:dyDescent="0.25">
      <c r="P216" s="70" t="str">
        <f t="shared" ca="1" si="3"/>
        <v/>
      </c>
    </row>
    <row r="217" spans="16:16" x14ac:dyDescent="0.25">
      <c r="P217" s="70" t="str">
        <f t="shared" ca="1" si="3"/>
        <v/>
      </c>
    </row>
    <row r="218" spans="16:16" x14ac:dyDescent="0.25">
      <c r="P218" s="70" t="str">
        <f t="shared" ca="1" si="3"/>
        <v/>
      </c>
    </row>
    <row r="219" spans="16:16" x14ac:dyDescent="0.25">
      <c r="P219" s="70" t="str">
        <f t="shared" ca="1" si="3"/>
        <v/>
      </c>
    </row>
    <row r="220" spans="16:16" x14ac:dyDescent="0.25">
      <c r="P220" s="70" t="str">
        <f t="shared" ca="1" si="3"/>
        <v/>
      </c>
    </row>
    <row r="221" spans="16:16" x14ac:dyDescent="0.25">
      <c r="P221" s="70" t="str">
        <f t="shared" ca="1" si="3"/>
        <v/>
      </c>
    </row>
    <row r="222" spans="16:16" x14ac:dyDescent="0.25">
      <c r="P222" s="70" t="str">
        <f t="shared" ca="1" si="3"/>
        <v/>
      </c>
    </row>
    <row r="223" spans="16:16" x14ac:dyDescent="0.25">
      <c r="P223" s="70" t="str">
        <f t="shared" ca="1" si="3"/>
        <v/>
      </c>
    </row>
    <row r="224" spans="16:16" x14ac:dyDescent="0.25">
      <c r="P224" s="70" t="str">
        <f t="shared" ca="1" si="3"/>
        <v/>
      </c>
    </row>
    <row r="225" spans="16:16" x14ac:dyDescent="0.25">
      <c r="P225" s="70" t="str">
        <f t="shared" ca="1" si="3"/>
        <v/>
      </c>
    </row>
    <row r="226" spans="16:16" x14ac:dyDescent="0.25">
      <c r="P226" s="70" t="str">
        <f t="shared" ca="1" si="3"/>
        <v/>
      </c>
    </row>
    <row r="227" spans="16:16" x14ac:dyDescent="0.25">
      <c r="P227" s="70" t="str">
        <f t="shared" ca="1" si="3"/>
        <v/>
      </c>
    </row>
    <row r="228" spans="16:16" x14ac:dyDescent="0.25">
      <c r="P228" s="70" t="str">
        <f t="shared" ca="1" si="3"/>
        <v/>
      </c>
    </row>
    <row r="229" spans="16:16" x14ac:dyDescent="0.25">
      <c r="P229" s="70" t="str">
        <f t="shared" ca="1" si="3"/>
        <v/>
      </c>
    </row>
    <row r="230" spans="16:16" x14ac:dyDescent="0.25">
      <c r="P230" s="70" t="str">
        <f t="shared" ca="1" si="3"/>
        <v/>
      </c>
    </row>
    <row r="231" spans="16:16" x14ac:dyDescent="0.25">
      <c r="P231" s="70" t="str">
        <f t="shared" ca="1" si="3"/>
        <v/>
      </c>
    </row>
    <row r="232" spans="16:16" x14ac:dyDescent="0.25">
      <c r="P232" s="70" t="str">
        <f t="shared" ca="1" si="3"/>
        <v/>
      </c>
    </row>
    <row r="233" spans="16:16" x14ac:dyDescent="0.25">
      <c r="P233" s="70" t="str">
        <f t="shared" ca="1" si="3"/>
        <v/>
      </c>
    </row>
    <row r="234" spans="16:16" x14ac:dyDescent="0.25">
      <c r="P234" s="70" t="str">
        <f t="shared" ca="1" si="3"/>
        <v/>
      </c>
    </row>
    <row r="235" spans="16:16" x14ac:dyDescent="0.25">
      <c r="P235" s="70" t="str">
        <f t="shared" ca="1" si="3"/>
        <v/>
      </c>
    </row>
    <row r="236" spans="16:16" x14ac:dyDescent="0.25">
      <c r="P236" s="70" t="str">
        <f t="shared" ca="1" si="3"/>
        <v/>
      </c>
    </row>
    <row r="237" spans="16:16" x14ac:dyDescent="0.25">
      <c r="P237" s="70" t="str">
        <f t="shared" ca="1" si="3"/>
        <v/>
      </c>
    </row>
    <row r="238" spans="16:16" x14ac:dyDescent="0.25">
      <c r="P238" s="70" t="str">
        <f t="shared" ca="1" si="3"/>
        <v/>
      </c>
    </row>
    <row r="239" spans="16:16" x14ac:dyDescent="0.25">
      <c r="P239" s="70" t="str">
        <f t="shared" ca="1" si="3"/>
        <v/>
      </c>
    </row>
    <row r="240" spans="16:16" x14ac:dyDescent="0.25">
      <c r="P240" s="70" t="str">
        <f t="shared" ca="1" si="3"/>
        <v/>
      </c>
    </row>
    <row r="241" spans="16:16" x14ac:dyDescent="0.25">
      <c r="P241" s="70" t="str">
        <f t="shared" ca="1" si="3"/>
        <v/>
      </c>
    </row>
    <row r="242" spans="16:16" x14ac:dyDescent="0.25">
      <c r="P242" s="70" t="str">
        <f t="shared" ca="1" si="3"/>
        <v/>
      </c>
    </row>
    <row r="243" spans="16:16" x14ac:dyDescent="0.25">
      <c r="P243" s="70" t="str">
        <f t="shared" ca="1" si="3"/>
        <v/>
      </c>
    </row>
    <row r="244" spans="16:16" x14ac:dyDescent="0.25">
      <c r="P244" s="70" t="str">
        <f t="shared" ca="1" si="3"/>
        <v/>
      </c>
    </row>
    <row r="245" spans="16:16" x14ac:dyDescent="0.25">
      <c r="P245" s="70" t="str">
        <f t="shared" ca="1" si="3"/>
        <v/>
      </c>
    </row>
    <row r="246" spans="16:16" x14ac:dyDescent="0.25">
      <c r="P246" s="70" t="str">
        <f t="shared" ca="1" si="3"/>
        <v/>
      </c>
    </row>
    <row r="247" spans="16:16" x14ac:dyDescent="0.25">
      <c r="P247" s="70" t="str">
        <f t="shared" ca="1" si="3"/>
        <v/>
      </c>
    </row>
    <row r="248" spans="16:16" x14ac:dyDescent="0.25">
      <c r="P248" s="70" t="str">
        <f t="shared" ca="1" si="3"/>
        <v/>
      </c>
    </row>
    <row r="249" spans="16:16" x14ac:dyDescent="0.25">
      <c r="P249" s="70" t="str">
        <f t="shared" ca="1" si="3"/>
        <v/>
      </c>
    </row>
    <row r="250" spans="16:16" x14ac:dyDescent="0.25">
      <c r="P250" s="70" t="str">
        <f t="shared" ca="1" si="3"/>
        <v/>
      </c>
    </row>
    <row r="251" spans="16:16" x14ac:dyDescent="0.25">
      <c r="P251" s="70" t="str">
        <f t="shared" ca="1" si="3"/>
        <v/>
      </c>
    </row>
    <row r="252" spans="16:16" x14ac:dyDescent="0.25">
      <c r="P252" s="70" t="str">
        <f t="shared" ca="1" si="3"/>
        <v/>
      </c>
    </row>
    <row r="253" spans="16:16" x14ac:dyDescent="0.25">
      <c r="P253" s="70" t="str">
        <f t="shared" ca="1" si="3"/>
        <v/>
      </c>
    </row>
    <row r="254" spans="16:16" x14ac:dyDescent="0.25">
      <c r="P254" s="70" t="str">
        <f t="shared" ca="1" si="3"/>
        <v/>
      </c>
    </row>
    <row r="255" spans="16:16" x14ac:dyDescent="0.25">
      <c r="P255" s="70" t="str">
        <f t="shared" ca="1" si="3"/>
        <v/>
      </c>
    </row>
    <row r="256" spans="16:16" x14ac:dyDescent="0.25">
      <c r="P256" s="70" t="str">
        <f t="shared" ca="1" si="3"/>
        <v/>
      </c>
    </row>
    <row r="257" spans="16:16" x14ac:dyDescent="0.25">
      <c r="P257" s="70" t="str">
        <f t="shared" ca="1" si="3"/>
        <v/>
      </c>
    </row>
    <row r="258" spans="16:16" x14ac:dyDescent="0.25">
      <c r="P258" s="70" t="str">
        <f t="shared" ca="1" si="3"/>
        <v/>
      </c>
    </row>
    <row r="259" spans="16:16" x14ac:dyDescent="0.25">
      <c r="P259" s="70" t="str">
        <f t="shared" ref="P259:P322" ca="1" si="4">IFERROR(SheetNames(ROW()-1),"")</f>
        <v/>
      </c>
    </row>
    <row r="260" spans="16:16" x14ac:dyDescent="0.25">
      <c r="P260" s="70" t="str">
        <f t="shared" ca="1" si="4"/>
        <v/>
      </c>
    </row>
    <row r="261" spans="16:16" x14ac:dyDescent="0.25">
      <c r="P261" s="70" t="str">
        <f t="shared" ca="1" si="4"/>
        <v/>
      </c>
    </row>
    <row r="262" spans="16:16" x14ac:dyDescent="0.25">
      <c r="P262" s="70" t="str">
        <f t="shared" ca="1" si="4"/>
        <v/>
      </c>
    </row>
    <row r="263" spans="16:16" x14ac:dyDescent="0.25">
      <c r="P263" s="70" t="str">
        <f t="shared" ca="1" si="4"/>
        <v/>
      </c>
    </row>
    <row r="264" spans="16:16" x14ac:dyDescent="0.25">
      <c r="P264" s="70" t="str">
        <f t="shared" ca="1" si="4"/>
        <v/>
      </c>
    </row>
    <row r="265" spans="16:16" x14ac:dyDescent="0.25">
      <c r="P265" s="70" t="str">
        <f t="shared" ca="1" si="4"/>
        <v/>
      </c>
    </row>
    <row r="266" spans="16:16" x14ac:dyDescent="0.25">
      <c r="P266" s="70" t="str">
        <f t="shared" ca="1" si="4"/>
        <v/>
      </c>
    </row>
    <row r="267" spans="16:16" x14ac:dyDescent="0.25">
      <c r="P267" s="70" t="str">
        <f t="shared" ca="1" si="4"/>
        <v/>
      </c>
    </row>
    <row r="268" spans="16:16" x14ac:dyDescent="0.25">
      <c r="P268" s="70" t="str">
        <f t="shared" ca="1" si="4"/>
        <v/>
      </c>
    </row>
    <row r="269" spans="16:16" x14ac:dyDescent="0.25">
      <c r="P269" s="70" t="str">
        <f t="shared" ca="1" si="4"/>
        <v/>
      </c>
    </row>
    <row r="270" spans="16:16" x14ac:dyDescent="0.25">
      <c r="P270" s="70" t="str">
        <f t="shared" ca="1" si="4"/>
        <v/>
      </c>
    </row>
    <row r="271" spans="16:16" x14ac:dyDescent="0.25">
      <c r="P271" s="70" t="str">
        <f t="shared" ca="1" si="4"/>
        <v/>
      </c>
    </row>
    <row r="272" spans="16:16" x14ac:dyDescent="0.25">
      <c r="P272" s="70" t="str">
        <f t="shared" ca="1" si="4"/>
        <v/>
      </c>
    </row>
    <row r="273" spans="16:16" x14ac:dyDescent="0.25">
      <c r="P273" s="70" t="str">
        <f t="shared" ca="1" si="4"/>
        <v/>
      </c>
    </row>
    <row r="274" spans="16:16" x14ac:dyDescent="0.25">
      <c r="P274" s="70" t="str">
        <f t="shared" ca="1" si="4"/>
        <v/>
      </c>
    </row>
    <row r="275" spans="16:16" x14ac:dyDescent="0.25">
      <c r="P275" s="70" t="str">
        <f t="shared" ca="1" si="4"/>
        <v/>
      </c>
    </row>
    <row r="276" spans="16:16" x14ac:dyDescent="0.25">
      <c r="P276" s="70" t="str">
        <f t="shared" ca="1" si="4"/>
        <v/>
      </c>
    </row>
    <row r="277" spans="16:16" x14ac:dyDescent="0.25">
      <c r="P277" s="70" t="str">
        <f t="shared" ca="1" si="4"/>
        <v/>
      </c>
    </row>
    <row r="278" spans="16:16" x14ac:dyDescent="0.25">
      <c r="P278" s="70" t="str">
        <f t="shared" ca="1" si="4"/>
        <v/>
      </c>
    </row>
    <row r="279" spans="16:16" x14ac:dyDescent="0.25">
      <c r="P279" s="70" t="str">
        <f t="shared" ca="1" si="4"/>
        <v/>
      </c>
    </row>
    <row r="280" spans="16:16" x14ac:dyDescent="0.25">
      <c r="P280" s="70" t="str">
        <f t="shared" ca="1" si="4"/>
        <v/>
      </c>
    </row>
    <row r="281" spans="16:16" x14ac:dyDescent="0.25">
      <c r="P281" s="70" t="str">
        <f t="shared" ca="1" si="4"/>
        <v/>
      </c>
    </row>
    <row r="282" spans="16:16" x14ac:dyDescent="0.25">
      <c r="P282" s="70" t="str">
        <f t="shared" ca="1" si="4"/>
        <v/>
      </c>
    </row>
    <row r="283" spans="16:16" x14ac:dyDescent="0.25">
      <c r="P283" s="70" t="str">
        <f t="shared" ca="1" si="4"/>
        <v/>
      </c>
    </row>
    <row r="284" spans="16:16" x14ac:dyDescent="0.25">
      <c r="P284" s="70" t="str">
        <f t="shared" ca="1" si="4"/>
        <v/>
      </c>
    </row>
    <row r="285" spans="16:16" x14ac:dyDescent="0.25">
      <c r="P285" s="70" t="str">
        <f t="shared" ca="1" si="4"/>
        <v/>
      </c>
    </row>
    <row r="286" spans="16:16" x14ac:dyDescent="0.25">
      <c r="P286" s="70" t="str">
        <f t="shared" ca="1" si="4"/>
        <v/>
      </c>
    </row>
    <row r="287" spans="16:16" x14ac:dyDescent="0.25">
      <c r="P287" s="70" t="str">
        <f t="shared" ca="1" si="4"/>
        <v/>
      </c>
    </row>
    <row r="288" spans="16:16" x14ac:dyDescent="0.25">
      <c r="P288" s="70" t="str">
        <f t="shared" ca="1" si="4"/>
        <v/>
      </c>
    </row>
    <row r="289" spans="16:16" x14ac:dyDescent="0.25">
      <c r="P289" s="70" t="str">
        <f t="shared" ca="1" si="4"/>
        <v/>
      </c>
    </row>
    <row r="290" spans="16:16" x14ac:dyDescent="0.25">
      <c r="P290" s="70" t="str">
        <f t="shared" ca="1" si="4"/>
        <v/>
      </c>
    </row>
    <row r="291" spans="16:16" x14ac:dyDescent="0.25">
      <c r="P291" s="70" t="str">
        <f t="shared" ca="1" si="4"/>
        <v/>
      </c>
    </row>
    <row r="292" spans="16:16" x14ac:dyDescent="0.25">
      <c r="P292" s="70" t="str">
        <f t="shared" ca="1" si="4"/>
        <v/>
      </c>
    </row>
    <row r="293" spans="16:16" x14ac:dyDescent="0.25">
      <c r="P293" s="70" t="str">
        <f t="shared" ca="1" si="4"/>
        <v/>
      </c>
    </row>
    <row r="294" spans="16:16" x14ac:dyDescent="0.25">
      <c r="P294" s="70" t="str">
        <f t="shared" ca="1" si="4"/>
        <v/>
      </c>
    </row>
    <row r="295" spans="16:16" x14ac:dyDescent="0.25">
      <c r="P295" s="70" t="str">
        <f t="shared" ca="1" si="4"/>
        <v/>
      </c>
    </row>
    <row r="296" spans="16:16" x14ac:dyDescent="0.25">
      <c r="P296" s="70" t="str">
        <f t="shared" ca="1" si="4"/>
        <v/>
      </c>
    </row>
    <row r="297" spans="16:16" x14ac:dyDescent="0.25">
      <c r="P297" s="70" t="str">
        <f t="shared" ca="1" si="4"/>
        <v/>
      </c>
    </row>
    <row r="298" spans="16:16" x14ac:dyDescent="0.25">
      <c r="P298" s="70" t="str">
        <f t="shared" ca="1" si="4"/>
        <v/>
      </c>
    </row>
    <row r="299" spans="16:16" x14ac:dyDescent="0.25">
      <c r="P299" s="70" t="str">
        <f t="shared" ca="1" si="4"/>
        <v/>
      </c>
    </row>
    <row r="300" spans="16:16" x14ac:dyDescent="0.25">
      <c r="P300" s="70" t="str">
        <f t="shared" ca="1" si="4"/>
        <v/>
      </c>
    </row>
    <row r="301" spans="16:16" x14ac:dyDescent="0.25">
      <c r="P301" s="70" t="str">
        <f t="shared" ca="1" si="4"/>
        <v/>
      </c>
    </row>
    <row r="302" spans="16:16" x14ac:dyDescent="0.25">
      <c r="P302" s="70" t="str">
        <f t="shared" ca="1" si="4"/>
        <v/>
      </c>
    </row>
    <row r="303" spans="16:16" x14ac:dyDescent="0.25">
      <c r="P303" s="70" t="str">
        <f t="shared" ca="1" si="4"/>
        <v/>
      </c>
    </row>
    <row r="304" spans="16:16" x14ac:dyDescent="0.25">
      <c r="P304" s="70" t="str">
        <f t="shared" ca="1" si="4"/>
        <v/>
      </c>
    </row>
    <row r="305" spans="16:16" x14ac:dyDescent="0.25">
      <c r="P305" s="70" t="str">
        <f t="shared" ca="1" si="4"/>
        <v/>
      </c>
    </row>
    <row r="306" spans="16:16" x14ac:dyDescent="0.25">
      <c r="P306" s="70" t="str">
        <f t="shared" ca="1" si="4"/>
        <v/>
      </c>
    </row>
    <row r="307" spans="16:16" x14ac:dyDescent="0.25">
      <c r="P307" s="70" t="str">
        <f t="shared" ca="1" si="4"/>
        <v/>
      </c>
    </row>
    <row r="308" spans="16:16" x14ac:dyDescent="0.25">
      <c r="P308" s="70" t="str">
        <f t="shared" ca="1" si="4"/>
        <v/>
      </c>
    </row>
    <row r="309" spans="16:16" x14ac:dyDescent="0.25">
      <c r="P309" s="70" t="str">
        <f t="shared" ca="1" si="4"/>
        <v/>
      </c>
    </row>
    <row r="310" spans="16:16" x14ac:dyDescent="0.25">
      <c r="P310" s="70" t="str">
        <f t="shared" ca="1" si="4"/>
        <v/>
      </c>
    </row>
    <row r="311" spans="16:16" x14ac:dyDescent="0.25">
      <c r="P311" s="70" t="str">
        <f t="shared" ca="1" si="4"/>
        <v/>
      </c>
    </row>
    <row r="312" spans="16:16" x14ac:dyDescent="0.25">
      <c r="P312" s="70" t="str">
        <f t="shared" ca="1" si="4"/>
        <v/>
      </c>
    </row>
    <row r="313" spans="16:16" x14ac:dyDescent="0.25">
      <c r="P313" s="70" t="str">
        <f t="shared" ca="1" si="4"/>
        <v/>
      </c>
    </row>
    <row r="314" spans="16:16" x14ac:dyDescent="0.25">
      <c r="P314" s="70" t="str">
        <f t="shared" ca="1" si="4"/>
        <v/>
      </c>
    </row>
    <row r="315" spans="16:16" x14ac:dyDescent="0.25">
      <c r="P315" s="70" t="str">
        <f t="shared" ca="1" si="4"/>
        <v/>
      </c>
    </row>
    <row r="316" spans="16:16" x14ac:dyDescent="0.25">
      <c r="P316" s="70" t="str">
        <f t="shared" ca="1" si="4"/>
        <v/>
      </c>
    </row>
    <row r="317" spans="16:16" x14ac:dyDescent="0.25">
      <c r="P317" s="70" t="str">
        <f t="shared" ca="1" si="4"/>
        <v/>
      </c>
    </row>
    <row r="318" spans="16:16" x14ac:dyDescent="0.25">
      <c r="P318" s="70" t="str">
        <f t="shared" ca="1" si="4"/>
        <v/>
      </c>
    </row>
    <row r="319" spans="16:16" x14ac:dyDescent="0.25">
      <c r="P319" s="70" t="str">
        <f t="shared" ca="1" si="4"/>
        <v/>
      </c>
    </row>
    <row r="320" spans="16:16" x14ac:dyDescent="0.25">
      <c r="P320" s="70" t="str">
        <f t="shared" ca="1" si="4"/>
        <v/>
      </c>
    </row>
    <row r="321" spans="16:16" x14ac:dyDescent="0.25">
      <c r="P321" s="70" t="str">
        <f t="shared" ca="1" si="4"/>
        <v/>
      </c>
    </row>
    <row r="322" spans="16:16" x14ac:dyDescent="0.25">
      <c r="P322" s="70" t="str">
        <f t="shared" ca="1" si="4"/>
        <v/>
      </c>
    </row>
    <row r="323" spans="16:16" x14ac:dyDescent="0.25">
      <c r="P323" s="70" t="str">
        <f t="shared" ref="P323:P386" ca="1" si="5">IFERROR(SheetNames(ROW()-1),"")</f>
        <v/>
      </c>
    </row>
    <row r="324" spans="16:16" x14ac:dyDescent="0.25">
      <c r="P324" s="70" t="str">
        <f t="shared" ca="1" si="5"/>
        <v/>
      </c>
    </row>
    <row r="325" spans="16:16" x14ac:dyDescent="0.25">
      <c r="P325" s="70" t="str">
        <f t="shared" ca="1" si="5"/>
        <v/>
      </c>
    </row>
    <row r="326" spans="16:16" x14ac:dyDescent="0.25">
      <c r="P326" s="70" t="str">
        <f t="shared" ca="1" si="5"/>
        <v/>
      </c>
    </row>
    <row r="327" spans="16:16" x14ac:dyDescent="0.25">
      <c r="P327" s="70" t="str">
        <f t="shared" ca="1" si="5"/>
        <v/>
      </c>
    </row>
    <row r="328" spans="16:16" x14ac:dyDescent="0.25">
      <c r="P328" s="70" t="str">
        <f t="shared" ca="1" si="5"/>
        <v/>
      </c>
    </row>
    <row r="329" spans="16:16" x14ac:dyDescent="0.25">
      <c r="P329" s="70" t="str">
        <f t="shared" ca="1" si="5"/>
        <v/>
      </c>
    </row>
    <row r="330" spans="16:16" x14ac:dyDescent="0.25">
      <c r="P330" s="70" t="str">
        <f t="shared" ca="1" si="5"/>
        <v/>
      </c>
    </row>
    <row r="331" spans="16:16" x14ac:dyDescent="0.25">
      <c r="P331" s="70" t="str">
        <f t="shared" ca="1" si="5"/>
        <v/>
      </c>
    </row>
    <row r="332" spans="16:16" x14ac:dyDescent="0.25">
      <c r="P332" s="70" t="str">
        <f t="shared" ca="1" si="5"/>
        <v/>
      </c>
    </row>
    <row r="333" spans="16:16" x14ac:dyDescent="0.25">
      <c r="P333" s="70" t="str">
        <f t="shared" ca="1" si="5"/>
        <v/>
      </c>
    </row>
    <row r="334" spans="16:16" x14ac:dyDescent="0.25">
      <c r="P334" s="70" t="str">
        <f t="shared" ca="1" si="5"/>
        <v/>
      </c>
    </row>
    <row r="335" spans="16:16" x14ac:dyDescent="0.25">
      <c r="P335" s="70" t="str">
        <f t="shared" ca="1" si="5"/>
        <v/>
      </c>
    </row>
    <row r="336" spans="16:16" x14ac:dyDescent="0.25">
      <c r="P336" s="70" t="str">
        <f t="shared" ca="1" si="5"/>
        <v/>
      </c>
    </row>
    <row r="337" spans="16:16" x14ac:dyDescent="0.25">
      <c r="P337" s="70" t="str">
        <f t="shared" ca="1" si="5"/>
        <v/>
      </c>
    </row>
    <row r="338" spans="16:16" x14ac:dyDescent="0.25">
      <c r="P338" s="70" t="str">
        <f t="shared" ca="1" si="5"/>
        <v/>
      </c>
    </row>
    <row r="339" spans="16:16" x14ac:dyDescent="0.25">
      <c r="P339" s="70" t="str">
        <f t="shared" ca="1" si="5"/>
        <v/>
      </c>
    </row>
    <row r="340" spans="16:16" x14ac:dyDescent="0.25">
      <c r="P340" s="70" t="str">
        <f t="shared" ca="1" si="5"/>
        <v/>
      </c>
    </row>
    <row r="341" spans="16:16" x14ac:dyDescent="0.25">
      <c r="P341" s="70" t="str">
        <f t="shared" ca="1" si="5"/>
        <v/>
      </c>
    </row>
    <row r="342" spans="16:16" x14ac:dyDescent="0.25">
      <c r="P342" s="70" t="str">
        <f t="shared" ca="1" si="5"/>
        <v/>
      </c>
    </row>
    <row r="343" spans="16:16" x14ac:dyDescent="0.25">
      <c r="P343" s="70" t="str">
        <f t="shared" ca="1" si="5"/>
        <v/>
      </c>
    </row>
    <row r="344" spans="16:16" x14ac:dyDescent="0.25">
      <c r="P344" s="70" t="str">
        <f t="shared" ca="1" si="5"/>
        <v/>
      </c>
    </row>
    <row r="345" spans="16:16" x14ac:dyDescent="0.25">
      <c r="P345" s="70" t="str">
        <f t="shared" ca="1" si="5"/>
        <v/>
      </c>
    </row>
    <row r="346" spans="16:16" x14ac:dyDescent="0.25">
      <c r="P346" s="70" t="str">
        <f t="shared" ca="1" si="5"/>
        <v/>
      </c>
    </row>
    <row r="347" spans="16:16" x14ac:dyDescent="0.25">
      <c r="P347" s="70" t="str">
        <f t="shared" ca="1" si="5"/>
        <v/>
      </c>
    </row>
    <row r="348" spans="16:16" x14ac:dyDescent="0.25">
      <c r="P348" s="70" t="str">
        <f t="shared" ca="1" si="5"/>
        <v/>
      </c>
    </row>
    <row r="349" spans="16:16" x14ac:dyDescent="0.25">
      <c r="P349" s="70" t="str">
        <f t="shared" ca="1" si="5"/>
        <v/>
      </c>
    </row>
    <row r="350" spans="16:16" x14ac:dyDescent="0.25">
      <c r="P350" s="70" t="str">
        <f t="shared" ca="1" si="5"/>
        <v/>
      </c>
    </row>
    <row r="351" spans="16:16" x14ac:dyDescent="0.25">
      <c r="P351" s="70" t="str">
        <f t="shared" ca="1" si="5"/>
        <v/>
      </c>
    </row>
    <row r="352" spans="16:16" x14ac:dyDescent="0.25">
      <c r="P352" s="70" t="str">
        <f t="shared" ca="1" si="5"/>
        <v/>
      </c>
    </row>
    <row r="353" spans="16:16" x14ac:dyDescent="0.25">
      <c r="P353" s="70" t="str">
        <f t="shared" ca="1" si="5"/>
        <v/>
      </c>
    </row>
    <row r="354" spans="16:16" x14ac:dyDescent="0.25">
      <c r="P354" s="70" t="str">
        <f t="shared" ca="1" si="5"/>
        <v/>
      </c>
    </row>
    <row r="355" spans="16:16" x14ac:dyDescent="0.25">
      <c r="P355" s="70" t="str">
        <f t="shared" ca="1" si="5"/>
        <v/>
      </c>
    </row>
    <row r="356" spans="16:16" x14ac:dyDescent="0.25">
      <c r="P356" s="70" t="str">
        <f t="shared" ca="1" si="5"/>
        <v/>
      </c>
    </row>
    <row r="357" spans="16:16" x14ac:dyDescent="0.25">
      <c r="P357" s="70" t="str">
        <f t="shared" ca="1" si="5"/>
        <v/>
      </c>
    </row>
    <row r="358" spans="16:16" x14ac:dyDescent="0.25">
      <c r="P358" s="70" t="str">
        <f t="shared" ca="1" si="5"/>
        <v/>
      </c>
    </row>
    <row r="359" spans="16:16" x14ac:dyDescent="0.25">
      <c r="P359" s="70" t="str">
        <f t="shared" ca="1" si="5"/>
        <v/>
      </c>
    </row>
    <row r="360" spans="16:16" x14ac:dyDescent="0.25">
      <c r="P360" s="70" t="str">
        <f t="shared" ca="1" si="5"/>
        <v/>
      </c>
    </row>
    <row r="361" spans="16:16" x14ac:dyDescent="0.25">
      <c r="P361" s="70" t="str">
        <f t="shared" ca="1" si="5"/>
        <v/>
      </c>
    </row>
    <row r="362" spans="16:16" x14ac:dyDescent="0.25">
      <c r="P362" s="70" t="str">
        <f t="shared" ca="1" si="5"/>
        <v/>
      </c>
    </row>
    <row r="363" spans="16:16" x14ac:dyDescent="0.25">
      <c r="P363" s="70" t="str">
        <f t="shared" ca="1" si="5"/>
        <v/>
      </c>
    </row>
    <row r="364" spans="16:16" x14ac:dyDescent="0.25">
      <c r="P364" s="70" t="str">
        <f t="shared" ca="1" si="5"/>
        <v/>
      </c>
    </row>
    <row r="365" spans="16:16" x14ac:dyDescent="0.25">
      <c r="P365" s="70" t="str">
        <f t="shared" ca="1" si="5"/>
        <v/>
      </c>
    </row>
    <row r="366" spans="16:16" x14ac:dyDescent="0.25">
      <c r="P366" s="70" t="str">
        <f t="shared" ca="1" si="5"/>
        <v/>
      </c>
    </row>
    <row r="367" spans="16:16" x14ac:dyDescent="0.25">
      <c r="P367" s="70" t="str">
        <f t="shared" ca="1" si="5"/>
        <v/>
      </c>
    </row>
    <row r="368" spans="16:16" x14ac:dyDescent="0.25">
      <c r="P368" s="70" t="str">
        <f t="shared" ca="1" si="5"/>
        <v/>
      </c>
    </row>
    <row r="369" spans="16:16" x14ac:dyDescent="0.25">
      <c r="P369" s="70" t="str">
        <f t="shared" ca="1" si="5"/>
        <v/>
      </c>
    </row>
    <row r="370" spans="16:16" x14ac:dyDescent="0.25">
      <c r="P370" s="70" t="str">
        <f t="shared" ca="1" si="5"/>
        <v/>
      </c>
    </row>
    <row r="371" spans="16:16" x14ac:dyDescent="0.25">
      <c r="P371" s="70" t="str">
        <f t="shared" ca="1" si="5"/>
        <v/>
      </c>
    </row>
    <row r="372" spans="16:16" x14ac:dyDescent="0.25">
      <c r="P372" s="70" t="str">
        <f t="shared" ca="1" si="5"/>
        <v/>
      </c>
    </row>
    <row r="373" spans="16:16" x14ac:dyDescent="0.25">
      <c r="P373" s="70" t="str">
        <f t="shared" ca="1" si="5"/>
        <v/>
      </c>
    </row>
    <row r="374" spans="16:16" x14ac:dyDescent="0.25">
      <c r="P374" s="70" t="str">
        <f t="shared" ca="1" si="5"/>
        <v/>
      </c>
    </row>
    <row r="375" spans="16:16" x14ac:dyDescent="0.25">
      <c r="P375" s="70" t="str">
        <f t="shared" ca="1" si="5"/>
        <v/>
      </c>
    </row>
    <row r="376" spans="16:16" x14ac:dyDescent="0.25">
      <c r="P376" s="70" t="str">
        <f t="shared" ca="1" si="5"/>
        <v/>
      </c>
    </row>
    <row r="377" spans="16:16" x14ac:dyDescent="0.25">
      <c r="P377" s="70" t="str">
        <f t="shared" ca="1" si="5"/>
        <v/>
      </c>
    </row>
    <row r="378" spans="16:16" x14ac:dyDescent="0.25">
      <c r="P378" s="70" t="str">
        <f t="shared" ca="1" si="5"/>
        <v/>
      </c>
    </row>
    <row r="379" spans="16:16" x14ac:dyDescent="0.25">
      <c r="P379" s="70" t="str">
        <f t="shared" ca="1" si="5"/>
        <v/>
      </c>
    </row>
    <row r="380" spans="16:16" x14ac:dyDescent="0.25">
      <c r="P380" s="70" t="str">
        <f t="shared" ca="1" si="5"/>
        <v/>
      </c>
    </row>
    <row r="381" spans="16:16" x14ac:dyDescent="0.25">
      <c r="P381" s="70" t="str">
        <f t="shared" ca="1" si="5"/>
        <v/>
      </c>
    </row>
    <row r="382" spans="16:16" x14ac:dyDescent="0.25">
      <c r="P382" s="70" t="str">
        <f t="shared" ca="1" si="5"/>
        <v/>
      </c>
    </row>
    <row r="383" spans="16:16" x14ac:dyDescent="0.25">
      <c r="P383" s="70" t="str">
        <f t="shared" ca="1" si="5"/>
        <v/>
      </c>
    </row>
    <row r="384" spans="16:16" x14ac:dyDescent="0.25">
      <c r="P384" s="70" t="str">
        <f t="shared" ca="1" si="5"/>
        <v/>
      </c>
    </row>
    <row r="385" spans="16:16" x14ac:dyDescent="0.25">
      <c r="P385" s="70" t="str">
        <f t="shared" ca="1" si="5"/>
        <v/>
      </c>
    </row>
    <row r="386" spans="16:16" x14ac:dyDescent="0.25">
      <c r="P386" s="70" t="str">
        <f t="shared" ca="1" si="5"/>
        <v/>
      </c>
    </row>
    <row r="387" spans="16:16" x14ac:dyDescent="0.25">
      <c r="P387" s="70" t="str">
        <f t="shared" ref="P387:P450" ca="1" si="6">IFERROR(SheetNames(ROW()-1),"")</f>
        <v/>
      </c>
    </row>
    <row r="388" spans="16:16" x14ac:dyDescent="0.25">
      <c r="P388" s="70" t="str">
        <f t="shared" ca="1" si="6"/>
        <v/>
      </c>
    </row>
    <row r="389" spans="16:16" x14ac:dyDescent="0.25">
      <c r="P389" s="70" t="str">
        <f t="shared" ca="1" si="6"/>
        <v/>
      </c>
    </row>
    <row r="390" spans="16:16" x14ac:dyDescent="0.25">
      <c r="P390" s="70" t="str">
        <f t="shared" ca="1" si="6"/>
        <v/>
      </c>
    </row>
    <row r="391" spans="16:16" x14ac:dyDescent="0.25">
      <c r="P391" s="70" t="str">
        <f t="shared" ca="1" si="6"/>
        <v/>
      </c>
    </row>
    <row r="392" spans="16:16" x14ac:dyDescent="0.25">
      <c r="P392" s="70" t="str">
        <f t="shared" ca="1" si="6"/>
        <v/>
      </c>
    </row>
    <row r="393" spans="16:16" x14ac:dyDescent="0.25">
      <c r="P393" s="70" t="str">
        <f t="shared" ca="1" si="6"/>
        <v/>
      </c>
    </row>
    <row r="394" spans="16:16" x14ac:dyDescent="0.25">
      <c r="P394" s="70" t="str">
        <f t="shared" ca="1" si="6"/>
        <v/>
      </c>
    </row>
    <row r="395" spans="16:16" x14ac:dyDescent="0.25">
      <c r="P395" s="70" t="str">
        <f t="shared" ca="1" si="6"/>
        <v/>
      </c>
    </row>
    <row r="396" spans="16:16" x14ac:dyDescent="0.25">
      <c r="P396" s="70" t="str">
        <f t="shared" ca="1" si="6"/>
        <v/>
      </c>
    </row>
    <row r="397" spans="16:16" x14ac:dyDescent="0.25">
      <c r="P397" s="70" t="str">
        <f t="shared" ca="1" si="6"/>
        <v/>
      </c>
    </row>
    <row r="398" spans="16:16" x14ac:dyDescent="0.25">
      <c r="P398" s="70" t="str">
        <f t="shared" ca="1" si="6"/>
        <v/>
      </c>
    </row>
    <row r="399" spans="16:16" x14ac:dyDescent="0.25">
      <c r="P399" s="70" t="str">
        <f t="shared" ca="1" si="6"/>
        <v/>
      </c>
    </row>
    <row r="400" spans="16:16" x14ac:dyDescent="0.25">
      <c r="P400" s="70" t="str">
        <f t="shared" ca="1" si="6"/>
        <v/>
      </c>
    </row>
    <row r="401" spans="16:16" x14ac:dyDescent="0.25">
      <c r="P401" s="70" t="str">
        <f t="shared" ca="1" si="6"/>
        <v/>
      </c>
    </row>
    <row r="402" spans="16:16" x14ac:dyDescent="0.25">
      <c r="P402" s="70" t="str">
        <f t="shared" ca="1" si="6"/>
        <v/>
      </c>
    </row>
    <row r="403" spans="16:16" x14ac:dyDescent="0.25">
      <c r="P403" s="70" t="str">
        <f t="shared" ca="1" si="6"/>
        <v/>
      </c>
    </row>
    <row r="404" spans="16:16" x14ac:dyDescent="0.25">
      <c r="P404" s="70" t="str">
        <f t="shared" ca="1" si="6"/>
        <v/>
      </c>
    </row>
    <row r="405" spans="16:16" x14ac:dyDescent="0.25">
      <c r="P405" s="70" t="str">
        <f t="shared" ca="1" si="6"/>
        <v/>
      </c>
    </row>
    <row r="406" spans="16:16" x14ac:dyDescent="0.25">
      <c r="P406" s="70" t="str">
        <f t="shared" ca="1" si="6"/>
        <v/>
      </c>
    </row>
    <row r="407" spans="16:16" x14ac:dyDescent="0.25">
      <c r="P407" s="70" t="str">
        <f t="shared" ca="1" si="6"/>
        <v/>
      </c>
    </row>
    <row r="408" spans="16:16" x14ac:dyDescent="0.25">
      <c r="P408" s="70" t="str">
        <f t="shared" ca="1" si="6"/>
        <v/>
      </c>
    </row>
    <row r="409" spans="16:16" x14ac:dyDescent="0.25">
      <c r="P409" s="70" t="str">
        <f t="shared" ca="1" si="6"/>
        <v/>
      </c>
    </row>
    <row r="410" spans="16:16" x14ac:dyDescent="0.25">
      <c r="P410" s="70" t="str">
        <f t="shared" ca="1" si="6"/>
        <v/>
      </c>
    </row>
    <row r="411" spans="16:16" x14ac:dyDescent="0.25">
      <c r="P411" s="70" t="str">
        <f t="shared" ca="1" si="6"/>
        <v/>
      </c>
    </row>
    <row r="412" spans="16:16" x14ac:dyDescent="0.25">
      <c r="P412" s="70" t="str">
        <f t="shared" ca="1" si="6"/>
        <v/>
      </c>
    </row>
    <row r="413" spans="16:16" x14ac:dyDescent="0.25">
      <c r="P413" s="70" t="str">
        <f t="shared" ca="1" si="6"/>
        <v/>
      </c>
    </row>
    <row r="414" spans="16:16" x14ac:dyDescent="0.25">
      <c r="P414" s="70" t="str">
        <f t="shared" ca="1" si="6"/>
        <v/>
      </c>
    </row>
    <row r="415" spans="16:16" x14ac:dyDescent="0.25">
      <c r="P415" s="70" t="str">
        <f t="shared" ca="1" si="6"/>
        <v/>
      </c>
    </row>
    <row r="416" spans="16:16" x14ac:dyDescent="0.25">
      <c r="P416" s="70" t="str">
        <f t="shared" ca="1" si="6"/>
        <v/>
      </c>
    </row>
    <row r="417" spans="16:16" x14ac:dyDescent="0.25">
      <c r="P417" s="70" t="str">
        <f t="shared" ca="1" si="6"/>
        <v/>
      </c>
    </row>
    <row r="418" spans="16:16" x14ac:dyDescent="0.25">
      <c r="P418" s="70" t="str">
        <f t="shared" ca="1" si="6"/>
        <v/>
      </c>
    </row>
    <row r="419" spans="16:16" x14ac:dyDescent="0.25">
      <c r="P419" s="70" t="str">
        <f t="shared" ca="1" si="6"/>
        <v/>
      </c>
    </row>
    <row r="420" spans="16:16" x14ac:dyDescent="0.25">
      <c r="P420" s="70" t="str">
        <f t="shared" ca="1" si="6"/>
        <v/>
      </c>
    </row>
    <row r="421" spans="16:16" x14ac:dyDescent="0.25">
      <c r="P421" s="70" t="str">
        <f t="shared" ca="1" si="6"/>
        <v/>
      </c>
    </row>
    <row r="422" spans="16:16" x14ac:dyDescent="0.25">
      <c r="P422" s="70" t="str">
        <f t="shared" ca="1" si="6"/>
        <v/>
      </c>
    </row>
    <row r="423" spans="16:16" x14ac:dyDescent="0.25">
      <c r="P423" s="70" t="str">
        <f t="shared" ca="1" si="6"/>
        <v/>
      </c>
    </row>
    <row r="424" spans="16:16" x14ac:dyDescent="0.25">
      <c r="P424" s="70" t="str">
        <f t="shared" ca="1" si="6"/>
        <v/>
      </c>
    </row>
    <row r="425" spans="16:16" x14ac:dyDescent="0.25">
      <c r="P425" s="70" t="str">
        <f t="shared" ca="1" si="6"/>
        <v/>
      </c>
    </row>
    <row r="426" spans="16:16" x14ac:dyDescent="0.25">
      <c r="P426" s="70" t="str">
        <f t="shared" ca="1" si="6"/>
        <v/>
      </c>
    </row>
    <row r="427" spans="16:16" x14ac:dyDescent="0.25">
      <c r="P427" s="70" t="str">
        <f t="shared" ca="1" si="6"/>
        <v/>
      </c>
    </row>
    <row r="428" spans="16:16" x14ac:dyDescent="0.25">
      <c r="P428" s="70" t="str">
        <f t="shared" ca="1" si="6"/>
        <v/>
      </c>
    </row>
    <row r="429" spans="16:16" x14ac:dyDescent="0.25">
      <c r="P429" s="70" t="str">
        <f t="shared" ca="1" si="6"/>
        <v/>
      </c>
    </row>
    <row r="430" spans="16:16" x14ac:dyDescent="0.25">
      <c r="P430" s="70" t="str">
        <f t="shared" ca="1" si="6"/>
        <v/>
      </c>
    </row>
    <row r="431" spans="16:16" x14ac:dyDescent="0.25">
      <c r="P431" s="70" t="str">
        <f t="shared" ca="1" si="6"/>
        <v/>
      </c>
    </row>
    <row r="432" spans="16:16" x14ac:dyDescent="0.25">
      <c r="P432" s="70" t="str">
        <f t="shared" ca="1" si="6"/>
        <v/>
      </c>
    </row>
    <row r="433" spans="16:16" x14ac:dyDescent="0.25">
      <c r="P433" s="70" t="str">
        <f t="shared" ca="1" si="6"/>
        <v/>
      </c>
    </row>
    <row r="434" spans="16:16" x14ac:dyDescent="0.25">
      <c r="P434" s="70" t="str">
        <f t="shared" ca="1" si="6"/>
        <v/>
      </c>
    </row>
    <row r="435" spans="16:16" x14ac:dyDescent="0.25">
      <c r="P435" s="70" t="str">
        <f t="shared" ca="1" si="6"/>
        <v/>
      </c>
    </row>
    <row r="436" spans="16:16" x14ac:dyDescent="0.25">
      <c r="P436" s="70" t="str">
        <f t="shared" ca="1" si="6"/>
        <v/>
      </c>
    </row>
    <row r="437" spans="16:16" x14ac:dyDescent="0.25">
      <c r="P437" s="70" t="str">
        <f t="shared" ca="1" si="6"/>
        <v/>
      </c>
    </row>
    <row r="438" spans="16:16" x14ac:dyDescent="0.25">
      <c r="P438" s="70" t="str">
        <f t="shared" ca="1" si="6"/>
        <v/>
      </c>
    </row>
    <row r="439" spans="16:16" x14ac:dyDescent="0.25">
      <c r="P439" s="70" t="str">
        <f t="shared" ca="1" si="6"/>
        <v/>
      </c>
    </row>
    <row r="440" spans="16:16" x14ac:dyDescent="0.25">
      <c r="P440" s="70" t="str">
        <f t="shared" ca="1" si="6"/>
        <v/>
      </c>
    </row>
    <row r="441" spans="16:16" x14ac:dyDescent="0.25">
      <c r="P441" s="70" t="str">
        <f t="shared" ca="1" si="6"/>
        <v/>
      </c>
    </row>
    <row r="442" spans="16:16" x14ac:dyDescent="0.25">
      <c r="P442" s="70" t="str">
        <f t="shared" ca="1" si="6"/>
        <v/>
      </c>
    </row>
    <row r="443" spans="16:16" x14ac:dyDescent="0.25">
      <c r="P443" s="70" t="str">
        <f t="shared" ca="1" si="6"/>
        <v/>
      </c>
    </row>
    <row r="444" spans="16:16" x14ac:dyDescent="0.25">
      <c r="P444" s="70" t="str">
        <f t="shared" ca="1" si="6"/>
        <v/>
      </c>
    </row>
    <row r="445" spans="16:16" x14ac:dyDescent="0.25">
      <c r="P445" s="70" t="str">
        <f t="shared" ca="1" si="6"/>
        <v/>
      </c>
    </row>
    <row r="446" spans="16:16" x14ac:dyDescent="0.25">
      <c r="P446" s="70" t="str">
        <f t="shared" ca="1" si="6"/>
        <v/>
      </c>
    </row>
    <row r="447" spans="16:16" x14ac:dyDescent="0.25">
      <c r="P447" s="70" t="str">
        <f t="shared" ca="1" si="6"/>
        <v/>
      </c>
    </row>
    <row r="448" spans="16:16" x14ac:dyDescent="0.25">
      <c r="P448" s="70" t="str">
        <f t="shared" ca="1" si="6"/>
        <v/>
      </c>
    </row>
    <row r="449" spans="16:16" x14ac:dyDescent="0.25">
      <c r="P449" s="70" t="str">
        <f t="shared" ca="1" si="6"/>
        <v/>
      </c>
    </row>
    <row r="450" spans="16:16" x14ac:dyDescent="0.25">
      <c r="P450" s="70" t="str">
        <f t="shared" ca="1" si="6"/>
        <v/>
      </c>
    </row>
    <row r="451" spans="16:16" x14ac:dyDescent="0.25">
      <c r="P451" s="70" t="str">
        <f t="shared" ref="P451:P501" ca="1" si="7">IFERROR(SheetNames(ROW()-1),"")</f>
        <v/>
      </c>
    </row>
    <row r="452" spans="16:16" x14ac:dyDescent="0.25">
      <c r="P452" s="70" t="str">
        <f t="shared" ca="1" si="7"/>
        <v/>
      </c>
    </row>
    <row r="453" spans="16:16" x14ac:dyDescent="0.25">
      <c r="P453" s="70" t="str">
        <f t="shared" ca="1" si="7"/>
        <v/>
      </c>
    </row>
    <row r="454" spans="16:16" x14ac:dyDescent="0.25">
      <c r="P454" s="70" t="str">
        <f t="shared" ca="1" si="7"/>
        <v/>
      </c>
    </row>
    <row r="455" spans="16:16" x14ac:dyDescent="0.25">
      <c r="P455" s="70" t="str">
        <f t="shared" ca="1" si="7"/>
        <v/>
      </c>
    </row>
    <row r="456" spans="16:16" x14ac:dyDescent="0.25">
      <c r="P456" s="70" t="str">
        <f t="shared" ca="1" si="7"/>
        <v/>
      </c>
    </row>
    <row r="457" spans="16:16" x14ac:dyDescent="0.25">
      <c r="P457" s="70" t="str">
        <f t="shared" ca="1" si="7"/>
        <v/>
      </c>
    </row>
    <row r="458" spans="16:16" x14ac:dyDescent="0.25">
      <c r="P458" s="70" t="str">
        <f t="shared" ca="1" si="7"/>
        <v/>
      </c>
    </row>
    <row r="459" spans="16:16" x14ac:dyDescent="0.25">
      <c r="P459" s="70" t="str">
        <f t="shared" ca="1" si="7"/>
        <v/>
      </c>
    </row>
    <row r="460" spans="16:16" x14ac:dyDescent="0.25">
      <c r="P460" s="70" t="str">
        <f t="shared" ca="1" si="7"/>
        <v/>
      </c>
    </row>
    <row r="461" spans="16:16" x14ac:dyDescent="0.25">
      <c r="P461" s="70" t="str">
        <f t="shared" ca="1" si="7"/>
        <v/>
      </c>
    </row>
    <row r="462" spans="16:16" x14ac:dyDescent="0.25">
      <c r="P462" s="70" t="str">
        <f t="shared" ca="1" si="7"/>
        <v/>
      </c>
    </row>
    <row r="463" spans="16:16" x14ac:dyDescent="0.25">
      <c r="P463" s="70" t="str">
        <f t="shared" ca="1" si="7"/>
        <v/>
      </c>
    </row>
    <row r="464" spans="16:16" x14ac:dyDescent="0.25">
      <c r="P464" s="70" t="str">
        <f t="shared" ca="1" si="7"/>
        <v/>
      </c>
    </row>
    <row r="465" spans="16:16" x14ac:dyDescent="0.25">
      <c r="P465" s="70" t="str">
        <f t="shared" ca="1" si="7"/>
        <v/>
      </c>
    </row>
    <row r="466" spans="16:16" x14ac:dyDescent="0.25">
      <c r="P466" s="70" t="str">
        <f t="shared" ca="1" si="7"/>
        <v/>
      </c>
    </row>
    <row r="467" spans="16:16" x14ac:dyDescent="0.25">
      <c r="P467" s="70" t="str">
        <f t="shared" ca="1" si="7"/>
        <v/>
      </c>
    </row>
    <row r="468" spans="16:16" x14ac:dyDescent="0.25">
      <c r="P468" s="70" t="str">
        <f t="shared" ca="1" si="7"/>
        <v/>
      </c>
    </row>
    <row r="469" spans="16:16" x14ac:dyDescent="0.25">
      <c r="P469" s="70" t="str">
        <f t="shared" ca="1" si="7"/>
        <v/>
      </c>
    </row>
    <row r="470" spans="16:16" x14ac:dyDescent="0.25">
      <c r="P470" s="70" t="str">
        <f t="shared" ca="1" si="7"/>
        <v/>
      </c>
    </row>
    <row r="471" spans="16:16" x14ac:dyDescent="0.25">
      <c r="P471" s="70" t="str">
        <f t="shared" ca="1" si="7"/>
        <v/>
      </c>
    </row>
    <row r="472" spans="16:16" x14ac:dyDescent="0.25">
      <c r="P472" s="70" t="str">
        <f t="shared" ca="1" si="7"/>
        <v/>
      </c>
    </row>
    <row r="473" spans="16:16" x14ac:dyDescent="0.25">
      <c r="P473" s="70" t="str">
        <f t="shared" ca="1" si="7"/>
        <v/>
      </c>
    </row>
    <row r="474" spans="16:16" x14ac:dyDescent="0.25">
      <c r="P474" s="70" t="str">
        <f t="shared" ca="1" si="7"/>
        <v/>
      </c>
    </row>
    <row r="475" spans="16:16" x14ac:dyDescent="0.25">
      <c r="P475" s="70" t="str">
        <f t="shared" ca="1" si="7"/>
        <v/>
      </c>
    </row>
    <row r="476" spans="16:16" x14ac:dyDescent="0.25">
      <c r="P476" s="70" t="str">
        <f t="shared" ca="1" si="7"/>
        <v/>
      </c>
    </row>
    <row r="477" spans="16:16" x14ac:dyDescent="0.25">
      <c r="P477" s="70" t="str">
        <f t="shared" ca="1" si="7"/>
        <v/>
      </c>
    </row>
    <row r="478" spans="16:16" x14ac:dyDescent="0.25">
      <c r="P478" s="70" t="str">
        <f t="shared" ca="1" si="7"/>
        <v/>
      </c>
    </row>
    <row r="479" spans="16:16" x14ac:dyDescent="0.25">
      <c r="P479" s="70" t="str">
        <f t="shared" ca="1" si="7"/>
        <v/>
      </c>
    </row>
    <row r="480" spans="16:16" x14ac:dyDescent="0.25">
      <c r="P480" s="70" t="str">
        <f t="shared" ca="1" si="7"/>
        <v/>
      </c>
    </row>
    <row r="481" spans="16:16" x14ac:dyDescent="0.25">
      <c r="P481" s="70" t="str">
        <f t="shared" ca="1" si="7"/>
        <v/>
      </c>
    </row>
    <row r="482" spans="16:16" x14ac:dyDescent="0.25">
      <c r="P482" s="70" t="str">
        <f t="shared" ca="1" si="7"/>
        <v/>
      </c>
    </row>
    <row r="483" spans="16:16" x14ac:dyDescent="0.25">
      <c r="P483" s="70" t="str">
        <f t="shared" ca="1" si="7"/>
        <v/>
      </c>
    </row>
    <row r="484" spans="16:16" x14ac:dyDescent="0.25">
      <c r="P484" s="70" t="str">
        <f t="shared" ca="1" si="7"/>
        <v/>
      </c>
    </row>
    <row r="485" spans="16:16" x14ac:dyDescent="0.25">
      <c r="P485" s="70" t="str">
        <f t="shared" ca="1" si="7"/>
        <v/>
      </c>
    </row>
    <row r="486" spans="16:16" x14ac:dyDescent="0.25">
      <c r="P486" s="70" t="str">
        <f t="shared" ca="1" si="7"/>
        <v/>
      </c>
    </row>
    <row r="487" spans="16:16" x14ac:dyDescent="0.25">
      <c r="P487" s="70" t="str">
        <f t="shared" ca="1" si="7"/>
        <v/>
      </c>
    </row>
    <row r="488" spans="16:16" x14ac:dyDescent="0.25">
      <c r="P488" s="70" t="str">
        <f t="shared" ca="1" si="7"/>
        <v/>
      </c>
    </row>
    <row r="489" spans="16:16" x14ac:dyDescent="0.25">
      <c r="P489" s="70" t="str">
        <f t="shared" ca="1" si="7"/>
        <v/>
      </c>
    </row>
    <row r="490" spans="16:16" x14ac:dyDescent="0.25">
      <c r="P490" s="70" t="str">
        <f t="shared" ca="1" si="7"/>
        <v/>
      </c>
    </row>
    <row r="491" spans="16:16" x14ac:dyDescent="0.25">
      <c r="P491" s="70" t="str">
        <f t="shared" ca="1" si="7"/>
        <v/>
      </c>
    </row>
    <row r="492" spans="16:16" x14ac:dyDescent="0.25">
      <c r="P492" s="70" t="str">
        <f t="shared" ca="1" si="7"/>
        <v/>
      </c>
    </row>
    <row r="493" spans="16:16" x14ac:dyDescent="0.25">
      <c r="P493" s="70" t="str">
        <f t="shared" ca="1" si="7"/>
        <v/>
      </c>
    </row>
    <row r="494" spans="16:16" x14ac:dyDescent="0.25">
      <c r="P494" s="70" t="str">
        <f t="shared" ca="1" si="7"/>
        <v/>
      </c>
    </row>
    <row r="495" spans="16:16" x14ac:dyDescent="0.25">
      <c r="P495" s="70" t="str">
        <f t="shared" ca="1" si="7"/>
        <v/>
      </c>
    </row>
    <row r="496" spans="16:16" x14ac:dyDescent="0.25">
      <c r="P496" s="70" t="str">
        <f t="shared" ca="1" si="7"/>
        <v/>
      </c>
    </row>
    <row r="497" spans="16:16" x14ac:dyDescent="0.25">
      <c r="P497" s="70" t="str">
        <f t="shared" ca="1" si="7"/>
        <v/>
      </c>
    </row>
    <row r="498" spans="16:16" x14ac:dyDescent="0.25">
      <c r="P498" s="70" t="str">
        <f t="shared" ca="1" si="7"/>
        <v/>
      </c>
    </row>
    <row r="499" spans="16:16" x14ac:dyDescent="0.25">
      <c r="P499" s="70" t="str">
        <f t="shared" ca="1" si="7"/>
        <v/>
      </c>
    </row>
    <row r="500" spans="16:16" x14ac:dyDescent="0.25">
      <c r="P500" s="70" t="str">
        <f t="shared" ca="1" si="7"/>
        <v/>
      </c>
    </row>
    <row r="501" spans="16:16" x14ac:dyDescent="0.25">
      <c r="P501" s="70" t="str">
        <f t="shared" ca="1" si="7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9E4D3-BBEC-4B89-92F2-6FEBD5283110}">
  <sheetPr codeName="Sheet20">
    <tabColor theme="1" tint="0.499984740745262"/>
    <outlinePr summaryBelow="0" summaryRight="0"/>
  </sheetPr>
  <dimension ref="A1:K14"/>
  <sheetViews>
    <sheetView zoomScale="85" zoomScaleNormal="85" workbookViewId="0">
      <pane ySplit="2" topLeftCell="A3" activePane="bottomLeft" state="frozen"/>
      <selection pane="bottomLeft" activeCell="J1" sqref="J1"/>
    </sheetView>
  </sheetViews>
  <sheetFormatPr defaultRowHeight="15" x14ac:dyDescent="0.25"/>
  <cols>
    <col min="1" max="1" width="7.140625" style="45" bestFit="1" customWidth="1"/>
    <col min="2" max="2" width="6.5703125" style="45" bestFit="1" customWidth="1"/>
    <col min="3" max="3" width="9.140625" style="45"/>
    <col min="4" max="4" width="18.7109375" style="68" customWidth="1"/>
    <col min="5" max="5" width="23.5703125" customWidth="1"/>
    <col min="6" max="6" width="53.85546875" customWidth="1"/>
    <col min="7" max="7" width="23.42578125" style="54" bestFit="1" customWidth="1"/>
  </cols>
  <sheetData>
    <row r="1" spans="1:11" s="72" customFormat="1" x14ac:dyDescent="0.25">
      <c r="A1" s="78" t="s">
        <v>133</v>
      </c>
      <c r="B1" s="78"/>
      <c r="C1" s="78"/>
      <c r="D1" s="78"/>
      <c r="E1" s="78"/>
      <c r="F1" s="79"/>
      <c r="G1" s="71"/>
      <c r="J1" s="77" t="s">
        <v>143</v>
      </c>
      <c r="K1" s="72" t="s">
        <v>142</v>
      </c>
    </row>
    <row r="2" spans="1:11" s="75" customFormat="1" ht="15.75" thickBot="1" x14ac:dyDescent="0.3">
      <c r="A2" s="73" t="s">
        <v>101</v>
      </c>
      <c r="B2" s="73" t="s">
        <v>98</v>
      </c>
      <c r="C2" s="73" t="s">
        <v>128</v>
      </c>
      <c r="D2" s="73" t="s">
        <v>81</v>
      </c>
      <c r="E2" s="73" t="s">
        <v>10</v>
      </c>
      <c r="F2" s="73" t="s">
        <v>11</v>
      </c>
      <c r="G2" s="74" t="s">
        <v>132</v>
      </c>
    </row>
    <row r="3" spans="1:11" s="41" customFormat="1" x14ac:dyDescent="0.25">
      <c r="A3" s="46" t="s">
        <v>104</v>
      </c>
      <c r="B3" s="46"/>
      <c r="C3" s="46"/>
      <c r="D3" s="65" t="s">
        <v>77</v>
      </c>
      <c r="F3" s="41" t="str">
        <f>D3</f>
        <v>Canada</v>
      </c>
      <c r="G3" s="51" t="str">
        <f t="shared" ref="G3:G14" ca="1" si="0">IF(ISNA(MATCH(A3&amp;IF(ISTEXT(B3),"_"&amp;B3,"")&amp;IF(ISTEXT(C3),"_"&amp;C3,""),SheetsInFile,0))=FALSE,A3&amp;IF(ISTEXT(B3),"_"&amp;B3,"")&amp;IF(ISTEXT(C3),"_"&amp;C3,""),"***No sheet in file***")</f>
        <v>CAN</v>
      </c>
    </row>
    <row r="4" spans="1:11" s="42" customFormat="1" x14ac:dyDescent="0.25">
      <c r="A4" s="47" t="s">
        <v>105</v>
      </c>
      <c r="B4" s="47"/>
      <c r="C4" s="47"/>
      <c r="D4" s="66" t="s">
        <v>9</v>
      </c>
      <c r="E4" s="42" t="str">
        <f>$D$3</f>
        <v>Canada</v>
      </c>
      <c r="F4" s="42" t="str">
        <f>E4&amp;"_"&amp;D4</f>
        <v>Canada_Alberta</v>
      </c>
      <c r="G4" s="52" t="str">
        <f t="shared" ca="1" si="0"/>
        <v>AB</v>
      </c>
    </row>
    <row r="5" spans="1:11" s="43" customFormat="1" x14ac:dyDescent="0.25">
      <c r="A5" s="48" t="str">
        <f>$A$4</f>
        <v>AB</v>
      </c>
      <c r="B5" s="48" t="s">
        <v>119</v>
      </c>
      <c r="C5" s="48"/>
      <c r="D5" s="67" t="s">
        <v>0</v>
      </c>
      <c r="E5" s="43" t="str">
        <f>$D$4</f>
        <v>Alberta</v>
      </c>
      <c r="F5" s="43" t="str">
        <f>E5&amp;"_"&amp;D5</f>
        <v>Alberta_Residential</v>
      </c>
      <c r="G5" s="53" t="str">
        <f t="shared" ca="1" si="0"/>
        <v>AB_RES</v>
      </c>
    </row>
    <row r="6" spans="1:11" x14ac:dyDescent="0.25">
      <c r="A6" s="45" t="str">
        <f t="shared" ref="A6:A14" si="1">$A$4</f>
        <v>AB</v>
      </c>
      <c r="B6" s="45" t="str">
        <f>$B$5</f>
        <v>RES</v>
      </c>
      <c r="C6" s="45" t="s">
        <v>121</v>
      </c>
      <c r="D6" s="68" t="s">
        <v>1</v>
      </c>
      <c r="E6" t="str">
        <f>$D$5</f>
        <v>Residential</v>
      </c>
      <c r="F6" t="str">
        <f>$F$5&amp;"_"&amp;D6</f>
        <v>Alberta_Residential_Building</v>
      </c>
      <c r="G6" s="54" t="str">
        <f t="shared" ca="1" si="0"/>
        <v>AB_RES_BLDG</v>
      </c>
    </row>
    <row r="7" spans="1:11" x14ac:dyDescent="0.25">
      <c r="A7" s="45" t="str">
        <f t="shared" si="1"/>
        <v>AB</v>
      </c>
      <c r="B7" s="45" t="str">
        <f t="shared" ref="B7:B9" si="2">$B$5</f>
        <v>RES</v>
      </c>
      <c r="C7" s="45" t="s">
        <v>122</v>
      </c>
      <c r="D7" s="68" t="s">
        <v>42</v>
      </c>
      <c r="E7" t="str">
        <f>$D$5</f>
        <v>Residential</v>
      </c>
      <c r="F7" t="str">
        <f t="shared" ref="F7" si="3">$F$5&amp;"_"&amp;D7</f>
        <v>Alberta_Residential_Furnace</v>
      </c>
      <c r="G7" s="54" t="str">
        <f t="shared" ca="1" si="0"/>
        <v>AB_RES_FURN</v>
      </c>
    </row>
    <row r="8" spans="1:11" x14ac:dyDescent="0.25">
      <c r="A8" s="45" t="str">
        <f t="shared" si="1"/>
        <v>AB</v>
      </c>
      <c r="B8" s="45" t="str">
        <f t="shared" si="2"/>
        <v>RES</v>
      </c>
      <c r="C8" s="45" t="s">
        <v>129</v>
      </c>
      <c r="D8" s="68" t="s">
        <v>2</v>
      </c>
      <c r="E8" t="str">
        <f>$D$6</f>
        <v>Building</v>
      </c>
      <c r="F8" t="str">
        <f>$F$6&amp;"_"&amp;D8</f>
        <v>Alberta_Residential_Building_Shell</v>
      </c>
      <c r="G8" s="54" t="str">
        <f t="shared" ca="1" si="0"/>
        <v>AB_RES_SHELL</v>
      </c>
    </row>
    <row r="9" spans="1:11" x14ac:dyDescent="0.25">
      <c r="A9" s="45" t="str">
        <f t="shared" si="1"/>
        <v>AB</v>
      </c>
      <c r="B9" s="45" t="str">
        <f t="shared" si="2"/>
        <v>RES</v>
      </c>
      <c r="C9" s="45" t="s">
        <v>127</v>
      </c>
      <c r="D9" s="68" t="s">
        <v>113</v>
      </c>
      <c r="E9" t="str">
        <f>$D$8</f>
        <v>Shell</v>
      </c>
      <c r="F9" t="str">
        <f>$F$8&amp;"_"&amp;D9</f>
        <v>Alberta_Residential_Building_Shell_Space Heating</v>
      </c>
      <c r="G9" s="54" t="str">
        <f t="shared" ca="1" si="0"/>
        <v>AB_RES_SPHEAT</v>
      </c>
    </row>
    <row r="10" spans="1:11" s="44" customFormat="1" x14ac:dyDescent="0.25">
      <c r="A10" s="49" t="str">
        <f t="shared" si="1"/>
        <v>AB</v>
      </c>
      <c r="B10" s="49" t="s">
        <v>123</v>
      </c>
      <c r="C10" s="49"/>
      <c r="D10" s="69" t="s">
        <v>4</v>
      </c>
      <c r="E10" s="44" t="str">
        <f>$D$4</f>
        <v>Alberta</v>
      </c>
      <c r="F10" s="44" t="str">
        <f>E10&amp;"_"&amp;D10</f>
        <v>Alberta_Electricity</v>
      </c>
      <c r="G10" s="55" t="str">
        <f t="shared" ca="1" si="0"/>
        <v>AB_ELEC</v>
      </c>
    </row>
    <row r="11" spans="1:11" x14ac:dyDescent="0.25">
      <c r="A11" s="45" t="str">
        <f t="shared" si="1"/>
        <v>AB</v>
      </c>
      <c r="B11" s="45" t="str">
        <f>$B$10</f>
        <v>ELEC</v>
      </c>
      <c r="C11" s="45" t="s">
        <v>120</v>
      </c>
      <c r="D11" s="68" t="s">
        <v>8</v>
      </c>
      <c r="E11" t="s">
        <v>4</v>
      </c>
      <c r="F11" t="str">
        <f>$F$10&amp;"_"&amp;D11</f>
        <v>Alberta_Electricity_Generation</v>
      </c>
      <c r="G11" s="54" t="str">
        <f t="shared" ca="1" si="0"/>
        <v>AB_ELEC_GEN</v>
      </c>
    </row>
    <row r="12" spans="1:11" x14ac:dyDescent="0.25">
      <c r="A12" s="45" t="str">
        <f t="shared" si="1"/>
        <v>AB</v>
      </c>
      <c r="B12" s="45" t="str">
        <f t="shared" ref="B12:B14" si="4">$B$10</f>
        <v>ELEC</v>
      </c>
      <c r="C12" s="45" t="s">
        <v>124</v>
      </c>
      <c r="D12" s="68" t="s">
        <v>6</v>
      </c>
      <c r="E12" t="s">
        <v>8</v>
      </c>
      <c r="F12" t="str">
        <f>$F$11&amp;"_"&amp;D12</f>
        <v>Alberta_Electricity_Generation_Base load</v>
      </c>
      <c r="G12" s="54" t="str">
        <f t="shared" ca="1" si="0"/>
        <v>***No sheet in file***</v>
      </c>
    </row>
    <row r="13" spans="1:11" x14ac:dyDescent="0.25">
      <c r="A13" s="45" t="str">
        <f t="shared" si="1"/>
        <v>AB</v>
      </c>
      <c r="B13" s="45" t="str">
        <f t="shared" si="4"/>
        <v>ELEC</v>
      </c>
      <c r="C13" s="45" t="s">
        <v>125</v>
      </c>
      <c r="D13" s="68" t="s">
        <v>5</v>
      </c>
      <c r="E13" t="s">
        <v>8</v>
      </c>
      <c r="F13" t="str">
        <f t="shared" ref="F13:F14" si="5">$F$11&amp;"_"&amp;D13</f>
        <v>Alberta_Electricity_Generation_Shoulder load</v>
      </c>
      <c r="G13" s="54" t="str">
        <f t="shared" ca="1" si="0"/>
        <v>***No sheet in file***</v>
      </c>
    </row>
    <row r="14" spans="1:11" x14ac:dyDescent="0.25">
      <c r="A14" s="45" t="str">
        <f t="shared" si="1"/>
        <v>AB</v>
      </c>
      <c r="B14" s="45" t="str">
        <f t="shared" si="4"/>
        <v>ELEC</v>
      </c>
      <c r="C14" s="45" t="s">
        <v>126</v>
      </c>
      <c r="D14" s="68" t="s">
        <v>7</v>
      </c>
      <c r="E14" t="s">
        <v>8</v>
      </c>
      <c r="F14" t="str">
        <f t="shared" si="5"/>
        <v>Alberta_Electricity_Generation_Peak load</v>
      </c>
      <c r="G14" s="54" t="str">
        <f t="shared" ca="1" si="0"/>
        <v>***No sheet in file***</v>
      </c>
    </row>
  </sheetData>
  <mergeCells count="1">
    <mergeCell ref="A1:F1"/>
  </mergeCells>
  <conditionalFormatting sqref="G3:G502">
    <cfRule type="cellIs" dxfId="1" priority="1" operator="equal">
      <formula>"***No sheet in file***"</formula>
    </cfRule>
  </conditionalFormatting>
  <dataValidations count="1">
    <dataValidation type="list" allowBlank="1" showInputMessage="1" showErrorMessage="1" sqref="J1" xr:uid="{271A69F7-1458-4453-9CED-2B3FDE690E03}">
      <formula1>"Yes,No"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199EB-96D0-4C95-9295-1DEC222573E8}">
  <sheetPr codeName="Sheet8">
    <tabColor theme="1"/>
    <outlinePr summaryBelow="0" summaryRight="0"/>
  </sheetPr>
  <dimension ref="A1:BC5"/>
  <sheetViews>
    <sheetView zoomScale="85" zoomScaleNormal="85" workbookViewId="0">
      <pane xSplit="4" ySplit="2" topLeftCell="E3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25"/>
  <cols>
    <col min="1" max="1" width="21" bestFit="1" customWidth="1"/>
    <col min="2" max="2" width="21" customWidth="1"/>
    <col min="3" max="4" width="20" bestFit="1" customWidth="1"/>
    <col min="5" max="15" width="10.7109375" customWidth="1"/>
  </cols>
  <sheetData>
    <row r="1" spans="1:55" x14ac:dyDescent="0.25">
      <c r="A1" s="10" t="s">
        <v>80</v>
      </c>
    </row>
    <row r="2" spans="1:55" s="11" customFormat="1" x14ac:dyDescent="0.25">
      <c r="A2" s="11" t="s">
        <v>14</v>
      </c>
      <c r="B2" s="11" t="s">
        <v>87</v>
      </c>
      <c r="C2" s="11" t="s">
        <v>21</v>
      </c>
      <c r="D2" s="11" t="s">
        <v>13</v>
      </c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</row>
    <row r="3" spans="1:55" s="15" customFormat="1" x14ac:dyDescent="0.25">
      <c r="A3" s="15" t="s">
        <v>130</v>
      </c>
      <c r="C3" s="15" t="s">
        <v>15</v>
      </c>
      <c r="E3" s="15">
        <v>2000</v>
      </c>
      <c r="F3" s="15">
        <v>2005</v>
      </c>
      <c r="G3" s="15">
        <v>2010</v>
      </c>
      <c r="H3" s="15">
        <v>2015</v>
      </c>
      <c r="I3" s="15">
        <v>2020</v>
      </c>
      <c r="J3" s="15">
        <v>2025</v>
      </c>
      <c r="K3" s="15">
        <v>2030</v>
      </c>
      <c r="L3" s="15">
        <v>2035</v>
      </c>
      <c r="M3" s="15">
        <v>2040</v>
      </c>
      <c r="N3" s="15">
        <v>2045</v>
      </c>
      <c r="O3" s="15">
        <v>2050</v>
      </c>
    </row>
    <row r="4" spans="1:55" s="16" customFormat="1" x14ac:dyDescent="0.25"/>
    <row r="5" spans="1:55" s="16" customFormat="1" x14ac:dyDescent="0.25"/>
  </sheetData>
  <hyperlinks>
    <hyperlink ref="A1" location="Map!A1" display="Tree Map" xr:uid="{3ED8F35A-9359-476F-9FBE-AB066DD3A4B1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B7661-27A9-4C26-B369-D852A94BD896}">
  <sheetPr codeName="Sheet1">
    <tabColor theme="1"/>
    <outlinePr summaryBelow="0" summaryRight="0"/>
  </sheetPr>
  <dimension ref="A1:Q42"/>
  <sheetViews>
    <sheetView tabSelected="1" topLeftCell="E1" zoomScale="85" zoomScaleNormal="85" workbookViewId="0">
      <selection activeCell="J6" sqref="J6"/>
    </sheetView>
  </sheetViews>
  <sheetFormatPr defaultRowHeight="15" outlineLevelRow="2" outlineLevelCol="1" x14ac:dyDescent="0.25"/>
  <cols>
    <col min="1" max="1" width="9.140625" style="19" hidden="1" customWidth="1" outlineLevel="1" collapsed="1"/>
    <col min="2" max="3" width="9.140625" style="19" hidden="1" customWidth="1" outlineLevel="1"/>
    <col min="4" max="4" width="23.42578125" style="19" hidden="1" customWidth="1" outlineLevel="1"/>
    <col min="5" max="5" width="2.7109375" style="19" customWidth="1"/>
    <col min="6" max="6" width="11.28515625" style="19" bestFit="1" customWidth="1"/>
    <col min="7" max="7" width="2.7109375" style="19" customWidth="1"/>
    <col min="8" max="8" width="7.85546875" style="19" bestFit="1" customWidth="1"/>
    <col min="9" max="9" width="2.7109375" style="19" customWidth="1"/>
    <col min="10" max="10" width="11.85546875" style="19" bestFit="1" customWidth="1"/>
    <col min="11" max="11" width="2.7109375" style="19" customWidth="1"/>
    <col min="12" max="12" width="16.140625" style="19" bestFit="1" customWidth="1"/>
    <col min="13" max="13" width="2.7109375" style="21" customWidth="1"/>
    <col min="14" max="14" width="14.28515625" style="19" bestFit="1" customWidth="1"/>
    <col min="15" max="15" width="2.7109375" style="21" customWidth="1"/>
    <col min="16" max="16" width="14.42578125" style="19" bestFit="1" customWidth="1"/>
    <col min="17" max="16384" width="9.140625" style="19"/>
  </cols>
  <sheetData>
    <row r="1" spans="1:17" x14ac:dyDescent="0.25"/>
    <row r="2" spans="1:17" x14ac:dyDescent="0.25">
      <c r="A2" s="19" t="s">
        <v>104</v>
      </c>
      <c r="D2" s="19" t="s">
        <v>104</v>
      </c>
      <c r="F2" s="56" t="s">
        <v>77</v>
      </c>
      <c r="G2" s="20"/>
      <c r="H2" s="21"/>
      <c r="I2" s="21"/>
    </row>
    <row r="3" spans="1:17" x14ac:dyDescent="0.25">
      <c r="F3" s="22"/>
      <c r="G3" s="23"/>
      <c r="H3" s="21"/>
      <c r="I3" s="21"/>
    </row>
    <row r="4" spans="1:17" x14ac:dyDescent="0.25">
      <c r="A4" s="19" t="str">
        <f>IF(ISTEXT($H4),INDEX(Hierarchy!$A:$A,MATCH($H4,Hierarchy!$D:$D,0)),"")</f>
        <v>AB</v>
      </c>
      <c r="B4" s="19" t="str">
        <f>IF(ISTEXT($J4),INDEX(Hierarchy!$B:$B,MATCH($J4,Hierarchy!$D:$D,0)),"")</f>
        <v/>
      </c>
      <c r="C4" s="19" t="str">
        <f>IF(COUNTA($L4:$Z4)&gt;0,INDEX(Hierarchy!$C:$C,MATCH(LOOKUP(2,1/($L4:$Z4&lt;&gt;""),$L4:$Z4),Hierarchy!$D:$D,0)),"")</f>
        <v/>
      </c>
      <c r="D4" s="19" t="str">
        <f>IF(COUNTA($L4:$Z4)&gt;0,LOOKUP(2,1/($A$1:$A4&lt;&gt;""),$A$1:$A4)&amp;"_"&amp;LOOKUP(2,1/($B$1:$B4&lt;&gt;""),$B$1:$B4)&amp;"_"&amp;C4,IF(ISBLANK(J4)=FALSE,LOOKUP(2,1/($A$1:$A4&lt;&gt;""),$A$1:$A4)&amp;"_"&amp;B4,IF(ISBLANK(H4)=FALSE,A4,"")))</f>
        <v>AB</v>
      </c>
      <c r="G4" s="24"/>
      <c r="H4" s="57" t="s">
        <v>9</v>
      </c>
      <c r="I4" s="25"/>
      <c r="J4" s="21"/>
      <c r="K4" s="21"/>
    </row>
    <row r="5" spans="1:17" outlineLevel="1" x14ac:dyDescent="0.25">
      <c r="A5" s="19" t="str">
        <f>IF(ISTEXT($H5),INDEX(Hierarchy!$A:$A,MATCH($H5,Hierarchy!$D:$D,0)),"")</f>
        <v/>
      </c>
      <c r="B5" s="19" t="str">
        <f>IF(ISTEXT($J5),INDEX(Hierarchy!$B:$B,MATCH($J5,Hierarchy!$D:$D,0)),"")</f>
        <v/>
      </c>
      <c r="C5" s="19" t="str">
        <f>IF(COUNTA($L5:$Z5)&gt;0,INDEX(Hierarchy!$C:$C,MATCH(LOOKUP(2,1/($L5:$Z5&lt;&gt;""),$L5:$Z5),Hierarchy!$D:$D,0)),"")</f>
        <v/>
      </c>
      <c r="D5" s="19" t="str">
        <f>IF(COUNTA($L5:$Z5)&gt;0,LOOKUP(2,1/($A$1:$A5&lt;&gt;""),$A$1:$A5)&amp;"_"&amp;LOOKUP(2,1/($B$1:$B5&lt;&gt;""),$B$1:$B5)&amp;"_"&amp;C5,IF(ISBLANK(J5)=FALSE,LOOKUP(2,1/($A$1:$A5&lt;&gt;""),$A$1:$A5)&amp;"_"&amp;B5,IF(ISBLANK(H5)=FALSE,A5,"")))</f>
        <v/>
      </c>
      <c r="G5" s="21"/>
      <c r="H5" s="26"/>
      <c r="I5" s="27"/>
      <c r="J5" s="21"/>
      <c r="K5" s="21"/>
    </row>
    <row r="6" spans="1:17" outlineLevel="1" x14ac:dyDescent="0.25">
      <c r="A6" s="19" t="str">
        <f>IF(ISTEXT($H6),INDEX(Hierarchy!$A:$A,MATCH($H6,Hierarchy!$D:$D,0)),"")</f>
        <v/>
      </c>
      <c r="B6" s="19" t="str">
        <f>IF(ISTEXT($J6),INDEX(Hierarchy!$B:$B,MATCH($J6,Hierarchy!$D:$D,0)),"")</f>
        <v>RES</v>
      </c>
      <c r="C6" s="19" t="str">
        <f>IF(COUNTA($L6:$Z6)&gt;0,INDEX(Hierarchy!$C:$C,MATCH(LOOKUP(2,1/($L6:$Z6&lt;&gt;""),$L6:$Z6),Hierarchy!$D:$D,0)),"")</f>
        <v/>
      </c>
      <c r="D6" s="19" t="str">
        <f>IF(COUNTA($L6:$Z6)&gt;0,LOOKUP(2,1/($A$1:$A6&lt;&gt;""),$A$1:$A6)&amp;"_"&amp;LOOKUP(2,1/($B$1:$B6&lt;&gt;""),$B$1:$B6)&amp;"_"&amp;C6,IF(ISBLANK(J6)=FALSE,LOOKUP(2,1/($A$1:$A6&lt;&gt;""),$A$1:$A6)&amp;"_"&amp;B6,IF(ISBLANK(H6)=FALSE,A6,"")))</f>
        <v>AB_RES</v>
      </c>
      <c r="G6" s="21"/>
      <c r="H6" s="21"/>
      <c r="I6" s="28"/>
      <c r="J6" s="58" t="s">
        <v>0</v>
      </c>
      <c r="K6" s="20"/>
      <c r="L6" s="21"/>
      <c r="M6" s="22"/>
      <c r="O6" s="22"/>
    </row>
    <row r="7" spans="1:17" outlineLevel="2" x14ac:dyDescent="0.25">
      <c r="A7" s="19" t="str">
        <f>IF(ISTEXT($H7),INDEX(Hierarchy!$A:$A,MATCH($H7,Hierarchy!$D:$D,0)),"")</f>
        <v/>
      </c>
      <c r="B7" s="19" t="str">
        <f>IF(ISTEXT($J7),INDEX(Hierarchy!$B:$B,MATCH($J7,Hierarchy!$D:$D,0)),"")</f>
        <v/>
      </c>
      <c r="C7" s="19" t="str">
        <f>IF(COUNTA($L7:$Z7)&gt;0,INDEX(Hierarchy!$C:$C,MATCH(LOOKUP(2,1/($L7:$Z7&lt;&gt;""),$L7:$Z7),Hierarchy!$D:$D,0)),"")</f>
        <v/>
      </c>
      <c r="D7" s="19" t="str">
        <f>IF(COUNTA($L7:$Z7)&gt;0,LOOKUP(2,1/($A$1:$A7&lt;&gt;""),$A$1:$A7)&amp;"_"&amp;LOOKUP(2,1/($B$1:$B7&lt;&gt;""),$B$1:$B7)&amp;"_"&amp;C7,IF(ISBLANK(J7)=FALSE,LOOKUP(2,1/($A$1:$A7&lt;&gt;""),$A$1:$A7)&amp;"_"&amp;B7,IF(ISBLANK(H7)=FALSE,A7,"")))</f>
        <v/>
      </c>
      <c r="G7" s="21"/>
      <c r="H7" s="21"/>
      <c r="I7" s="28"/>
      <c r="J7" s="22"/>
      <c r="K7" s="23"/>
      <c r="L7" s="21"/>
      <c r="M7" s="22"/>
      <c r="O7" s="22"/>
    </row>
    <row r="8" spans="1:17" outlineLevel="2" x14ac:dyDescent="0.25">
      <c r="A8" s="19" t="str">
        <f>IF(ISTEXT($H8),INDEX(Hierarchy!$A:$A,MATCH($H8,Hierarchy!$D:$D,0)),"")</f>
        <v/>
      </c>
      <c r="B8" s="19" t="str">
        <f>IF(ISTEXT($J8),INDEX(Hierarchy!$B:$B,MATCH($J8,Hierarchy!$D:$D,0)),"")</f>
        <v/>
      </c>
      <c r="C8" s="19" t="str">
        <f>IF(COUNTA($L8:$Z8)&gt;0,INDEX(Hierarchy!$C:$C,MATCH(LOOKUP(2,1/($L8:$Z8&lt;&gt;""),$L8:$Z8),Hierarchy!$D:$D,0)),"")</f>
        <v>BLDG</v>
      </c>
      <c r="D8" s="19" t="str">
        <f>IF(COUNTA($L8:$Z8)&gt;0,LOOKUP(2,1/($A$1:$A8&lt;&gt;""),$A$1:$A8)&amp;"_"&amp;LOOKUP(2,1/($B$1:$B8&lt;&gt;""),$B$1:$B8)&amp;"_"&amp;C8,IF(ISBLANK(J8)=FALSE,LOOKUP(2,1/($A$1:$A8&lt;&gt;""),$A$1:$A8)&amp;"_"&amp;B8,IF(ISBLANK(H8)=FALSE,A8,"")))</f>
        <v>AB_RES_BLDG</v>
      </c>
      <c r="G8" s="21"/>
      <c r="H8" s="21"/>
      <c r="I8" s="28"/>
      <c r="J8" s="21"/>
      <c r="K8" s="28"/>
      <c r="L8" s="60" t="s">
        <v>1</v>
      </c>
      <c r="N8" s="21"/>
    </row>
    <row r="9" spans="1:17" outlineLevel="2" x14ac:dyDescent="0.25">
      <c r="A9" s="19" t="str">
        <f>IF(ISTEXT($H9),INDEX(Hierarchy!$A:$A,MATCH($H9,Hierarchy!$D:$D,0)),"")</f>
        <v/>
      </c>
      <c r="B9" s="19" t="str">
        <f>IF(ISTEXT($J9),INDEX(Hierarchy!$B:$B,MATCH($J9,Hierarchy!$D:$D,0)),"")</f>
        <v/>
      </c>
      <c r="C9" s="19" t="str">
        <f>IF(COUNTA($L9:$Z9)&gt;0,INDEX(Hierarchy!$C:$C,MATCH(LOOKUP(2,1/($L9:$Z9&lt;&gt;""),$L9:$Z9),Hierarchy!$D:$D,0)),"")</f>
        <v/>
      </c>
      <c r="D9" s="19" t="str">
        <f>IF(COUNTA($L9:$Z9)&gt;0,LOOKUP(2,1/($A$1:$A9&lt;&gt;""),$A$1:$A9)&amp;"_"&amp;LOOKUP(2,1/($B$1:$B9&lt;&gt;""),$B$1:$B9)&amp;"_"&amp;C9,IF(ISBLANK(J9)=FALSE,LOOKUP(2,1/($A$1:$A9&lt;&gt;""),$A$1:$A9)&amp;"_"&amp;B9,IF(ISBLANK(H9)=FALSE,A9,"")))</f>
        <v/>
      </c>
      <c r="G9" s="21"/>
      <c r="H9" s="21"/>
      <c r="I9" s="28"/>
      <c r="J9" s="21"/>
      <c r="K9" s="28"/>
      <c r="L9" s="26"/>
      <c r="M9" s="29"/>
      <c r="N9" s="21"/>
    </row>
    <row r="10" spans="1:17" outlineLevel="2" x14ac:dyDescent="0.25">
      <c r="A10" s="19" t="str">
        <f>IF(ISTEXT($H10),INDEX(Hierarchy!$A:$A,MATCH($H10,Hierarchy!$D:$D,0)),"")</f>
        <v/>
      </c>
      <c r="B10" s="19" t="str">
        <f>IF(ISTEXT($J10),INDEX(Hierarchy!$B:$B,MATCH($J10,Hierarchy!$D:$D,0)),"")</f>
        <v/>
      </c>
      <c r="C10" s="19" t="str">
        <f>IF(COUNTA($L10:$Z10)&gt;0,INDEX(Hierarchy!$C:$C,MATCH(LOOKUP(2,1/($L10:$Z10&lt;&gt;""),$L10:$Z10),Hierarchy!$D:$D,0)),"")</f>
        <v>SHELL</v>
      </c>
      <c r="D10" s="19" t="str">
        <f>IF(COUNTA($L10:$Z10)&gt;0,LOOKUP(2,1/($A$1:$A10&lt;&gt;""),$A$1:$A10)&amp;"_"&amp;LOOKUP(2,1/($B$1:$B10&lt;&gt;""),$B$1:$B10)&amp;"_"&amp;C10,IF(ISBLANK(J10)=FALSE,LOOKUP(2,1/($A$1:$A10&lt;&gt;""),$A$1:$A10)&amp;"_"&amp;B10,IF(ISBLANK(H10)=FALSE,A10,"")))</f>
        <v>AB_RES_SHELL</v>
      </c>
      <c r="G10" s="21"/>
      <c r="H10" s="21"/>
      <c r="I10" s="28"/>
      <c r="J10" s="21"/>
      <c r="K10" s="28"/>
      <c r="L10" s="34"/>
      <c r="M10" s="35"/>
      <c r="N10" s="60" t="s">
        <v>2</v>
      </c>
      <c r="O10" s="34"/>
      <c r="P10" s="34"/>
    </row>
    <row r="11" spans="1:17" outlineLevel="2" x14ac:dyDescent="0.25">
      <c r="A11" s="19" t="str">
        <f>IF(ISTEXT($H11),INDEX(Hierarchy!$A:$A,MATCH($H11,Hierarchy!$D:$D,0)),"")</f>
        <v/>
      </c>
      <c r="B11" s="19" t="str">
        <f>IF(ISTEXT($J11),INDEX(Hierarchy!$B:$B,MATCH($J11,Hierarchy!$D:$D,0)),"")</f>
        <v/>
      </c>
      <c r="C11" s="19" t="str">
        <f>IF(COUNTA($L11:$Z11)&gt;0,INDEX(Hierarchy!$C:$C,MATCH(LOOKUP(2,1/($L11:$Z11&lt;&gt;""),$L11:$Z11),Hierarchy!$D:$D,0)),"")</f>
        <v/>
      </c>
      <c r="D11" s="19" t="str">
        <f>IF(COUNTA($L11:$Z11)&gt;0,LOOKUP(2,1/($A$1:$A11&lt;&gt;""),$A$1:$A11)&amp;"_"&amp;LOOKUP(2,1/($B$1:$B11&lt;&gt;""),$B$1:$B11)&amp;"_"&amp;C11,IF(ISBLANK(J11)=FALSE,LOOKUP(2,1/($A$1:$A11&lt;&gt;""),$A$1:$A11)&amp;"_"&amp;B11,IF(ISBLANK(H11)=FALSE,A11,"")))</f>
        <v/>
      </c>
      <c r="G11" s="21"/>
      <c r="H11" s="21"/>
      <c r="I11" s="28"/>
      <c r="J11" s="21"/>
      <c r="K11" s="28"/>
      <c r="L11" s="34"/>
      <c r="M11" s="36"/>
      <c r="N11" s="37"/>
      <c r="O11" s="38"/>
      <c r="P11" s="34"/>
    </row>
    <row r="12" spans="1:17" outlineLevel="2" x14ac:dyDescent="0.25">
      <c r="A12" s="19" t="str">
        <f>IF(ISTEXT($H12),INDEX(Hierarchy!$A:$A,MATCH($H12,Hierarchy!$D:$D,0)),"")</f>
        <v/>
      </c>
      <c r="B12" s="19" t="str">
        <f>IF(ISTEXT($J12),INDEX(Hierarchy!$B:$B,MATCH($J12,Hierarchy!$D:$D,0)),"")</f>
        <v/>
      </c>
      <c r="C12" s="19" t="str">
        <f>IF(COUNTA($L12:$Z12)&gt;0,INDEX(Hierarchy!$C:$C,MATCH(LOOKUP(2,1/($L12:$Z12&lt;&gt;""),$L12:$Z12),Hierarchy!$D:$D,0)),"")</f>
        <v>SPHEAT</v>
      </c>
      <c r="D12" s="19" t="str">
        <f>IF(COUNTA($L12:$Z12)&gt;0,LOOKUP(2,1/($A$1:$A12&lt;&gt;""),$A$1:$A12)&amp;"_"&amp;LOOKUP(2,1/($B$1:$B12&lt;&gt;""),$B$1:$B12)&amp;"_"&amp;C12,IF(ISBLANK(J12)=FALSE,LOOKUP(2,1/($A$1:$A12&lt;&gt;""),$A$1:$A12)&amp;"_"&amp;B12,IF(ISBLANK(H12)=FALSE,A12,"")))</f>
        <v>AB_RES_SPHEAT</v>
      </c>
      <c r="G12" s="21"/>
      <c r="H12" s="21"/>
      <c r="I12" s="28"/>
      <c r="J12" s="21"/>
      <c r="K12" s="28"/>
      <c r="L12" s="34"/>
      <c r="M12" s="36"/>
      <c r="N12" s="34"/>
      <c r="O12" s="34"/>
      <c r="P12" s="60" t="s">
        <v>113</v>
      </c>
      <c r="Q12" s="21"/>
    </row>
    <row r="13" spans="1:17" outlineLevel="2" x14ac:dyDescent="0.25">
      <c r="A13" s="19" t="str">
        <f>IF(ISTEXT($H13),INDEX(Hierarchy!$A:$A,MATCH($H13,Hierarchy!$D:$D,0)),"")</f>
        <v/>
      </c>
      <c r="B13" s="19" t="str">
        <f>IF(ISTEXT($J13),INDEX(Hierarchy!$B:$B,MATCH($J13,Hierarchy!$D:$D,0)),"")</f>
        <v/>
      </c>
      <c r="C13" s="19" t="str">
        <f>IF(COUNTA($L13:$Z13)&gt;0,INDEX(Hierarchy!$C:$C,MATCH(LOOKUP(2,1/($L13:$Z13&lt;&gt;""),$L13:$Z13),Hierarchy!$D:$D,0)),"")</f>
        <v/>
      </c>
      <c r="D13" s="19" t="str">
        <f>IF(COUNTA($L13:$Z13)&gt;0,LOOKUP(2,1/($A$1:$A13&lt;&gt;""),$A$1:$A13)&amp;"_"&amp;LOOKUP(2,1/($B$1:$B13&lt;&gt;""),$B$1:$B13)&amp;"_"&amp;C13,IF(ISBLANK(J13)=FALSE,LOOKUP(2,1/($A$1:$A13&lt;&gt;""),$A$1:$A13)&amp;"_"&amp;B13,IF(ISBLANK(H13)=FALSE,A13,"")))</f>
        <v/>
      </c>
      <c r="G13" s="21"/>
      <c r="H13" s="21"/>
      <c r="I13" s="28"/>
      <c r="J13" s="21"/>
      <c r="K13" s="28"/>
      <c r="L13" s="37"/>
      <c r="M13" s="38"/>
      <c r="N13" s="34"/>
      <c r="O13" s="34"/>
      <c r="P13" s="39"/>
    </row>
    <row r="14" spans="1:17" outlineLevel="2" x14ac:dyDescent="0.25">
      <c r="A14" s="19" t="str">
        <f>IF(ISTEXT($H14),INDEX(Hierarchy!$A:$A,MATCH($H14,Hierarchy!$D:$D,0)),"")</f>
        <v/>
      </c>
      <c r="B14" s="19" t="str">
        <f>IF(ISTEXT($J14),INDEX(Hierarchy!$B:$B,MATCH($J14,Hierarchy!$D:$D,0)),"")</f>
        <v/>
      </c>
      <c r="C14" s="19" t="e">
        <f>IF(COUNTA($L14:$Z14)&gt;0,INDEX(Hierarchy!$C:$C,MATCH(LOOKUP(2,1/($L14:$Z14&lt;&gt;""),$L14:$Z14),Hierarchy!$D:$D,0)),"")</f>
        <v>#N/A</v>
      </c>
      <c r="D14" s="19" t="e">
        <f>IF(COUNTA($L14:$Z14)&gt;0,LOOKUP(2,1/($A$1:$A14&lt;&gt;""),$A$1:$A14)&amp;"_"&amp;LOOKUP(2,1/($B$1:$B14&lt;&gt;""),$B$1:$B14)&amp;"_"&amp;C14,IF(ISBLANK(J14)=FALSE,LOOKUP(2,1/($A$1:$A14&lt;&gt;""),$A$1:$A14)&amp;"_"&amp;B14,IF(ISBLANK(H14)=FALSE,A14,"")))</f>
        <v>#N/A</v>
      </c>
      <c r="G14" s="21"/>
      <c r="H14" s="21"/>
      <c r="I14" s="28"/>
      <c r="J14" s="21"/>
      <c r="K14" s="28"/>
      <c r="L14" s="34"/>
      <c r="M14" s="36"/>
      <c r="N14" s="60" t="s">
        <v>115</v>
      </c>
      <c r="O14" s="34"/>
      <c r="P14" s="34"/>
    </row>
    <row r="15" spans="1:17" outlineLevel="2" x14ac:dyDescent="0.25">
      <c r="A15" s="19" t="str">
        <f>IF(ISTEXT($H15),INDEX(Hierarchy!$A:$A,MATCH($H15,Hierarchy!$D:$D,0)),"")</f>
        <v/>
      </c>
      <c r="B15" s="19" t="str">
        <f>IF(ISTEXT($J15),INDEX(Hierarchy!$B:$B,MATCH($J15,Hierarchy!$D:$D,0)),"")</f>
        <v/>
      </c>
      <c r="C15" s="19" t="str">
        <f>IF(COUNTA($L15:$Z15)&gt;0,INDEX(Hierarchy!$C:$C,MATCH(LOOKUP(2,1/($L15:$Z15&lt;&gt;""),$L15:$Z15),Hierarchy!$D:$D,0)),"")</f>
        <v/>
      </c>
      <c r="D15" s="19" t="str">
        <f>IF(COUNTA($L15:$Z15)&gt;0,LOOKUP(2,1/($A$1:$A15&lt;&gt;""),$A$1:$A15)&amp;"_"&amp;LOOKUP(2,1/($B$1:$B15&lt;&gt;""),$B$1:$B15)&amp;"_"&amp;C15,IF(ISBLANK(J15)=FALSE,LOOKUP(2,1/($A$1:$A15&lt;&gt;""),$A$1:$A15)&amp;"_"&amp;B15,IF(ISBLANK(H15)=FALSE,A15,"")))</f>
        <v/>
      </c>
      <c r="G15" s="21"/>
      <c r="H15" s="21"/>
      <c r="I15" s="28"/>
      <c r="J15" s="21"/>
      <c r="K15" s="28"/>
      <c r="L15" s="37"/>
      <c r="M15" s="38"/>
      <c r="N15" s="34"/>
      <c r="O15" s="34"/>
      <c r="P15" s="39"/>
    </row>
    <row r="16" spans="1:17" outlineLevel="2" x14ac:dyDescent="0.25">
      <c r="A16" s="19" t="str">
        <f>IF(ISTEXT($H16),INDEX(Hierarchy!$A:$A,MATCH($H16,Hierarchy!$D:$D,0)),"")</f>
        <v/>
      </c>
      <c r="B16" s="19" t="str">
        <f>IF(ISTEXT($J16),INDEX(Hierarchy!$B:$B,MATCH($J16,Hierarchy!$D:$D,0)),"")</f>
        <v/>
      </c>
      <c r="C16" s="19" t="e">
        <f>IF(COUNTA($L16:$Z16)&gt;0,INDEX(Hierarchy!$C:$C,MATCH(LOOKUP(2,1/($L16:$Z16&lt;&gt;""),$L16:$Z16),Hierarchy!$D:$D,0)),"")</f>
        <v>#N/A</v>
      </c>
      <c r="D16" s="19" t="e">
        <f>IF(COUNTA($L16:$Z16)&gt;0,LOOKUP(2,1/($A$1:$A16&lt;&gt;""),$A$1:$A16)&amp;"_"&amp;LOOKUP(2,1/($B$1:$B16&lt;&gt;""),$B$1:$B16)&amp;"_"&amp;C16,IF(ISBLANK(J16)=FALSE,LOOKUP(2,1/($A$1:$A16&lt;&gt;""),$A$1:$A16)&amp;"_"&amp;B16,IF(ISBLANK(H16)=FALSE,A16,"")))</f>
        <v>#N/A</v>
      </c>
      <c r="G16" s="21"/>
      <c r="H16" s="21"/>
      <c r="I16" s="28"/>
      <c r="J16" s="21"/>
      <c r="K16" s="28"/>
      <c r="L16" s="34"/>
      <c r="M16" s="36"/>
      <c r="N16" s="60" t="s">
        <v>116</v>
      </c>
      <c r="O16" s="34"/>
      <c r="P16" s="34"/>
    </row>
    <row r="17" spans="1:16" outlineLevel="2" x14ac:dyDescent="0.25">
      <c r="A17" s="19" t="str">
        <f>IF(ISTEXT($H17),INDEX(Hierarchy!$A:$A,MATCH($H17,Hierarchy!$D:$D,0)),"")</f>
        <v/>
      </c>
      <c r="B17" s="19" t="str">
        <f>IF(ISTEXT($J17),INDEX(Hierarchy!$B:$B,MATCH($J17,Hierarchy!$D:$D,0)),"")</f>
        <v/>
      </c>
      <c r="C17" s="19" t="str">
        <f>IF(COUNTA($L17:$Z17)&gt;0,INDEX(Hierarchy!$C:$C,MATCH(LOOKUP(2,1/($L17:$Z17&lt;&gt;""),$L17:$Z17),Hierarchy!$D:$D,0)),"")</f>
        <v/>
      </c>
      <c r="D17" s="19" t="str">
        <f>IF(COUNTA($L17:$Z17)&gt;0,LOOKUP(2,1/($A$1:$A17&lt;&gt;""),$A$1:$A17)&amp;"_"&amp;LOOKUP(2,1/($B$1:$B17&lt;&gt;""),$B$1:$B17)&amp;"_"&amp;C17,IF(ISBLANK(J17)=FALSE,LOOKUP(2,1/($A$1:$A17&lt;&gt;""),$A$1:$A17)&amp;"_"&amp;B17,IF(ISBLANK(H17)=FALSE,A17,"")))</f>
        <v/>
      </c>
      <c r="G17" s="21"/>
      <c r="H17" s="21"/>
      <c r="I17" s="28"/>
      <c r="J17" s="21"/>
      <c r="K17" s="28"/>
      <c r="L17" s="37"/>
      <c r="M17" s="38"/>
      <c r="N17" s="34"/>
      <c r="O17" s="34"/>
      <c r="P17" s="39"/>
    </row>
    <row r="18" spans="1:16" outlineLevel="2" x14ac:dyDescent="0.25">
      <c r="A18" s="19" t="str">
        <f>IF(ISTEXT($H18),INDEX(Hierarchy!$A:$A,MATCH($H18,Hierarchy!$D:$D,0)),"")</f>
        <v/>
      </c>
      <c r="B18" s="19" t="str">
        <f>IF(ISTEXT($J18),INDEX(Hierarchy!$B:$B,MATCH($J18,Hierarchy!$D:$D,0)),"")</f>
        <v/>
      </c>
      <c r="C18" s="19" t="e">
        <f>IF(COUNTA($L18:$Z18)&gt;0,INDEX(Hierarchy!$C:$C,MATCH(LOOKUP(2,1/($L18:$Z18&lt;&gt;""),$L18:$Z18),Hierarchy!$D:$D,0)),"")</f>
        <v>#N/A</v>
      </c>
      <c r="D18" s="19" t="e">
        <f>IF(COUNTA($L18:$Z18)&gt;0,LOOKUP(2,1/($A$1:$A18&lt;&gt;""),$A$1:$A18)&amp;"_"&amp;LOOKUP(2,1/($B$1:$B18&lt;&gt;""),$B$1:$B18)&amp;"_"&amp;C18,IF(ISBLANK(J18)=FALSE,LOOKUP(2,1/($A$1:$A18&lt;&gt;""),$A$1:$A18)&amp;"_"&amp;B18,IF(ISBLANK(H18)=FALSE,A18,"")))</f>
        <v>#N/A</v>
      </c>
      <c r="G18" s="21"/>
      <c r="H18" s="21"/>
      <c r="I18" s="28"/>
      <c r="J18" s="21"/>
      <c r="K18" s="28"/>
      <c r="L18" s="34"/>
      <c r="M18" s="61"/>
      <c r="N18" s="60" t="s">
        <v>117</v>
      </c>
      <c r="O18" s="34"/>
      <c r="P18" s="34"/>
    </row>
    <row r="19" spans="1:16" outlineLevel="2" x14ac:dyDescent="0.25">
      <c r="A19" s="19" t="str">
        <f>IF(ISTEXT($H19),INDEX(Hierarchy!$A:$A,MATCH($H19,Hierarchy!$D:$D,0)),"")</f>
        <v/>
      </c>
      <c r="B19" s="19" t="str">
        <f>IF(ISTEXT($J19),INDEX(Hierarchy!$B:$B,MATCH($J19,Hierarchy!$D:$D,0)),"")</f>
        <v/>
      </c>
      <c r="C19" s="19" t="str">
        <f>IF(COUNTA($L19:$Z19)&gt;0,INDEX(Hierarchy!$C:$C,MATCH(LOOKUP(2,1/($L19:$Z19&lt;&gt;""),$L19:$Z19),Hierarchy!$D:$D,0)),"")</f>
        <v/>
      </c>
      <c r="D19" s="19" t="str">
        <f>IF(COUNTA($L19:$Z19)&gt;0,LOOKUP(2,1/($A$1:$A19&lt;&gt;""),$A$1:$A19)&amp;"_"&amp;LOOKUP(2,1/($B$1:$B19&lt;&gt;""),$B$1:$B19)&amp;"_"&amp;C19,IF(ISBLANK(J19)=FALSE,LOOKUP(2,1/($A$1:$A19&lt;&gt;""),$A$1:$A19)&amp;"_"&amp;B19,IF(ISBLANK(H19)=FALSE,A19,"")))</f>
        <v/>
      </c>
      <c r="G19" s="21"/>
      <c r="H19" s="21"/>
      <c r="I19" s="28"/>
      <c r="J19" s="21"/>
      <c r="K19" s="29"/>
      <c r="L19" s="34"/>
      <c r="M19" s="34"/>
      <c r="N19" s="34"/>
      <c r="O19" s="34"/>
      <c r="P19" s="39"/>
    </row>
    <row r="20" spans="1:16" outlineLevel="2" x14ac:dyDescent="0.25">
      <c r="A20" s="19" t="str">
        <f>IF(ISTEXT($H20),INDEX(Hierarchy!$A:$A,MATCH($H20,Hierarchy!$D:$D,0)),"")</f>
        <v/>
      </c>
      <c r="B20" s="19" t="str">
        <f>IF(ISTEXT($J20),INDEX(Hierarchy!$B:$B,MATCH($J20,Hierarchy!$D:$D,0)),"")</f>
        <v/>
      </c>
      <c r="C20" s="19" t="str">
        <f>IF(COUNTA($L20:$Z20)&gt;0,INDEX(Hierarchy!$C:$C,MATCH(LOOKUP(2,1/($L20:$Z20&lt;&gt;""),$L20:$Z20),Hierarchy!$D:$D,0)),"")</f>
        <v>FURN</v>
      </c>
      <c r="D20" s="19" t="str">
        <f>IF(COUNTA($L20:$Z20)&gt;0,LOOKUP(2,1/($A$1:$A20&lt;&gt;""),$A$1:$A20)&amp;"_"&amp;LOOKUP(2,1/($B$1:$B20&lt;&gt;""),$B$1:$B20)&amp;"_"&amp;C20,IF(ISBLANK(J20)=FALSE,LOOKUP(2,1/($A$1:$A20&lt;&gt;""),$A$1:$A20)&amp;"_"&amp;B20,IF(ISBLANK(H20)=FALSE,A20,"")))</f>
        <v>AB_RES_FURN</v>
      </c>
      <c r="G20" s="21"/>
      <c r="H20" s="21"/>
      <c r="I20" s="28"/>
      <c r="J20" s="21"/>
      <c r="K20" s="32"/>
      <c r="L20" s="60" t="s">
        <v>42</v>
      </c>
      <c r="M20" s="34"/>
      <c r="N20" s="34"/>
      <c r="O20" s="34"/>
      <c r="P20" s="39"/>
    </row>
    <row r="21" spans="1:16" outlineLevel="2" x14ac:dyDescent="0.25">
      <c r="A21" s="19" t="str">
        <f>IF(ISTEXT($H21),INDEX(Hierarchy!$A:$A,MATCH($H21,Hierarchy!$D:$D,0)),"")</f>
        <v/>
      </c>
      <c r="B21" s="19" t="str">
        <f>IF(ISTEXT($J21),INDEX(Hierarchy!$B:$B,MATCH($J21,Hierarchy!$D:$D,0)),"")</f>
        <v/>
      </c>
      <c r="C21" s="19" t="str">
        <f>IF(COUNTA($L21:$Z21)&gt;0,INDEX(Hierarchy!$C:$C,MATCH(LOOKUP(2,1/($L21:$Z21&lt;&gt;""),$L21:$Z21),Hierarchy!$D:$D,0)),"")</f>
        <v/>
      </c>
      <c r="D21" s="19" t="str">
        <f>IF(COUNTA($L21:$Z21)&gt;0,LOOKUP(2,1/($A$1:$A21&lt;&gt;""),$A$1:$A21)&amp;"_"&amp;LOOKUP(2,1/($B$1:$B21&lt;&gt;""),$B$1:$B21)&amp;"_"&amp;C21,IF(ISBLANK(J21)=FALSE,LOOKUP(2,1/($A$1:$A21&lt;&gt;""),$A$1:$A21)&amp;"_"&amp;B21,IF(ISBLANK(H21)=FALSE,A21,"")))</f>
        <v/>
      </c>
      <c r="G21" s="21"/>
      <c r="H21" s="21"/>
      <c r="I21" s="28"/>
      <c r="J21" s="21"/>
      <c r="K21" s="29"/>
      <c r="L21" s="34"/>
      <c r="M21" s="39"/>
      <c r="N21" s="39"/>
      <c r="O21" s="34"/>
      <c r="P21" s="39"/>
    </row>
    <row r="22" spans="1:16" outlineLevel="2" x14ac:dyDescent="0.25">
      <c r="A22" s="19" t="str">
        <f>IF(ISTEXT($H22),INDEX(Hierarchy!$A:$A,MATCH($H22,Hierarchy!$D:$D,0)),"")</f>
        <v/>
      </c>
      <c r="B22" s="19" t="str">
        <f>IF(ISTEXT($J22),INDEX(Hierarchy!$B:$B,MATCH($J22,Hierarchy!$D:$D,0)),"")</f>
        <v/>
      </c>
      <c r="C22" s="19" t="e">
        <f>IF(COUNTA($L22:$Z22)&gt;0,INDEX(Hierarchy!$C:$C,MATCH(LOOKUP(2,1/($L22:$Z22&lt;&gt;""),$L22:$Z22),Hierarchy!$D:$D,0)),"")</f>
        <v>#N/A</v>
      </c>
      <c r="D22" s="19" t="e">
        <f>IF(COUNTA($L22:$Z22)&gt;0,LOOKUP(2,1/($A$1:$A22&lt;&gt;""),$A$1:$A22)&amp;"_"&amp;LOOKUP(2,1/($B$1:$B22&lt;&gt;""),$B$1:$B22)&amp;"_"&amp;C22,IF(ISBLANK(J22)=FALSE,LOOKUP(2,1/($A$1:$A22&lt;&gt;""),$A$1:$A22)&amp;"_"&amp;B22,IF(ISBLANK(H22)=FALSE,A22,"")))</f>
        <v>#N/A</v>
      </c>
      <c r="G22" s="21"/>
      <c r="H22" s="21"/>
      <c r="I22" s="28"/>
      <c r="J22" s="21"/>
      <c r="K22" s="21"/>
      <c r="L22" s="60" t="s">
        <v>118</v>
      </c>
      <c r="M22" s="39"/>
      <c r="N22" s="39"/>
      <c r="O22" s="34"/>
      <c r="P22" s="34"/>
    </row>
    <row r="23" spans="1:16" outlineLevel="2" x14ac:dyDescent="0.25">
      <c r="A23" s="19" t="str">
        <f>IF(ISTEXT($H23),INDEX(Hierarchy!$A:$A,MATCH($H23,Hierarchy!$D:$D,0)),"")</f>
        <v/>
      </c>
      <c r="B23" s="19" t="str">
        <f>IF(ISTEXT($J23),INDEX(Hierarchy!$B:$B,MATCH($J23,Hierarchy!$D:$D,0)),"")</f>
        <v/>
      </c>
      <c r="C23" s="19" t="str">
        <f>IF(COUNTA($L23:$Z23)&gt;0,INDEX(Hierarchy!$C:$C,MATCH(LOOKUP(2,1/($L23:$Z23&lt;&gt;""),$L23:$Z23),Hierarchy!$D:$D,0)),"")</f>
        <v/>
      </c>
      <c r="D23" s="19" t="str">
        <f>IF(COUNTA($L23:$Z23)&gt;0,LOOKUP(2,1/($A$1:$A23&lt;&gt;""),$A$1:$A23)&amp;"_"&amp;LOOKUP(2,1/($B$1:$B23&lt;&gt;""),$B$1:$B23)&amp;"_"&amp;C23,IF(ISBLANK(J23)=FALSE,LOOKUP(2,1/($A$1:$A23&lt;&gt;""),$A$1:$A23)&amp;"_"&amp;B23,IF(ISBLANK(H23)=FALSE,A23,"")))</f>
        <v/>
      </c>
      <c r="G23" s="21"/>
      <c r="H23" s="21"/>
      <c r="I23" s="28"/>
      <c r="J23" s="21"/>
      <c r="K23" s="21"/>
    </row>
    <row r="24" spans="1:16" outlineLevel="1" x14ac:dyDescent="0.25">
      <c r="A24" s="19" t="str">
        <f>IF(ISTEXT($H24),INDEX(Hierarchy!$A:$A,MATCH($H24,Hierarchy!$D:$D,0)),"")</f>
        <v/>
      </c>
      <c r="B24" s="19" t="str">
        <f>IF(ISTEXT($J24),INDEX(Hierarchy!$B:$B,MATCH($J24,Hierarchy!$D:$D,0)),"")</f>
        <v/>
      </c>
      <c r="C24" s="19" t="str">
        <f>IF(COUNTA($L24:$Z24)&gt;0,INDEX(Hierarchy!$C:$C,MATCH(LOOKUP(2,1/($L24:$Z24&lt;&gt;""),$L24:$Z24),Hierarchy!$D:$D,0)),"")</f>
        <v/>
      </c>
      <c r="D24" s="19" t="str">
        <f>IF(COUNTA($L24:$Z24)&gt;0,LOOKUP(2,1/($A$1:$A24&lt;&gt;""),$A$1:$A24)&amp;"_"&amp;LOOKUP(2,1/($B$1:$B24&lt;&gt;""),$B$1:$B24)&amp;"_"&amp;C24,IF(ISBLANK(J24)=FALSE,LOOKUP(2,1/($A$1:$A24&lt;&gt;""),$A$1:$A24)&amp;"_"&amp;B24,IF(ISBLANK(H24)=FALSE,A24,"")))</f>
        <v/>
      </c>
      <c r="G24" s="21"/>
      <c r="H24" s="21"/>
      <c r="I24" s="29"/>
      <c r="J24" s="21"/>
      <c r="K24" s="21"/>
    </row>
    <row r="25" spans="1:16" outlineLevel="1" x14ac:dyDescent="0.25">
      <c r="A25" s="19" t="str">
        <f>IF(ISTEXT($H25),INDEX(Hierarchy!$A:$A,MATCH($H25,Hierarchy!$D:$D,0)),"")</f>
        <v/>
      </c>
      <c r="B25" s="19" t="str">
        <f>IF(ISTEXT($J25),INDEX(Hierarchy!$B:$B,MATCH($J25,Hierarchy!$D:$D,0)),"")</f>
        <v>ELEC</v>
      </c>
      <c r="C25" s="19" t="str">
        <f>IF(COUNTA($L25:$Z25)&gt;0,INDEX(Hierarchy!$C:$C,MATCH(LOOKUP(2,1/($L25:$Z25&lt;&gt;""),$L25:$Z25),Hierarchy!$D:$D,0)),"")</f>
        <v/>
      </c>
      <c r="D25" s="19" t="str">
        <f>IF(COUNTA($L25:$Z25)&gt;0,LOOKUP(2,1/($A$1:$A25&lt;&gt;""),$A$1:$A25)&amp;"_"&amp;LOOKUP(2,1/($B$1:$B25&lt;&gt;""),$B$1:$B25)&amp;"_"&amp;C25,IF(ISBLANK(J25)=FALSE,LOOKUP(2,1/($A$1:$A25&lt;&gt;""),$A$1:$A25)&amp;"_"&amp;B25,IF(ISBLANK(H25)=FALSE,A25,"")))</f>
        <v>AB_ELEC</v>
      </c>
      <c r="G25" s="21"/>
      <c r="H25" s="21"/>
      <c r="I25" s="24"/>
      <c r="J25" s="59" t="s">
        <v>4</v>
      </c>
      <c r="K25" s="20"/>
      <c r="L25" s="17"/>
      <c r="M25" s="22"/>
      <c r="O25" s="22"/>
    </row>
    <row r="26" spans="1:16" outlineLevel="2" x14ac:dyDescent="0.25">
      <c r="A26" s="19" t="str">
        <f>IF(ISTEXT($H26),INDEX(Hierarchy!$A:$A,MATCH($H26,Hierarchy!$D:$D,0)),"")</f>
        <v/>
      </c>
      <c r="B26" s="19" t="str">
        <f>IF(ISTEXT($J26),INDEX(Hierarchy!$B:$B,MATCH($J26,Hierarchy!$D:$D,0)),"")</f>
        <v/>
      </c>
      <c r="C26" s="19" t="str">
        <f>IF(COUNTA($L26:$Z26)&gt;0,INDEX(Hierarchy!$C:$C,MATCH(LOOKUP(2,1/($L26:$Z26&lt;&gt;""),$L26:$Z26),Hierarchy!$D:$D,0)),"")</f>
        <v/>
      </c>
      <c r="D26" s="19" t="str">
        <f>IF(COUNTA($L26:$Z26)&gt;0,LOOKUP(2,1/($A$1:$A26&lt;&gt;""),$A$1:$A26)&amp;"_"&amp;LOOKUP(2,1/($B$1:$B26&lt;&gt;""),$B$1:$B26)&amp;"_"&amp;C26,IF(ISBLANK(J26)=FALSE,LOOKUP(2,1/($A$1:$A26&lt;&gt;""),$A$1:$A26)&amp;"_"&amp;B26,IF(ISBLANK(H26)=FALSE,A26,"")))</f>
        <v/>
      </c>
      <c r="G26" s="21"/>
      <c r="H26" s="21"/>
      <c r="I26" s="21"/>
      <c r="J26" s="30"/>
      <c r="K26" s="23"/>
      <c r="L26" s="18"/>
      <c r="M26" s="22"/>
      <c r="O26" s="22"/>
    </row>
    <row r="27" spans="1:16" outlineLevel="2" x14ac:dyDescent="0.25">
      <c r="A27" s="19" t="str">
        <f>IF(ISTEXT($H27),INDEX(Hierarchy!$A:$A,MATCH($H27,Hierarchy!$D:$D,0)),"")</f>
        <v/>
      </c>
      <c r="B27" s="19" t="str">
        <f>IF(ISTEXT($J27),INDEX(Hierarchy!$B:$B,MATCH($J27,Hierarchy!$D:$D,0)),"")</f>
        <v/>
      </c>
      <c r="C27" s="19" t="str">
        <f>IF(COUNTA($L27:$Z27)&gt;0,INDEX(Hierarchy!$C:$C,MATCH(LOOKUP(2,1/($L27:$Z27&lt;&gt;""),$L27:$Z27),Hierarchy!$D:$D,0)),"")</f>
        <v>GEN</v>
      </c>
      <c r="D27" s="19" t="str">
        <f>IF(COUNTA($L27:$Z27)&gt;0,LOOKUP(2,1/($A$1:$A27&lt;&gt;""),$A$1:$A27)&amp;"_"&amp;LOOKUP(2,1/($B$1:$B27&lt;&gt;""),$B$1:$B27)&amp;"_"&amp;C27,IF(ISBLANK(J27)=FALSE,LOOKUP(2,1/($A$1:$A27&lt;&gt;""),$A$1:$A27)&amp;"_"&amp;B27,IF(ISBLANK(H27)=FALSE,A27,"")))</f>
        <v>AB_ELEC_GEN</v>
      </c>
      <c r="G27" s="21"/>
      <c r="H27" s="21"/>
      <c r="I27" s="21"/>
      <c r="J27" s="17"/>
      <c r="K27" s="9"/>
      <c r="L27" s="62" t="s">
        <v>8</v>
      </c>
      <c r="M27" s="17"/>
      <c r="N27" s="21"/>
      <c r="O27" s="17"/>
    </row>
    <row r="28" spans="1:16" outlineLevel="2" x14ac:dyDescent="0.25">
      <c r="A28" s="19" t="str">
        <f>IF(ISTEXT($H28),INDEX(Hierarchy!$A:$A,MATCH($H28,Hierarchy!$D:$D,0)),"")</f>
        <v/>
      </c>
      <c r="B28" s="19" t="str">
        <f>IF(ISTEXT($J28),INDEX(Hierarchy!$B:$B,MATCH($J28,Hierarchy!$D:$D,0)),"")</f>
        <v/>
      </c>
      <c r="C28" s="19" t="str">
        <f>IF(COUNTA($L28:$Z28)&gt;0,INDEX(Hierarchy!$C:$C,MATCH(LOOKUP(2,1/($L28:$Z28&lt;&gt;""),$L28:$Z28),Hierarchy!$D:$D,0)),"")</f>
        <v/>
      </c>
      <c r="D28" s="19" t="str">
        <f>IF(COUNTA($L28:$Z28)&gt;0,LOOKUP(2,1/($A$1:$A28&lt;&gt;""),$A$1:$A28)&amp;"_"&amp;LOOKUP(2,1/($B$1:$B28&lt;&gt;""),$B$1:$B28)&amp;"_"&amp;C28,IF(ISBLANK(J28)=FALSE,LOOKUP(2,1/($A$1:$A28&lt;&gt;""),$A$1:$A28)&amp;"_"&amp;B28,IF(ISBLANK(H28)=FALSE,A28,"")))</f>
        <v/>
      </c>
      <c r="G28" s="21"/>
      <c r="H28" s="21"/>
      <c r="I28" s="21"/>
      <c r="J28" s="17"/>
      <c r="K28" s="8"/>
      <c r="L28" s="31"/>
      <c r="M28" s="29"/>
      <c r="N28" s="21"/>
      <c r="O28" s="17"/>
    </row>
    <row r="29" spans="1:16" outlineLevel="2" x14ac:dyDescent="0.25">
      <c r="A29" s="19" t="str">
        <f>IF(ISTEXT($H29),INDEX(Hierarchy!$A:$A,MATCH($H29,Hierarchy!$D:$D,0)),"")</f>
        <v/>
      </c>
      <c r="B29" s="19" t="str">
        <f>IF(ISTEXT($J29),INDEX(Hierarchy!$B:$B,MATCH($J29,Hierarchy!$D:$D,0)),"")</f>
        <v/>
      </c>
      <c r="C29" s="19" t="str">
        <f>IF(COUNTA($L29:$Z29)&gt;0,INDEX(Hierarchy!$C:$C,MATCH(LOOKUP(2,1/($L29:$Z29&lt;&gt;""),$L29:$Z29),Hierarchy!$D:$D,0)),"")</f>
        <v>BASE</v>
      </c>
      <c r="D29" s="19" t="str">
        <f>IF(COUNTA($L29:$Z29)&gt;0,LOOKUP(2,1/($A$1:$A29&lt;&gt;""),$A$1:$A29)&amp;"_"&amp;LOOKUP(2,1/($B$1:$B29&lt;&gt;""),$B$1:$B29)&amp;"_"&amp;C29,IF(ISBLANK(J29)=FALSE,LOOKUP(2,1/($A$1:$A29&lt;&gt;""),$A$1:$A29)&amp;"_"&amp;B29,IF(ISBLANK(H29)=FALSE,A29,"")))</f>
        <v>AB_ELEC_BASE</v>
      </c>
      <c r="G29" s="21"/>
      <c r="H29" s="21"/>
      <c r="I29" s="21"/>
      <c r="J29" s="21"/>
      <c r="K29" s="28"/>
      <c r="L29" s="21"/>
      <c r="M29" s="32"/>
      <c r="N29" s="62" t="s">
        <v>6</v>
      </c>
    </row>
    <row r="30" spans="1:16" outlineLevel="2" x14ac:dyDescent="0.25">
      <c r="A30" s="19" t="str">
        <f>IF(ISTEXT($H30),INDEX(Hierarchy!$A:$A,MATCH($H30,Hierarchy!$D:$D,0)),"")</f>
        <v/>
      </c>
      <c r="B30" s="19" t="str">
        <f>IF(ISTEXT($J30),INDEX(Hierarchy!$B:$B,MATCH($J30,Hierarchy!$D:$D,0)),"")</f>
        <v/>
      </c>
      <c r="C30" s="19" t="str">
        <f>IF(COUNTA($L30:$Z30)&gt;0,INDEX(Hierarchy!$C:$C,MATCH(LOOKUP(2,1/($L30:$Z30&lt;&gt;""),$L30:$Z30),Hierarchy!$D:$D,0)),"")</f>
        <v/>
      </c>
      <c r="D30" s="19" t="str">
        <f>IF(COUNTA($L30:$Z30)&gt;0,LOOKUP(2,1/($A$1:$A30&lt;&gt;""),$A$1:$A30)&amp;"_"&amp;LOOKUP(2,1/($B$1:$B30&lt;&gt;""),$B$1:$B30)&amp;"_"&amp;C30,IF(ISBLANK(J30)=FALSE,LOOKUP(2,1/($A$1:$A30&lt;&gt;""),$A$1:$A30)&amp;"_"&amp;B30,IF(ISBLANK(H30)=FALSE,A30,"")))</f>
        <v/>
      </c>
      <c r="G30" s="21"/>
      <c r="H30" s="21"/>
      <c r="I30" s="21"/>
      <c r="J30" s="21"/>
      <c r="K30" s="28"/>
      <c r="L30" s="21"/>
      <c r="M30" s="29"/>
      <c r="N30" s="21"/>
    </row>
    <row r="31" spans="1:16" outlineLevel="2" x14ac:dyDescent="0.25">
      <c r="A31" s="19" t="str">
        <f>IF(ISTEXT($H31),INDEX(Hierarchy!$A:$A,MATCH($H31,Hierarchy!$D:$D,0)),"")</f>
        <v/>
      </c>
      <c r="B31" s="19" t="str">
        <f>IF(ISTEXT($J31),INDEX(Hierarchy!$B:$B,MATCH($J31,Hierarchy!$D:$D,0)),"")</f>
        <v/>
      </c>
      <c r="C31" s="19" t="str">
        <f>IF(COUNTA($L31:$Z31)&gt;0,INDEX(Hierarchy!$C:$C,MATCH(LOOKUP(2,1/($L31:$Z31&lt;&gt;""),$L31:$Z31),Hierarchy!$D:$D,0)),"")</f>
        <v>SHLDR</v>
      </c>
      <c r="D31" s="19" t="str">
        <f>IF(COUNTA($L31:$Z31)&gt;0,LOOKUP(2,1/($A$1:$A31&lt;&gt;""),$A$1:$A31)&amp;"_"&amp;LOOKUP(2,1/($B$1:$B31&lt;&gt;""),$B$1:$B31)&amp;"_"&amp;C31,IF(ISBLANK(J31)=FALSE,LOOKUP(2,1/($A$1:$A31&lt;&gt;""),$A$1:$A31)&amp;"_"&amp;B31,IF(ISBLANK(H31)=FALSE,A31,"")))</f>
        <v>AB_ELEC_SHLDR</v>
      </c>
      <c r="G31" s="21"/>
      <c r="H31" s="21"/>
      <c r="I31" s="21"/>
      <c r="J31" s="21"/>
      <c r="K31" s="28"/>
      <c r="L31" s="21"/>
      <c r="M31" s="28"/>
      <c r="N31" s="62" t="s">
        <v>5</v>
      </c>
    </row>
    <row r="32" spans="1:16" outlineLevel="2" x14ac:dyDescent="0.25">
      <c r="A32" s="19" t="str">
        <f>IF(ISTEXT($H32),INDEX(Hierarchy!$A:$A,MATCH($H32,Hierarchy!$D:$D,0)),"")</f>
        <v/>
      </c>
      <c r="B32" s="19" t="str">
        <f>IF(ISTEXT($J32),INDEX(Hierarchy!$B:$B,MATCH($J32,Hierarchy!$D:$D,0)),"")</f>
        <v/>
      </c>
      <c r="C32" s="19" t="str">
        <f>IF(COUNTA($L32:$Z32)&gt;0,INDEX(Hierarchy!$C:$C,MATCH(LOOKUP(2,1/($L32:$Z32&lt;&gt;""),$L32:$Z32),Hierarchy!$D:$D,0)),"")</f>
        <v/>
      </c>
      <c r="D32" s="19" t="str">
        <f>IF(COUNTA($L32:$Z32)&gt;0,LOOKUP(2,1/($A$1:$A32&lt;&gt;""),$A$1:$A32)&amp;"_"&amp;LOOKUP(2,1/($B$1:$B32&lt;&gt;""),$B$1:$B32)&amp;"_"&amp;C32,IF(ISBLANK(J32)=FALSE,LOOKUP(2,1/($A$1:$A32&lt;&gt;""),$A$1:$A32)&amp;"_"&amp;B32,IF(ISBLANK(H32)=FALSE,A32,"")))</f>
        <v/>
      </c>
      <c r="G32" s="21"/>
      <c r="H32" s="21"/>
      <c r="I32" s="21"/>
      <c r="J32" s="21"/>
      <c r="K32" s="28"/>
      <c r="L32" s="21"/>
      <c r="M32" s="29"/>
      <c r="N32" s="21"/>
    </row>
    <row r="33" spans="1:14" outlineLevel="2" x14ac:dyDescent="0.25">
      <c r="A33" s="19" t="str">
        <f>IF(ISTEXT($H33),INDEX(Hierarchy!$A:$A,MATCH($H33,Hierarchy!$D:$D,0)),"")</f>
        <v/>
      </c>
      <c r="B33" s="19" t="str">
        <f>IF(ISTEXT($J33),INDEX(Hierarchy!$B:$B,MATCH($J33,Hierarchy!$D:$D,0)),"")</f>
        <v/>
      </c>
      <c r="C33" s="19" t="str">
        <f>IF(COUNTA($L33:$Z33)&gt;0,INDEX(Hierarchy!$C:$C,MATCH(LOOKUP(2,1/($L33:$Z33&lt;&gt;""),$L33:$Z33),Hierarchy!$D:$D,0)),"")</f>
        <v>PEAK</v>
      </c>
      <c r="D33" s="19" t="str">
        <f>IF(COUNTA($L33:$Z33)&gt;0,LOOKUP(2,1/($A$1:$A33&lt;&gt;""),$A$1:$A33)&amp;"_"&amp;LOOKUP(2,1/($B$1:$B33&lt;&gt;""),$B$1:$B33)&amp;"_"&amp;C33,IF(ISBLANK(J33)=FALSE,LOOKUP(2,1/($A$1:$A33&lt;&gt;""),$A$1:$A33)&amp;"_"&amp;B33,IF(ISBLANK(H33)=FALSE,A33,"")))</f>
        <v>AB_ELEC_PEAK</v>
      </c>
      <c r="G33" s="21"/>
      <c r="H33" s="21"/>
      <c r="I33" s="21"/>
      <c r="J33" s="21"/>
      <c r="K33" s="28"/>
      <c r="L33" s="21"/>
      <c r="N33" s="62" t="s">
        <v>7</v>
      </c>
    </row>
    <row r="34" spans="1:14" outlineLevel="2" x14ac:dyDescent="0.25">
      <c r="A34" s="19" t="str">
        <f>IF(ISTEXT($H34),INDEX(Hierarchy!$A:$A,MATCH($H34,Hierarchy!$D:$D,0)),"")</f>
        <v/>
      </c>
      <c r="B34" s="19" t="str">
        <f>IF(ISTEXT($J34),INDEX(Hierarchy!$B:$B,MATCH($J34,Hierarchy!$D:$D,0)),"")</f>
        <v/>
      </c>
      <c r="C34" s="19" t="str">
        <f>IF(COUNTA($L34:$Z34)&gt;0,INDEX(Hierarchy!$C:$C,MATCH(LOOKUP(2,1/($L34:$Z34&lt;&gt;""),$L34:$Z34),Hierarchy!$D:$D,0)),"")</f>
        <v/>
      </c>
      <c r="D34" s="19" t="str">
        <f>IF(COUNTA($L34:$Z34)&gt;0,LOOKUP(2,1/($A$1:$A34&lt;&gt;""),$A$1:$A34)&amp;"_"&amp;LOOKUP(2,1/($B$1:$B34&lt;&gt;""),$B$1:$B34)&amp;"_"&amp;C34,IF(ISBLANK(J34)=FALSE,LOOKUP(2,1/($A$1:$A34&lt;&gt;""),$A$1:$A34)&amp;"_"&amp;B34,IF(ISBLANK(H34)=FALSE,A34,"")))</f>
        <v/>
      </c>
      <c r="G34" s="21"/>
      <c r="H34" s="21"/>
      <c r="I34" s="21"/>
      <c r="J34" s="21"/>
      <c r="K34" s="29"/>
      <c r="L34" s="21"/>
    </row>
    <row r="35" spans="1:14" outlineLevel="2" x14ac:dyDescent="0.25">
      <c r="A35" s="19" t="str">
        <f>IF(ISTEXT($H35),INDEX(Hierarchy!$A:$A,MATCH($H35,Hierarchy!$D:$D,0)),"")</f>
        <v/>
      </c>
      <c r="B35" s="19" t="str">
        <f>IF(ISTEXT($J35),INDEX(Hierarchy!$B:$B,MATCH($J35,Hierarchy!$D:$D,0)),"")</f>
        <v/>
      </c>
      <c r="C35" s="19" t="e">
        <f>IF(COUNTA($L35:$Z35)&gt;0,INDEX(Hierarchy!$C:$C,MATCH(LOOKUP(2,1/($L35:$Z35&lt;&gt;""),$L35:$Z35),Hierarchy!$D:$D,0)),"")</f>
        <v>#N/A</v>
      </c>
      <c r="D35" s="19" t="e">
        <f>IF(COUNTA($L35:$Z35)&gt;0,LOOKUP(2,1/($A$1:$A35&lt;&gt;""),$A$1:$A35)&amp;"_"&amp;LOOKUP(2,1/($B$1:$B35&lt;&gt;""),$B$1:$B35)&amp;"_"&amp;C35,IF(ISBLANK(J35)=FALSE,LOOKUP(2,1/($A$1:$A35&lt;&gt;""),$A$1:$A35)&amp;"_"&amp;B35,IF(ISBLANK(H35)=FALSE,A35,"")))</f>
        <v>#N/A</v>
      </c>
      <c r="L35" s="62" t="s">
        <v>107</v>
      </c>
    </row>
    <row r="36" spans="1:14" x14ac:dyDescent="0.25">
      <c r="A36" s="19" t="str">
        <f>IF(ISTEXT($H36),INDEX(Hierarchy!$A:$A,MATCH($H36,Hierarchy!$D:$D,0)),"")</f>
        <v/>
      </c>
      <c r="B36" s="19" t="str">
        <f>IF(ISTEXT($J36),INDEX(Hierarchy!$B:$B,MATCH($J36,Hierarchy!$D:$D,0)),"")</f>
        <v/>
      </c>
      <c r="C36" s="19" t="str">
        <f>IF(COUNTA($L36:$Z36)&gt;0,INDEX(Hierarchy!$C:$C,MATCH(LOOKUP(2,1/($L36:$Z36&lt;&gt;""),$L36:$Z36),Hierarchy!$D:$D,0)),"")</f>
        <v/>
      </c>
      <c r="D36" s="19" t="str">
        <f>IF(COUNTA($L36:$Z36)&gt;0,LOOKUP(2,1/($A$1:$A36&lt;&gt;""),$A$1:$A36)&amp;"_"&amp;LOOKUP(2,1/($B$1:$B36&lt;&gt;""),$B$1:$B36)&amp;"_"&amp;C36,IF(ISBLANK(J36)=FALSE,LOOKUP(2,1/($A$1:$A36&lt;&gt;""),$A$1:$A36)&amp;"_"&amp;B36,IF(ISBLANK(H36)=FALSE,A36,"")))</f>
        <v/>
      </c>
    </row>
    <row r="37" spans="1:14" x14ac:dyDescent="0.25">
      <c r="A37" s="19" t="str">
        <f>IF(ISTEXT($H37),INDEX(Hierarchy!$A:$A,MATCH($H37,Hierarchy!$D:$D,0)),"")</f>
        <v/>
      </c>
      <c r="B37" s="19" t="str">
        <f>IF(ISTEXT($J37),INDEX(Hierarchy!$B:$B,MATCH($J37,Hierarchy!$D:$D,0)),"")</f>
        <v/>
      </c>
      <c r="C37" s="19" t="str">
        <f>IF(COUNTA($L37:$Z37)&gt;0,INDEX(Hierarchy!$C:$C,MATCH(LOOKUP(2,1/($L37:$Z37&lt;&gt;""),$L37:$Z37),Hierarchy!$D:$D,0)),"")</f>
        <v/>
      </c>
      <c r="D37" s="19" t="str">
        <f>IF(COUNTA($L37:$Z37)&gt;0,LOOKUP(2,1/($A$1:$A37&lt;&gt;""),$A$1:$A37)&amp;"_"&amp;LOOKUP(2,1/($B$1:$B37&lt;&gt;""),$B$1:$B37)&amp;"_"&amp;C37,IF(ISBLANK(J37)=FALSE,LOOKUP(2,1/($A$1:$A37&lt;&gt;""),$A$1:$A37)&amp;"_"&amp;B37,IF(ISBLANK(H37)=FALSE,A37,"")))</f>
        <v/>
      </c>
    </row>
    <row r="38" spans="1:14" x14ac:dyDescent="0.25">
      <c r="A38" s="19" t="str">
        <f>IF(ISTEXT($H38),INDEX(Hierarchy!$A:$A,MATCH($H38,Hierarchy!$D:$D,0)),"")</f>
        <v/>
      </c>
      <c r="B38" s="19" t="str">
        <f>IF(ISTEXT($J38),INDEX(Hierarchy!$B:$B,MATCH($J38,Hierarchy!$D:$D,0)),"")</f>
        <v/>
      </c>
      <c r="C38" s="19" t="str">
        <f>IF(COUNTA($L38:$Z38)&gt;0,INDEX(Hierarchy!$C:$C,MATCH(LOOKUP(2,1/($L38:$Z38&lt;&gt;""),$L38:$Z38),Hierarchy!$D:$D,0)),"")</f>
        <v/>
      </c>
      <c r="D38" s="19" t="str">
        <f>IF(COUNTA($L38:$Z38)&gt;0,LOOKUP(2,1/($A$1:$A38&lt;&gt;""),$A$1:$A38)&amp;"_"&amp;LOOKUP(2,1/($B$1:$B38&lt;&gt;""),$B$1:$B38)&amp;"_"&amp;C38,IF(ISBLANK(J38)=FALSE,LOOKUP(2,1/($A$1:$A38&lt;&gt;""),$A$1:$A38)&amp;"_"&amp;B38,IF(ISBLANK(H38)=FALSE,A38,"")))</f>
        <v/>
      </c>
    </row>
    <row r="39" spans="1:14" x14ac:dyDescent="0.25">
      <c r="A39" s="19" t="str">
        <f>IF(ISTEXT($H39),INDEX(Hierarchy!$A:$A,MATCH($H39,Hierarchy!$D:$D,0)),"")</f>
        <v/>
      </c>
      <c r="B39" s="19" t="str">
        <f>IF(ISTEXT($J39),INDEX(Hierarchy!$B:$B,MATCH($J39,Hierarchy!$D:$D,0)),"")</f>
        <v/>
      </c>
      <c r="C39" s="19" t="str">
        <f>IF(COUNTA($L39:$Z39)&gt;0,INDEX(Hierarchy!$C:$C,MATCH(LOOKUP(2,1/($L39:$Z39&lt;&gt;""),$L39:$Z39),Hierarchy!$D:$D,0)),"")</f>
        <v/>
      </c>
      <c r="D39" s="19" t="str">
        <f>IF(COUNTA($L39:$Z39)&gt;0,LOOKUP(2,1/($A$1:$A39&lt;&gt;""),$A$1:$A39)&amp;"_"&amp;LOOKUP(2,1/($B$1:$B39&lt;&gt;""),$B$1:$B39)&amp;"_"&amp;C39,IF(ISBLANK(J39)=FALSE,LOOKUP(2,1/($A$1:$A39&lt;&gt;""),$A$1:$A39)&amp;"_"&amp;B39,IF(ISBLANK(H39)=FALSE,A39,"")))</f>
        <v/>
      </c>
    </row>
    <row r="40" spans="1:14" x14ac:dyDescent="0.25">
      <c r="A40" s="19" t="str">
        <f>IF(ISTEXT($H40),INDEX(Hierarchy!$A:$A,MATCH($H40,Hierarchy!$D:$D,0)),"")</f>
        <v/>
      </c>
      <c r="B40" s="19" t="str">
        <f>IF(ISTEXT($J40),INDEX(Hierarchy!$B:$B,MATCH($J40,Hierarchy!$D:$D,0)),"")</f>
        <v/>
      </c>
      <c r="C40" s="19" t="str">
        <f>IF(COUNTA($L40:$Z40)&gt;0,INDEX(Hierarchy!$C:$C,MATCH(LOOKUP(2,1/($L40:$Z40&lt;&gt;""),$L40:$Z40),Hierarchy!$D:$D,0)),"")</f>
        <v/>
      </c>
      <c r="D40" s="19" t="str">
        <f>IF(COUNTA($L40:$Z40)&gt;0,LOOKUP(2,1/($A$1:$A40&lt;&gt;""),$A$1:$A40)&amp;"_"&amp;LOOKUP(2,1/($B$1:$B40&lt;&gt;""),$B$1:$B40)&amp;"_"&amp;C40,IF(ISBLANK(J40)=FALSE,LOOKUP(2,1/($A$1:$A40&lt;&gt;""),$A$1:$A40)&amp;"_"&amp;B40,IF(ISBLANK(H40)=FALSE,A40,"")))</f>
        <v/>
      </c>
    </row>
    <row r="41" spans="1:14" x14ac:dyDescent="0.25">
      <c r="A41" s="19" t="str">
        <f>IF(ISTEXT($H41),INDEX(Hierarchy!$A:$A,MATCH($H41,Hierarchy!$D:$D,0)),"")</f>
        <v/>
      </c>
      <c r="B41" s="19" t="str">
        <f>IF(ISTEXT($J41),INDEX(Hierarchy!$B:$B,MATCH($J41,Hierarchy!$D:$D,0)),"")</f>
        <v/>
      </c>
      <c r="C41" s="19" t="str">
        <f>IF(COUNTA($L41:$Z41)&gt;0,INDEX(Hierarchy!$C:$C,MATCH(LOOKUP(2,1/($L41:$Z41&lt;&gt;""),$L41:$Z41),Hierarchy!$D:$D,0)),"")</f>
        <v/>
      </c>
      <c r="D41" s="19" t="str">
        <f>IF(COUNTA($L41:$Z41)&gt;0,LOOKUP(2,1/($A$1:$A41&lt;&gt;""),$A$1:$A41)&amp;"_"&amp;LOOKUP(2,1/($B$1:$B41&lt;&gt;""),$B$1:$B41)&amp;"_"&amp;C41,IF(ISBLANK(J41)=FALSE,LOOKUP(2,1/($A$1:$A41&lt;&gt;""),$A$1:$A41)&amp;"_"&amp;B41,IF(ISBLANK(H41)=FALSE,A41,"")))</f>
        <v/>
      </c>
    </row>
    <row r="42" spans="1:14" x14ac:dyDescent="0.25">
      <c r="A42" s="19" t="str">
        <f>IF(ISTEXT($H42),INDEX(Hierarchy!$A:$A,MATCH($H42,Hierarchy!$D:$D,0)),"")</f>
        <v/>
      </c>
      <c r="B42" s="19" t="str">
        <f>IF(ISTEXT($J42),INDEX(Hierarchy!$B:$B,MATCH($J42,Hierarchy!$D:$D,0)),"")</f>
        <v/>
      </c>
      <c r="C42" s="19" t="str">
        <f>IF(COUNTA($L42:$Z42)&gt;0,INDEX(Hierarchy!$C:$C,MATCH(LOOKUP(2,1/($L42:$Z42&lt;&gt;""),$L42:$Z42),Hierarchy!$D:$D,0)),"")</f>
        <v/>
      </c>
      <c r="D42" s="19" t="str">
        <f>IF(COUNTA($L42:$Z42)&gt;0,LOOKUP(2,1/($A$1:$A42&lt;&gt;""),$A$1:$A42)&amp;"_"&amp;LOOKUP(2,1/($B$1:$B42&lt;&gt;""),$B$1:$B42)&amp;"_"&amp;C42,IF(ISBLANK(J42)=FALSE,LOOKUP(2,1/($A$1:$A42&lt;&gt;""),$A$1:$A42)&amp;"_"&amp;B42,IF(ISBLANK(H42)=FALSE,A42,"")))</f>
        <v/>
      </c>
      <c r="F42" s="63" t="s">
        <v>114</v>
      </c>
    </row>
  </sheetData>
  <conditionalFormatting sqref="E1:Z42">
    <cfRule type="expression" dxfId="0" priority="1">
      <formula>ISNA(MATCH($D1,SheetsInFile,0))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231A-B0BC-4AAE-9D28-507E42F91F86}">
  <sheetPr codeName="Sheet9">
    <tabColor theme="7" tint="-0.499984740745262"/>
    <outlinePr summaryBelow="0" summaryRight="0"/>
  </sheetPr>
  <dimension ref="A1:BD7"/>
  <sheetViews>
    <sheetView zoomScale="85" zoomScaleNormal="85" workbookViewId="0">
      <pane xSplit="5" ySplit="4" topLeftCell="F5" activePane="bottomRight" state="frozen"/>
      <selection pane="topRight" activeCell="E1" sqref="E1"/>
      <selection pane="bottomLeft" activeCell="A6" sqref="A6"/>
      <selection pane="bottomRight" activeCell="B7" sqref="B7"/>
    </sheetView>
  </sheetViews>
  <sheetFormatPr defaultRowHeight="15" outlineLevelCol="1" x14ac:dyDescent="0.25"/>
  <cols>
    <col min="1" max="1" width="21" bestFit="1" customWidth="1"/>
    <col min="2" max="2" width="21" customWidth="1" collapsed="1"/>
    <col min="3" max="3" width="28.5703125" hidden="1" customWidth="1" outlineLevel="1"/>
    <col min="4" max="5" width="20" bestFit="1" customWidth="1"/>
    <col min="6" max="16" width="10.7109375" customWidth="1"/>
  </cols>
  <sheetData>
    <row r="1" spans="1:56" x14ac:dyDescent="0.25">
      <c r="A1" s="10" t="s">
        <v>80</v>
      </c>
    </row>
    <row r="2" spans="1:56" s="11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77</v>
      </c>
    </row>
    <row r="4" spans="1:56" s="50" customFormat="1" x14ac:dyDescent="0.25">
      <c r="A4" s="50" t="s">
        <v>11</v>
      </c>
      <c r="E4" s="50" t="s">
        <v>77</v>
      </c>
    </row>
    <row r="5" spans="1:56" x14ac:dyDescent="0.25">
      <c r="A5" t="s">
        <v>85</v>
      </c>
      <c r="D5" t="s">
        <v>59</v>
      </c>
      <c r="E5" t="s">
        <v>52</v>
      </c>
      <c r="F5">
        <v>0.2</v>
      </c>
    </row>
    <row r="6" spans="1:56" x14ac:dyDescent="0.25">
      <c r="A6" t="s">
        <v>76</v>
      </c>
      <c r="E6" t="s">
        <v>31</v>
      </c>
    </row>
    <row r="7" spans="1:56" x14ac:dyDescent="0.25">
      <c r="A7" t="s">
        <v>83</v>
      </c>
      <c r="B7" s="40" t="s">
        <v>9</v>
      </c>
      <c r="C7" t="str">
        <f>Hierarchy!$F$4</f>
        <v>Canada_Alberta</v>
      </c>
      <c r="D7" t="s">
        <v>78</v>
      </c>
      <c r="F7">
        <v>1</v>
      </c>
    </row>
  </sheetData>
  <autoFilter ref="A2:E2" xr:uid="{3FCE67BA-FF6F-43DA-801F-C9FACD0162A9}"/>
  <dataValidations count="1">
    <dataValidation type="list" allowBlank="1" showInputMessage="1" showErrorMessage="1" sqref="E6" xr:uid="{6E059059-D3A8-4BCB-97CF-8FC2C432E1CA}">
      <formula1>Competition</formula1>
    </dataValidation>
  </dataValidations>
  <hyperlinks>
    <hyperlink ref="A1" location="Map!A1" display="Tree Map" xr:uid="{9A8D5740-60DB-4801-B2FC-9D96C71FF0B2}"/>
    <hyperlink ref="B7" location="AB" display="Alberta" xr:uid="{17C8FEDA-01AC-48D6-85A2-43226A30C7DD}"/>
  </hyperlink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D828-D18E-4C60-921C-733DC3D0EF8A}">
  <sheetPr codeName="Sheet15">
    <tabColor rgb="FFFFC000"/>
    <outlinePr summaryBelow="0" summaryRight="0"/>
  </sheetPr>
  <dimension ref="A1:BD14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B10" sqref="B10"/>
    </sheetView>
  </sheetViews>
  <sheetFormatPr defaultRowHeight="15" outlineLevelCol="1" x14ac:dyDescent="0.25"/>
  <cols>
    <col min="1" max="1" width="19.5703125" bestFit="1" customWidth="1"/>
    <col min="2" max="2" width="17" bestFit="1" customWidth="1" collapsed="1"/>
    <col min="3" max="3" width="28.5703125" hidden="1" customWidth="1" outlineLevel="1"/>
    <col min="4" max="4" width="18.5703125" bestFit="1" customWidth="1"/>
    <col min="5" max="5" width="24.28515625" customWidth="1"/>
    <col min="6" max="16" width="10.7109375" customWidth="1"/>
  </cols>
  <sheetData>
    <row r="1" spans="1:56" x14ac:dyDescent="0.25">
      <c r="A1" s="10" t="s">
        <v>80</v>
      </c>
    </row>
    <row r="2" spans="1:56" s="11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9</v>
      </c>
    </row>
    <row r="4" spans="1:56" s="50" customFormat="1" x14ac:dyDescent="0.25">
      <c r="A4" s="50" t="s">
        <v>11</v>
      </c>
      <c r="E4" s="50" t="s">
        <v>141</v>
      </c>
    </row>
    <row r="5" spans="1:56" x14ac:dyDescent="0.25">
      <c r="A5" t="s">
        <v>82</v>
      </c>
      <c r="B5" t="s">
        <v>9</v>
      </c>
      <c r="D5" t="s">
        <v>70</v>
      </c>
      <c r="E5" t="s">
        <v>62</v>
      </c>
      <c r="F5" s="2">
        <v>2801421</v>
      </c>
      <c r="G5" s="2">
        <v>3223339</v>
      </c>
      <c r="H5" s="2">
        <v>3645257</v>
      </c>
      <c r="I5" s="2">
        <v>4067175</v>
      </c>
      <c r="J5" s="2">
        <v>4650000</v>
      </c>
      <c r="K5" s="2">
        <v>5000000</v>
      </c>
      <c r="L5" s="2">
        <v>5350000</v>
      </c>
      <c r="M5" s="2">
        <v>5700000</v>
      </c>
      <c r="N5" s="2">
        <v>6050000</v>
      </c>
      <c r="O5" s="2">
        <v>6400000</v>
      </c>
      <c r="P5" s="2">
        <v>6750000</v>
      </c>
    </row>
    <row r="6" spans="1:56" x14ac:dyDescent="0.25">
      <c r="A6" t="s">
        <v>82</v>
      </c>
      <c r="B6" t="s">
        <v>9</v>
      </c>
      <c r="D6" t="s">
        <v>69</v>
      </c>
      <c r="E6" t="s">
        <v>63</v>
      </c>
      <c r="F6">
        <v>211</v>
      </c>
      <c r="G6">
        <v>265</v>
      </c>
      <c r="H6">
        <v>290</v>
      </c>
      <c r="I6">
        <v>330</v>
      </c>
      <c r="J6">
        <f>I6*1.03</f>
        <v>339.90000000000003</v>
      </c>
      <c r="K6">
        <f t="shared" ref="K6:P6" si="0">J6*1.03</f>
        <v>350.09700000000004</v>
      </c>
      <c r="L6">
        <f t="shared" si="0"/>
        <v>360.59991000000002</v>
      </c>
      <c r="M6">
        <f t="shared" si="0"/>
        <v>371.41790730000002</v>
      </c>
      <c r="N6">
        <f t="shared" si="0"/>
        <v>382.56044451900004</v>
      </c>
      <c r="O6">
        <f t="shared" si="0"/>
        <v>394.03725785457004</v>
      </c>
      <c r="P6">
        <f t="shared" si="0"/>
        <v>405.85837559020717</v>
      </c>
    </row>
    <row r="7" spans="1:56" x14ac:dyDescent="0.25">
      <c r="A7" t="s">
        <v>85</v>
      </c>
      <c r="D7" t="s">
        <v>59</v>
      </c>
      <c r="E7" t="s">
        <v>52</v>
      </c>
      <c r="F7">
        <v>0.1</v>
      </c>
    </row>
    <row r="8" spans="1:56" x14ac:dyDescent="0.25">
      <c r="A8" t="s">
        <v>86</v>
      </c>
      <c r="D8" t="s">
        <v>59</v>
      </c>
      <c r="F8">
        <v>0.15</v>
      </c>
    </row>
    <row r="9" spans="1:56" x14ac:dyDescent="0.25">
      <c r="A9" t="s">
        <v>76</v>
      </c>
      <c r="E9" t="s">
        <v>31</v>
      </c>
    </row>
    <row r="10" spans="1:56" x14ac:dyDescent="0.25">
      <c r="A10" t="s">
        <v>83</v>
      </c>
      <c r="B10" s="40" t="s">
        <v>0</v>
      </c>
      <c r="C10" t="str">
        <f>Hierarchy!$F$5</f>
        <v>Alberta_Residential</v>
      </c>
      <c r="D10" t="s">
        <v>66</v>
      </c>
      <c r="E10" t="s">
        <v>111</v>
      </c>
      <c r="F10" s="4">
        <f t="shared" ref="F10:P10" si="1">1/F11</f>
        <v>0.38461538461538458</v>
      </c>
      <c r="G10" s="4">
        <f t="shared" si="1"/>
        <v>0.38461538461538458</v>
      </c>
      <c r="H10" s="4">
        <f t="shared" si="1"/>
        <v>0.38461538461538458</v>
      </c>
      <c r="I10" s="4">
        <f t="shared" si="1"/>
        <v>0.38461538461538458</v>
      </c>
      <c r="J10" s="4">
        <f t="shared" si="1"/>
        <v>0.38461538461538458</v>
      </c>
      <c r="K10" s="4">
        <f t="shared" si="1"/>
        <v>0.38461538461538458</v>
      </c>
      <c r="L10" s="4">
        <f t="shared" si="1"/>
        <v>0.38461538461538458</v>
      </c>
      <c r="M10" s="4">
        <f t="shared" si="1"/>
        <v>0.38461538461538458</v>
      </c>
      <c r="N10" s="4">
        <f t="shared" si="1"/>
        <v>0.38461538461538458</v>
      </c>
      <c r="O10" s="4">
        <f t="shared" si="1"/>
        <v>0.38461538461538458</v>
      </c>
      <c r="P10" s="4">
        <f t="shared" si="1"/>
        <v>0.38461538461538458</v>
      </c>
    </row>
    <row r="11" spans="1:56" x14ac:dyDescent="0.25">
      <c r="D11" t="s">
        <v>67</v>
      </c>
      <c r="F11">
        <v>2.6</v>
      </c>
      <c r="G11">
        <v>2.6</v>
      </c>
      <c r="H11">
        <v>2.6</v>
      </c>
      <c r="I11">
        <v>2.6</v>
      </c>
      <c r="J11">
        <v>2.6</v>
      </c>
      <c r="K11">
        <v>2.6</v>
      </c>
      <c r="L11">
        <v>2.6</v>
      </c>
      <c r="M11">
        <v>2.6</v>
      </c>
      <c r="N11">
        <v>2.6</v>
      </c>
      <c r="O11">
        <v>2.6</v>
      </c>
      <c r="P11">
        <v>2.6</v>
      </c>
    </row>
    <row r="12" spans="1:56" x14ac:dyDescent="0.25">
      <c r="A12" t="s">
        <v>54</v>
      </c>
      <c r="D12" t="s">
        <v>59</v>
      </c>
      <c r="E12" t="s">
        <v>79</v>
      </c>
      <c r="F12">
        <v>0.6</v>
      </c>
    </row>
    <row r="14" spans="1:56" x14ac:dyDescent="0.25">
      <c r="A14" t="s">
        <v>60</v>
      </c>
      <c r="D14" t="s">
        <v>68</v>
      </c>
      <c r="E14" t="s">
        <v>71</v>
      </c>
      <c r="F14" s="6">
        <f>AB!F5*F10</f>
        <v>1077469.6153846153</v>
      </c>
      <c r="G14" s="5">
        <f>AB!G5*G10</f>
        <v>1239745.769230769</v>
      </c>
      <c r="H14" s="6">
        <f>AB!H5*H10</f>
        <v>1402021.923076923</v>
      </c>
      <c r="I14" s="6">
        <f>AB!I5*I10</f>
        <v>1564298.0769230768</v>
      </c>
      <c r="J14" s="6">
        <f>AB!J5*J10</f>
        <v>1788461.5384615383</v>
      </c>
      <c r="K14" s="6">
        <f>AB!K5*K10</f>
        <v>1923076.923076923</v>
      </c>
      <c r="L14" s="6">
        <f>AB!L5*L10</f>
        <v>2057692.3076923075</v>
      </c>
      <c r="M14" s="6">
        <f>AB!M5*M10</f>
        <v>2192307.692307692</v>
      </c>
      <c r="N14" s="6">
        <f>AB!N5*N10</f>
        <v>2326923.0769230765</v>
      </c>
      <c r="O14" s="6">
        <f>AB!O5*O10</f>
        <v>2461538.4615384615</v>
      </c>
      <c r="P14" s="6">
        <f>AB!P5*P10</f>
        <v>2596153.846153846</v>
      </c>
    </row>
  </sheetData>
  <autoFilter ref="A2:E2" xr:uid="{ABFB41BB-D422-47E7-8B2C-4DC859D1878F}"/>
  <dataValidations count="1">
    <dataValidation type="list" allowBlank="1" showInputMessage="1" showErrorMessage="1" sqref="E9" xr:uid="{D862190C-3692-4409-8BC4-F1451929385F}">
      <formula1>Competition</formula1>
    </dataValidation>
  </dataValidations>
  <hyperlinks>
    <hyperlink ref="A1" location="Map!A1" display="Tree Map" xr:uid="{035D241A-FF6D-4CF4-B1D4-865A594CCDFF}"/>
    <hyperlink ref="B10" location="AB_RES" display="Residential" xr:uid="{22882933-22F4-46E7-9F77-75671209D172}"/>
  </hyperlink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7CED8-9365-43A5-802D-9C54E4C44844}">
  <sheetPr codeName="Sheet2">
    <tabColor rgb="FF00B050"/>
    <outlinePr summaryBelow="0" summaryRight="0"/>
  </sheetPr>
  <dimension ref="A1:BD23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B7" sqref="B7"/>
    </sheetView>
  </sheetViews>
  <sheetFormatPr defaultRowHeight="15" outlineLevelCol="1" x14ac:dyDescent="0.25"/>
  <cols>
    <col min="1" max="1" width="21" bestFit="1" customWidth="1"/>
    <col min="2" max="2" width="17" bestFit="1" customWidth="1" collapsed="1"/>
    <col min="3" max="3" width="28.5703125" hidden="1" customWidth="1" outlineLevel="1"/>
    <col min="4" max="4" width="25.28515625" bestFit="1" customWidth="1"/>
    <col min="5" max="5" width="36.140625" bestFit="1" customWidth="1"/>
    <col min="6" max="16" width="11.7109375" customWidth="1"/>
  </cols>
  <sheetData>
    <row r="1" spans="1:56" x14ac:dyDescent="0.25">
      <c r="A1" s="10" t="s">
        <v>80</v>
      </c>
    </row>
    <row r="2" spans="1:56" s="11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0</v>
      </c>
    </row>
    <row r="4" spans="1:56" s="50" customFormat="1" x14ac:dyDescent="0.25">
      <c r="A4" s="50" t="s">
        <v>11</v>
      </c>
      <c r="E4" s="50" t="s">
        <v>140</v>
      </c>
    </row>
    <row r="5" spans="1:56" x14ac:dyDescent="0.25">
      <c r="A5" t="s">
        <v>82</v>
      </c>
      <c r="B5" t="s">
        <v>0</v>
      </c>
      <c r="E5" t="s">
        <v>72</v>
      </c>
    </row>
    <row r="6" spans="1:56" x14ac:dyDescent="0.25">
      <c r="A6" t="s">
        <v>76</v>
      </c>
      <c r="E6" t="s">
        <v>31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1:56" x14ac:dyDescent="0.25">
      <c r="A7" t="s">
        <v>83</v>
      </c>
      <c r="B7" s="40" t="s">
        <v>1</v>
      </c>
      <c r="C7" t="str">
        <f>Hierarchy!$F$6</f>
        <v>Alberta_Residential_Building</v>
      </c>
      <c r="D7" t="s">
        <v>64</v>
      </c>
      <c r="E7" t="s">
        <v>110</v>
      </c>
      <c r="F7" s="3">
        <v>121</v>
      </c>
      <c r="G7" s="3">
        <v>134</v>
      </c>
      <c r="H7" s="3">
        <v>134.30000000000001</v>
      </c>
      <c r="I7" s="3">
        <v>134.6</v>
      </c>
      <c r="J7" s="3">
        <v>134.9</v>
      </c>
      <c r="K7" s="3">
        <v>135.19999999999999</v>
      </c>
      <c r="L7" s="3">
        <v>135.5</v>
      </c>
      <c r="M7" s="3">
        <v>135.80000000000001</v>
      </c>
      <c r="N7" s="3">
        <v>136.1</v>
      </c>
      <c r="O7" s="3">
        <v>136.4</v>
      </c>
      <c r="P7" s="3">
        <v>136.69999999999999</v>
      </c>
    </row>
    <row r="8" spans="1:56" x14ac:dyDescent="0.25">
      <c r="A8" t="s">
        <v>12</v>
      </c>
      <c r="E8" t="s">
        <v>44</v>
      </c>
      <c r="F8" s="3">
        <v>0.4</v>
      </c>
      <c r="G8" s="3"/>
      <c r="H8" s="3"/>
      <c r="I8" s="3"/>
      <c r="J8" s="3"/>
      <c r="K8" s="3"/>
      <c r="L8" s="3"/>
      <c r="M8" s="3"/>
      <c r="N8" s="3"/>
      <c r="O8" s="3"/>
      <c r="P8" s="3"/>
    </row>
    <row r="9" spans="1:56" x14ac:dyDescent="0.25">
      <c r="A9" t="s">
        <v>85</v>
      </c>
      <c r="D9" t="s">
        <v>59</v>
      </c>
      <c r="E9" t="s">
        <v>52</v>
      </c>
      <c r="F9" s="3">
        <v>0.1</v>
      </c>
      <c r="G9" s="3"/>
      <c r="H9" s="3"/>
      <c r="I9" s="3"/>
      <c r="J9" s="3"/>
      <c r="K9" s="3"/>
      <c r="L9" s="3"/>
      <c r="M9" s="3"/>
      <c r="N9" s="3"/>
      <c r="O9" s="3"/>
      <c r="P9" s="3"/>
    </row>
    <row r="10" spans="1:56" x14ac:dyDescent="0.25">
      <c r="A10" t="s">
        <v>86</v>
      </c>
      <c r="D10" t="s">
        <v>59</v>
      </c>
      <c r="F10" s="3">
        <v>0.15</v>
      </c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56" x14ac:dyDescent="0.25">
      <c r="A11" t="s">
        <v>27</v>
      </c>
      <c r="E11" t="s">
        <v>53</v>
      </c>
      <c r="F11" s="3">
        <v>1</v>
      </c>
      <c r="G11" s="3"/>
      <c r="H11" s="3"/>
      <c r="I11" s="3"/>
      <c r="J11" s="3"/>
      <c r="K11" s="3"/>
      <c r="L11" s="3"/>
      <c r="M11" s="3"/>
      <c r="N11" s="3"/>
      <c r="O11" s="3"/>
      <c r="P11" s="3"/>
    </row>
    <row r="12" spans="1:56" x14ac:dyDescent="0.25">
      <c r="A12" t="s">
        <v>16</v>
      </c>
      <c r="D12" t="s">
        <v>22</v>
      </c>
      <c r="E12" t="s">
        <v>17</v>
      </c>
      <c r="F12" s="3">
        <v>19</v>
      </c>
      <c r="G12" s="3">
        <v>25</v>
      </c>
      <c r="H12" s="3">
        <v>29</v>
      </c>
      <c r="I12" s="3">
        <v>32</v>
      </c>
      <c r="J12" s="3">
        <v>32.64</v>
      </c>
      <c r="K12" s="3">
        <v>33.2928</v>
      </c>
      <c r="L12" s="3">
        <v>33.958655999999998</v>
      </c>
      <c r="M12" s="3">
        <v>34.637829119999999</v>
      </c>
      <c r="N12" s="3">
        <v>35.330585702400001</v>
      </c>
      <c r="O12" s="3">
        <v>36.037197416448002</v>
      </c>
      <c r="P12" s="3">
        <v>36.757941364776961</v>
      </c>
    </row>
    <row r="13" spans="1:56" x14ac:dyDescent="0.25">
      <c r="A13" t="s">
        <v>16</v>
      </c>
      <c r="D13" t="s">
        <v>22</v>
      </c>
      <c r="E13" t="s">
        <v>18</v>
      </c>
      <c r="F13" s="3">
        <v>20</v>
      </c>
      <c r="G13" s="3">
        <v>26</v>
      </c>
      <c r="H13" s="3">
        <v>30</v>
      </c>
      <c r="I13" s="3">
        <v>33</v>
      </c>
      <c r="J13" s="3">
        <v>33.660000000000004</v>
      </c>
      <c r="K13" s="3">
        <v>34.333200000000005</v>
      </c>
      <c r="L13" s="3">
        <v>35.019864000000005</v>
      </c>
      <c r="M13" s="3">
        <v>35.72026128000001</v>
      </c>
      <c r="N13" s="3">
        <v>36.434666505600013</v>
      </c>
      <c r="O13" s="3">
        <v>37.163359835712015</v>
      </c>
      <c r="P13" s="3">
        <v>37.906627032426258</v>
      </c>
    </row>
    <row r="14" spans="1:56" x14ac:dyDescent="0.25">
      <c r="A14" t="s">
        <v>16</v>
      </c>
      <c r="D14" t="s">
        <v>22</v>
      </c>
      <c r="E14" t="s">
        <v>19</v>
      </c>
      <c r="F14" s="3">
        <v>11</v>
      </c>
      <c r="G14" s="3">
        <v>7</v>
      </c>
      <c r="H14" s="3">
        <v>4</v>
      </c>
      <c r="I14" s="3">
        <v>6</v>
      </c>
      <c r="J14" s="3">
        <v>6.12</v>
      </c>
      <c r="K14" s="3">
        <v>6.2423999999999999</v>
      </c>
      <c r="L14" s="3">
        <v>6.367248</v>
      </c>
      <c r="M14" s="3">
        <v>6.4945929600000003</v>
      </c>
      <c r="N14" s="3">
        <v>6.6244848192000001</v>
      </c>
      <c r="O14" s="3">
        <v>6.756974515584</v>
      </c>
      <c r="P14" s="3">
        <v>6.8921140058956798</v>
      </c>
    </row>
    <row r="15" spans="1:56" x14ac:dyDescent="0.25">
      <c r="A15" t="s">
        <v>16</v>
      </c>
      <c r="D15" t="s">
        <v>22</v>
      </c>
      <c r="E15" t="s">
        <v>4</v>
      </c>
      <c r="F15" s="3">
        <v>22</v>
      </c>
      <c r="G15" s="3">
        <v>26</v>
      </c>
      <c r="H15" s="3">
        <v>34</v>
      </c>
      <c r="I15" s="3">
        <v>31</v>
      </c>
      <c r="J15" s="3">
        <v>31.62</v>
      </c>
      <c r="K15" s="3">
        <v>32.252400000000002</v>
      </c>
      <c r="L15" s="3">
        <v>32.897448000000004</v>
      </c>
      <c r="M15" s="3">
        <v>33.555396960000003</v>
      </c>
      <c r="N15" s="3">
        <v>34.226504899200002</v>
      </c>
      <c r="O15" s="3">
        <v>34.911034997184004</v>
      </c>
      <c r="P15" s="3">
        <v>35.609255697127686</v>
      </c>
    </row>
    <row r="16" spans="1:56" x14ac:dyDescent="0.25">
      <c r="A16" t="s">
        <v>16</v>
      </c>
      <c r="D16" t="s">
        <v>22</v>
      </c>
      <c r="E16" t="s">
        <v>20</v>
      </c>
      <c r="F16" s="3">
        <v>12</v>
      </c>
      <c r="G16" s="3">
        <v>12</v>
      </c>
      <c r="H16" s="3">
        <v>12</v>
      </c>
      <c r="I16" s="3">
        <v>12</v>
      </c>
      <c r="J16" s="3">
        <v>12.24</v>
      </c>
      <c r="K16" s="3">
        <v>12.4848</v>
      </c>
      <c r="L16" s="3">
        <v>12.734496</v>
      </c>
      <c r="M16" s="3">
        <v>12.989185920000001</v>
      </c>
      <c r="N16" s="3">
        <v>13.2489696384</v>
      </c>
      <c r="O16" s="3">
        <v>13.513949031168</v>
      </c>
      <c r="P16" s="3">
        <v>13.78422801179136</v>
      </c>
    </row>
    <row r="17" spans="1:16" x14ac:dyDescent="0.25">
      <c r="A17" t="s">
        <v>16</v>
      </c>
      <c r="D17" t="s">
        <v>23</v>
      </c>
      <c r="E17" t="s">
        <v>24</v>
      </c>
      <c r="F17" s="3">
        <v>0</v>
      </c>
      <c r="G17" s="3">
        <v>0</v>
      </c>
      <c r="H17" s="3">
        <v>0</v>
      </c>
      <c r="I17" s="3">
        <v>0</v>
      </c>
      <c r="J17" s="3">
        <v>20</v>
      </c>
      <c r="K17" s="3">
        <v>50</v>
      </c>
      <c r="L17" s="3">
        <v>70</v>
      </c>
      <c r="M17" s="3">
        <v>70</v>
      </c>
      <c r="N17" s="3">
        <v>70</v>
      </c>
      <c r="O17" s="3">
        <v>70</v>
      </c>
      <c r="P17" s="3">
        <v>70</v>
      </c>
    </row>
    <row r="18" spans="1:16" x14ac:dyDescent="0.25">
      <c r="A18" t="s">
        <v>16</v>
      </c>
      <c r="D18" t="s">
        <v>23</v>
      </c>
      <c r="E18" t="s">
        <v>25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0</v>
      </c>
      <c r="O18" s="3">
        <v>0</v>
      </c>
      <c r="P18" s="3">
        <v>0</v>
      </c>
    </row>
    <row r="19" spans="1:16" x14ac:dyDescent="0.25">
      <c r="A19" t="s">
        <v>16</v>
      </c>
      <c r="D19" t="s">
        <v>23</v>
      </c>
      <c r="E19" t="s">
        <v>26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</row>
    <row r="21" spans="1:16" x14ac:dyDescent="0.25">
      <c r="A21" t="s">
        <v>60</v>
      </c>
      <c r="D21" t="s">
        <v>46</v>
      </c>
      <c r="E21" t="s">
        <v>61</v>
      </c>
      <c r="F21" s="6">
        <f>AB!F14*F7</f>
        <v>130373823.46153845</v>
      </c>
      <c r="G21" s="6">
        <f>AB!G14*G7</f>
        <v>166125933.07692304</v>
      </c>
      <c r="H21" s="6">
        <f>AB!H14*H7</f>
        <v>188291544.26923078</v>
      </c>
      <c r="I21" s="6">
        <f>AB!I14*I7</f>
        <v>210554521.15384611</v>
      </c>
      <c r="J21" s="6">
        <f>AB!J14*J7</f>
        <v>241263461.53846154</v>
      </c>
      <c r="K21" s="6">
        <f>AB!K14*K7</f>
        <v>259999999.99999997</v>
      </c>
      <c r="L21" s="6">
        <f>AB!L14*L7</f>
        <v>278817307.69230765</v>
      </c>
      <c r="M21" s="6">
        <f>AB!M14*M7</f>
        <v>297715384.61538458</v>
      </c>
      <c r="N21" s="6">
        <f>AB!N14*N7</f>
        <v>316694230.76923072</v>
      </c>
      <c r="O21" s="6">
        <f>AB!O14*O7</f>
        <v>335753846.15384614</v>
      </c>
      <c r="P21" s="6">
        <f>AB!P14*P7</f>
        <v>354894230.76923072</v>
      </c>
    </row>
    <row r="23" spans="1:16" x14ac:dyDescent="0.25">
      <c r="I23" s="2"/>
    </row>
  </sheetData>
  <autoFilter ref="A2:E2" xr:uid="{F0FFEF38-8549-4410-B8C7-A8DA53AEDB12}"/>
  <dataValidations count="1">
    <dataValidation type="list" allowBlank="1" showInputMessage="1" showErrorMessage="1" sqref="E6" xr:uid="{7113B1D8-3C8F-441A-914A-24DBF248DFC7}">
      <formula1>Competition</formula1>
    </dataValidation>
  </dataValidations>
  <hyperlinks>
    <hyperlink ref="A1" location="Map!A1" display="Tree Map" xr:uid="{8911D916-8B37-43BB-A740-DBB52664C2D5}"/>
    <hyperlink ref="B7" location="AB_RES_BLDG" display="Building" xr:uid="{15F993C5-5604-4887-A7FB-9C5CAB0347CD}"/>
  </hyperlinks>
  <pageMargins left="0.7" right="0.7" top="0.75" bottom="0.75" header="0.3" footer="0.3"/>
  <pageSetup orientation="portrait" horizontalDpi="4294967293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BC97C-C45E-4AD7-8D5D-0514C0C0A944}">
  <sheetPr codeName="Sheet3">
    <tabColor rgb="FF92D050"/>
    <outlinePr summaryBelow="0" summaryRight="0"/>
  </sheetPr>
  <dimension ref="A1:BD15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B8" sqref="B8"/>
    </sheetView>
  </sheetViews>
  <sheetFormatPr defaultRowHeight="15" outlineLevelCol="1" x14ac:dyDescent="0.25"/>
  <cols>
    <col min="1" max="1" width="18.85546875" bestFit="1" customWidth="1"/>
    <col min="2" max="2" width="17" bestFit="1" customWidth="1" collapsed="1"/>
    <col min="3" max="3" width="35.140625" hidden="1" customWidth="1" outlineLevel="1"/>
    <col min="4" max="4" width="17" bestFit="1" customWidth="1"/>
    <col min="5" max="5" width="45.140625" bestFit="1" customWidth="1"/>
    <col min="6" max="16" width="13.5703125" customWidth="1"/>
  </cols>
  <sheetData>
    <row r="1" spans="1:56" x14ac:dyDescent="0.25">
      <c r="A1" s="10" t="s">
        <v>80</v>
      </c>
    </row>
    <row r="2" spans="1:56" s="13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1</v>
      </c>
    </row>
    <row r="4" spans="1:56" s="50" customFormat="1" x14ac:dyDescent="0.25">
      <c r="A4" s="50" t="s">
        <v>11</v>
      </c>
      <c r="E4" s="50" t="s">
        <v>139</v>
      </c>
    </row>
    <row r="5" spans="1:56" x14ac:dyDescent="0.25">
      <c r="A5" t="s">
        <v>82</v>
      </c>
      <c r="B5" t="s">
        <v>1</v>
      </c>
      <c r="E5" t="s">
        <v>46</v>
      </c>
    </row>
    <row r="6" spans="1:56" x14ac:dyDescent="0.25">
      <c r="A6" t="s">
        <v>76</v>
      </c>
      <c r="E6" t="s">
        <v>73</v>
      </c>
    </row>
    <row r="7" spans="1:56" x14ac:dyDescent="0.25">
      <c r="A7" t="s">
        <v>83</v>
      </c>
      <c r="B7" s="76" t="s">
        <v>2</v>
      </c>
      <c r="C7" t="str">
        <f>Hierarchy!$F$8</f>
        <v>Alberta_Residential_Building_Shell</v>
      </c>
      <c r="D7" t="s">
        <v>84</v>
      </c>
      <c r="E7" t="s">
        <v>32</v>
      </c>
      <c r="F7" s="4">
        <v>0.719409242</v>
      </c>
      <c r="G7" s="4">
        <v>0.71950000000000003</v>
      </c>
      <c r="H7" s="4">
        <v>0.71899999999999997</v>
      </c>
      <c r="I7" s="4">
        <v>0.71850000000000003</v>
      </c>
      <c r="J7" s="4">
        <v>0.71799999999999997</v>
      </c>
      <c r="K7" s="4">
        <v>0.71750000000000003</v>
      </c>
      <c r="L7" s="4">
        <v>0.71699999999999997</v>
      </c>
      <c r="M7" s="4">
        <v>0.71650000000000003</v>
      </c>
      <c r="N7" s="4">
        <v>0.71599999999999997</v>
      </c>
      <c r="O7" s="4">
        <v>0.71550000000000002</v>
      </c>
      <c r="P7" s="4">
        <v>0.71500000000000097</v>
      </c>
    </row>
    <row r="8" spans="1:56" x14ac:dyDescent="0.25">
      <c r="A8" t="s">
        <v>83</v>
      </c>
      <c r="B8" s="76" t="s">
        <v>2</v>
      </c>
      <c r="C8" t="str">
        <f>Hierarchy!$F$8</f>
        <v>Alberta_Residential_Building_Shell</v>
      </c>
      <c r="D8" t="s">
        <v>84</v>
      </c>
      <c r="E8" t="s">
        <v>33</v>
      </c>
      <c r="F8" s="4">
        <v>0.1</v>
      </c>
      <c r="G8" s="4">
        <v>0.10100000000000001</v>
      </c>
      <c r="H8" s="4">
        <v>0.10199999999999999</v>
      </c>
      <c r="I8" s="4">
        <v>0.10299999999999999</v>
      </c>
      <c r="J8" s="4">
        <v>0.104</v>
      </c>
      <c r="K8" s="4">
        <v>0.105</v>
      </c>
      <c r="L8" s="4">
        <v>0.106</v>
      </c>
      <c r="M8" s="4">
        <v>0.107</v>
      </c>
      <c r="N8" s="4">
        <v>0.108</v>
      </c>
      <c r="O8" s="4">
        <v>0.109</v>
      </c>
      <c r="P8" s="4">
        <v>0.11</v>
      </c>
    </row>
    <row r="9" spans="1:56" x14ac:dyDescent="0.25">
      <c r="A9" t="s">
        <v>83</v>
      </c>
      <c r="B9" s="76" t="s">
        <v>2</v>
      </c>
      <c r="C9" t="str">
        <f>Hierarchy!$F$8</f>
        <v>Alberta_Residential_Building_Shell</v>
      </c>
      <c r="D9" t="s">
        <v>84</v>
      </c>
      <c r="E9" t="s">
        <v>34</v>
      </c>
      <c r="F9" s="4">
        <v>0.14000000000000001</v>
      </c>
      <c r="G9" s="4">
        <v>0.13950000000000001</v>
      </c>
      <c r="H9" s="4">
        <v>0.13900000000000001</v>
      </c>
      <c r="I9" s="4">
        <v>0.13850000000000001</v>
      </c>
      <c r="J9" s="4">
        <v>0.13800000000000001</v>
      </c>
      <c r="K9" s="4">
        <v>0.13750000000000001</v>
      </c>
      <c r="L9" s="4">
        <v>0.13700000000000001</v>
      </c>
      <c r="M9" s="4">
        <v>0.13650000000000001</v>
      </c>
      <c r="N9" s="4">
        <v>0.13600000000000001</v>
      </c>
      <c r="O9" s="4">
        <v>0.13550000000000001</v>
      </c>
      <c r="P9" s="4">
        <v>0.13500000000000001</v>
      </c>
    </row>
    <row r="10" spans="1:56" x14ac:dyDescent="0.25">
      <c r="A10" t="s">
        <v>83</v>
      </c>
      <c r="B10" s="76" t="s">
        <v>2</v>
      </c>
      <c r="C10" t="str">
        <f>Hierarchy!$F$8</f>
        <v>Alberta_Residential_Building_Shell</v>
      </c>
      <c r="D10" t="s">
        <v>84</v>
      </c>
      <c r="E10" t="s">
        <v>35</v>
      </c>
      <c r="F10" s="4">
        <f>1-SUM(F7:F9)</f>
        <v>4.0590758000000005E-2</v>
      </c>
      <c r="G10" s="4">
        <f t="shared" ref="G10:P10" si="0">1-SUM(G7:G9)</f>
        <v>4.0000000000000036E-2</v>
      </c>
      <c r="H10" s="4">
        <f t="shared" si="0"/>
        <v>4.0000000000000036E-2</v>
      </c>
      <c r="I10" s="4">
        <f t="shared" si="0"/>
        <v>4.0000000000000036E-2</v>
      </c>
      <c r="J10" s="4">
        <f t="shared" si="0"/>
        <v>4.0000000000000036E-2</v>
      </c>
      <c r="K10" s="4">
        <f t="shared" si="0"/>
        <v>4.0000000000000036E-2</v>
      </c>
      <c r="L10" s="4">
        <f t="shared" si="0"/>
        <v>4.0000000000000036E-2</v>
      </c>
      <c r="M10" s="4">
        <f t="shared" si="0"/>
        <v>4.0000000000000036E-2</v>
      </c>
      <c r="N10" s="4">
        <f t="shared" si="0"/>
        <v>4.0000000000000036E-2</v>
      </c>
      <c r="O10" s="4">
        <f t="shared" si="0"/>
        <v>4.0000000000000036E-2</v>
      </c>
      <c r="P10" s="4">
        <f t="shared" si="0"/>
        <v>3.9999999999999036E-2</v>
      </c>
    </row>
    <row r="12" spans="1:56" x14ac:dyDescent="0.25">
      <c r="A12" t="s">
        <v>60</v>
      </c>
      <c r="D12" t="s">
        <v>46</v>
      </c>
      <c r="E12" t="s">
        <v>32</v>
      </c>
      <c r="F12" s="6">
        <f>AB_RES!F$21*F7</f>
        <v>93792133.513107195</v>
      </c>
      <c r="G12" s="6">
        <f>AB_RES!G$21*G7</f>
        <v>119527608.84884614</v>
      </c>
      <c r="H12" s="6">
        <f>AB_RES!H$21*H7</f>
        <v>135381620.32957694</v>
      </c>
      <c r="I12" s="6">
        <f>AB_RES!I$21*I7</f>
        <v>151283423.44903845</v>
      </c>
      <c r="J12" s="6">
        <f>AB_RES!J$21*J7</f>
        <v>173227165.38461536</v>
      </c>
      <c r="K12" s="6">
        <f>AB_RES!K$21*K7</f>
        <v>186550000</v>
      </c>
      <c r="L12" s="6">
        <f>AB_RES!L$21*L7</f>
        <v>199912009.61538458</v>
      </c>
      <c r="M12" s="6">
        <f>AB_RES!M$21*M7</f>
        <v>213313073.07692307</v>
      </c>
      <c r="N12" s="6">
        <f>AB_RES!N$21*N7</f>
        <v>226753069.23076919</v>
      </c>
      <c r="O12" s="6">
        <f>AB_RES!O$21*O7</f>
        <v>240231876.92307693</v>
      </c>
      <c r="P12" s="6">
        <f>AB_RES!P$21*P7</f>
        <v>253749375.0000003</v>
      </c>
    </row>
    <row r="13" spans="1:56" x14ac:dyDescent="0.25">
      <c r="A13" t="s">
        <v>60</v>
      </c>
      <c r="D13" t="s">
        <v>46</v>
      </c>
      <c r="E13" t="s">
        <v>33</v>
      </c>
      <c r="F13" s="6">
        <f>AB_RES!F$21*F8</f>
        <v>13037382.346153846</v>
      </c>
      <c r="G13" s="6">
        <f>AB_RES!G$21*G8</f>
        <v>16778719.24076923</v>
      </c>
      <c r="H13" s="6">
        <f>AB_RES!H$21*H8</f>
        <v>19205737.515461538</v>
      </c>
      <c r="I13" s="6">
        <f>AB_RES!I$21*I8</f>
        <v>21687115.678846147</v>
      </c>
      <c r="J13" s="6">
        <f>AB_RES!J$21*J8</f>
        <v>25091400</v>
      </c>
      <c r="K13" s="6">
        <f>AB_RES!K$21*K8</f>
        <v>27299999.999999996</v>
      </c>
      <c r="L13" s="6">
        <f>AB_RES!L$21*L8</f>
        <v>29554634.615384609</v>
      </c>
      <c r="M13" s="6">
        <f>AB_RES!M$21*M8</f>
        <v>31855546.153846148</v>
      </c>
      <c r="N13" s="6">
        <f>AB_RES!N$21*N8</f>
        <v>34202976.92307692</v>
      </c>
      <c r="O13" s="6">
        <f>AB_RES!O$21*O8</f>
        <v>36597169.230769232</v>
      </c>
      <c r="P13" s="6">
        <f>AB_RES!P$21*P8</f>
        <v>39038365.384615377</v>
      </c>
    </row>
    <row r="14" spans="1:56" x14ac:dyDescent="0.25">
      <c r="A14" t="s">
        <v>60</v>
      </c>
      <c r="D14" t="s">
        <v>46</v>
      </c>
      <c r="E14" t="s">
        <v>34</v>
      </c>
      <c r="F14" s="6">
        <f>AB_RES!F$21*F9</f>
        <v>18252335.284615386</v>
      </c>
      <c r="G14" s="6">
        <f>AB_RES!G$21*G9</f>
        <v>23174567.664230768</v>
      </c>
      <c r="H14" s="6">
        <f>AB_RES!H$21*H9</f>
        <v>26172524.653423082</v>
      </c>
      <c r="I14" s="6">
        <f>AB_RES!I$21*I9</f>
        <v>29161801.179807689</v>
      </c>
      <c r="J14" s="6">
        <f>AB_RES!J$21*J9</f>
        <v>33294357.692307696</v>
      </c>
      <c r="K14" s="6">
        <f>AB_RES!K$21*K9</f>
        <v>35750000</v>
      </c>
      <c r="L14" s="6">
        <f>AB_RES!L$21*L9</f>
        <v>38197971.153846152</v>
      </c>
      <c r="M14" s="6">
        <f>AB_RES!M$21*M9</f>
        <v>40638150</v>
      </c>
      <c r="N14" s="6">
        <f>AB_RES!N$21*N9</f>
        <v>43070415.384615384</v>
      </c>
      <c r="O14" s="6">
        <f>AB_RES!O$21*O9</f>
        <v>45494646.153846152</v>
      </c>
      <c r="P14" s="6">
        <f>AB_RES!P$21*P9</f>
        <v>47910721.153846152</v>
      </c>
    </row>
    <row r="15" spans="1:56" x14ac:dyDescent="0.25">
      <c r="A15" t="s">
        <v>60</v>
      </c>
      <c r="D15" t="s">
        <v>46</v>
      </c>
      <c r="E15" t="s">
        <v>35</v>
      </c>
      <c r="F15" s="6">
        <f>AB_RES!F$21*F10</f>
        <v>5291972.3176620305</v>
      </c>
      <c r="G15" s="6">
        <f>AB_RES!G$21*G10</f>
        <v>6645037.323076928</v>
      </c>
      <c r="H15" s="6">
        <f>AB_RES!H$21*H10</f>
        <v>7531661.7707692385</v>
      </c>
      <c r="I15" s="6">
        <f>AB_RES!I$21*I10</f>
        <v>8422180.8461538516</v>
      </c>
      <c r="J15" s="6">
        <f>AB_RES!J$21*J10</f>
        <v>9650538.4615384694</v>
      </c>
      <c r="K15" s="6">
        <f>AB_RES!K$21*K10</f>
        <v>10400000.000000007</v>
      </c>
      <c r="L15" s="6">
        <f>AB_RES!L$21*L10</f>
        <v>11152692.307692315</v>
      </c>
      <c r="M15" s="6">
        <f>AB_RES!M$21*M10</f>
        <v>11908615.384615393</v>
      </c>
      <c r="N15" s="6">
        <f>AB_RES!N$21*N10</f>
        <v>12667769.230769239</v>
      </c>
      <c r="O15" s="6">
        <f>AB_RES!O$21*O10</f>
        <v>13430153.846153857</v>
      </c>
      <c r="P15" s="6">
        <f>AB_RES!P$21*P10</f>
        <v>14195769.230768887</v>
      </c>
    </row>
  </sheetData>
  <autoFilter ref="A2:E2" xr:uid="{F112A57E-1CBD-4CE7-B938-A3F8226F342F}"/>
  <dataValidations count="1">
    <dataValidation type="list" allowBlank="1" showInputMessage="1" showErrorMessage="1" sqref="E6" xr:uid="{6E03538E-46DF-4673-95F4-23229F80A61C}">
      <formula1>Competition</formula1>
    </dataValidation>
  </dataValidations>
  <hyperlinks>
    <hyperlink ref="A1" location="Map!A1" display="Tree Map" xr:uid="{BC78D6C7-8576-4207-A657-37EE1A1D657D}"/>
    <hyperlink ref="B7" location="AB_RES_SHELL" display="Shell" xr:uid="{D631AD18-6E06-48F4-BF1A-A1CFBB4B10B2}"/>
    <hyperlink ref="B8:B10" location="AB_RES_SHELL" display="Shell" xr:uid="{F4047AFE-D3B1-4168-A4FD-A6BDDEDA8323}"/>
  </hyperlink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AC61-ADF1-4127-9C8D-1E29DCBA60BB}">
  <sheetPr codeName="Sheet6">
    <tabColor rgb="FF92D050"/>
    <outlinePr summaryBelow="0" summaryRight="0"/>
  </sheetPr>
  <dimension ref="A1:BD61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F5" sqref="F5"/>
    </sheetView>
  </sheetViews>
  <sheetFormatPr defaultRowHeight="15" outlineLevelRow="1" outlineLevelCol="1" x14ac:dyDescent="0.25"/>
  <cols>
    <col min="1" max="1" width="24.140625" bestFit="1" customWidth="1"/>
    <col min="2" max="2" width="35.140625" customWidth="1" collapsed="1"/>
    <col min="3" max="3" width="28.5703125" hidden="1" customWidth="1" outlineLevel="1"/>
    <col min="4" max="4" width="21" bestFit="1" customWidth="1"/>
    <col min="5" max="5" width="68.42578125" bestFit="1" customWidth="1"/>
    <col min="6" max="16" width="10.7109375" customWidth="1"/>
  </cols>
  <sheetData>
    <row r="1" spans="1:56" x14ac:dyDescent="0.25">
      <c r="A1" s="10" t="s">
        <v>80</v>
      </c>
    </row>
    <row r="2" spans="1:56" s="13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42</v>
      </c>
    </row>
    <row r="4" spans="1:56" s="50" customFormat="1" x14ac:dyDescent="0.25">
      <c r="A4" s="50" t="s">
        <v>11</v>
      </c>
      <c r="E4" s="50" t="s">
        <v>138</v>
      </c>
    </row>
    <row r="5" spans="1:56" x14ac:dyDescent="0.25">
      <c r="A5" t="s">
        <v>82</v>
      </c>
      <c r="B5" t="s">
        <v>42</v>
      </c>
      <c r="E5" t="s">
        <v>43</v>
      </c>
    </row>
    <row r="6" spans="1:56" x14ac:dyDescent="0.25">
      <c r="A6" t="s">
        <v>76</v>
      </c>
      <c r="E6" t="s">
        <v>30</v>
      </c>
    </row>
    <row r="7" spans="1:56" x14ac:dyDescent="0.25">
      <c r="A7" t="s">
        <v>112</v>
      </c>
      <c r="E7" t="s">
        <v>44</v>
      </c>
      <c r="F7">
        <v>10</v>
      </c>
    </row>
    <row r="8" spans="1:56" x14ac:dyDescent="0.25">
      <c r="A8" t="s">
        <v>85</v>
      </c>
      <c r="D8" t="s">
        <v>59</v>
      </c>
      <c r="E8" t="s">
        <v>52</v>
      </c>
      <c r="F8">
        <v>0.25</v>
      </c>
    </row>
    <row r="9" spans="1:56" collapsed="1" x14ac:dyDescent="0.25">
      <c r="A9" t="s">
        <v>89</v>
      </c>
      <c r="E9" t="s">
        <v>93</v>
      </c>
    </row>
    <row r="10" spans="1:56" hidden="1" outlineLevel="1" x14ac:dyDescent="0.25">
      <c r="A10" t="s">
        <v>48</v>
      </c>
      <c r="D10" t="s">
        <v>50</v>
      </c>
      <c r="E10" t="s">
        <v>93</v>
      </c>
      <c r="F10">
        <v>2000</v>
      </c>
    </row>
    <row r="11" spans="1:56" hidden="1" outlineLevel="1" x14ac:dyDescent="0.25">
      <c r="A11" t="s">
        <v>47</v>
      </c>
      <c r="D11" t="s">
        <v>50</v>
      </c>
      <c r="E11" t="s">
        <v>93</v>
      </c>
      <c r="F11">
        <v>2100</v>
      </c>
    </row>
    <row r="12" spans="1:56" hidden="1" outlineLevel="1" x14ac:dyDescent="0.25">
      <c r="A12" t="s">
        <v>49</v>
      </c>
      <c r="D12" t="s">
        <v>15</v>
      </c>
      <c r="E12" t="s">
        <v>93</v>
      </c>
      <c r="F12">
        <v>12</v>
      </c>
    </row>
    <row r="13" spans="1:56" hidden="1" outlineLevel="1" x14ac:dyDescent="0.25">
      <c r="A13" t="s">
        <v>94</v>
      </c>
      <c r="D13" t="s">
        <v>59</v>
      </c>
      <c r="E13" t="s">
        <v>93</v>
      </c>
      <c r="F13">
        <v>0.25</v>
      </c>
    </row>
    <row r="14" spans="1:56" hidden="1" outlineLevel="1" x14ac:dyDescent="0.25">
      <c r="A14" t="s">
        <v>45</v>
      </c>
      <c r="D14" t="s">
        <v>22</v>
      </c>
      <c r="E14" t="s">
        <v>93</v>
      </c>
      <c r="F14">
        <v>56</v>
      </c>
    </row>
    <row r="15" spans="1:56" hidden="1" outlineLevel="1" x14ac:dyDescent="0.25">
      <c r="A15" t="s">
        <v>51</v>
      </c>
      <c r="D15" t="s">
        <v>22</v>
      </c>
      <c r="E15" t="s">
        <v>93</v>
      </c>
    </row>
    <row r="16" spans="1:56" hidden="1" outlineLevel="1" x14ac:dyDescent="0.25">
      <c r="A16" t="s">
        <v>58</v>
      </c>
      <c r="D16" t="s">
        <v>22</v>
      </c>
      <c r="E16" t="s">
        <v>93</v>
      </c>
      <c r="F16">
        <v>5</v>
      </c>
    </row>
    <row r="17" spans="1:6" hidden="1" outlineLevel="1" x14ac:dyDescent="0.25">
      <c r="A17" t="s">
        <v>54</v>
      </c>
      <c r="D17" t="s">
        <v>59</v>
      </c>
      <c r="E17" t="s">
        <v>93</v>
      </c>
      <c r="F17">
        <v>1</v>
      </c>
    </row>
    <row r="18" spans="1:6" hidden="1" outlineLevel="1" x14ac:dyDescent="0.25">
      <c r="A18" t="s">
        <v>55</v>
      </c>
      <c r="D18" t="s">
        <v>59</v>
      </c>
      <c r="E18" t="s">
        <v>93</v>
      </c>
    </row>
    <row r="19" spans="1:6" hidden="1" outlineLevel="1" x14ac:dyDescent="0.25">
      <c r="A19" t="s">
        <v>83</v>
      </c>
      <c r="B19" s="40" t="s">
        <v>4</v>
      </c>
      <c r="C19" t="str">
        <f>Hierarchy!$F$10</f>
        <v>Alberta_Electricity</v>
      </c>
      <c r="D19" t="s">
        <v>75</v>
      </c>
      <c r="E19" t="s">
        <v>93</v>
      </c>
      <c r="F19">
        <v>0.52600000000000002</v>
      </c>
    </row>
    <row r="20" spans="1:6" hidden="1" outlineLevel="1" x14ac:dyDescent="0.25">
      <c r="A20" t="s">
        <v>74</v>
      </c>
      <c r="D20" t="s">
        <v>84</v>
      </c>
      <c r="E20" t="s">
        <v>93</v>
      </c>
      <c r="F20" s="4">
        <v>0.01</v>
      </c>
    </row>
    <row r="21" spans="1:6" collapsed="1" x14ac:dyDescent="0.25">
      <c r="A21" t="s">
        <v>89</v>
      </c>
      <c r="E21" t="s">
        <v>90</v>
      </c>
    </row>
    <row r="22" spans="1:6" hidden="1" outlineLevel="1" x14ac:dyDescent="0.25">
      <c r="A22" t="s">
        <v>48</v>
      </c>
      <c r="D22" t="s">
        <v>50</v>
      </c>
      <c r="E22" t="s">
        <v>90</v>
      </c>
      <c r="F22">
        <v>1990</v>
      </c>
    </row>
    <row r="23" spans="1:6" hidden="1" outlineLevel="1" x14ac:dyDescent="0.25">
      <c r="A23" t="s">
        <v>47</v>
      </c>
      <c r="D23" t="s">
        <v>50</v>
      </c>
      <c r="E23" t="s">
        <v>90</v>
      </c>
      <c r="F23">
        <v>2000</v>
      </c>
    </row>
    <row r="24" spans="1:6" hidden="1" outlineLevel="1" x14ac:dyDescent="0.25">
      <c r="A24" t="s">
        <v>49</v>
      </c>
      <c r="D24" t="s">
        <v>15</v>
      </c>
      <c r="E24" t="s">
        <v>90</v>
      </c>
      <c r="F24">
        <v>18</v>
      </c>
    </row>
    <row r="25" spans="1:6" hidden="1" outlineLevel="1" x14ac:dyDescent="0.25">
      <c r="A25" t="s">
        <v>94</v>
      </c>
      <c r="D25" t="s">
        <v>59</v>
      </c>
      <c r="E25" t="s">
        <v>90</v>
      </c>
      <c r="F25">
        <v>0.25</v>
      </c>
    </row>
    <row r="26" spans="1:6" hidden="1" outlineLevel="1" x14ac:dyDescent="0.25">
      <c r="A26" t="s">
        <v>45</v>
      </c>
      <c r="D26" t="s">
        <v>22</v>
      </c>
      <c r="E26" t="s">
        <v>90</v>
      </c>
      <c r="F26">
        <v>0</v>
      </c>
    </row>
    <row r="27" spans="1:6" hidden="1" outlineLevel="1" x14ac:dyDescent="0.25">
      <c r="A27" t="s">
        <v>51</v>
      </c>
      <c r="D27" t="s">
        <v>22</v>
      </c>
      <c r="E27" t="s">
        <v>90</v>
      </c>
    </row>
    <row r="28" spans="1:6" hidden="1" outlineLevel="1" x14ac:dyDescent="0.25">
      <c r="A28" t="s">
        <v>58</v>
      </c>
      <c r="D28" t="s">
        <v>22</v>
      </c>
      <c r="E28" t="s">
        <v>90</v>
      </c>
    </row>
    <row r="29" spans="1:6" hidden="1" outlineLevel="1" x14ac:dyDescent="0.25">
      <c r="A29" t="s">
        <v>54</v>
      </c>
      <c r="D29" t="s">
        <v>59</v>
      </c>
      <c r="E29" t="s">
        <v>90</v>
      </c>
      <c r="F29">
        <v>1</v>
      </c>
    </row>
    <row r="30" spans="1:6" hidden="1" outlineLevel="1" x14ac:dyDescent="0.25">
      <c r="A30" t="s">
        <v>55</v>
      </c>
      <c r="D30" t="s">
        <v>59</v>
      </c>
      <c r="E30" t="s">
        <v>90</v>
      </c>
    </row>
    <row r="31" spans="1:6" hidden="1" outlineLevel="1" x14ac:dyDescent="0.25">
      <c r="A31" t="s">
        <v>83</v>
      </c>
      <c r="B31" t="s">
        <v>95</v>
      </c>
      <c r="D31" t="s">
        <v>75</v>
      </c>
      <c r="E31" t="s">
        <v>90</v>
      </c>
      <c r="F31">
        <v>1.613</v>
      </c>
    </row>
    <row r="32" spans="1:6" hidden="1" outlineLevel="1" x14ac:dyDescent="0.25">
      <c r="A32" t="s">
        <v>74</v>
      </c>
      <c r="D32" t="s">
        <v>84</v>
      </c>
      <c r="E32" t="s">
        <v>90</v>
      </c>
      <c r="F32" s="4">
        <v>0.71499999999999997</v>
      </c>
    </row>
    <row r="33" spans="1:6" collapsed="1" x14ac:dyDescent="0.25">
      <c r="A33" t="s">
        <v>89</v>
      </c>
      <c r="E33" t="s">
        <v>91</v>
      </c>
    </row>
    <row r="34" spans="1:6" hidden="1" outlineLevel="1" x14ac:dyDescent="0.25">
      <c r="A34" t="s">
        <v>48</v>
      </c>
      <c r="D34" t="s">
        <v>50</v>
      </c>
      <c r="E34" t="s">
        <v>91</v>
      </c>
      <c r="F34">
        <v>2000</v>
      </c>
    </row>
    <row r="35" spans="1:6" hidden="1" outlineLevel="1" x14ac:dyDescent="0.25">
      <c r="A35" t="s">
        <v>47</v>
      </c>
      <c r="D35" t="s">
        <v>50</v>
      </c>
      <c r="E35" t="s">
        <v>91</v>
      </c>
      <c r="F35">
        <v>2100</v>
      </c>
    </row>
    <row r="36" spans="1:6" hidden="1" outlineLevel="1" x14ac:dyDescent="0.25">
      <c r="A36" t="s">
        <v>49</v>
      </c>
      <c r="D36" t="s">
        <v>15</v>
      </c>
      <c r="E36" t="s">
        <v>91</v>
      </c>
      <c r="F36">
        <v>18</v>
      </c>
    </row>
    <row r="37" spans="1:6" hidden="1" outlineLevel="1" x14ac:dyDescent="0.25">
      <c r="A37" t="s">
        <v>94</v>
      </c>
      <c r="D37" t="s">
        <v>59</v>
      </c>
      <c r="E37" t="s">
        <v>91</v>
      </c>
      <c r="F37">
        <v>0.25</v>
      </c>
    </row>
    <row r="38" spans="1:6" hidden="1" outlineLevel="1" x14ac:dyDescent="0.25">
      <c r="A38" t="s">
        <v>45</v>
      </c>
      <c r="D38" t="s">
        <v>22</v>
      </c>
      <c r="E38" t="s">
        <v>91</v>
      </c>
      <c r="F38">
        <v>41</v>
      </c>
    </row>
    <row r="39" spans="1:6" hidden="1" outlineLevel="1" x14ac:dyDescent="0.25">
      <c r="A39" t="s">
        <v>51</v>
      </c>
      <c r="D39" t="s">
        <v>22</v>
      </c>
      <c r="E39" t="s">
        <v>91</v>
      </c>
    </row>
    <row r="40" spans="1:6" hidden="1" outlineLevel="1" x14ac:dyDescent="0.25">
      <c r="A40" t="s">
        <v>58</v>
      </c>
      <c r="D40" t="s">
        <v>22</v>
      </c>
      <c r="E40" t="s">
        <v>91</v>
      </c>
    </row>
    <row r="41" spans="1:6" hidden="1" outlineLevel="1" x14ac:dyDescent="0.25">
      <c r="A41" t="s">
        <v>54</v>
      </c>
      <c r="D41" t="s">
        <v>59</v>
      </c>
      <c r="E41" t="s">
        <v>91</v>
      </c>
      <c r="F41">
        <v>1</v>
      </c>
    </row>
    <row r="42" spans="1:6" hidden="1" outlineLevel="1" x14ac:dyDescent="0.25">
      <c r="A42" t="s">
        <v>55</v>
      </c>
      <c r="D42" t="s">
        <v>59</v>
      </c>
      <c r="E42" t="s">
        <v>91</v>
      </c>
    </row>
    <row r="43" spans="1:6" hidden="1" outlineLevel="1" x14ac:dyDescent="0.25">
      <c r="A43" t="s">
        <v>83</v>
      </c>
      <c r="B43" t="s">
        <v>95</v>
      </c>
      <c r="D43" t="s">
        <v>75</v>
      </c>
      <c r="E43" t="s">
        <v>91</v>
      </c>
      <c r="F43">
        <v>1.111</v>
      </c>
    </row>
    <row r="44" spans="1:6" hidden="1" outlineLevel="1" x14ac:dyDescent="0.25">
      <c r="A44" t="s">
        <v>74</v>
      </c>
      <c r="D44" t="s">
        <v>84</v>
      </c>
      <c r="E44" t="s">
        <v>91</v>
      </c>
      <c r="F44" s="4">
        <v>0</v>
      </c>
    </row>
    <row r="45" spans="1:6" collapsed="1" x14ac:dyDescent="0.25">
      <c r="A45" t="s">
        <v>89</v>
      </c>
      <c r="E45" t="s">
        <v>92</v>
      </c>
    </row>
    <row r="46" spans="1:6" hidden="1" outlineLevel="1" x14ac:dyDescent="0.25">
      <c r="A46" t="s">
        <v>48</v>
      </c>
      <c r="D46" t="s">
        <v>50</v>
      </c>
      <c r="E46" t="s">
        <v>92</v>
      </c>
      <c r="F46">
        <v>2000</v>
      </c>
    </row>
    <row r="47" spans="1:6" hidden="1" outlineLevel="1" x14ac:dyDescent="0.25">
      <c r="A47" t="s">
        <v>47</v>
      </c>
      <c r="D47" t="s">
        <v>50</v>
      </c>
      <c r="E47" t="s">
        <v>92</v>
      </c>
      <c r="F47">
        <v>2020</v>
      </c>
    </row>
    <row r="48" spans="1:6" hidden="1" outlineLevel="1" x14ac:dyDescent="0.25">
      <c r="A48" t="s">
        <v>49</v>
      </c>
      <c r="D48" t="s">
        <v>15</v>
      </c>
      <c r="E48" t="s">
        <v>92</v>
      </c>
      <c r="F48">
        <v>18</v>
      </c>
    </row>
    <row r="49" spans="1:6" hidden="1" outlineLevel="1" x14ac:dyDescent="0.25">
      <c r="A49" t="s">
        <v>94</v>
      </c>
      <c r="D49" t="s">
        <v>59</v>
      </c>
      <c r="E49" t="s">
        <v>92</v>
      </c>
      <c r="F49">
        <v>0.25</v>
      </c>
    </row>
    <row r="50" spans="1:6" hidden="1" outlineLevel="1" x14ac:dyDescent="0.25">
      <c r="A50" t="s">
        <v>45</v>
      </c>
      <c r="D50" t="s">
        <v>22</v>
      </c>
      <c r="E50" t="s">
        <v>92</v>
      </c>
      <c r="F50">
        <v>34</v>
      </c>
    </row>
    <row r="51" spans="1:6" hidden="1" outlineLevel="1" x14ac:dyDescent="0.25">
      <c r="A51" t="s">
        <v>51</v>
      </c>
      <c r="D51" t="s">
        <v>22</v>
      </c>
      <c r="E51" t="s">
        <v>92</v>
      </c>
    </row>
    <row r="52" spans="1:6" hidden="1" outlineLevel="1" x14ac:dyDescent="0.25">
      <c r="A52" t="s">
        <v>58</v>
      </c>
      <c r="D52" t="s">
        <v>22</v>
      </c>
      <c r="E52" t="s">
        <v>92</v>
      </c>
    </row>
    <row r="53" spans="1:6" hidden="1" outlineLevel="1" x14ac:dyDescent="0.25">
      <c r="A53" t="s">
        <v>54</v>
      </c>
      <c r="D53" t="s">
        <v>59</v>
      </c>
      <c r="E53" t="s">
        <v>92</v>
      </c>
      <c r="F53">
        <v>1</v>
      </c>
    </row>
    <row r="54" spans="1:6" hidden="1" outlineLevel="1" x14ac:dyDescent="0.25">
      <c r="A54" t="s">
        <v>55</v>
      </c>
      <c r="D54" t="s">
        <v>59</v>
      </c>
      <c r="E54" t="s">
        <v>92</v>
      </c>
    </row>
    <row r="55" spans="1:6" hidden="1" outlineLevel="1" x14ac:dyDescent="0.25">
      <c r="A55" t="s">
        <v>83</v>
      </c>
      <c r="B55" t="s">
        <v>95</v>
      </c>
      <c r="D55" t="s">
        <v>75</v>
      </c>
      <c r="E55" t="s">
        <v>92</v>
      </c>
      <c r="F55">
        <v>1.266</v>
      </c>
    </row>
    <row r="56" spans="1:6" hidden="1" outlineLevel="1" x14ac:dyDescent="0.25">
      <c r="A56" t="s">
        <v>74</v>
      </c>
      <c r="D56" t="s">
        <v>84</v>
      </c>
      <c r="E56" t="s">
        <v>92</v>
      </c>
      <c r="F56" s="4">
        <v>0.27500000000000002</v>
      </c>
    </row>
    <row r="58" spans="1:6" x14ac:dyDescent="0.25">
      <c r="A58" t="s">
        <v>60</v>
      </c>
      <c r="D58" t="s">
        <v>43</v>
      </c>
      <c r="E58" t="str">
        <f>AB_RES_SPHEAT!$E$38&amp;"_"&amp;$E$20</f>
        <v>Single Family Detached_Post-1960_Furnace_Heat pump_air source</v>
      </c>
      <c r="F58" s="6">
        <f>AB_RES_SPHEAT!$F$38*$F$20</f>
        <v>776967.65158607264</v>
      </c>
    </row>
    <row r="59" spans="1:6" x14ac:dyDescent="0.25">
      <c r="A59" t="s">
        <v>60</v>
      </c>
      <c r="D59" t="s">
        <v>43</v>
      </c>
      <c r="E59" t="str">
        <f>AB_RES_SPHEAT!$E$38&amp;"_"&amp;$E$32</f>
        <v>Single Family Detached_Post-1960_Furnace_Natural Gas_existing</v>
      </c>
      <c r="F59" s="6">
        <f>AB_RES_SPHEAT!$F$38*$F$32</f>
        <v>55553187.088404186</v>
      </c>
    </row>
    <row r="60" spans="1:6" x14ac:dyDescent="0.25">
      <c r="A60" t="s">
        <v>60</v>
      </c>
      <c r="D60" t="s">
        <v>43</v>
      </c>
      <c r="E60" t="str">
        <f>AB_RES_SPHEAT!$E$38&amp;"_"&amp;$E$44</f>
        <v>Single Family Detached_Post-1960_Furnace_Natural Gas_high efficiency</v>
      </c>
      <c r="F60" s="6">
        <f>AB_RES_SPHEAT!$F$38*$F$44</f>
        <v>0</v>
      </c>
    </row>
    <row r="61" spans="1:6" x14ac:dyDescent="0.25">
      <c r="A61" t="s">
        <v>60</v>
      </c>
      <c r="D61" t="s">
        <v>43</v>
      </c>
      <c r="E61" t="str">
        <f>AB_RES_SPHEAT!$E$38&amp;"_"&amp;$E$56</f>
        <v>Single Family Detached_Post-1960_Furnace_Natural Gas_low efficiency</v>
      </c>
      <c r="F61" s="6">
        <f>AB_RES_SPHEAT!$F$38*$F$56</f>
        <v>21366610.418616999</v>
      </c>
    </row>
  </sheetData>
  <autoFilter ref="A2:E2" xr:uid="{5932D232-A200-43A6-890A-B84170CE7791}"/>
  <sortState xmlns:xlrd2="http://schemas.microsoft.com/office/spreadsheetml/2017/richdata2" ref="A9:F56">
    <sortCondition ref="E9:E56"/>
  </sortState>
  <dataValidations count="1">
    <dataValidation type="list" allowBlank="1" showInputMessage="1" showErrorMessage="1" sqref="E6" xr:uid="{ABACF783-3B09-4BF5-92D3-306A09CF30B7}">
      <formula1>Competition</formula1>
    </dataValidation>
  </dataValidations>
  <hyperlinks>
    <hyperlink ref="A1" location="Map!A1" display="Tree Map" xr:uid="{1AE8BEEF-07E6-4B50-8F74-A483B8447F0C}"/>
    <hyperlink ref="B19" location="AB_ELEC" display="Electricity" xr:uid="{1625E28E-32CF-4A3A-99FB-800FF091355A}"/>
  </hyperlink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C0560-6616-409A-9FEA-6522F98E8EBC}">
  <sheetPr codeName="Sheet12">
    <tabColor rgb="FF92D050"/>
    <outlinePr summaryBelow="0" summaryRight="0"/>
  </sheetPr>
  <dimension ref="A1:BD91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F5" sqref="F5"/>
    </sheetView>
  </sheetViews>
  <sheetFormatPr defaultRowHeight="15" outlineLevelRow="1" outlineLevelCol="1" x14ac:dyDescent="0.25"/>
  <cols>
    <col min="1" max="1" width="24.140625" bestFit="1" customWidth="1"/>
    <col min="2" max="2" width="16" bestFit="1" customWidth="1" collapsed="1"/>
    <col min="3" max="3" width="28.5703125" hidden="1" customWidth="1" outlineLevel="1"/>
    <col min="4" max="4" width="20.28515625" bestFit="1" customWidth="1"/>
    <col min="5" max="5" width="51.28515625" bestFit="1" customWidth="1"/>
    <col min="6" max="16" width="10.7109375" customWidth="1"/>
  </cols>
  <sheetData>
    <row r="1" spans="1:56" x14ac:dyDescent="0.25">
      <c r="A1" s="10" t="s">
        <v>80</v>
      </c>
    </row>
    <row r="2" spans="1:56" s="13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2</v>
      </c>
    </row>
    <row r="4" spans="1:56" s="50" customFormat="1" x14ac:dyDescent="0.25">
      <c r="A4" s="50" t="s">
        <v>11</v>
      </c>
      <c r="E4" s="50" t="s">
        <v>137</v>
      </c>
    </row>
    <row r="5" spans="1:56" x14ac:dyDescent="0.25">
      <c r="A5" t="s">
        <v>82</v>
      </c>
      <c r="B5" t="s">
        <v>2</v>
      </c>
      <c r="E5" t="s">
        <v>46</v>
      </c>
    </row>
    <row r="6" spans="1:56" x14ac:dyDescent="0.25">
      <c r="A6" t="s">
        <v>76</v>
      </c>
      <c r="E6" t="s">
        <v>30</v>
      </c>
    </row>
    <row r="7" spans="1:56" x14ac:dyDescent="0.25">
      <c r="A7" t="s">
        <v>112</v>
      </c>
      <c r="E7" t="s">
        <v>44</v>
      </c>
      <c r="F7">
        <v>10</v>
      </c>
    </row>
    <row r="8" spans="1:56" collapsed="1" x14ac:dyDescent="0.25">
      <c r="A8" t="s">
        <v>89</v>
      </c>
      <c r="E8" t="s">
        <v>40</v>
      </c>
    </row>
    <row r="9" spans="1:56" hidden="1" outlineLevel="1" x14ac:dyDescent="0.25">
      <c r="A9" t="s">
        <v>48</v>
      </c>
      <c r="D9" t="s">
        <v>50</v>
      </c>
      <c r="E9" t="s">
        <v>40</v>
      </c>
      <c r="F9">
        <v>2015</v>
      </c>
    </row>
    <row r="10" spans="1:56" hidden="1" outlineLevel="1" x14ac:dyDescent="0.25">
      <c r="A10" t="s">
        <v>47</v>
      </c>
      <c r="D10" t="s">
        <v>50</v>
      </c>
      <c r="E10" t="s">
        <v>40</v>
      </c>
      <c r="F10">
        <v>2100</v>
      </c>
    </row>
    <row r="11" spans="1:56" hidden="1" outlineLevel="1" x14ac:dyDescent="0.25">
      <c r="A11" t="s">
        <v>49</v>
      </c>
      <c r="D11" t="s">
        <v>15</v>
      </c>
      <c r="E11" t="s">
        <v>40</v>
      </c>
      <c r="F11">
        <v>25</v>
      </c>
    </row>
    <row r="12" spans="1:56" hidden="1" outlineLevel="1" x14ac:dyDescent="0.25">
      <c r="A12" t="s">
        <v>94</v>
      </c>
      <c r="D12" t="s">
        <v>59</v>
      </c>
      <c r="E12" t="s">
        <v>40</v>
      </c>
      <c r="F12">
        <v>0.25</v>
      </c>
    </row>
    <row r="13" spans="1:56" hidden="1" outlineLevel="1" x14ac:dyDescent="0.25">
      <c r="A13" t="s">
        <v>45</v>
      </c>
      <c r="D13" t="s">
        <v>96</v>
      </c>
      <c r="E13" t="s">
        <v>40</v>
      </c>
      <c r="F13">
        <v>300</v>
      </c>
    </row>
    <row r="14" spans="1:56" hidden="1" outlineLevel="1" x14ac:dyDescent="0.25">
      <c r="A14" t="s">
        <v>51</v>
      </c>
      <c r="D14" t="s">
        <v>96</v>
      </c>
      <c r="E14" t="s">
        <v>40</v>
      </c>
    </row>
    <row r="15" spans="1:56" hidden="1" outlineLevel="1" x14ac:dyDescent="0.25">
      <c r="A15" t="s">
        <v>58</v>
      </c>
      <c r="D15" t="s">
        <v>96</v>
      </c>
      <c r="E15" t="s">
        <v>40</v>
      </c>
    </row>
    <row r="16" spans="1:56" hidden="1" outlineLevel="1" x14ac:dyDescent="0.25">
      <c r="A16" t="s">
        <v>54</v>
      </c>
      <c r="D16" t="s">
        <v>59</v>
      </c>
      <c r="E16" t="s">
        <v>40</v>
      </c>
      <c r="F16">
        <v>1</v>
      </c>
    </row>
    <row r="17" spans="1:6" hidden="1" outlineLevel="1" x14ac:dyDescent="0.25">
      <c r="A17" t="s">
        <v>55</v>
      </c>
      <c r="D17" t="s">
        <v>59</v>
      </c>
      <c r="E17" t="s">
        <v>40</v>
      </c>
    </row>
    <row r="18" spans="1:6" hidden="1" outlineLevel="1" x14ac:dyDescent="0.25">
      <c r="A18" t="s">
        <v>83</v>
      </c>
      <c r="B18" s="76" t="s">
        <v>113</v>
      </c>
      <c r="C18" t="str">
        <f>Hierarchy!$F$9</f>
        <v>Alberta_Residential_Building_Shell_Space Heating</v>
      </c>
      <c r="D18" t="s">
        <v>65</v>
      </c>
      <c r="E18" t="s">
        <v>40</v>
      </c>
      <c r="F18" s="4">
        <v>0.309</v>
      </c>
    </row>
    <row r="19" spans="1:6" hidden="1" outlineLevel="1" x14ac:dyDescent="0.25">
      <c r="A19" t="s">
        <v>83</v>
      </c>
      <c r="B19" s="33" t="s">
        <v>88</v>
      </c>
      <c r="D19" t="s">
        <v>65</v>
      </c>
      <c r="E19" t="s">
        <v>40</v>
      </c>
      <c r="F19" s="4">
        <v>2.3E-2</v>
      </c>
    </row>
    <row r="20" spans="1:6" hidden="1" outlineLevel="1" x14ac:dyDescent="0.25">
      <c r="A20" t="s">
        <v>74</v>
      </c>
      <c r="D20" t="s">
        <v>84</v>
      </c>
      <c r="E20" t="s">
        <v>40</v>
      </c>
      <c r="F20" s="4">
        <v>0</v>
      </c>
    </row>
    <row r="21" spans="1:6" collapsed="1" x14ac:dyDescent="0.25">
      <c r="A21" t="s">
        <v>89</v>
      </c>
      <c r="E21" t="s">
        <v>36</v>
      </c>
    </row>
    <row r="22" spans="1:6" hidden="1" outlineLevel="1" x14ac:dyDescent="0.25">
      <c r="A22" t="s">
        <v>48</v>
      </c>
      <c r="D22" t="s">
        <v>50</v>
      </c>
      <c r="E22" t="s">
        <v>36</v>
      </c>
      <c r="F22">
        <v>1990</v>
      </c>
    </row>
    <row r="23" spans="1:6" hidden="1" outlineLevel="1" x14ac:dyDescent="0.25">
      <c r="A23" t="s">
        <v>47</v>
      </c>
      <c r="D23" t="s">
        <v>50</v>
      </c>
      <c r="E23" t="s">
        <v>36</v>
      </c>
      <c r="F23">
        <v>2000</v>
      </c>
    </row>
    <row r="24" spans="1:6" hidden="1" outlineLevel="1" x14ac:dyDescent="0.25">
      <c r="A24" t="s">
        <v>49</v>
      </c>
      <c r="D24" t="s">
        <v>15</v>
      </c>
      <c r="E24" t="s">
        <v>36</v>
      </c>
      <c r="F24">
        <v>25</v>
      </c>
    </row>
    <row r="25" spans="1:6" hidden="1" outlineLevel="1" x14ac:dyDescent="0.25">
      <c r="A25" t="s">
        <v>94</v>
      </c>
      <c r="D25" t="s">
        <v>59</v>
      </c>
      <c r="E25" t="s">
        <v>36</v>
      </c>
      <c r="F25">
        <v>0.25</v>
      </c>
    </row>
    <row r="26" spans="1:6" hidden="1" outlineLevel="1" x14ac:dyDescent="0.25">
      <c r="A26" t="s">
        <v>51</v>
      </c>
      <c r="D26" t="s">
        <v>96</v>
      </c>
      <c r="E26" t="s">
        <v>36</v>
      </c>
    </row>
    <row r="27" spans="1:6" hidden="1" outlineLevel="1" x14ac:dyDescent="0.25">
      <c r="A27" t="s">
        <v>58</v>
      </c>
      <c r="D27" t="s">
        <v>96</v>
      </c>
      <c r="E27" t="s">
        <v>36</v>
      </c>
    </row>
    <row r="28" spans="1:6" hidden="1" outlineLevel="1" x14ac:dyDescent="0.25">
      <c r="A28" t="s">
        <v>54</v>
      </c>
      <c r="D28" t="s">
        <v>59</v>
      </c>
      <c r="E28" t="s">
        <v>36</v>
      </c>
      <c r="F28">
        <v>1</v>
      </c>
    </row>
    <row r="29" spans="1:6" hidden="1" outlineLevel="1" x14ac:dyDescent="0.25">
      <c r="A29" t="s">
        <v>55</v>
      </c>
      <c r="D29" t="s">
        <v>59</v>
      </c>
      <c r="E29" t="s">
        <v>36</v>
      </c>
    </row>
    <row r="30" spans="1:6" hidden="1" outlineLevel="1" x14ac:dyDescent="0.25">
      <c r="A30" t="s">
        <v>83</v>
      </c>
      <c r="B30" s="76" t="s">
        <v>113</v>
      </c>
      <c r="C30" t="str">
        <f>Hierarchy!$F$9</f>
        <v>Alberta_Residential_Building_Shell_Space Heating</v>
      </c>
      <c r="D30" t="s">
        <v>65</v>
      </c>
      <c r="E30" t="s">
        <v>36</v>
      </c>
      <c r="F30" s="4">
        <v>0.63300000000000001</v>
      </c>
    </row>
    <row r="31" spans="1:6" hidden="1" outlineLevel="1" x14ac:dyDescent="0.25">
      <c r="A31" t="s">
        <v>83</v>
      </c>
      <c r="B31" s="33" t="s">
        <v>88</v>
      </c>
      <c r="D31" t="s">
        <v>65</v>
      </c>
      <c r="E31" t="s">
        <v>36</v>
      </c>
      <c r="F31" s="4">
        <v>6.9000000000000006E-2</v>
      </c>
    </row>
    <row r="32" spans="1:6" hidden="1" outlineLevel="1" x14ac:dyDescent="0.25">
      <c r="A32" t="s">
        <v>74</v>
      </c>
      <c r="D32" t="s">
        <v>84</v>
      </c>
      <c r="E32" t="s">
        <v>36</v>
      </c>
      <c r="F32" s="4">
        <v>0.83299999999999996</v>
      </c>
    </row>
    <row r="33" spans="1:6" collapsed="1" x14ac:dyDescent="0.25">
      <c r="A33" t="s">
        <v>89</v>
      </c>
      <c r="E33" t="s">
        <v>37</v>
      </c>
    </row>
    <row r="34" spans="1:6" hidden="1" outlineLevel="1" x14ac:dyDescent="0.25">
      <c r="A34" t="s">
        <v>48</v>
      </c>
      <c r="D34" t="s">
        <v>50</v>
      </c>
      <c r="E34" t="s">
        <v>37</v>
      </c>
      <c r="F34">
        <v>1990</v>
      </c>
    </row>
    <row r="35" spans="1:6" hidden="1" outlineLevel="1" x14ac:dyDescent="0.25">
      <c r="A35" t="s">
        <v>47</v>
      </c>
      <c r="D35" t="s">
        <v>50</v>
      </c>
      <c r="E35" t="s">
        <v>37</v>
      </c>
      <c r="F35">
        <v>2000</v>
      </c>
    </row>
    <row r="36" spans="1:6" hidden="1" outlineLevel="1" x14ac:dyDescent="0.25">
      <c r="A36" t="s">
        <v>49</v>
      </c>
      <c r="D36" t="s">
        <v>15</v>
      </c>
      <c r="E36" t="s">
        <v>37</v>
      </c>
      <c r="F36">
        <v>25</v>
      </c>
    </row>
    <row r="37" spans="1:6" hidden="1" outlineLevel="1" x14ac:dyDescent="0.25">
      <c r="A37" t="s">
        <v>94</v>
      </c>
      <c r="D37" t="s">
        <v>59</v>
      </c>
      <c r="E37" t="s">
        <v>37</v>
      </c>
      <c r="F37">
        <v>0.25</v>
      </c>
    </row>
    <row r="38" spans="1:6" hidden="1" outlineLevel="1" x14ac:dyDescent="0.25">
      <c r="A38" t="s">
        <v>51</v>
      </c>
      <c r="D38" t="s">
        <v>96</v>
      </c>
      <c r="E38" t="s">
        <v>37</v>
      </c>
    </row>
    <row r="39" spans="1:6" hidden="1" outlineLevel="1" x14ac:dyDescent="0.25">
      <c r="A39" t="s">
        <v>58</v>
      </c>
      <c r="D39" t="s">
        <v>96</v>
      </c>
      <c r="E39" t="s">
        <v>37</v>
      </c>
    </row>
    <row r="40" spans="1:6" hidden="1" outlineLevel="1" x14ac:dyDescent="0.25">
      <c r="A40" t="s">
        <v>54</v>
      </c>
      <c r="D40" t="s">
        <v>59</v>
      </c>
      <c r="E40" t="s">
        <v>37</v>
      </c>
      <c r="F40">
        <v>1</v>
      </c>
    </row>
    <row r="41" spans="1:6" hidden="1" outlineLevel="1" x14ac:dyDescent="0.25">
      <c r="A41" t="s">
        <v>55</v>
      </c>
      <c r="D41" t="s">
        <v>59</v>
      </c>
      <c r="E41" t="s">
        <v>37</v>
      </c>
    </row>
    <row r="42" spans="1:6" hidden="1" outlineLevel="1" x14ac:dyDescent="0.25">
      <c r="A42" t="s">
        <v>83</v>
      </c>
      <c r="B42" s="76" t="s">
        <v>113</v>
      </c>
      <c r="C42" t="str">
        <f>Hierarchy!$F$9</f>
        <v>Alberta_Residential_Building_Shell_Space Heating</v>
      </c>
      <c r="D42" t="s">
        <v>65</v>
      </c>
      <c r="E42" t="s">
        <v>37</v>
      </c>
      <c r="F42" s="4">
        <v>0.997</v>
      </c>
    </row>
    <row r="43" spans="1:6" hidden="1" outlineLevel="1" x14ac:dyDescent="0.25">
      <c r="A43" t="s">
        <v>83</v>
      </c>
      <c r="B43" s="33" t="s">
        <v>88</v>
      </c>
      <c r="D43" t="s">
        <v>65</v>
      </c>
      <c r="E43" t="s">
        <v>37</v>
      </c>
      <c r="F43" s="4">
        <v>0.109</v>
      </c>
    </row>
    <row r="44" spans="1:6" hidden="1" outlineLevel="1" x14ac:dyDescent="0.25">
      <c r="A44" t="s">
        <v>74</v>
      </c>
      <c r="D44" t="s">
        <v>84</v>
      </c>
      <c r="E44" t="s">
        <v>37</v>
      </c>
      <c r="F44" s="4">
        <v>0.16700000000000001</v>
      </c>
    </row>
    <row r="45" spans="1:6" collapsed="1" x14ac:dyDescent="0.25">
      <c r="A45" t="s">
        <v>89</v>
      </c>
      <c r="E45" t="s">
        <v>39</v>
      </c>
    </row>
    <row r="46" spans="1:6" hidden="1" outlineLevel="1" x14ac:dyDescent="0.25">
      <c r="A46" t="s">
        <v>48</v>
      </c>
      <c r="D46" t="s">
        <v>50</v>
      </c>
      <c r="E46" t="s">
        <v>39</v>
      </c>
      <c r="F46">
        <v>2000</v>
      </c>
    </row>
    <row r="47" spans="1:6" hidden="1" outlineLevel="1" x14ac:dyDescent="0.25">
      <c r="A47" t="s">
        <v>47</v>
      </c>
      <c r="D47" t="s">
        <v>50</v>
      </c>
      <c r="E47" t="s">
        <v>39</v>
      </c>
      <c r="F47">
        <v>2100</v>
      </c>
    </row>
    <row r="48" spans="1:6" hidden="1" outlineLevel="1" x14ac:dyDescent="0.25">
      <c r="A48" t="s">
        <v>49</v>
      </c>
      <c r="D48" t="s">
        <v>15</v>
      </c>
      <c r="E48" t="s">
        <v>39</v>
      </c>
      <c r="F48">
        <v>25</v>
      </c>
    </row>
    <row r="49" spans="1:6" hidden="1" outlineLevel="1" x14ac:dyDescent="0.25">
      <c r="A49" t="s">
        <v>94</v>
      </c>
      <c r="D49" t="s">
        <v>59</v>
      </c>
      <c r="E49" t="s">
        <v>39</v>
      </c>
      <c r="F49">
        <v>0.25</v>
      </c>
    </row>
    <row r="50" spans="1:6" hidden="1" outlineLevel="1" x14ac:dyDescent="0.25">
      <c r="A50" t="s">
        <v>45</v>
      </c>
      <c r="D50" t="s">
        <v>96</v>
      </c>
      <c r="E50" t="s">
        <v>39</v>
      </c>
      <c r="F50">
        <v>250</v>
      </c>
    </row>
    <row r="51" spans="1:6" hidden="1" outlineLevel="1" x14ac:dyDescent="0.25">
      <c r="A51" t="s">
        <v>51</v>
      </c>
      <c r="D51" t="s">
        <v>96</v>
      </c>
      <c r="E51" t="s">
        <v>39</v>
      </c>
    </row>
    <row r="52" spans="1:6" hidden="1" outlineLevel="1" x14ac:dyDescent="0.25">
      <c r="A52" t="s">
        <v>58</v>
      </c>
      <c r="D52" t="s">
        <v>96</v>
      </c>
      <c r="E52" t="s">
        <v>39</v>
      </c>
    </row>
    <row r="53" spans="1:6" hidden="1" outlineLevel="1" x14ac:dyDescent="0.25">
      <c r="A53" t="s">
        <v>54</v>
      </c>
      <c r="D53" t="s">
        <v>59</v>
      </c>
      <c r="E53" t="s">
        <v>39</v>
      </c>
      <c r="F53">
        <v>1</v>
      </c>
    </row>
    <row r="54" spans="1:6" hidden="1" outlineLevel="1" x14ac:dyDescent="0.25">
      <c r="A54" t="s">
        <v>55</v>
      </c>
      <c r="D54" t="s">
        <v>59</v>
      </c>
      <c r="E54" t="s">
        <v>39</v>
      </c>
    </row>
    <row r="55" spans="1:6" hidden="1" outlineLevel="1" x14ac:dyDescent="0.25">
      <c r="A55" t="s">
        <v>83</v>
      </c>
      <c r="B55" s="76" t="s">
        <v>113</v>
      </c>
      <c r="C55" t="str">
        <f>Hierarchy!$F$9</f>
        <v>Alberta_Residential_Building_Shell_Space Heating</v>
      </c>
      <c r="D55" t="s">
        <v>65</v>
      </c>
      <c r="E55" t="s">
        <v>39</v>
      </c>
      <c r="F55" s="4">
        <v>0.36</v>
      </c>
    </row>
    <row r="56" spans="1:6" hidden="1" outlineLevel="1" x14ac:dyDescent="0.25">
      <c r="A56" t="s">
        <v>83</v>
      </c>
      <c r="B56" s="33" t="s">
        <v>88</v>
      </c>
      <c r="D56" t="s">
        <v>65</v>
      </c>
      <c r="E56" t="s">
        <v>39</v>
      </c>
      <c r="F56" s="4">
        <v>3.9E-2</v>
      </c>
    </row>
    <row r="57" spans="1:6" hidden="1" outlineLevel="1" x14ac:dyDescent="0.25">
      <c r="A57" t="s">
        <v>74</v>
      </c>
      <c r="D57" t="s">
        <v>84</v>
      </c>
      <c r="E57" t="s">
        <v>39</v>
      </c>
      <c r="F57" s="4">
        <v>0</v>
      </c>
    </row>
    <row r="58" spans="1:6" collapsed="1" x14ac:dyDescent="0.25">
      <c r="A58" t="s">
        <v>89</v>
      </c>
      <c r="E58" t="s">
        <v>38</v>
      </c>
    </row>
    <row r="59" spans="1:6" hidden="1" outlineLevel="1" x14ac:dyDescent="0.25">
      <c r="A59" t="s">
        <v>48</v>
      </c>
      <c r="D59" t="s">
        <v>50</v>
      </c>
      <c r="E59" t="s">
        <v>38</v>
      </c>
      <c r="F59">
        <v>2000</v>
      </c>
    </row>
    <row r="60" spans="1:6" hidden="1" outlineLevel="1" x14ac:dyDescent="0.25">
      <c r="A60" t="s">
        <v>47</v>
      </c>
      <c r="D60" t="s">
        <v>50</v>
      </c>
      <c r="E60" t="s">
        <v>38</v>
      </c>
      <c r="F60">
        <v>2100</v>
      </c>
    </row>
    <row r="61" spans="1:6" hidden="1" outlineLevel="1" x14ac:dyDescent="0.25">
      <c r="A61" t="s">
        <v>49</v>
      </c>
      <c r="D61" t="s">
        <v>15</v>
      </c>
      <c r="E61" t="s">
        <v>38</v>
      </c>
      <c r="F61">
        <v>25</v>
      </c>
    </row>
    <row r="62" spans="1:6" hidden="1" outlineLevel="1" x14ac:dyDescent="0.25">
      <c r="A62" t="s">
        <v>94</v>
      </c>
      <c r="D62" t="s">
        <v>59</v>
      </c>
      <c r="E62" t="s">
        <v>38</v>
      </c>
      <c r="F62">
        <v>0.25</v>
      </c>
    </row>
    <row r="63" spans="1:6" hidden="1" outlineLevel="1" x14ac:dyDescent="0.25">
      <c r="A63" t="s">
        <v>45</v>
      </c>
      <c r="D63" t="s">
        <v>96</v>
      </c>
      <c r="E63" t="s">
        <v>38</v>
      </c>
      <c r="F63">
        <v>200</v>
      </c>
    </row>
    <row r="64" spans="1:6" hidden="1" outlineLevel="1" x14ac:dyDescent="0.25">
      <c r="A64" t="s">
        <v>51</v>
      </c>
      <c r="D64" t="s">
        <v>96</v>
      </c>
      <c r="E64" t="s">
        <v>38</v>
      </c>
    </row>
    <row r="65" spans="1:6" hidden="1" outlineLevel="1" x14ac:dyDescent="0.25">
      <c r="A65" t="s">
        <v>58</v>
      </c>
      <c r="D65" t="s">
        <v>96</v>
      </c>
      <c r="E65" t="s">
        <v>38</v>
      </c>
    </row>
    <row r="66" spans="1:6" hidden="1" outlineLevel="1" x14ac:dyDescent="0.25">
      <c r="A66" t="s">
        <v>54</v>
      </c>
      <c r="D66" t="s">
        <v>59</v>
      </c>
      <c r="E66" t="s">
        <v>38</v>
      </c>
      <c r="F66">
        <v>1</v>
      </c>
    </row>
    <row r="67" spans="1:6" hidden="1" outlineLevel="1" x14ac:dyDescent="0.25">
      <c r="A67" t="s">
        <v>55</v>
      </c>
      <c r="D67" t="s">
        <v>59</v>
      </c>
      <c r="E67" t="s">
        <v>38</v>
      </c>
    </row>
    <row r="68" spans="1:6" hidden="1" outlineLevel="1" x14ac:dyDescent="0.25">
      <c r="A68" t="s">
        <v>83</v>
      </c>
      <c r="B68" s="76" t="s">
        <v>113</v>
      </c>
      <c r="C68" t="str">
        <f>Hierarchy!$F$9</f>
        <v>Alberta_Residential_Building_Shell_Space Heating</v>
      </c>
      <c r="D68" t="s">
        <v>65</v>
      </c>
      <c r="E68" t="s">
        <v>38</v>
      </c>
      <c r="F68" s="4">
        <v>0.51500000000000001</v>
      </c>
    </row>
    <row r="69" spans="1:6" hidden="1" outlineLevel="1" x14ac:dyDescent="0.25">
      <c r="A69" t="s">
        <v>83</v>
      </c>
      <c r="B69" s="33" t="s">
        <v>88</v>
      </c>
      <c r="D69" t="s">
        <v>65</v>
      </c>
      <c r="E69" t="s">
        <v>38</v>
      </c>
      <c r="F69" s="4">
        <v>5.6000000000000001E-2</v>
      </c>
    </row>
    <row r="70" spans="1:6" hidden="1" outlineLevel="1" x14ac:dyDescent="0.25">
      <c r="A70" t="s">
        <v>74</v>
      </c>
      <c r="D70" t="s">
        <v>84</v>
      </c>
      <c r="E70" t="s">
        <v>38</v>
      </c>
      <c r="F70" s="4">
        <v>0</v>
      </c>
    </row>
    <row r="72" spans="1:6" x14ac:dyDescent="0.25">
      <c r="A72" t="s">
        <v>60</v>
      </c>
      <c r="D72" t="s">
        <v>43</v>
      </c>
      <c r="E72" t="str">
        <f>AB_RES_BLDG!$E$12&amp;"_"&amp;$E$20</f>
        <v>Single Family Detached_LEED</v>
      </c>
      <c r="F72" s="6">
        <f>AB_RES_BLDG!$F$12*$F$20</f>
        <v>0</v>
      </c>
    </row>
    <row r="73" spans="1:6" x14ac:dyDescent="0.25">
      <c r="A73" t="s">
        <v>60</v>
      </c>
      <c r="D73" t="s">
        <v>43</v>
      </c>
      <c r="E73" t="str">
        <f>AB_RES_BLDG!$E$12&amp;"_"&amp;$E$32</f>
        <v>Single Family Detached_Post-1960</v>
      </c>
      <c r="F73" s="6">
        <f>AB_RES_BLDG!$F$12*$F$32</f>
        <v>78128847.216418296</v>
      </c>
    </row>
    <row r="74" spans="1:6" x14ac:dyDescent="0.25">
      <c r="A74" t="s">
        <v>60</v>
      </c>
      <c r="D74" t="s">
        <v>43</v>
      </c>
      <c r="E74" t="str">
        <f>AB_RES_BLDG!$E$12&amp;"_"&amp;$E$44</f>
        <v>Single Family Detached_Pre-1960</v>
      </c>
      <c r="F74" s="6">
        <f>AB_RES_BLDG!$F$12*$F$44</f>
        <v>15663286.296688903</v>
      </c>
    </row>
    <row r="75" spans="1:6" x14ac:dyDescent="0.25">
      <c r="A75" t="s">
        <v>60</v>
      </c>
      <c r="D75" t="s">
        <v>43</v>
      </c>
      <c r="E75" t="str">
        <f>AB_RES_BLDG!$E$12&amp;"_"&amp;$E$57</f>
        <v>Single Family Detached_R2000</v>
      </c>
      <c r="F75" s="6">
        <f>AB_RES_BLDG!$F$12*$F$57</f>
        <v>0</v>
      </c>
    </row>
    <row r="76" spans="1:6" x14ac:dyDescent="0.25">
      <c r="A76" t="s">
        <v>60</v>
      </c>
      <c r="D76" t="s">
        <v>43</v>
      </c>
      <c r="E76" t="str">
        <f>AB_RES_BLDG!$E$12&amp;"_"&amp;$E$70</f>
        <v>Single Family Detached_Standard</v>
      </c>
      <c r="F76" s="6">
        <f>AB_RES_BLDG!$F$12*$F$70</f>
        <v>0</v>
      </c>
    </row>
    <row r="77" spans="1:6" x14ac:dyDescent="0.25">
      <c r="A77" t="s">
        <v>60</v>
      </c>
      <c r="D77" t="s">
        <v>43</v>
      </c>
      <c r="E77" t="str">
        <f>AB_RES_BLDG!$E$13&amp;"_"&amp;$E$20</f>
        <v>Single Family Attached_LEED</v>
      </c>
      <c r="F77" s="6">
        <f>AB_RES_BLDG!$F$13*$F$20</f>
        <v>0</v>
      </c>
    </row>
    <row r="78" spans="1:6" x14ac:dyDescent="0.25">
      <c r="A78" t="s">
        <v>60</v>
      </c>
      <c r="D78" t="s">
        <v>43</v>
      </c>
      <c r="E78" t="str">
        <f>AB_RES_BLDG!$E$13&amp;"_"&amp;$E$32</f>
        <v>Single Family Attached_Post-1960</v>
      </c>
      <c r="F78" s="6">
        <f>AB_RES_BLDG!$F$13*$F$32</f>
        <v>10860139.494346153</v>
      </c>
    </row>
    <row r="79" spans="1:6" x14ac:dyDescent="0.25">
      <c r="A79" t="s">
        <v>60</v>
      </c>
      <c r="D79" t="s">
        <v>43</v>
      </c>
      <c r="E79" t="str">
        <f>AB_RES_BLDG!$E$13&amp;"_"&amp;$E$44</f>
        <v>Single Family Attached_Pre-1960</v>
      </c>
      <c r="F79" s="6">
        <f>AB_RES_BLDG!$F$13*$F$44</f>
        <v>2177242.8518076926</v>
      </c>
    </row>
    <row r="80" spans="1:6" x14ac:dyDescent="0.25">
      <c r="A80" t="s">
        <v>60</v>
      </c>
      <c r="D80" t="s">
        <v>43</v>
      </c>
      <c r="E80" t="str">
        <f>AB_RES_BLDG!$E$13&amp;"_"&amp;$E$57</f>
        <v>Single Family Attached_R2000</v>
      </c>
      <c r="F80" s="6">
        <f>AB_RES_BLDG!$F$13*$F$57</f>
        <v>0</v>
      </c>
    </row>
    <row r="81" spans="1:6" x14ac:dyDescent="0.25">
      <c r="A81" t="s">
        <v>60</v>
      </c>
      <c r="D81" t="s">
        <v>43</v>
      </c>
      <c r="E81" t="str">
        <f>AB_RES_BLDG!$E$13&amp;"_"&amp;$E$70</f>
        <v>Single Family Attached_Standard</v>
      </c>
      <c r="F81" s="6">
        <f>AB_RES_BLDG!$F$13*$F$70</f>
        <v>0</v>
      </c>
    </row>
    <row r="82" spans="1:6" x14ac:dyDescent="0.25">
      <c r="A82" t="s">
        <v>60</v>
      </c>
      <c r="D82" t="s">
        <v>43</v>
      </c>
      <c r="E82" t="str">
        <f>AB_RES_BLDG!$E$14&amp;"_"&amp;$E$20</f>
        <v>Apartment_LEED</v>
      </c>
      <c r="F82" s="6">
        <f>AB_RES_BLDG!$F$14*$F$20</f>
        <v>0</v>
      </c>
    </row>
    <row r="83" spans="1:6" x14ac:dyDescent="0.25">
      <c r="A83" t="s">
        <v>60</v>
      </c>
      <c r="D83" t="s">
        <v>43</v>
      </c>
      <c r="E83" t="str">
        <f>AB_RES_BLDG!$E$14&amp;"_"&amp;$E$32</f>
        <v>Apartment_Post-1960</v>
      </c>
      <c r="F83" s="6">
        <f>AB_RES_BLDG!$F$14*$F$32</f>
        <v>15204195.292084616</v>
      </c>
    </row>
    <row r="84" spans="1:6" x14ac:dyDescent="0.25">
      <c r="A84" t="s">
        <v>60</v>
      </c>
      <c r="D84" t="s">
        <v>43</v>
      </c>
      <c r="E84" t="str">
        <f>AB_RES_BLDG!$E$14&amp;"_"&amp;$E$44</f>
        <v>Apartment_Pre-1960</v>
      </c>
      <c r="F84" s="6">
        <f>AB_RES_BLDG!$F$14*$F$44</f>
        <v>3048139.9925307697</v>
      </c>
    </row>
    <row r="85" spans="1:6" x14ac:dyDescent="0.25">
      <c r="A85" t="s">
        <v>60</v>
      </c>
      <c r="D85" t="s">
        <v>43</v>
      </c>
      <c r="E85" t="str">
        <f>AB_RES_BLDG!$E$14&amp;"_"&amp;$E$57</f>
        <v>Apartment_R2000</v>
      </c>
      <c r="F85" s="6">
        <f>AB_RES_BLDG!$F$14*$F$57</f>
        <v>0</v>
      </c>
    </row>
    <row r="86" spans="1:6" x14ac:dyDescent="0.25">
      <c r="A86" t="s">
        <v>60</v>
      </c>
      <c r="D86" t="s">
        <v>43</v>
      </c>
      <c r="E86" t="str">
        <f>AB_RES_BLDG!$E$14&amp;"_"&amp;$E$70</f>
        <v>Apartment_Standard</v>
      </c>
      <c r="F86" s="6">
        <f>AB_RES_BLDG!$F$14*$F$70</f>
        <v>0</v>
      </c>
    </row>
    <row r="87" spans="1:6" x14ac:dyDescent="0.25">
      <c r="A87" t="s">
        <v>60</v>
      </c>
      <c r="D87" t="s">
        <v>43</v>
      </c>
      <c r="E87" t="str">
        <f>AB_RES_BLDG!$E$15&amp;"_"&amp;$E$20</f>
        <v>Mobile_LEED</v>
      </c>
      <c r="F87" s="6">
        <f>AB_RES_BLDG!$F$15*$F$20</f>
        <v>0</v>
      </c>
    </row>
    <row r="88" spans="1:6" x14ac:dyDescent="0.25">
      <c r="A88" t="s">
        <v>60</v>
      </c>
      <c r="D88" t="s">
        <v>43</v>
      </c>
      <c r="E88" t="str">
        <f>AB_RES_BLDG!$E$15&amp;"_"&amp;$E$32</f>
        <v>Mobile_Post-1960</v>
      </c>
      <c r="F88" s="6">
        <f>AB_RES_BLDG!$F$15*$F$32</f>
        <v>4408212.9406124707</v>
      </c>
    </row>
    <row r="89" spans="1:6" x14ac:dyDescent="0.25">
      <c r="A89" t="s">
        <v>60</v>
      </c>
      <c r="D89" t="s">
        <v>43</v>
      </c>
      <c r="E89" t="str">
        <f>AB_RES_BLDG!$E$15&amp;"_"&amp;$E$44</f>
        <v>Mobile_Pre-1960</v>
      </c>
      <c r="F89" s="6">
        <f>AB_RES_BLDG!$F$15*$F$44</f>
        <v>883759.37704955915</v>
      </c>
    </row>
    <row r="90" spans="1:6" x14ac:dyDescent="0.25">
      <c r="A90" t="s">
        <v>60</v>
      </c>
      <c r="D90" t="s">
        <v>43</v>
      </c>
      <c r="E90" t="str">
        <f>AB_RES_BLDG!$E$15&amp;"_"&amp;$E$57</f>
        <v>Mobile_R2000</v>
      </c>
      <c r="F90" s="6">
        <f>AB_RES_BLDG!$F$15*$F$57</f>
        <v>0</v>
      </c>
    </row>
    <row r="91" spans="1:6" x14ac:dyDescent="0.25">
      <c r="A91" t="s">
        <v>60</v>
      </c>
      <c r="D91" t="s">
        <v>43</v>
      </c>
      <c r="E91" t="str">
        <f>AB_RES_BLDG!$E$15&amp;"_"&amp;$E$70</f>
        <v>Mobile_Standard</v>
      </c>
      <c r="F91" s="6">
        <f>AB_RES_BLDG!$F$15*$F$70</f>
        <v>0</v>
      </c>
    </row>
  </sheetData>
  <autoFilter ref="A2:E70" xr:uid="{E7706212-3949-461A-AF3E-B07B9EAB9DEC}"/>
  <dataValidations count="1">
    <dataValidation type="list" allowBlank="1" showInputMessage="1" showErrorMessage="1" sqref="E6" xr:uid="{E13BBA69-3FAF-4AB0-8560-299A48048EAA}">
      <formula1>Competition</formula1>
    </dataValidation>
  </dataValidations>
  <hyperlinks>
    <hyperlink ref="B18" location="AB_RES_SPHEAT" display="Space Heating" xr:uid="{4B5C710F-3093-4E8A-89C4-5076C4A867AF}"/>
    <hyperlink ref="B30" location="AB_RES_SPHEAT" display="Space Heating" xr:uid="{12026F7E-D1DF-4CB6-8EF3-CBADE93BDFA7}"/>
    <hyperlink ref="B42" location="AB_RES_SPHEAT" display="Space Heating" xr:uid="{2508E9FB-490B-4905-A558-E0D1E21313B9}"/>
    <hyperlink ref="B55" location="AB_RES_SPHEAT" display="Space Heating" xr:uid="{7EE3975C-5E7B-4BAA-AC94-3C3A541385E7}"/>
    <hyperlink ref="B68" location="AB_RES_SPHEAT" display="Space Heating" xr:uid="{8C81AA5B-5F87-4EEC-B883-972BC5369BAD}"/>
    <hyperlink ref="A1" location="Map!A1" display="Tree Map" xr:uid="{7D1E0232-5953-4D6D-9747-C6BC739440F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82CC-82C7-41FE-BC8B-2452DD8ECA1F}">
  <sheetPr codeName="Sheet5">
    <tabColor rgb="FF92D050"/>
    <outlinePr summaryBelow="0" summaryRight="0"/>
  </sheetPr>
  <dimension ref="A1:BD38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F5" sqref="F5"/>
    </sheetView>
  </sheetViews>
  <sheetFormatPr defaultRowHeight="15" outlineLevelRow="1" outlineLevelCol="1" x14ac:dyDescent="0.25"/>
  <cols>
    <col min="1" max="1" width="24.140625" bestFit="1" customWidth="1"/>
    <col min="2" max="2" width="20.42578125" bestFit="1" customWidth="1" collapsed="1"/>
    <col min="3" max="3" width="28.5703125" hidden="1" customWidth="1" outlineLevel="1"/>
    <col min="4" max="4" width="21" bestFit="1" customWidth="1"/>
    <col min="5" max="5" width="59.85546875" bestFit="1" customWidth="1"/>
    <col min="6" max="16" width="10.7109375" customWidth="1"/>
  </cols>
  <sheetData>
    <row r="1" spans="1:56" x14ac:dyDescent="0.25">
      <c r="A1" s="10" t="s">
        <v>80</v>
      </c>
    </row>
    <row r="2" spans="1:56" s="13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113</v>
      </c>
    </row>
    <row r="4" spans="1:56" s="50" customFormat="1" x14ac:dyDescent="0.25">
      <c r="A4" s="50" t="s">
        <v>11</v>
      </c>
      <c r="E4" s="50" t="s">
        <v>136</v>
      </c>
    </row>
    <row r="5" spans="1:56" x14ac:dyDescent="0.25">
      <c r="A5" t="s">
        <v>82</v>
      </c>
      <c r="B5" t="s">
        <v>3</v>
      </c>
      <c r="E5" t="s">
        <v>43</v>
      </c>
    </row>
    <row r="6" spans="1:56" x14ac:dyDescent="0.25">
      <c r="A6" t="s">
        <v>76</v>
      </c>
      <c r="E6" t="s">
        <v>30</v>
      </c>
    </row>
    <row r="7" spans="1:56" x14ac:dyDescent="0.25">
      <c r="A7" t="s">
        <v>112</v>
      </c>
      <c r="E7" t="s">
        <v>44</v>
      </c>
      <c r="F7">
        <v>10</v>
      </c>
    </row>
    <row r="8" spans="1:56" collapsed="1" x14ac:dyDescent="0.25">
      <c r="A8" t="s">
        <v>89</v>
      </c>
      <c r="E8" t="s">
        <v>41</v>
      </c>
    </row>
    <row r="9" spans="1:56" hidden="1" outlineLevel="1" x14ac:dyDescent="0.25">
      <c r="A9" t="s">
        <v>48</v>
      </c>
      <c r="D9" t="s">
        <v>50</v>
      </c>
      <c r="E9" t="s">
        <v>41</v>
      </c>
      <c r="F9">
        <v>1990</v>
      </c>
    </row>
    <row r="10" spans="1:56" hidden="1" outlineLevel="1" x14ac:dyDescent="0.25">
      <c r="A10" t="s">
        <v>47</v>
      </c>
      <c r="D10" t="s">
        <v>50</v>
      </c>
      <c r="E10" t="s">
        <v>41</v>
      </c>
      <c r="F10">
        <v>2100</v>
      </c>
    </row>
    <row r="11" spans="1:56" hidden="1" outlineLevel="1" x14ac:dyDescent="0.25">
      <c r="A11" t="s">
        <v>49</v>
      </c>
      <c r="D11" t="s">
        <v>15</v>
      </c>
      <c r="E11" t="s">
        <v>41</v>
      </c>
      <c r="F11">
        <v>25</v>
      </c>
    </row>
    <row r="12" spans="1:56" hidden="1" outlineLevel="1" x14ac:dyDescent="0.25">
      <c r="A12" t="s">
        <v>94</v>
      </c>
      <c r="D12" t="s">
        <v>59</v>
      </c>
      <c r="E12" t="s">
        <v>41</v>
      </c>
      <c r="F12">
        <v>0.25</v>
      </c>
    </row>
    <row r="13" spans="1:56" hidden="1" outlineLevel="1" x14ac:dyDescent="0.25">
      <c r="A13" t="s">
        <v>45</v>
      </c>
      <c r="D13" t="s">
        <v>22</v>
      </c>
      <c r="E13" t="s">
        <v>41</v>
      </c>
      <c r="F13">
        <v>15</v>
      </c>
    </row>
    <row r="14" spans="1:56" hidden="1" outlineLevel="1" x14ac:dyDescent="0.25">
      <c r="A14" t="s">
        <v>51</v>
      </c>
      <c r="D14" t="s">
        <v>22</v>
      </c>
      <c r="E14" t="s">
        <v>41</v>
      </c>
    </row>
    <row r="15" spans="1:56" hidden="1" outlineLevel="1" x14ac:dyDescent="0.25">
      <c r="A15" t="s">
        <v>58</v>
      </c>
      <c r="D15" t="s">
        <v>22</v>
      </c>
      <c r="E15" t="s">
        <v>41</v>
      </c>
    </row>
    <row r="16" spans="1:56" hidden="1" outlineLevel="1" x14ac:dyDescent="0.25">
      <c r="A16" t="s">
        <v>54</v>
      </c>
      <c r="D16" t="s">
        <v>59</v>
      </c>
      <c r="E16" t="s">
        <v>41</v>
      </c>
      <c r="F16">
        <v>1</v>
      </c>
    </row>
    <row r="17" spans="1:6" hidden="1" outlineLevel="1" x14ac:dyDescent="0.25">
      <c r="A17" t="s">
        <v>55</v>
      </c>
      <c r="D17" t="s">
        <v>59</v>
      </c>
      <c r="E17" t="s">
        <v>41</v>
      </c>
    </row>
    <row r="18" spans="1:6" hidden="1" outlineLevel="1" x14ac:dyDescent="0.25">
      <c r="A18" t="s">
        <v>56</v>
      </c>
      <c r="D18" t="s">
        <v>59</v>
      </c>
      <c r="E18" t="s">
        <v>41</v>
      </c>
      <c r="F18">
        <v>1</v>
      </c>
    </row>
    <row r="19" spans="1:6" hidden="1" outlineLevel="1" x14ac:dyDescent="0.25">
      <c r="A19" t="s">
        <v>57</v>
      </c>
      <c r="D19" t="s">
        <v>59</v>
      </c>
      <c r="E19" t="s">
        <v>41</v>
      </c>
    </row>
    <row r="20" spans="1:6" hidden="1" outlineLevel="1" x14ac:dyDescent="0.25">
      <c r="A20" t="s">
        <v>83</v>
      </c>
      <c r="B20" s="40" t="s">
        <v>4</v>
      </c>
      <c r="C20" t="str">
        <f>Hierarchy!$F$10</f>
        <v>Alberta_Electricity</v>
      </c>
      <c r="D20" t="s">
        <v>75</v>
      </c>
      <c r="E20" t="s">
        <v>41</v>
      </c>
      <c r="F20" s="4">
        <v>1</v>
      </c>
    </row>
    <row r="21" spans="1:6" hidden="1" outlineLevel="1" x14ac:dyDescent="0.25">
      <c r="A21" t="s">
        <v>74</v>
      </c>
      <c r="D21" t="s">
        <v>84</v>
      </c>
      <c r="E21" t="s">
        <v>41</v>
      </c>
      <c r="F21" s="4">
        <v>5.5303779999999999E-3</v>
      </c>
    </row>
    <row r="22" spans="1:6" collapsed="1" x14ac:dyDescent="0.25">
      <c r="A22" t="s">
        <v>89</v>
      </c>
      <c r="E22" t="s">
        <v>42</v>
      </c>
    </row>
    <row r="23" spans="1:6" hidden="1" outlineLevel="1" x14ac:dyDescent="0.25">
      <c r="A23" t="s">
        <v>48</v>
      </c>
      <c r="D23" t="s">
        <v>50</v>
      </c>
      <c r="E23" t="s">
        <v>42</v>
      </c>
      <c r="F23">
        <v>1990</v>
      </c>
    </row>
    <row r="24" spans="1:6" hidden="1" outlineLevel="1" x14ac:dyDescent="0.25">
      <c r="A24" t="s">
        <v>47</v>
      </c>
      <c r="D24" t="s">
        <v>50</v>
      </c>
      <c r="E24" t="s">
        <v>42</v>
      </c>
      <c r="F24">
        <v>2100</v>
      </c>
    </row>
    <row r="25" spans="1:6" hidden="1" outlineLevel="1" x14ac:dyDescent="0.25">
      <c r="A25" t="s">
        <v>49</v>
      </c>
      <c r="D25" t="s">
        <v>15</v>
      </c>
      <c r="E25" t="s">
        <v>42</v>
      </c>
      <c r="F25">
        <v>25</v>
      </c>
    </row>
    <row r="26" spans="1:6" hidden="1" outlineLevel="1" x14ac:dyDescent="0.25">
      <c r="A26" t="s">
        <v>94</v>
      </c>
      <c r="D26" t="s">
        <v>59</v>
      </c>
      <c r="E26" t="s">
        <v>42</v>
      </c>
      <c r="F26">
        <v>0.25</v>
      </c>
    </row>
    <row r="27" spans="1:6" hidden="1" outlineLevel="1" x14ac:dyDescent="0.25">
      <c r="A27" t="s">
        <v>45</v>
      </c>
      <c r="D27" t="s">
        <v>22</v>
      </c>
      <c r="E27" t="s">
        <v>42</v>
      </c>
      <c r="F27">
        <v>250</v>
      </c>
    </row>
    <row r="28" spans="1:6" hidden="1" outlineLevel="1" x14ac:dyDescent="0.25">
      <c r="A28" t="s">
        <v>51</v>
      </c>
      <c r="D28" t="s">
        <v>22</v>
      </c>
      <c r="E28" t="s">
        <v>42</v>
      </c>
    </row>
    <row r="29" spans="1:6" hidden="1" outlineLevel="1" x14ac:dyDescent="0.25">
      <c r="A29" t="s">
        <v>58</v>
      </c>
      <c r="D29" t="s">
        <v>22</v>
      </c>
      <c r="E29" t="s">
        <v>42</v>
      </c>
    </row>
    <row r="30" spans="1:6" hidden="1" outlineLevel="1" x14ac:dyDescent="0.25">
      <c r="A30" t="s">
        <v>54</v>
      </c>
      <c r="D30" t="s">
        <v>59</v>
      </c>
      <c r="E30" t="s">
        <v>42</v>
      </c>
      <c r="F30">
        <v>1</v>
      </c>
    </row>
    <row r="31" spans="1:6" hidden="1" outlineLevel="1" x14ac:dyDescent="0.25">
      <c r="A31" t="s">
        <v>55</v>
      </c>
      <c r="D31" t="s">
        <v>59</v>
      </c>
      <c r="E31" t="s">
        <v>42</v>
      </c>
    </row>
    <row r="32" spans="1:6" hidden="1" outlineLevel="1" x14ac:dyDescent="0.25">
      <c r="A32" t="s">
        <v>56</v>
      </c>
      <c r="D32" t="s">
        <v>59</v>
      </c>
      <c r="E32" t="s">
        <v>42</v>
      </c>
      <c r="F32">
        <v>1</v>
      </c>
    </row>
    <row r="33" spans="1:7" hidden="1" outlineLevel="1" x14ac:dyDescent="0.25">
      <c r="A33" t="s">
        <v>57</v>
      </c>
      <c r="D33" t="s">
        <v>59</v>
      </c>
      <c r="E33" t="s">
        <v>42</v>
      </c>
    </row>
    <row r="34" spans="1:7" hidden="1" outlineLevel="1" x14ac:dyDescent="0.25">
      <c r="A34" t="s">
        <v>83</v>
      </c>
      <c r="B34" s="40" t="s">
        <v>42</v>
      </c>
      <c r="C34" t="str">
        <f>Hierarchy!$F$7</f>
        <v>Alberta_Residential_Furnace</v>
      </c>
      <c r="D34" s="7" t="s">
        <v>75</v>
      </c>
      <c r="E34" t="s">
        <v>42</v>
      </c>
      <c r="F34" s="4">
        <v>1</v>
      </c>
    </row>
    <row r="35" spans="1:7" hidden="1" outlineLevel="1" x14ac:dyDescent="0.25">
      <c r="A35" t="s">
        <v>74</v>
      </c>
      <c r="D35" t="s">
        <v>84</v>
      </c>
      <c r="E35" t="s">
        <v>42</v>
      </c>
      <c r="F35" s="4">
        <f>1-$F$21</f>
        <v>0.994469622</v>
      </c>
    </row>
    <row r="37" spans="1:7" x14ac:dyDescent="0.25">
      <c r="A37" t="s">
        <v>60</v>
      </c>
      <c r="D37" t="s">
        <v>43</v>
      </c>
      <c r="E37" t="str">
        <f>AB_RES_SHELL!E$73&amp;"_"&amp;E21</f>
        <v>Single Family Detached_Post-1960_Electric baseboard</v>
      </c>
      <c r="F37">
        <f>AB_RES_SHELL!F$73*F21</f>
        <v>432082.05781104096</v>
      </c>
      <c r="G37" s="6"/>
    </row>
    <row r="38" spans="1:7" x14ac:dyDescent="0.25">
      <c r="A38" t="s">
        <v>60</v>
      </c>
      <c r="D38" t="s">
        <v>43</v>
      </c>
      <c r="E38" t="str">
        <f>AB_RES_SHELL!E$73&amp;"_"&amp;E35</f>
        <v>Single Family Detached_Post-1960_Furnace</v>
      </c>
      <c r="F38">
        <f>AB_RES_SHELL!F$73*F35</f>
        <v>77696765.158607259</v>
      </c>
      <c r="G38" s="6"/>
    </row>
  </sheetData>
  <autoFilter ref="A2:E2" xr:uid="{2FA89E74-BA25-41E8-8279-0BE07234F7C6}"/>
  <sortState xmlns:xlrd2="http://schemas.microsoft.com/office/spreadsheetml/2017/richdata2" ref="A8:F35">
    <sortCondition ref="E8:E35"/>
  </sortState>
  <dataValidations count="1">
    <dataValidation type="list" allowBlank="1" showInputMessage="1" showErrorMessage="1" sqref="E6" xr:uid="{165EE8FF-880E-47A5-B1B1-71F35EBBCFEF}">
      <formula1>Competition</formula1>
    </dataValidation>
  </dataValidations>
  <hyperlinks>
    <hyperlink ref="A1" location="Map!A1" display="Tree Map" xr:uid="{8B26721D-B578-4EC8-9807-4FB597398C68}"/>
    <hyperlink ref="B20" location="AB_ELEC" display="Electricity" xr:uid="{7AB1FC11-F61F-4099-A09E-F652A618119C}"/>
    <hyperlink ref="B34" location="AB_RES_FURN" display="Furnace" xr:uid="{3852787D-7CD8-4BAC-9C26-A5209F099193}"/>
  </hyperlink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AE9A3-5FD6-4B68-9ABF-417611FE90A8}">
  <sheetPr codeName="Sheet10">
    <tabColor rgb="FF002060"/>
    <outlinePr summaryBelow="0" summaryRight="0"/>
  </sheetPr>
  <dimension ref="A1:BD23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F21" sqref="F21"/>
    </sheetView>
  </sheetViews>
  <sheetFormatPr defaultRowHeight="15" outlineLevelCol="1" x14ac:dyDescent="0.25"/>
  <cols>
    <col min="1" max="1" width="21" bestFit="1" customWidth="1"/>
    <col min="2" max="2" width="11.85546875" bestFit="1" customWidth="1" collapsed="1"/>
    <col min="3" max="3" width="28.5703125" hidden="1" customWidth="1" outlineLevel="1"/>
    <col min="4" max="4" width="25.28515625" bestFit="1" customWidth="1"/>
    <col min="5" max="5" width="36.140625" bestFit="1" customWidth="1"/>
    <col min="6" max="16" width="11.7109375" customWidth="1"/>
  </cols>
  <sheetData>
    <row r="1" spans="1:56" x14ac:dyDescent="0.25">
      <c r="A1" s="10" t="s">
        <v>80</v>
      </c>
    </row>
    <row r="2" spans="1:56" s="11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4</v>
      </c>
    </row>
    <row r="4" spans="1:56" s="50" customFormat="1" x14ac:dyDescent="0.25">
      <c r="A4" s="50" t="s">
        <v>11</v>
      </c>
      <c r="E4" s="50" t="s">
        <v>135</v>
      </c>
    </row>
    <row r="5" spans="1:56" x14ac:dyDescent="0.25">
      <c r="A5" t="s">
        <v>82</v>
      </c>
      <c r="B5" t="s">
        <v>4</v>
      </c>
      <c r="E5" t="s">
        <v>43</v>
      </c>
    </row>
    <row r="6" spans="1:56" x14ac:dyDescent="0.25">
      <c r="A6" t="s">
        <v>12</v>
      </c>
      <c r="E6" t="s">
        <v>44</v>
      </c>
      <c r="F6" s="3">
        <v>0.4</v>
      </c>
      <c r="G6" s="3"/>
      <c r="H6" s="3"/>
      <c r="I6" s="3"/>
      <c r="J6" s="3"/>
      <c r="K6" s="3"/>
      <c r="L6" s="3"/>
      <c r="M6" s="3"/>
      <c r="N6" s="3"/>
      <c r="O6" s="3"/>
      <c r="P6" s="3"/>
    </row>
    <row r="7" spans="1:56" x14ac:dyDescent="0.25">
      <c r="A7" t="s">
        <v>85</v>
      </c>
      <c r="D7" t="s">
        <v>59</v>
      </c>
      <c r="E7" t="s">
        <v>52</v>
      </c>
      <c r="F7" s="3">
        <v>0.1</v>
      </c>
      <c r="G7" s="3"/>
      <c r="H7" s="3"/>
      <c r="I7" s="3"/>
      <c r="J7" s="3"/>
      <c r="K7" s="3"/>
      <c r="L7" s="3"/>
      <c r="M7" s="3"/>
      <c r="N7" s="3"/>
      <c r="O7" s="3"/>
      <c r="P7" s="3"/>
    </row>
    <row r="8" spans="1:56" x14ac:dyDescent="0.25">
      <c r="A8" t="s">
        <v>86</v>
      </c>
      <c r="D8" t="s">
        <v>59</v>
      </c>
      <c r="F8" s="3">
        <v>0.1</v>
      </c>
      <c r="G8" s="3"/>
      <c r="H8" s="3"/>
      <c r="I8" s="3"/>
      <c r="J8" s="3"/>
      <c r="K8" s="3"/>
      <c r="L8" s="3"/>
      <c r="M8" s="3"/>
      <c r="N8" s="3"/>
      <c r="O8" s="3"/>
      <c r="P8" s="3"/>
    </row>
    <row r="9" spans="1:56" x14ac:dyDescent="0.25">
      <c r="A9" t="s">
        <v>27</v>
      </c>
      <c r="E9" t="s">
        <v>53</v>
      </c>
      <c r="F9" s="3">
        <v>1</v>
      </c>
      <c r="G9" s="3"/>
      <c r="H9" s="3"/>
      <c r="I9" s="3"/>
      <c r="J9" s="3"/>
      <c r="K9" s="3"/>
      <c r="L9" s="3"/>
      <c r="M9" s="3"/>
      <c r="N9" s="3"/>
      <c r="O9" s="3"/>
      <c r="P9" s="3"/>
    </row>
    <row r="10" spans="1:56" x14ac:dyDescent="0.25">
      <c r="A10" t="s">
        <v>16</v>
      </c>
      <c r="D10" t="s">
        <v>22</v>
      </c>
      <c r="E10" s="14" t="s">
        <v>17</v>
      </c>
      <c r="F10" s="3">
        <v>19</v>
      </c>
      <c r="G10" s="3">
        <v>25</v>
      </c>
      <c r="H10" s="3">
        <v>29</v>
      </c>
      <c r="I10" s="3">
        <v>32</v>
      </c>
      <c r="J10" s="3">
        <v>32.64</v>
      </c>
      <c r="K10" s="3">
        <v>33.2928</v>
      </c>
      <c r="L10" s="3">
        <v>33.958655999999998</v>
      </c>
      <c r="M10" s="3">
        <v>34.637829119999999</v>
      </c>
      <c r="N10" s="3">
        <v>35.330585702400001</v>
      </c>
      <c r="O10" s="3">
        <v>36.037197416448002</v>
      </c>
      <c r="P10" s="3">
        <v>36.757941364776961</v>
      </c>
    </row>
    <row r="11" spans="1:56" x14ac:dyDescent="0.25">
      <c r="A11" t="s">
        <v>16</v>
      </c>
      <c r="D11" t="s">
        <v>22</v>
      </c>
      <c r="E11" s="14" t="s">
        <v>18</v>
      </c>
      <c r="F11" s="3">
        <v>20</v>
      </c>
      <c r="G11" s="3">
        <v>26</v>
      </c>
      <c r="H11" s="3">
        <v>30</v>
      </c>
      <c r="I11" s="3">
        <v>33</v>
      </c>
      <c r="J11" s="3">
        <v>33.660000000000004</v>
      </c>
      <c r="K11" s="3">
        <v>34.333200000000005</v>
      </c>
      <c r="L11" s="3">
        <v>35.019864000000005</v>
      </c>
      <c r="M11" s="3">
        <v>35.72026128000001</v>
      </c>
      <c r="N11" s="3">
        <v>36.434666505600013</v>
      </c>
      <c r="O11" s="3">
        <v>37.163359835712015</v>
      </c>
      <c r="P11" s="3">
        <v>37.906627032426258</v>
      </c>
    </row>
    <row r="12" spans="1:56" x14ac:dyDescent="0.25">
      <c r="A12" t="s">
        <v>16</v>
      </c>
      <c r="D12" t="s">
        <v>22</v>
      </c>
      <c r="E12" s="14" t="s">
        <v>19</v>
      </c>
      <c r="F12" s="3">
        <v>11</v>
      </c>
      <c r="G12" s="3">
        <v>7</v>
      </c>
      <c r="H12" s="3">
        <v>4</v>
      </c>
      <c r="I12" s="3">
        <v>6</v>
      </c>
      <c r="J12" s="3">
        <v>6.12</v>
      </c>
      <c r="K12" s="3">
        <v>6.2423999999999999</v>
      </c>
      <c r="L12" s="3">
        <v>6.367248</v>
      </c>
      <c r="M12" s="3">
        <v>6.4945929600000003</v>
      </c>
      <c r="N12" s="3">
        <v>6.6244848192000001</v>
      </c>
      <c r="O12" s="3">
        <v>6.756974515584</v>
      </c>
      <c r="P12" s="3">
        <v>6.8921140058956798</v>
      </c>
    </row>
    <row r="13" spans="1:56" x14ac:dyDescent="0.25">
      <c r="A13" t="s">
        <v>16</v>
      </c>
      <c r="D13" t="s">
        <v>22</v>
      </c>
      <c r="E13" s="14" t="s">
        <v>4</v>
      </c>
      <c r="F13" s="3">
        <v>22</v>
      </c>
      <c r="G13" s="3">
        <v>26</v>
      </c>
      <c r="H13" s="3">
        <v>34</v>
      </c>
      <c r="I13" s="3">
        <v>31</v>
      </c>
      <c r="J13" s="3">
        <v>31.62</v>
      </c>
      <c r="K13" s="3">
        <v>32.252400000000002</v>
      </c>
      <c r="L13" s="3">
        <v>32.897448000000004</v>
      </c>
      <c r="M13" s="3">
        <v>33.555396960000003</v>
      </c>
      <c r="N13" s="3">
        <v>34.226504899200002</v>
      </c>
      <c r="O13" s="3">
        <v>34.911034997184004</v>
      </c>
      <c r="P13" s="3">
        <v>35.609255697127686</v>
      </c>
    </row>
    <row r="14" spans="1:56" x14ac:dyDescent="0.25">
      <c r="A14" t="s">
        <v>16</v>
      </c>
      <c r="D14" t="s">
        <v>22</v>
      </c>
      <c r="E14" s="14" t="s">
        <v>20</v>
      </c>
      <c r="F14" s="3">
        <v>12</v>
      </c>
      <c r="G14" s="3">
        <v>12</v>
      </c>
      <c r="H14" s="3">
        <v>12</v>
      </c>
      <c r="I14" s="3">
        <v>12</v>
      </c>
      <c r="J14" s="3">
        <v>12.24</v>
      </c>
      <c r="K14" s="3">
        <v>12.4848</v>
      </c>
      <c r="L14" s="3">
        <v>12.734496</v>
      </c>
      <c r="M14" s="3">
        <v>12.989185920000001</v>
      </c>
      <c r="N14" s="3">
        <v>13.2489696384</v>
      </c>
      <c r="O14" s="3">
        <v>13.513949031168</v>
      </c>
      <c r="P14" s="3">
        <v>13.78422801179136</v>
      </c>
    </row>
    <row r="15" spans="1:56" x14ac:dyDescent="0.25">
      <c r="A15" t="s">
        <v>16</v>
      </c>
      <c r="D15" t="s">
        <v>23</v>
      </c>
      <c r="E15" s="14" t="s">
        <v>24</v>
      </c>
      <c r="F15" s="3">
        <v>0</v>
      </c>
      <c r="G15" s="3">
        <v>0</v>
      </c>
      <c r="H15" s="3">
        <v>0</v>
      </c>
      <c r="I15" s="3">
        <v>0</v>
      </c>
      <c r="J15" s="3">
        <v>20</v>
      </c>
      <c r="K15" s="3">
        <v>50</v>
      </c>
      <c r="L15" s="3">
        <v>70</v>
      </c>
      <c r="M15" s="3">
        <v>70</v>
      </c>
      <c r="N15" s="3">
        <v>70</v>
      </c>
      <c r="O15" s="3">
        <v>70</v>
      </c>
      <c r="P15" s="3">
        <v>70</v>
      </c>
    </row>
    <row r="16" spans="1:56" x14ac:dyDescent="0.25">
      <c r="A16" t="s">
        <v>16</v>
      </c>
      <c r="D16" t="s">
        <v>23</v>
      </c>
      <c r="E16" s="14" t="s">
        <v>25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</row>
    <row r="17" spans="1:16" x14ac:dyDescent="0.25">
      <c r="A17" t="s">
        <v>16</v>
      </c>
      <c r="D17" t="s">
        <v>23</v>
      </c>
      <c r="E17" s="14" t="s">
        <v>26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0</v>
      </c>
      <c r="N17" s="3">
        <v>0</v>
      </c>
      <c r="O17" s="3">
        <v>0</v>
      </c>
      <c r="P17" s="3">
        <v>0</v>
      </c>
    </row>
    <row r="18" spans="1:16" x14ac:dyDescent="0.25">
      <c r="A18" t="s">
        <v>76</v>
      </c>
      <c r="E18" t="s">
        <v>31</v>
      </c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16" x14ac:dyDescent="0.25">
      <c r="A19" t="s">
        <v>83</v>
      </c>
      <c r="B19" s="40" t="s">
        <v>8</v>
      </c>
      <c r="C19" t="str">
        <f>Hierarchy!$F$11</f>
        <v>Alberta_Electricity_Generation</v>
      </c>
      <c r="D19" s="7" t="s">
        <v>75</v>
      </c>
      <c r="F19" s="3">
        <v>1</v>
      </c>
      <c r="G19" s="3">
        <v>1</v>
      </c>
      <c r="H19" s="3">
        <v>1</v>
      </c>
      <c r="I19" s="3">
        <v>1</v>
      </c>
      <c r="J19" s="3">
        <v>1</v>
      </c>
      <c r="K19" s="3">
        <v>1</v>
      </c>
      <c r="L19" s="3">
        <v>1</v>
      </c>
      <c r="M19" s="3">
        <v>1</v>
      </c>
      <c r="N19" s="3">
        <v>1</v>
      </c>
      <c r="O19" s="3">
        <v>1</v>
      </c>
      <c r="P19" s="3">
        <v>1</v>
      </c>
    </row>
    <row r="21" spans="1:16" x14ac:dyDescent="0.25">
      <c r="A21" t="s">
        <v>60</v>
      </c>
      <c r="D21" t="s">
        <v>43</v>
      </c>
      <c r="E21" t="s">
        <v>109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3" spans="1:16" x14ac:dyDescent="0.25">
      <c r="I23" s="2"/>
    </row>
  </sheetData>
  <autoFilter ref="A2:E2" xr:uid="{841490CE-4010-4BD2-AB90-C7CBC1FF076D}"/>
  <dataValidations count="1">
    <dataValidation type="list" allowBlank="1" showInputMessage="1" showErrorMessage="1" sqref="E18" xr:uid="{E1434D44-00C1-4FEC-A92A-2C4B91023A0E}">
      <formula1>Competition</formula1>
    </dataValidation>
  </dataValidations>
  <hyperlinks>
    <hyperlink ref="A1" location="Map!A1" display="Tree Map" xr:uid="{779DFABE-A580-4D23-A604-19DE4FCF094C}"/>
    <hyperlink ref="B19" location="AB_ELEC_GEN" display="Generation" xr:uid="{FD5E4A7F-E33A-4394-BA50-4EC60D71AE7F}"/>
  </hyperlink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9C9A6-5BF7-4E68-A216-15D4025C23FF}">
  <sheetPr codeName="Sheet11">
    <tabColor rgb="FF00B0F0"/>
    <outlinePr summaryBelow="0" summaryRight="0"/>
  </sheetPr>
  <dimension ref="A1:BD13"/>
  <sheetViews>
    <sheetView zoomScale="85" zoomScaleNormal="85" workbookViewId="0">
      <pane xSplit="5" ySplit="4" topLeftCell="F5" activePane="bottomRight" state="frozen"/>
      <selection activeCell="E3" sqref="E3:E4"/>
      <selection pane="topRight" activeCell="E3" sqref="E3:E4"/>
      <selection pane="bottomLeft" activeCell="E3" sqref="E3:E4"/>
      <selection pane="bottomRight" activeCell="F16" sqref="F16"/>
    </sheetView>
  </sheetViews>
  <sheetFormatPr defaultRowHeight="15" outlineLevelCol="1" x14ac:dyDescent="0.25"/>
  <cols>
    <col min="1" max="1" width="18.85546875" bestFit="1" customWidth="1"/>
    <col min="2" max="2" width="14.28515625" bestFit="1" customWidth="1" collapsed="1"/>
    <col min="3" max="3" width="44.28515625" hidden="1" customWidth="1" outlineLevel="1"/>
    <col min="4" max="4" width="17" bestFit="1" customWidth="1"/>
    <col min="5" max="5" width="45.140625" bestFit="1" customWidth="1"/>
    <col min="6" max="16" width="13.5703125" customWidth="1"/>
  </cols>
  <sheetData>
    <row r="1" spans="1:56" x14ac:dyDescent="0.25">
      <c r="A1" s="10" t="s">
        <v>80</v>
      </c>
    </row>
    <row r="2" spans="1:56" s="13" customFormat="1" x14ac:dyDescent="0.25">
      <c r="A2" s="11" t="s">
        <v>14</v>
      </c>
      <c r="B2" s="11" t="s">
        <v>87</v>
      </c>
      <c r="C2" s="11" t="s">
        <v>11</v>
      </c>
      <c r="D2" s="11" t="s">
        <v>21</v>
      </c>
      <c r="E2" s="11" t="s">
        <v>13</v>
      </c>
      <c r="F2" s="12">
        <f>IF(ISBLANK(Simulation!E$3),"",Simulation!E$3)</f>
        <v>2000</v>
      </c>
      <c r="G2" s="12">
        <f>IF(ISBLANK(Simulation!F$3),"",Simulation!F$3)</f>
        <v>2005</v>
      </c>
      <c r="H2" s="12">
        <f>IF(ISBLANK(Simulation!G$3),"",Simulation!G$3)</f>
        <v>2010</v>
      </c>
      <c r="I2" s="12">
        <f>IF(ISBLANK(Simulation!H$3),"",Simulation!H$3)</f>
        <v>2015</v>
      </c>
      <c r="J2" s="12">
        <f>IF(ISBLANK(Simulation!I$3),"",Simulation!I$3)</f>
        <v>2020</v>
      </c>
      <c r="K2" s="12">
        <f>IF(ISBLANK(Simulation!J$3),"",Simulation!J$3)</f>
        <v>2025</v>
      </c>
      <c r="L2" s="12">
        <f>IF(ISBLANK(Simulation!K$3),"",Simulation!K$3)</f>
        <v>2030</v>
      </c>
      <c r="M2" s="12">
        <f>IF(ISBLANK(Simulation!L$3),"",Simulation!L$3)</f>
        <v>2035</v>
      </c>
      <c r="N2" s="12">
        <f>IF(ISBLANK(Simulation!M$3),"",Simulation!M$3)</f>
        <v>2040</v>
      </c>
      <c r="O2" s="12">
        <f>IF(ISBLANK(Simulation!N$3),"",Simulation!N$3)</f>
        <v>2045</v>
      </c>
      <c r="P2" s="12">
        <f>IF(ISBLANK(Simulation!O$3),"",Simulation!O$3)</f>
        <v>2050</v>
      </c>
      <c r="Q2" s="12" t="str">
        <f>IF(ISBLANK(Simulation!P$3),"",Simulation!P$3)</f>
        <v/>
      </c>
      <c r="R2" s="12" t="str">
        <f>IF(ISBLANK(Simulation!Q$3),"",Simulation!Q$3)</f>
        <v/>
      </c>
      <c r="S2" s="12" t="str">
        <f>IF(ISBLANK(Simulation!R$3),"",Simulation!R$3)</f>
        <v/>
      </c>
      <c r="T2" s="12" t="str">
        <f>IF(ISBLANK(Simulation!S$3),"",Simulation!S$3)</f>
        <v/>
      </c>
      <c r="U2" s="12" t="str">
        <f>IF(ISBLANK(Simulation!T$3),"",Simulation!T$3)</f>
        <v/>
      </c>
      <c r="V2" s="12" t="str">
        <f>IF(ISBLANK(Simulation!U$3),"",Simulation!U$3)</f>
        <v/>
      </c>
      <c r="W2" s="12" t="str">
        <f>IF(ISBLANK(Simulation!V$3),"",Simulation!V$3)</f>
        <v/>
      </c>
      <c r="X2" s="12" t="str">
        <f>IF(ISBLANK(Simulation!W$3),"",Simulation!W$3)</f>
        <v/>
      </c>
      <c r="Y2" s="12" t="str">
        <f>IF(ISBLANK(Simulation!X$3),"",Simulation!X$3)</f>
        <v/>
      </c>
      <c r="Z2" s="12" t="str">
        <f>IF(ISBLANK(Simulation!Y$3),"",Simulation!Y$3)</f>
        <v/>
      </c>
      <c r="AA2" s="12" t="str">
        <f>IF(ISBLANK(Simulation!Z$3),"",Simulation!Z$3)</f>
        <v/>
      </c>
      <c r="AB2" s="12" t="str">
        <f>IF(ISBLANK(Simulation!AA$3),"",Simulation!AA$3)</f>
        <v/>
      </c>
      <c r="AC2" s="12" t="str">
        <f>IF(ISBLANK(Simulation!AB$3),"",Simulation!AB$3)</f>
        <v/>
      </c>
      <c r="AD2" s="12" t="str">
        <f>IF(ISBLANK(Simulation!AC$3),"",Simulation!AC$3)</f>
        <v/>
      </c>
      <c r="AE2" s="12" t="str">
        <f>IF(ISBLANK(Simulation!AD$3),"",Simulation!AD$3)</f>
        <v/>
      </c>
      <c r="AF2" s="12" t="str">
        <f>IF(ISBLANK(Simulation!AE$3),"",Simulation!AE$3)</f>
        <v/>
      </c>
      <c r="AG2" s="12" t="str">
        <f>IF(ISBLANK(Simulation!AF$3),"",Simulation!AF$3)</f>
        <v/>
      </c>
      <c r="AH2" s="12" t="str">
        <f>IF(ISBLANK(Simulation!AG$3),"",Simulation!AG$3)</f>
        <v/>
      </c>
      <c r="AI2" s="12" t="str">
        <f>IF(ISBLANK(Simulation!AH$3),"",Simulation!AH$3)</f>
        <v/>
      </c>
      <c r="AJ2" s="12" t="str">
        <f>IF(ISBLANK(Simulation!AI$3),"",Simulation!AI$3)</f>
        <v/>
      </c>
      <c r="AK2" s="12" t="str">
        <f>IF(ISBLANK(Simulation!AJ$3),"",Simulation!AJ$3)</f>
        <v/>
      </c>
      <c r="AL2" s="12" t="str">
        <f>IF(ISBLANK(Simulation!AK$3),"",Simulation!AK$3)</f>
        <v/>
      </c>
      <c r="AM2" s="12" t="str">
        <f>IF(ISBLANK(Simulation!AL$3),"",Simulation!AL$3)</f>
        <v/>
      </c>
      <c r="AN2" s="12" t="str">
        <f>IF(ISBLANK(Simulation!AM$3),"",Simulation!AM$3)</f>
        <v/>
      </c>
      <c r="AO2" s="12" t="str">
        <f>IF(ISBLANK(Simulation!AN$3),"",Simulation!AN$3)</f>
        <v/>
      </c>
      <c r="AP2" s="12" t="str">
        <f>IF(ISBLANK(Simulation!AO$3),"",Simulation!AO$3)</f>
        <v/>
      </c>
      <c r="AQ2" s="12" t="str">
        <f>IF(ISBLANK(Simulation!AP$3),"",Simulation!AP$3)</f>
        <v/>
      </c>
      <c r="AR2" s="12" t="str">
        <f>IF(ISBLANK(Simulation!AQ$3),"",Simulation!AQ$3)</f>
        <v/>
      </c>
      <c r="AS2" s="12" t="str">
        <f>IF(ISBLANK(Simulation!AR$3),"",Simulation!AR$3)</f>
        <v/>
      </c>
      <c r="AT2" s="12" t="str">
        <f>IF(ISBLANK(Simulation!AS$3),"",Simulation!AS$3)</f>
        <v/>
      </c>
      <c r="AU2" s="12" t="str">
        <f>IF(ISBLANK(Simulation!AT$3),"",Simulation!AT$3)</f>
        <v/>
      </c>
      <c r="AV2" s="12" t="str">
        <f>IF(ISBLANK(Simulation!AU$3),"",Simulation!AU$3)</f>
        <v/>
      </c>
      <c r="AW2" s="12" t="str">
        <f>IF(ISBLANK(Simulation!AV$3),"",Simulation!AV$3)</f>
        <v/>
      </c>
      <c r="AX2" s="12" t="str">
        <f>IF(ISBLANK(Simulation!AW$3),"",Simulation!AW$3)</f>
        <v/>
      </c>
      <c r="AY2" s="12" t="str">
        <f>IF(ISBLANK(Simulation!AX$3),"",Simulation!AX$3)</f>
        <v/>
      </c>
      <c r="AZ2" s="12" t="str">
        <f>IF(ISBLANK(Simulation!AY$3),"",Simulation!AY$3)</f>
        <v/>
      </c>
      <c r="BA2" s="12" t="str">
        <f>IF(ISBLANK(Simulation!AZ$3),"",Simulation!AZ$3)</f>
        <v/>
      </c>
      <c r="BB2" s="12" t="str">
        <f>IF(ISBLANK(Simulation!BA$3),"",Simulation!BA$3)</f>
        <v/>
      </c>
      <c r="BC2" s="12" t="str">
        <f>IF(ISBLANK(Simulation!BB$3),"",Simulation!BB$3)</f>
        <v/>
      </c>
      <c r="BD2" s="12" t="str">
        <f>IF(ISBLANK(Simulation!BC$3),"",Simulation!BC$3)</f>
        <v/>
      </c>
    </row>
    <row r="3" spans="1:56" s="64" customFormat="1" x14ac:dyDescent="0.25">
      <c r="A3" s="64" t="s">
        <v>81</v>
      </c>
      <c r="E3" s="64" t="s">
        <v>8</v>
      </c>
    </row>
    <row r="4" spans="1:56" s="50" customFormat="1" x14ac:dyDescent="0.25">
      <c r="A4" s="50" t="s">
        <v>11</v>
      </c>
      <c r="E4" s="50" t="s">
        <v>134</v>
      </c>
    </row>
    <row r="5" spans="1:56" x14ac:dyDescent="0.25">
      <c r="A5" t="s">
        <v>82</v>
      </c>
      <c r="B5" t="s">
        <v>8</v>
      </c>
      <c r="E5" t="s">
        <v>43</v>
      </c>
    </row>
    <row r="6" spans="1:56" x14ac:dyDescent="0.25">
      <c r="A6" t="s">
        <v>76</v>
      </c>
      <c r="E6" t="s">
        <v>73</v>
      </c>
    </row>
    <row r="7" spans="1:56" x14ac:dyDescent="0.25">
      <c r="A7" t="s">
        <v>83</v>
      </c>
      <c r="B7" t="s">
        <v>6</v>
      </c>
      <c r="C7" t="str">
        <f>Hierarchy!$F$12</f>
        <v>Alberta_Electricity_Generation_Base load</v>
      </c>
      <c r="D7" t="s">
        <v>84</v>
      </c>
      <c r="E7" t="s">
        <v>6</v>
      </c>
      <c r="F7" s="4">
        <v>0.8</v>
      </c>
      <c r="G7" s="4">
        <v>0.8</v>
      </c>
      <c r="H7" s="4">
        <v>0.8</v>
      </c>
      <c r="I7" s="4">
        <v>0.8</v>
      </c>
      <c r="J7" s="4">
        <v>0.8</v>
      </c>
      <c r="K7" s="4">
        <v>0.8</v>
      </c>
      <c r="L7" s="4">
        <v>0.8</v>
      </c>
      <c r="M7" s="4">
        <v>0.8</v>
      </c>
      <c r="N7" s="4">
        <v>0.8</v>
      </c>
      <c r="O7" s="4">
        <v>0.8</v>
      </c>
      <c r="P7" s="4">
        <v>0.8</v>
      </c>
    </row>
    <row r="8" spans="1:56" x14ac:dyDescent="0.25">
      <c r="A8" t="s">
        <v>83</v>
      </c>
      <c r="B8" t="s">
        <v>5</v>
      </c>
      <c r="C8" t="str">
        <f>Hierarchy!$F$13</f>
        <v>Alberta_Electricity_Generation_Shoulder load</v>
      </c>
      <c r="D8" t="s">
        <v>84</v>
      </c>
      <c r="E8" t="s">
        <v>5</v>
      </c>
      <c r="F8" s="4">
        <v>0.15</v>
      </c>
      <c r="G8" s="4">
        <v>0.15</v>
      </c>
      <c r="H8" s="4">
        <v>0.15</v>
      </c>
      <c r="I8" s="4">
        <v>0.15</v>
      </c>
      <c r="J8" s="4">
        <v>0.15</v>
      </c>
      <c r="K8" s="4">
        <v>0.15</v>
      </c>
      <c r="L8" s="4">
        <v>0.15</v>
      </c>
      <c r="M8" s="4">
        <v>0.15</v>
      </c>
      <c r="N8" s="4">
        <v>0.15</v>
      </c>
      <c r="O8" s="4">
        <v>0.15</v>
      </c>
      <c r="P8" s="4">
        <v>0.15</v>
      </c>
    </row>
    <row r="9" spans="1:56" x14ac:dyDescent="0.25">
      <c r="A9" t="s">
        <v>83</v>
      </c>
      <c r="B9" t="s">
        <v>7</v>
      </c>
      <c r="C9" t="str">
        <f>Hierarchy!$F$14</f>
        <v>Alberta_Electricity_Generation_Peak load</v>
      </c>
      <c r="D9" t="s">
        <v>84</v>
      </c>
      <c r="E9" t="s">
        <v>7</v>
      </c>
      <c r="F9" s="4">
        <v>0.05</v>
      </c>
      <c r="G9" s="4">
        <v>0.05</v>
      </c>
      <c r="H9" s="4">
        <v>0.05</v>
      </c>
      <c r="I9" s="4">
        <v>0.05</v>
      </c>
      <c r="J9" s="4">
        <v>0.05</v>
      </c>
      <c r="K9" s="4">
        <v>0.05</v>
      </c>
      <c r="L9" s="4">
        <v>0.05</v>
      </c>
      <c r="M9" s="4">
        <v>0.05</v>
      </c>
      <c r="N9" s="4">
        <v>0.05</v>
      </c>
      <c r="O9" s="4">
        <v>0.05</v>
      </c>
      <c r="P9" s="4">
        <v>0.05</v>
      </c>
    </row>
    <row r="11" spans="1:56" x14ac:dyDescent="0.25">
      <c r="A11" t="s">
        <v>60</v>
      </c>
      <c r="D11" t="s">
        <v>43</v>
      </c>
      <c r="E11" s="14" t="s">
        <v>6</v>
      </c>
      <c r="F11" s="6">
        <f>AB_RES!F$21*F7</f>
        <v>104299058.76923077</v>
      </c>
      <c r="G11" s="6">
        <f>AB_RES!G$21*G7</f>
        <v>132900746.46153843</v>
      </c>
      <c r="H11" s="6">
        <f>AB_RES!H$21*H7</f>
        <v>150633235.41538462</v>
      </c>
      <c r="I11" s="6">
        <f>AB_RES!I$21*I7</f>
        <v>168443616.9230769</v>
      </c>
      <c r="J11" s="6">
        <f>AB_RES!J$21*J7</f>
        <v>193010769.23076925</v>
      </c>
      <c r="K11" s="6">
        <f>AB_RES!K$21*K7</f>
        <v>208000000</v>
      </c>
      <c r="L11" s="6">
        <f>AB_RES!L$21*L7</f>
        <v>223053846.15384614</v>
      </c>
      <c r="M11" s="6">
        <f>AB_RES!M$21*M7</f>
        <v>238172307.69230768</v>
      </c>
      <c r="N11" s="6">
        <f>AB_RES!N$21*N7</f>
        <v>253355384.61538458</v>
      </c>
      <c r="O11" s="6">
        <f>AB_RES!O$21*O7</f>
        <v>268603076.92307693</v>
      </c>
      <c r="P11" s="6">
        <f>AB_RES!P$21*P7</f>
        <v>283915384.61538458</v>
      </c>
    </row>
    <row r="12" spans="1:56" x14ac:dyDescent="0.25">
      <c r="A12" t="s">
        <v>60</v>
      </c>
      <c r="D12" t="s">
        <v>43</v>
      </c>
      <c r="E12" s="14" t="s">
        <v>5</v>
      </c>
      <c r="F12" s="6">
        <f>AB_RES!F$21*F8</f>
        <v>19556073.519230768</v>
      </c>
      <c r="G12" s="6">
        <f>AB_RES!G$21*G8</f>
        <v>24918889.961538456</v>
      </c>
      <c r="H12" s="6">
        <f>AB_RES!H$21*H8</f>
        <v>28243731.640384618</v>
      </c>
      <c r="I12" s="6">
        <f>AB_RES!I$21*I8</f>
        <v>31583178.173076916</v>
      </c>
      <c r="J12" s="6">
        <f>AB_RES!J$21*J8</f>
        <v>36189519.230769232</v>
      </c>
      <c r="K12" s="6">
        <f>AB_RES!K$21*K8</f>
        <v>38999999.999999993</v>
      </c>
      <c r="L12" s="6">
        <f>AB_RES!L$21*L8</f>
        <v>41822596.153846145</v>
      </c>
      <c r="M12" s="6">
        <f>AB_RES!M$21*M8</f>
        <v>44657307.692307688</v>
      </c>
      <c r="N12" s="6">
        <f>AB_RES!N$21*N8</f>
        <v>47504134.615384609</v>
      </c>
      <c r="O12" s="6">
        <f>AB_RES!O$21*O8</f>
        <v>50363076.92307692</v>
      </c>
      <c r="P12" s="6">
        <f>AB_RES!P$21*P8</f>
        <v>53234134.615384609</v>
      </c>
    </row>
    <row r="13" spans="1:56" x14ac:dyDescent="0.25">
      <c r="A13" t="s">
        <v>60</v>
      </c>
      <c r="D13" t="s">
        <v>43</v>
      </c>
      <c r="E13" s="14" t="s">
        <v>7</v>
      </c>
      <c r="F13" s="6">
        <f>AB_RES!F$21*F9</f>
        <v>6518691.173076923</v>
      </c>
      <c r="G13" s="6">
        <f>AB_RES!G$21*G9</f>
        <v>8306296.6538461521</v>
      </c>
      <c r="H13" s="6">
        <f>AB_RES!H$21*H9</f>
        <v>9414577.2134615388</v>
      </c>
      <c r="I13" s="6">
        <f>AB_RES!I$21*I9</f>
        <v>10527726.057692306</v>
      </c>
      <c r="J13" s="6">
        <f>AB_RES!J$21*J9</f>
        <v>12063173.076923078</v>
      </c>
      <c r="K13" s="6">
        <f>AB_RES!K$21*K9</f>
        <v>13000000</v>
      </c>
      <c r="L13" s="6">
        <f>AB_RES!L$21*L9</f>
        <v>13940865.384615384</v>
      </c>
      <c r="M13" s="6">
        <f>AB_RES!M$21*M9</f>
        <v>14885769.23076923</v>
      </c>
      <c r="N13" s="6">
        <f>AB_RES!N$21*N9</f>
        <v>15834711.538461536</v>
      </c>
      <c r="O13" s="6">
        <f>AB_RES!O$21*O9</f>
        <v>16787692.307692308</v>
      </c>
      <c r="P13" s="6">
        <f>AB_RES!P$21*P9</f>
        <v>17744711.538461536</v>
      </c>
    </row>
  </sheetData>
  <autoFilter ref="A2:E2" xr:uid="{51ECBBFD-5F81-45DE-8949-557392459ABC}"/>
  <dataValidations count="1">
    <dataValidation type="list" allowBlank="1" showInputMessage="1" showErrorMessage="1" sqref="E6" xr:uid="{06F1E120-C31A-47A7-992D-EDC34107B0D1}">
      <formula1>Competition</formula1>
    </dataValidation>
  </dataValidations>
  <hyperlinks>
    <hyperlink ref="A1" location="Map!A1" display="Tree Map" xr:uid="{72139A82-FA8E-44C9-AB49-DD4DDA92F194}"/>
  </hyperlink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23</vt:i4>
      </vt:variant>
    </vt:vector>
  </HeadingPairs>
  <TitlesOfParts>
    <vt:vector size="36" baseType="lpstr">
      <vt:lpstr>Lists</vt:lpstr>
      <vt:lpstr>Hierarchy</vt:lpstr>
      <vt:lpstr>Simulation</vt:lpstr>
      <vt:lpstr>Map</vt:lpstr>
      <vt:lpstr>CAN</vt:lpstr>
      <vt:lpstr>AB</vt:lpstr>
      <vt:lpstr>AB_RES</vt:lpstr>
      <vt:lpstr>AB_RES_BLDG</vt:lpstr>
      <vt:lpstr>AB_RES_FURN</vt:lpstr>
      <vt:lpstr>AB_RES_SHELL</vt:lpstr>
      <vt:lpstr>AB_RES_SPHEAT</vt:lpstr>
      <vt:lpstr>AB_ELEC</vt:lpstr>
      <vt:lpstr>AB_ELEC_GEN</vt:lpstr>
      <vt:lpstr>AB</vt:lpstr>
      <vt:lpstr>AB_ELEC</vt:lpstr>
      <vt:lpstr>AB_ELEC_GEN</vt:lpstr>
      <vt:lpstr>AB_RES</vt:lpstr>
      <vt:lpstr>AB_RES_BLDG</vt:lpstr>
      <vt:lpstr>AB_RES_FURN</vt:lpstr>
      <vt:lpstr>AB_RES_SHELL</vt:lpstr>
      <vt:lpstr>AB_RES_SPHEAT</vt:lpstr>
      <vt:lpstr>Branch</vt:lpstr>
      <vt:lpstr>CAN</vt:lpstr>
      <vt:lpstr>Collapse</vt:lpstr>
      <vt:lpstr>Competition</vt:lpstr>
      <vt:lpstr>EndUseCode</vt:lpstr>
      <vt:lpstr>Fuels</vt:lpstr>
      <vt:lpstr>GHGs</vt:lpstr>
      <vt:lpstr>Node</vt:lpstr>
      <vt:lpstr>NodeCode</vt:lpstr>
      <vt:lpstr>Parent</vt:lpstr>
      <vt:lpstr>RegionCode</vt:lpstr>
      <vt:lpstr>Regions</vt:lpstr>
      <vt:lpstr>SectorCode</vt:lpstr>
      <vt:lpstr>Sectors</vt:lpstr>
      <vt:lpstr>SheetsInFile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</dc:creator>
  <cp:lastModifiedBy>Griffin</cp:lastModifiedBy>
  <dcterms:created xsi:type="dcterms:W3CDTF">2019-06-05T23:49:53Z</dcterms:created>
  <dcterms:modified xsi:type="dcterms:W3CDTF">2019-08-26T19:24:57Z</dcterms:modified>
</cp:coreProperties>
</file>