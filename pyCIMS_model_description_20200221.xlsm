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illiana/Documents/Consulting/pyCIMs/pycims_prototype/"/>
    </mc:Choice>
  </mc:AlternateContent>
  <xr:revisionPtr revIDLastSave="0" documentId="13_ncr:1_{E9EF1666-81CC-6D48-8A00-9A448C2ED150}" xr6:coauthVersionLast="36" xr6:coauthVersionMax="36" xr10:uidLastSave="{00000000-0000-0000-0000-000000000000}"/>
  <bookViews>
    <workbookView xWindow="0" yWindow="460" windowWidth="28800" windowHeight="15520" activeTab="7" xr2:uid="{E4C6FBB3-787A-F94E-9644-B84304E94836}"/>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externalReferences>
    <externalReference r:id="rId17"/>
    <externalReference r:id="rId18"/>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Model!$A$2:$R$1161</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Prices_Type_RCI">[1]Prices!$D$18:$D$59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Model!$H$2:$R$2</definedName>
    <definedName name="Year">Tree!#REF!</definedName>
  </definedNames>
  <calcPr calcId="181029"/>
</workbook>
</file>

<file path=xl/calcChain.xml><?xml version="1.0" encoding="utf-8"?>
<calcChain xmlns="http://schemas.openxmlformats.org/spreadsheetml/2006/main">
  <c r="C1137" i="118" l="1"/>
  <c r="C1131" i="118"/>
  <c r="C1125" i="118"/>
  <c r="C1119" i="118"/>
  <c r="I1115" i="118"/>
  <c r="J1115" i="118" s="1"/>
  <c r="K1115" i="118" s="1"/>
  <c r="L1115" i="118" s="1"/>
  <c r="M1115" i="118" s="1"/>
  <c r="N1115" i="118" s="1"/>
  <c r="O1115" i="118" s="1"/>
  <c r="P1115" i="118" s="1"/>
  <c r="Q1115" i="118" s="1"/>
  <c r="R1115" i="118" s="1"/>
  <c r="I1102" i="118"/>
  <c r="J1102" i="118" s="1"/>
  <c r="K1102" i="118" s="1"/>
  <c r="L1102" i="118" s="1"/>
  <c r="M1102" i="118" s="1"/>
  <c r="N1102" i="118" s="1"/>
  <c r="O1102" i="118" s="1"/>
  <c r="P1102" i="118" s="1"/>
  <c r="Q1102" i="118" s="1"/>
  <c r="R1102" i="118" s="1"/>
  <c r="I1101" i="118"/>
  <c r="J1101" i="118" s="1"/>
  <c r="K1101" i="118" s="1"/>
  <c r="L1101" i="118" s="1"/>
  <c r="M1101" i="118" s="1"/>
  <c r="N1101" i="118" s="1"/>
  <c r="O1101" i="118" s="1"/>
  <c r="P1101" i="118" s="1"/>
  <c r="Q1101" i="118" s="1"/>
  <c r="R1101" i="118" s="1"/>
  <c r="I1093" i="118"/>
  <c r="J1093" i="118" s="1"/>
  <c r="K1093" i="118" s="1"/>
  <c r="L1093" i="118" s="1"/>
  <c r="M1093" i="118" s="1"/>
  <c r="N1093" i="118" s="1"/>
  <c r="O1093" i="118" s="1"/>
  <c r="P1093" i="118" s="1"/>
  <c r="Q1093" i="118" s="1"/>
  <c r="R1093" i="118" s="1"/>
  <c r="I1091" i="118"/>
  <c r="J1091" i="118" s="1"/>
  <c r="K1091" i="118" s="1"/>
  <c r="L1091" i="118" s="1"/>
  <c r="M1091" i="118" s="1"/>
  <c r="N1091" i="118" s="1"/>
  <c r="O1091" i="118" s="1"/>
  <c r="P1091" i="118" s="1"/>
  <c r="Q1091" i="118" s="1"/>
  <c r="R1091" i="118" s="1"/>
  <c r="I1090" i="118"/>
  <c r="J1090" i="118" s="1"/>
  <c r="K1090" i="118" s="1"/>
  <c r="L1090" i="118" s="1"/>
  <c r="M1090" i="118" s="1"/>
  <c r="N1090" i="118" s="1"/>
  <c r="O1090" i="118" s="1"/>
  <c r="P1090" i="118" s="1"/>
  <c r="Q1090" i="118" s="1"/>
  <c r="R1090" i="118" s="1"/>
  <c r="I1089" i="118"/>
  <c r="J1089" i="118" s="1"/>
  <c r="K1089" i="118" s="1"/>
  <c r="L1089" i="118" s="1"/>
  <c r="M1089" i="118" s="1"/>
  <c r="N1089" i="118" s="1"/>
  <c r="O1089" i="118" s="1"/>
  <c r="P1089" i="118" s="1"/>
  <c r="Q1089" i="118" s="1"/>
  <c r="R1089" i="118" s="1"/>
  <c r="C1089" i="118"/>
  <c r="C1090" i="118" s="1"/>
  <c r="C1091" i="118" s="1"/>
  <c r="C1092" i="118" s="1"/>
  <c r="C1093" i="118" s="1"/>
  <c r="C1094" i="118" s="1"/>
  <c r="C1095" i="118" s="1"/>
  <c r="C1096" i="118" s="1"/>
  <c r="C1097" i="118" s="1"/>
  <c r="C1098" i="118" s="1"/>
  <c r="C1099" i="118" s="1"/>
  <c r="C1100" i="118" s="1"/>
  <c r="C1101" i="118" s="1"/>
  <c r="C1102" i="118" s="1"/>
  <c r="C1103" i="118" s="1"/>
  <c r="C1104" i="118" s="1"/>
  <c r="C1105" i="118" s="1"/>
  <c r="C1106" i="118" s="1"/>
  <c r="C1107" i="118" s="1"/>
  <c r="C1108" i="118" s="1"/>
  <c r="C1109" i="118" s="1"/>
  <c r="C1110" i="118" s="1"/>
  <c r="C1111" i="118" s="1"/>
  <c r="C1112" i="118" s="1"/>
  <c r="C1113" i="118" s="1"/>
  <c r="C1114" i="118" s="1"/>
  <c r="C1115" i="118" s="1"/>
  <c r="C1116" i="118" s="1"/>
  <c r="C1084" i="118"/>
  <c r="I1081" i="118"/>
  <c r="J1081" i="118" s="1"/>
  <c r="K1081" i="118" s="1"/>
  <c r="L1081" i="118" s="1"/>
  <c r="M1081" i="118" s="1"/>
  <c r="N1081" i="118" s="1"/>
  <c r="O1081" i="118" s="1"/>
  <c r="P1081" i="118" s="1"/>
  <c r="Q1081" i="118" s="1"/>
  <c r="R1081" i="118" s="1"/>
  <c r="H1080" i="118"/>
  <c r="I1080" i="118" s="1"/>
  <c r="J1080" i="118" s="1"/>
  <c r="K1080" i="118" s="1"/>
  <c r="L1080" i="118" s="1"/>
  <c r="M1080" i="118" s="1"/>
  <c r="N1080" i="118" s="1"/>
  <c r="O1080" i="118" s="1"/>
  <c r="P1080" i="118" s="1"/>
  <c r="Q1080" i="118" s="1"/>
  <c r="R1080" i="118" s="1"/>
  <c r="I1078" i="118"/>
  <c r="J1078" i="118" s="1"/>
  <c r="K1078" i="118" s="1"/>
  <c r="L1078" i="118" s="1"/>
  <c r="M1078" i="118" s="1"/>
  <c r="N1078" i="118" s="1"/>
  <c r="O1078" i="118" s="1"/>
  <c r="P1078" i="118" s="1"/>
  <c r="Q1078" i="118" s="1"/>
  <c r="R1078" i="118" s="1"/>
  <c r="I1065" i="118"/>
  <c r="J1065" i="118" s="1"/>
  <c r="K1065" i="118" s="1"/>
  <c r="L1065" i="118" s="1"/>
  <c r="M1065" i="118" s="1"/>
  <c r="N1065" i="118" s="1"/>
  <c r="O1065" i="118" s="1"/>
  <c r="P1065" i="118" s="1"/>
  <c r="Q1065" i="118" s="1"/>
  <c r="R1065" i="118" s="1"/>
  <c r="I1064" i="118"/>
  <c r="J1064" i="118" s="1"/>
  <c r="K1064" i="118" s="1"/>
  <c r="L1064" i="118" s="1"/>
  <c r="M1064" i="118" s="1"/>
  <c r="N1064" i="118" s="1"/>
  <c r="O1064" i="118" s="1"/>
  <c r="P1064" i="118" s="1"/>
  <c r="Q1064" i="118" s="1"/>
  <c r="R1064" i="118" s="1"/>
  <c r="H1064" i="118"/>
  <c r="I1056" i="118"/>
  <c r="J1056" i="118" s="1"/>
  <c r="K1056" i="118" s="1"/>
  <c r="L1056" i="118" s="1"/>
  <c r="M1056" i="118" s="1"/>
  <c r="N1056" i="118" s="1"/>
  <c r="O1056" i="118" s="1"/>
  <c r="P1056" i="118" s="1"/>
  <c r="Q1056" i="118" s="1"/>
  <c r="R1056" i="118" s="1"/>
  <c r="I1054" i="118"/>
  <c r="J1054" i="118" s="1"/>
  <c r="K1054" i="118" s="1"/>
  <c r="L1054" i="118" s="1"/>
  <c r="M1054" i="118" s="1"/>
  <c r="N1054" i="118" s="1"/>
  <c r="O1054" i="118" s="1"/>
  <c r="P1054" i="118" s="1"/>
  <c r="Q1054" i="118" s="1"/>
  <c r="R1054" i="118" s="1"/>
  <c r="I1053" i="118"/>
  <c r="J1053" i="118" s="1"/>
  <c r="K1053" i="118" s="1"/>
  <c r="L1053" i="118" s="1"/>
  <c r="M1053" i="118" s="1"/>
  <c r="N1053" i="118" s="1"/>
  <c r="O1053" i="118" s="1"/>
  <c r="P1053" i="118" s="1"/>
  <c r="Q1053" i="118" s="1"/>
  <c r="R1053" i="118" s="1"/>
  <c r="I1052" i="118"/>
  <c r="J1052" i="118" s="1"/>
  <c r="K1052" i="118" s="1"/>
  <c r="L1052" i="118" s="1"/>
  <c r="M1052" i="118" s="1"/>
  <c r="N1052" i="118" s="1"/>
  <c r="O1052" i="118" s="1"/>
  <c r="P1052" i="118" s="1"/>
  <c r="Q1052" i="118" s="1"/>
  <c r="R1052" i="118" s="1"/>
  <c r="C1052" i="118"/>
  <c r="C1053" i="118" s="1"/>
  <c r="C1054" i="118" s="1"/>
  <c r="C1055" i="118" s="1"/>
  <c r="C1056" i="118" s="1"/>
  <c r="C1057" i="118" s="1"/>
  <c r="C1058" i="118" s="1"/>
  <c r="C1059" i="118" s="1"/>
  <c r="C1060" i="118" s="1"/>
  <c r="C1061" i="118" s="1"/>
  <c r="C1062" i="118" s="1"/>
  <c r="C1063" i="118" s="1"/>
  <c r="C1064" i="118" s="1"/>
  <c r="C1065" i="118" s="1"/>
  <c r="C1066" i="118" s="1"/>
  <c r="C1067" i="118" s="1"/>
  <c r="C1068" i="118" s="1"/>
  <c r="C1069" i="118" s="1"/>
  <c r="C1070" i="118" s="1"/>
  <c r="C1071" i="118" s="1"/>
  <c r="C1072" i="118" s="1"/>
  <c r="C1073" i="118" s="1"/>
  <c r="C1074" i="118" s="1"/>
  <c r="C1075" i="118" s="1"/>
  <c r="C1076" i="118" s="1"/>
  <c r="C1077" i="118" s="1"/>
  <c r="C1078" i="118" s="1"/>
  <c r="C1079" i="118" s="1"/>
  <c r="C1080" i="118" s="1"/>
  <c r="C1081" i="118" s="1"/>
  <c r="I1050" i="118"/>
  <c r="J1050" i="118" s="1"/>
  <c r="K1050" i="118" s="1"/>
  <c r="L1050" i="118" s="1"/>
  <c r="M1050" i="118" s="1"/>
  <c r="N1050" i="118" s="1"/>
  <c r="O1050" i="118" s="1"/>
  <c r="P1050" i="118" s="1"/>
  <c r="Q1050" i="118" s="1"/>
  <c r="R1050" i="118" s="1"/>
  <c r="H1049" i="118"/>
  <c r="I1049" i="118" s="1"/>
  <c r="J1049" i="118" s="1"/>
  <c r="K1049" i="118" s="1"/>
  <c r="L1049" i="118" s="1"/>
  <c r="M1049" i="118" s="1"/>
  <c r="N1049" i="118" s="1"/>
  <c r="O1049" i="118" s="1"/>
  <c r="P1049" i="118" s="1"/>
  <c r="Q1049" i="118" s="1"/>
  <c r="R1049" i="118" s="1"/>
  <c r="I1047" i="118"/>
  <c r="J1047" i="118" s="1"/>
  <c r="K1047" i="118" s="1"/>
  <c r="L1047" i="118" s="1"/>
  <c r="M1047" i="118" s="1"/>
  <c r="N1047" i="118" s="1"/>
  <c r="O1047" i="118" s="1"/>
  <c r="P1047" i="118" s="1"/>
  <c r="Q1047" i="118" s="1"/>
  <c r="R1047" i="118" s="1"/>
  <c r="I1034" i="118"/>
  <c r="J1034" i="118" s="1"/>
  <c r="K1034" i="118" s="1"/>
  <c r="L1034" i="118" s="1"/>
  <c r="M1034" i="118" s="1"/>
  <c r="N1034" i="118" s="1"/>
  <c r="O1034" i="118" s="1"/>
  <c r="P1034" i="118" s="1"/>
  <c r="Q1034" i="118" s="1"/>
  <c r="R1034" i="118" s="1"/>
  <c r="H1033" i="118"/>
  <c r="I1033" i="118" s="1"/>
  <c r="J1033" i="118" s="1"/>
  <c r="K1033" i="118" s="1"/>
  <c r="L1033" i="118" s="1"/>
  <c r="M1033" i="118" s="1"/>
  <c r="N1033" i="118" s="1"/>
  <c r="O1033" i="118" s="1"/>
  <c r="P1033" i="118" s="1"/>
  <c r="Q1033" i="118" s="1"/>
  <c r="R1033" i="118" s="1"/>
  <c r="I1025" i="118"/>
  <c r="J1025" i="118" s="1"/>
  <c r="K1025" i="118" s="1"/>
  <c r="L1025" i="118" s="1"/>
  <c r="M1025" i="118" s="1"/>
  <c r="N1025" i="118" s="1"/>
  <c r="O1025" i="118" s="1"/>
  <c r="P1025" i="118" s="1"/>
  <c r="Q1025" i="118" s="1"/>
  <c r="R1025" i="118" s="1"/>
  <c r="I1023" i="118"/>
  <c r="J1023" i="118" s="1"/>
  <c r="K1023" i="118" s="1"/>
  <c r="L1023" i="118" s="1"/>
  <c r="M1023" i="118" s="1"/>
  <c r="N1023" i="118" s="1"/>
  <c r="O1023" i="118" s="1"/>
  <c r="P1023" i="118" s="1"/>
  <c r="Q1023" i="118" s="1"/>
  <c r="R1023" i="118" s="1"/>
  <c r="I1022" i="118"/>
  <c r="J1022" i="118" s="1"/>
  <c r="K1022" i="118" s="1"/>
  <c r="L1022" i="118" s="1"/>
  <c r="M1022" i="118" s="1"/>
  <c r="N1022" i="118" s="1"/>
  <c r="O1022" i="118" s="1"/>
  <c r="P1022" i="118" s="1"/>
  <c r="Q1022" i="118" s="1"/>
  <c r="R1022" i="118" s="1"/>
  <c r="I1021" i="118"/>
  <c r="J1021" i="118" s="1"/>
  <c r="K1021" i="118" s="1"/>
  <c r="L1021" i="118" s="1"/>
  <c r="M1021" i="118" s="1"/>
  <c r="N1021" i="118" s="1"/>
  <c r="O1021" i="118" s="1"/>
  <c r="P1021" i="118" s="1"/>
  <c r="Q1021" i="118" s="1"/>
  <c r="R1021" i="118" s="1"/>
  <c r="C1021" i="118"/>
  <c r="C1022" i="118" s="1"/>
  <c r="C1023" i="118" s="1"/>
  <c r="C1024" i="118" s="1"/>
  <c r="C1025" i="118" s="1"/>
  <c r="C1026" i="118" s="1"/>
  <c r="C1027" i="118" s="1"/>
  <c r="C1028" i="118" s="1"/>
  <c r="C1029" i="118" s="1"/>
  <c r="C1030" i="118" s="1"/>
  <c r="C1031" i="118" s="1"/>
  <c r="C1032" i="118" s="1"/>
  <c r="C1033" i="118" s="1"/>
  <c r="C1034" i="118" s="1"/>
  <c r="C1035" i="118" s="1"/>
  <c r="C1036" i="118" s="1"/>
  <c r="C1037" i="118" s="1"/>
  <c r="C1038" i="118" s="1"/>
  <c r="C1039" i="118" s="1"/>
  <c r="C1040" i="118" s="1"/>
  <c r="C1041" i="118" s="1"/>
  <c r="C1042" i="118" s="1"/>
  <c r="C1043" i="118" s="1"/>
  <c r="C1044" i="118" s="1"/>
  <c r="C1045" i="118" s="1"/>
  <c r="C1046" i="118" s="1"/>
  <c r="C1047" i="118" s="1"/>
  <c r="C1048" i="118" s="1"/>
  <c r="C1049" i="118" s="1"/>
  <c r="C1050" i="118" s="1"/>
  <c r="I1019" i="118"/>
  <c r="J1019" i="118" s="1"/>
  <c r="K1019" i="118" s="1"/>
  <c r="L1019" i="118" s="1"/>
  <c r="M1019" i="118" s="1"/>
  <c r="N1019" i="118" s="1"/>
  <c r="O1019" i="118" s="1"/>
  <c r="P1019" i="118" s="1"/>
  <c r="Q1019" i="118" s="1"/>
  <c r="R1019" i="118" s="1"/>
  <c r="C1016" i="118"/>
  <c r="I1013" i="118"/>
  <c r="J1013" i="118" s="1"/>
  <c r="K1013" i="118" s="1"/>
  <c r="L1013" i="118" s="1"/>
  <c r="M1013" i="118" s="1"/>
  <c r="N1013" i="118" s="1"/>
  <c r="O1013" i="118" s="1"/>
  <c r="P1013" i="118" s="1"/>
  <c r="Q1013" i="118" s="1"/>
  <c r="R1013" i="118" s="1"/>
  <c r="H1012" i="118"/>
  <c r="I1012" i="118" s="1"/>
  <c r="J1012" i="118" s="1"/>
  <c r="K1012" i="118" s="1"/>
  <c r="L1012" i="118" s="1"/>
  <c r="M1012" i="118" s="1"/>
  <c r="N1012" i="118" s="1"/>
  <c r="O1012" i="118" s="1"/>
  <c r="P1012" i="118" s="1"/>
  <c r="Q1012" i="118" s="1"/>
  <c r="R1012" i="118" s="1"/>
  <c r="I1010" i="118"/>
  <c r="J1010" i="118" s="1"/>
  <c r="K1010" i="118" s="1"/>
  <c r="L1010" i="118" s="1"/>
  <c r="M1010" i="118" s="1"/>
  <c r="N1010" i="118" s="1"/>
  <c r="O1010" i="118" s="1"/>
  <c r="P1010" i="118" s="1"/>
  <c r="Q1010" i="118" s="1"/>
  <c r="R1010" i="118" s="1"/>
  <c r="I997" i="118"/>
  <c r="J997" i="118" s="1"/>
  <c r="K997" i="118" s="1"/>
  <c r="L997" i="118" s="1"/>
  <c r="M997" i="118" s="1"/>
  <c r="N997" i="118" s="1"/>
  <c r="O997" i="118" s="1"/>
  <c r="P997" i="118" s="1"/>
  <c r="Q997" i="118" s="1"/>
  <c r="R997" i="118" s="1"/>
  <c r="I996" i="118"/>
  <c r="J996" i="118" s="1"/>
  <c r="K996" i="118" s="1"/>
  <c r="L996" i="118" s="1"/>
  <c r="M996" i="118" s="1"/>
  <c r="N996" i="118" s="1"/>
  <c r="O996" i="118" s="1"/>
  <c r="P996" i="118" s="1"/>
  <c r="Q996" i="118" s="1"/>
  <c r="R996" i="118" s="1"/>
  <c r="H996" i="118"/>
  <c r="I988" i="118"/>
  <c r="J988" i="118" s="1"/>
  <c r="K988" i="118" s="1"/>
  <c r="L988" i="118" s="1"/>
  <c r="M988" i="118" s="1"/>
  <c r="N988" i="118" s="1"/>
  <c r="O988" i="118" s="1"/>
  <c r="P988" i="118" s="1"/>
  <c r="Q988" i="118" s="1"/>
  <c r="R988" i="118" s="1"/>
  <c r="I986" i="118"/>
  <c r="J986" i="118" s="1"/>
  <c r="K986" i="118" s="1"/>
  <c r="L986" i="118" s="1"/>
  <c r="M986" i="118" s="1"/>
  <c r="N986" i="118" s="1"/>
  <c r="O986" i="118" s="1"/>
  <c r="P986" i="118" s="1"/>
  <c r="Q986" i="118" s="1"/>
  <c r="R986" i="118" s="1"/>
  <c r="I985" i="118"/>
  <c r="J985" i="118" s="1"/>
  <c r="K985" i="118" s="1"/>
  <c r="L985" i="118" s="1"/>
  <c r="M985" i="118" s="1"/>
  <c r="N985" i="118" s="1"/>
  <c r="O985" i="118" s="1"/>
  <c r="P985" i="118" s="1"/>
  <c r="Q985" i="118" s="1"/>
  <c r="R985" i="118" s="1"/>
  <c r="I984" i="118"/>
  <c r="J984" i="118" s="1"/>
  <c r="K984" i="118" s="1"/>
  <c r="L984" i="118" s="1"/>
  <c r="M984" i="118" s="1"/>
  <c r="N984" i="118" s="1"/>
  <c r="O984" i="118" s="1"/>
  <c r="P984" i="118" s="1"/>
  <c r="Q984" i="118" s="1"/>
  <c r="R984" i="118" s="1"/>
  <c r="C984" i="118"/>
  <c r="C985" i="118" s="1"/>
  <c r="C986" i="118" s="1"/>
  <c r="C987" i="118" s="1"/>
  <c r="C988" i="118" s="1"/>
  <c r="C989" i="118" s="1"/>
  <c r="C990" i="118" s="1"/>
  <c r="C991" i="118" s="1"/>
  <c r="C992" i="118" s="1"/>
  <c r="C993" i="118" s="1"/>
  <c r="C994" i="118" s="1"/>
  <c r="C995" i="118" s="1"/>
  <c r="C996" i="118" s="1"/>
  <c r="C997" i="118" s="1"/>
  <c r="C998" i="118" s="1"/>
  <c r="C999" i="118" s="1"/>
  <c r="C1000" i="118" s="1"/>
  <c r="C1001" i="118" s="1"/>
  <c r="C1002" i="118" s="1"/>
  <c r="C1003" i="118" s="1"/>
  <c r="C1004" i="118" s="1"/>
  <c r="C1005" i="118" s="1"/>
  <c r="C1006" i="118" s="1"/>
  <c r="C1007" i="118" s="1"/>
  <c r="C1008" i="118" s="1"/>
  <c r="C1009" i="118" s="1"/>
  <c r="C1010" i="118" s="1"/>
  <c r="C1011" i="118" s="1"/>
  <c r="C1012" i="118" s="1"/>
  <c r="C1013" i="118" s="1"/>
  <c r="I982" i="118"/>
  <c r="J982" i="118" s="1"/>
  <c r="K982" i="118" s="1"/>
  <c r="L982" i="118" s="1"/>
  <c r="M982" i="118" s="1"/>
  <c r="N982" i="118" s="1"/>
  <c r="O982" i="118" s="1"/>
  <c r="P982" i="118" s="1"/>
  <c r="Q982" i="118" s="1"/>
  <c r="R982" i="118" s="1"/>
  <c r="H981" i="118"/>
  <c r="I981" i="118" s="1"/>
  <c r="J981" i="118" s="1"/>
  <c r="K981" i="118" s="1"/>
  <c r="L981" i="118" s="1"/>
  <c r="M981" i="118" s="1"/>
  <c r="N981" i="118" s="1"/>
  <c r="O981" i="118" s="1"/>
  <c r="P981" i="118" s="1"/>
  <c r="Q981" i="118" s="1"/>
  <c r="R981" i="118" s="1"/>
  <c r="I979" i="118"/>
  <c r="J979" i="118" s="1"/>
  <c r="K979" i="118" s="1"/>
  <c r="L979" i="118" s="1"/>
  <c r="M979" i="118" s="1"/>
  <c r="N979" i="118" s="1"/>
  <c r="O979" i="118" s="1"/>
  <c r="P979" i="118" s="1"/>
  <c r="Q979" i="118" s="1"/>
  <c r="R979" i="118" s="1"/>
  <c r="I966" i="118"/>
  <c r="J966" i="118" s="1"/>
  <c r="K966" i="118" s="1"/>
  <c r="L966" i="118" s="1"/>
  <c r="M966" i="118" s="1"/>
  <c r="N966" i="118" s="1"/>
  <c r="O966" i="118" s="1"/>
  <c r="P966" i="118" s="1"/>
  <c r="Q966" i="118" s="1"/>
  <c r="R966" i="118" s="1"/>
  <c r="H965" i="118"/>
  <c r="I965" i="118" s="1"/>
  <c r="J965" i="118" s="1"/>
  <c r="K965" i="118" s="1"/>
  <c r="L965" i="118" s="1"/>
  <c r="M965" i="118" s="1"/>
  <c r="N965" i="118" s="1"/>
  <c r="O965" i="118" s="1"/>
  <c r="P965" i="118" s="1"/>
  <c r="Q965" i="118" s="1"/>
  <c r="R965" i="118" s="1"/>
  <c r="I957" i="118"/>
  <c r="J957" i="118" s="1"/>
  <c r="K957" i="118" s="1"/>
  <c r="L957" i="118" s="1"/>
  <c r="M957" i="118" s="1"/>
  <c r="N957" i="118" s="1"/>
  <c r="O957" i="118" s="1"/>
  <c r="P957" i="118" s="1"/>
  <c r="Q957" i="118" s="1"/>
  <c r="R957" i="118" s="1"/>
  <c r="I955" i="118"/>
  <c r="J955" i="118" s="1"/>
  <c r="K955" i="118" s="1"/>
  <c r="L955" i="118" s="1"/>
  <c r="M955" i="118" s="1"/>
  <c r="N955" i="118" s="1"/>
  <c r="O955" i="118" s="1"/>
  <c r="P955" i="118" s="1"/>
  <c r="Q955" i="118" s="1"/>
  <c r="R955" i="118" s="1"/>
  <c r="I954" i="118"/>
  <c r="J954" i="118" s="1"/>
  <c r="K954" i="118" s="1"/>
  <c r="L954" i="118" s="1"/>
  <c r="M954" i="118" s="1"/>
  <c r="N954" i="118" s="1"/>
  <c r="O954" i="118" s="1"/>
  <c r="P954" i="118" s="1"/>
  <c r="Q954" i="118" s="1"/>
  <c r="R954" i="118" s="1"/>
  <c r="I953" i="118"/>
  <c r="J953" i="118" s="1"/>
  <c r="K953" i="118" s="1"/>
  <c r="L953" i="118" s="1"/>
  <c r="M953" i="118" s="1"/>
  <c r="N953" i="118" s="1"/>
  <c r="O953" i="118" s="1"/>
  <c r="P953" i="118" s="1"/>
  <c r="Q953" i="118" s="1"/>
  <c r="R953" i="118" s="1"/>
  <c r="C953" i="118"/>
  <c r="C954" i="118" s="1"/>
  <c r="C955" i="118" s="1"/>
  <c r="C956" i="118" s="1"/>
  <c r="C957" i="118" s="1"/>
  <c r="C958" i="118" s="1"/>
  <c r="C959" i="118" s="1"/>
  <c r="C960" i="118" s="1"/>
  <c r="C961" i="118" s="1"/>
  <c r="C962" i="118" s="1"/>
  <c r="C963" i="118" s="1"/>
  <c r="C964" i="118" s="1"/>
  <c r="C965" i="118" s="1"/>
  <c r="C966" i="118" s="1"/>
  <c r="C967" i="118" s="1"/>
  <c r="C968" i="118" s="1"/>
  <c r="C969" i="118" s="1"/>
  <c r="C970" i="118" s="1"/>
  <c r="C971" i="118" s="1"/>
  <c r="C972" i="118" s="1"/>
  <c r="C973" i="118" s="1"/>
  <c r="C974" i="118" s="1"/>
  <c r="C975" i="118" s="1"/>
  <c r="C976" i="118" s="1"/>
  <c r="C977" i="118" s="1"/>
  <c r="C978" i="118" s="1"/>
  <c r="C979" i="118" s="1"/>
  <c r="C980" i="118" s="1"/>
  <c r="C981" i="118" s="1"/>
  <c r="C982" i="118" s="1"/>
  <c r="I951" i="118"/>
  <c r="J951" i="118" s="1"/>
  <c r="K951" i="118" s="1"/>
  <c r="L951" i="118" s="1"/>
  <c r="M951" i="118" s="1"/>
  <c r="N951" i="118" s="1"/>
  <c r="O951" i="118" s="1"/>
  <c r="P951" i="118" s="1"/>
  <c r="Q951" i="118" s="1"/>
  <c r="R951" i="118" s="1"/>
  <c r="H950" i="118"/>
  <c r="I950" i="118" s="1"/>
  <c r="J950" i="118" s="1"/>
  <c r="K950" i="118" s="1"/>
  <c r="L950" i="118" s="1"/>
  <c r="M950" i="118" s="1"/>
  <c r="N950" i="118" s="1"/>
  <c r="O950" i="118" s="1"/>
  <c r="P950" i="118" s="1"/>
  <c r="Q950" i="118" s="1"/>
  <c r="R950" i="118" s="1"/>
  <c r="I948" i="118"/>
  <c r="J948" i="118" s="1"/>
  <c r="K948" i="118" s="1"/>
  <c r="L948" i="118" s="1"/>
  <c r="M948" i="118" s="1"/>
  <c r="N948" i="118" s="1"/>
  <c r="O948" i="118" s="1"/>
  <c r="P948" i="118" s="1"/>
  <c r="Q948" i="118" s="1"/>
  <c r="R948" i="118" s="1"/>
  <c r="I935" i="118"/>
  <c r="J935" i="118" s="1"/>
  <c r="K935" i="118" s="1"/>
  <c r="L935" i="118" s="1"/>
  <c r="M935" i="118" s="1"/>
  <c r="N935" i="118" s="1"/>
  <c r="O935" i="118" s="1"/>
  <c r="P935" i="118" s="1"/>
  <c r="Q935" i="118" s="1"/>
  <c r="R935" i="118" s="1"/>
  <c r="H934" i="118"/>
  <c r="I934" i="118" s="1"/>
  <c r="J934" i="118" s="1"/>
  <c r="K934" i="118" s="1"/>
  <c r="L934" i="118" s="1"/>
  <c r="M934" i="118" s="1"/>
  <c r="N934" i="118" s="1"/>
  <c r="O934" i="118" s="1"/>
  <c r="P934" i="118" s="1"/>
  <c r="Q934" i="118" s="1"/>
  <c r="R934" i="118" s="1"/>
  <c r="I926" i="118"/>
  <c r="J926" i="118" s="1"/>
  <c r="K926" i="118" s="1"/>
  <c r="L926" i="118" s="1"/>
  <c r="M926" i="118" s="1"/>
  <c r="N926" i="118" s="1"/>
  <c r="O926" i="118" s="1"/>
  <c r="P926" i="118" s="1"/>
  <c r="Q926" i="118" s="1"/>
  <c r="R926" i="118" s="1"/>
  <c r="I924" i="118"/>
  <c r="J924" i="118" s="1"/>
  <c r="K924" i="118" s="1"/>
  <c r="L924" i="118" s="1"/>
  <c r="M924" i="118" s="1"/>
  <c r="N924" i="118" s="1"/>
  <c r="O924" i="118" s="1"/>
  <c r="P924" i="118" s="1"/>
  <c r="Q924" i="118" s="1"/>
  <c r="R924" i="118" s="1"/>
  <c r="I923" i="118"/>
  <c r="J923" i="118" s="1"/>
  <c r="K923" i="118" s="1"/>
  <c r="L923" i="118" s="1"/>
  <c r="M923" i="118" s="1"/>
  <c r="N923" i="118" s="1"/>
  <c r="O923" i="118" s="1"/>
  <c r="P923" i="118" s="1"/>
  <c r="Q923" i="118" s="1"/>
  <c r="R923" i="118" s="1"/>
  <c r="I922" i="118"/>
  <c r="J922" i="118" s="1"/>
  <c r="K922" i="118" s="1"/>
  <c r="L922" i="118" s="1"/>
  <c r="M922" i="118" s="1"/>
  <c r="N922" i="118" s="1"/>
  <c r="O922" i="118" s="1"/>
  <c r="P922" i="118" s="1"/>
  <c r="Q922" i="118" s="1"/>
  <c r="R922" i="118" s="1"/>
  <c r="C922" i="118"/>
  <c r="C923" i="118" s="1"/>
  <c r="C924" i="118" s="1"/>
  <c r="C925" i="118" s="1"/>
  <c r="C926" i="118" s="1"/>
  <c r="C927" i="118" s="1"/>
  <c r="C928" i="118" s="1"/>
  <c r="C929" i="118" s="1"/>
  <c r="C930" i="118" s="1"/>
  <c r="C931" i="118" s="1"/>
  <c r="C932" i="118" s="1"/>
  <c r="C933" i="118" s="1"/>
  <c r="C934" i="118" s="1"/>
  <c r="C935" i="118" s="1"/>
  <c r="C936" i="118" s="1"/>
  <c r="C937" i="118" s="1"/>
  <c r="C938" i="118" s="1"/>
  <c r="C939" i="118" s="1"/>
  <c r="C940" i="118" s="1"/>
  <c r="C941" i="118" s="1"/>
  <c r="C942" i="118" s="1"/>
  <c r="C943" i="118" s="1"/>
  <c r="C944" i="118" s="1"/>
  <c r="C945" i="118" s="1"/>
  <c r="C946" i="118" s="1"/>
  <c r="C947" i="118" s="1"/>
  <c r="C948" i="118" s="1"/>
  <c r="C949" i="118" s="1"/>
  <c r="C950" i="118" s="1"/>
  <c r="C951" i="118" s="1"/>
  <c r="I920" i="118"/>
  <c r="J920" i="118" s="1"/>
  <c r="K920" i="118" s="1"/>
  <c r="L920" i="118" s="1"/>
  <c r="M920" i="118" s="1"/>
  <c r="N920" i="118" s="1"/>
  <c r="O920" i="118" s="1"/>
  <c r="P920" i="118" s="1"/>
  <c r="Q920" i="118" s="1"/>
  <c r="R920" i="118" s="1"/>
  <c r="C917" i="118"/>
  <c r="I914" i="118"/>
  <c r="J914" i="118" s="1"/>
  <c r="K914" i="118" s="1"/>
  <c r="L914" i="118" s="1"/>
  <c r="M914" i="118" s="1"/>
  <c r="N914" i="118" s="1"/>
  <c r="O914" i="118" s="1"/>
  <c r="P914" i="118" s="1"/>
  <c r="Q914" i="118" s="1"/>
  <c r="R914" i="118" s="1"/>
  <c r="I888" i="118"/>
  <c r="J888" i="118" s="1"/>
  <c r="K888" i="118" s="1"/>
  <c r="L888" i="118" s="1"/>
  <c r="M888" i="118" s="1"/>
  <c r="N888" i="118" s="1"/>
  <c r="O888" i="118" s="1"/>
  <c r="P888" i="118" s="1"/>
  <c r="Q888" i="118" s="1"/>
  <c r="R888" i="118" s="1"/>
  <c r="I887" i="118"/>
  <c r="J887" i="118" s="1"/>
  <c r="K887" i="118" s="1"/>
  <c r="L887" i="118" s="1"/>
  <c r="M887" i="118" s="1"/>
  <c r="N887" i="118" s="1"/>
  <c r="O887" i="118" s="1"/>
  <c r="P887" i="118" s="1"/>
  <c r="Q887" i="118" s="1"/>
  <c r="R887" i="118" s="1"/>
  <c r="C887" i="118"/>
  <c r="C888" i="118" s="1"/>
  <c r="C889" i="118" s="1"/>
  <c r="C890" i="118" s="1"/>
  <c r="C891" i="118" s="1"/>
  <c r="C892" i="118" s="1"/>
  <c r="C893" i="118" s="1"/>
  <c r="C894" i="118" s="1"/>
  <c r="C895" i="118" s="1"/>
  <c r="C896" i="118" s="1"/>
  <c r="C897" i="118" s="1"/>
  <c r="C898" i="118" s="1"/>
  <c r="C899" i="118" s="1"/>
  <c r="C900" i="118" s="1"/>
  <c r="C901" i="118" s="1"/>
  <c r="C902" i="118" s="1"/>
  <c r="C903" i="118" s="1"/>
  <c r="C904" i="118" s="1"/>
  <c r="C905" i="118" s="1"/>
  <c r="C906" i="118" s="1"/>
  <c r="C907" i="118" s="1"/>
  <c r="C908" i="118" s="1"/>
  <c r="C909" i="118" s="1"/>
  <c r="C910" i="118" s="1"/>
  <c r="C911" i="118" s="1"/>
  <c r="C912" i="118" s="1"/>
  <c r="C913" i="118" s="1"/>
  <c r="C914" i="118" s="1"/>
  <c r="I885" i="118"/>
  <c r="J885" i="118" s="1"/>
  <c r="K885" i="118" s="1"/>
  <c r="L885" i="118" s="1"/>
  <c r="M885" i="118" s="1"/>
  <c r="N885" i="118" s="1"/>
  <c r="O885" i="118" s="1"/>
  <c r="P885" i="118" s="1"/>
  <c r="Q885" i="118" s="1"/>
  <c r="R885" i="118" s="1"/>
  <c r="I858" i="118"/>
  <c r="J858" i="118" s="1"/>
  <c r="K858" i="118" s="1"/>
  <c r="L858" i="118" s="1"/>
  <c r="M858" i="118" s="1"/>
  <c r="N858" i="118" s="1"/>
  <c r="O858" i="118" s="1"/>
  <c r="P858" i="118" s="1"/>
  <c r="Q858" i="118" s="1"/>
  <c r="R858" i="118" s="1"/>
  <c r="I857" i="118"/>
  <c r="J857" i="118" s="1"/>
  <c r="K857" i="118" s="1"/>
  <c r="L857" i="118" s="1"/>
  <c r="M857" i="118" s="1"/>
  <c r="N857" i="118" s="1"/>
  <c r="O857" i="118" s="1"/>
  <c r="P857" i="118" s="1"/>
  <c r="Q857" i="118" s="1"/>
  <c r="R857" i="118" s="1"/>
  <c r="C857" i="118"/>
  <c r="C858" i="118" s="1"/>
  <c r="C859" i="118" s="1"/>
  <c r="C860" i="118" s="1"/>
  <c r="C861" i="118" s="1"/>
  <c r="C862" i="118" s="1"/>
  <c r="C863" i="118" s="1"/>
  <c r="C864" i="118" s="1"/>
  <c r="C865" i="118" s="1"/>
  <c r="C866" i="118" s="1"/>
  <c r="C867" i="118" s="1"/>
  <c r="C868" i="118" s="1"/>
  <c r="C869" i="118" s="1"/>
  <c r="C870" i="118" s="1"/>
  <c r="C871" i="118" s="1"/>
  <c r="C872" i="118" s="1"/>
  <c r="C873" i="118" s="1"/>
  <c r="C874" i="118" s="1"/>
  <c r="C875" i="118" s="1"/>
  <c r="C876" i="118" s="1"/>
  <c r="C877" i="118" s="1"/>
  <c r="C878" i="118" s="1"/>
  <c r="C879" i="118" s="1"/>
  <c r="C880" i="118" s="1"/>
  <c r="C881" i="118" s="1"/>
  <c r="C882" i="118" s="1"/>
  <c r="C883" i="118" s="1"/>
  <c r="C884" i="118" s="1"/>
  <c r="C885" i="118" s="1"/>
  <c r="I855" i="118"/>
  <c r="J855" i="118" s="1"/>
  <c r="K855" i="118" s="1"/>
  <c r="L855" i="118" s="1"/>
  <c r="M855" i="118" s="1"/>
  <c r="N855" i="118" s="1"/>
  <c r="O855" i="118" s="1"/>
  <c r="P855" i="118" s="1"/>
  <c r="Q855" i="118" s="1"/>
  <c r="R855" i="118" s="1"/>
  <c r="C852" i="118"/>
  <c r="I850" i="118"/>
  <c r="J850" i="118" s="1"/>
  <c r="K850" i="118" s="1"/>
  <c r="L850" i="118" s="1"/>
  <c r="M850" i="118" s="1"/>
  <c r="N850" i="118" s="1"/>
  <c r="O850" i="118" s="1"/>
  <c r="P850" i="118" s="1"/>
  <c r="Q850" i="118" s="1"/>
  <c r="R850" i="118" s="1"/>
  <c r="H848" i="118"/>
  <c r="H849" i="118" s="1"/>
  <c r="C845" i="118"/>
  <c r="R842" i="118"/>
  <c r="Q842" i="118"/>
  <c r="P842" i="118"/>
  <c r="O842" i="118"/>
  <c r="N842" i="118"/>
  <c r="M842" i="118"/>
  <c r="L842" i="118"/>
  <c r="K842" i="118"/>
  <c r="J842" i="118"/>
  <c r="I842" i="118"/>
  <c r="H842" i="118"/>
  <c r="H840" i="118"/>
  <c r="I840" i="118" s="1"/>
  <c r="J840" i="118" s="1"/>
  <c r="K840" i="118" s="1"/>
  <c r="L840" i="118" s="1"/>
  <c r="M840" i="118" s="1"/>
  <c r="N840" i="118" s="1"/>
  <c r="O840" i="118" s="1"/>
  <c r="P840" i="118" s="1"/>
  <c r="Q840" i="118" s="1"/>
  <c r="R840" i="118" s="1"/>
  <c r="H839" i="118"/>
  <c r="I839" i="118" s="1"/>
  <c r="J839" i="118" s="1"/>
  <c r="K839" i="118" s="1"/>
  <c r="L839" i="118" s="1"/>
  <c r="M839" i="118" s="1"/>
  <c r="N839" i="118" s="1"/>
  <c r="O839" i="118" s="1"/>
  <c r="P839" i="118" s="1"/>
  <c r="Q839" i="118" s="1"/>
  <c r="R839" i="118" s="1"/>
  <c r="H838" i="118"/>
  <c r="I838" i="118" s="1"/>
  <c r="J838" i="118" s="1"/>
  <c r="K838" i="118" s="1"/>
  <c r="L838" i="118" s="1"/>
  <c r="M838" i="118" s="1"/>
  <c r="N838" i="118" s="1"/>
  <c r="O838" i="118" s="1"/>
  <c r="P838" i="118" s="1"/>
  <c r="Q838" i="118" s="1"/>
  <c r="R838" i="118" s="1"/>
  <c r="I829" i="118"/>
  <c r="J829" i="118" s="1"/>
  <c r="K829" i="118" s="1"/>
  <c r="L829" i="118" s="1"/>
  <c r="M829" i="118" s="1"/>
  <c r="N829" i="118" s="1"/>
  <c r="O829" i="118" s="1"/>
  <c r="P829" i="118" s="1"/>
  <c r="Q829" i="118" s="1"/>
  <c r="R829" i="118" s="1"/>
  <c r="I828" i="118"/>
  <c r="J828" i="118" s="1"/>
  <c r="K828" i="118" s="1"/>
  <c r="L828" i="118" s="1"/>
  <c r="M828" i="118" s="1"/>
  <c r="N828" i="118" s="1"/>
  <c r="O828" i="118" s="1"/>
  <c r="P828" i="118" s="1"/>
  <c r="Q828" i="118" s="1"/>
  <c r="R828" i="118" s="1"/>
  <c r="I827" i="118"/>
  <c r="J827" i="118" s="1"/>
  <c r="K827" i="118" s="1"/>
  <c r="L827" i="118" s="1"/>
  <c r="M827" i="118" s="1"/>
  <c r="N827" i="118" s="1"/>
  <c r="O827" i="118" s="1"/>
  <c r="P827" i="118" s="1"/>
  <c r="Q827" i="118" s="1"/>
  <c r="R827" i="118" s="1"/>
  <c r="I826" i="118"/>
  <c r="J826" i="118" s="1"/>
  <c r="K826" i="118" s="1"/>
  <c r="L826" i="118" s="1"/>
  <c r="M826" i="118" s="1"/>
  <c r="N826" i="118" s="1"/>
  <c r="O826" i="118" s="1"/>
  <c r="P826" i="118" s="1"/>
  <c r="Q826" i="118" s="1"/>
  <c r="R826" i="118" s="1"/>
  <c r="C823" i="118"/>
  <c r="I820" i="118"/>
  <c r="J820" i="118" s="1"/>
  <c r="K820" i="118" s="1"/>
  <c r="L820" i="118" s="1"/>
  <c r="M820" i="118" s="1"/>
  <c r="N820" i="118" s="1"/>
  <c r="O820" i="118" s="1"/>
  <c r="P820" i="118" s="1"/>
  <c r="Q820" i="118" s="1"/>
  <c r="R820" i="118" s="1"/>
  <c r="I819" i="118"/>
  <c r="J819" i="118" s="1"/>
  <c r="K819" i="118" s="1"/>
  <c r="L819" i="118" s="1"/>
  <c r="M819" i="118" s="1"/>
  <c r="N819" i="118" s="1"/>
  <c r="O819" i="118" s="1"/>
  <c r="P819" i="118" s="1"/>
  <c r="Q819" i="118" s="1"/>
  <c r="R819" i="118" s="1"/>
  <c r="J817" i="118"/>
  <c r="K817" i="118" s="1"/>
  <c r="L817" i="118" s="1"/>
  <c r="M817" i="118" s="1"/>
  <c r="N817" i="118" s="1"/>
  <c r="O817" i="118" s="1"/>
  <c r="P817" i="118" s="1"/>
  <c r="Q817" i="118" s="1"/>
  <c r="R817" i="118" s="1"/>
  <c r="I817" i="118"/>
  <c r="I812" i="118"/>
  <c r="J812" i="118" s="1"/>
  <c r="K812" i="118" s="1"/>
  <c r="L812" i="118" s="1"/>
  <c r="M812" i="118" s="1"/>
  <c r="N812" i="118" s="1"/>
  <c r="O812" i="118" s="1"/>
  <c r="P812" i="118" s="1"/>
  <c r="Q812" i="118" s="1"/>
  <c r="R812" i="118" s="1"/>
  <c r="I811" i="118"/>
  <c r="J811" i="118" s="1"/>
  <c r="K811" i="118" s="1"/>
  <c r="L811" i="118" s="1"/>
  <c r="M811" i="118" s="1"/>
  <c r="N811" i="118" s="1"/>
  <c r="O811" i="118" s="1"/>
  <c r="P811" i="118" s="1"/>
  <c r="Q811" i="118" s="1"/>
  <c r="R811" i="118" s="1"/>
  <c r="I810" i="118"/>
  <c r="J810" i="118" s="1"/>
  <c r="K810" i="118" s="1"/>
  <c r="L810" i="118" s="1"/>
  <c r="M810" i="118" s="1"/>
  <c r="N810" i="118" s="1"/>
  <c r="O810" i="118" s="1"/>
  <c r="P810" i="118" s="1"/>
  <c r="Q810" i="118" s="1"/>
  <c r="R810" i="118" s="1"/>
  <c r="I808" i="118"/>
  <c r="J808" i="118" s="1"/>
  <c r="K808" i="118" s="1"/>
  <c r="L808" i="118" s="1"/>
  <c r="M808" i="118" s="1"/>
  <c r="N808" i="118" s="1"/>
  <c r="O808" i="118" s="1"/>
  <c r="P808" i="118" s="1"/>
  <c r="Q808" i="118" s="1"/>
  <c r="R808" i="118" s="1"/>
  <c r="I807" i="118"/>
  <c r="J807" i="118" s="1"/>
  <c r="K807" i="118" s="1"/>
  <c r="L807" i="118" s="1"/>
  <c r="M807" i="118" s="1"/>
  <c r="N807" i="118" s="1"/>
  <c r="O807" i="118" s="1"/>
  <c r="P807" i="118" s="1"/>
  <c r="Q807" i="118" s="1"/>
  <c r="R807" i="118" s="1"/>
  <c r="I806" i="118"/>
  <c r="J806" i="118" s="1"/>
  <c r="K806" i="118" s="1"/>
  <c r="L806" i="118" s="1"/>
  <c r="M806" i="118" s="1"/>
  <c r="N806" i="118" s="1"/>
  <c r="O806" i="118" s="1"/>
  <c r="P806" i="118" s="1"/>
  <c r="Q806" i="118" s="1"/>
  <c r="R806" i="118" s="1"/>
  <c r="I805" i="118"/>
  <c r="J805" i="118" s="1"/>
  <c r="K805" i="118" s="1"/>
  <c r="L805" i="118" s="1"/>
  <c r="M805" i="118" s="1"/>
  <c r="N805" i="118" s="1"/>
  <c r="O805" i="118" s="1"/>
  <c r="P805" i="118" s="1"/>
  <c r="Q805" i="118" s="1"/>
  <c r="R805" i="118" s="1"/>
  <c r="I804" i="118"/>
  <c r="J804" i="118" s="1"/>
  <c r="K804" i="118" s="1"/>
  <c r="L804" i="118" s="1"/>
  <c r="M804" i="118" s="1"/>
  <c r="N804" i="118" s="1"/>
  <c r="O804" i="118" s="1"/>
  <c r="P804" i="118" s="1"/>
  <c r="Q804" i="118" s="1"/>
  <c r="R804" i="118" s="1"/>
  <c r="I803" i="118"/>
  <c r="J803" i="118" s="1"/>
  <c r="K803" i="118" s="1"/>
  <c r="L803" i="118" s="1"/>
  <c r="M803" i="118" s="1"/>
  <c r="N803" i="118" s="1"/>
  <c r="O803" i="118" s="1"/>
  <c r="P803" i="118" s="1"/>
  <c r="Q803" i="118" s="1"/>
  <c r="R803" i="118" s="1"/>
  <c r="I797" i="118"/>
  <c r="J797" i="118" s="1"/>
  <c r="K797" i="118" s="1"/>
  <c r="L797" i="118" s="1"/>
  <c r="M797" i="118" s="1"/>
  <c r="N797" i="118" s="1"/>
  <c r="O797" i="118" s="1"/>
  <c r="P797" i="118" s="1"/>
  <c r="Q797" i="118" s="1"/>
  <c r="R797" i="118" s="1"/>
  <c r="I796" i="118"/>
  <c r="J796" i="118" s="1"/>
  <c r="K796" i="118" s="1"/>
  <c r="L796" i="118" s="1"/>
  <c r="M796" i="118" s="1"/>
  <c r="N796" i="118" s="1"/>
  <c r="O796" i="118" s="1"/>
  <c r="P796" i="118" s="1"/>
  <c r="Q796" i="118" s="1"/>
  <c r="R796" i="118" s="1"/>
  <c r="I795" i="118"/>
  <c r="J795" i="118" s="1"/>
  <c r="K795" i="118" s="1"/>
  <c r="L795" i="118" s="1"/>
  <c r="M795" i="118" s="1"/>
  <c r="N795" i="118" s="1"/>
  <c r="O795" i="118" s="1"/>
  <c r="P795" i="118" s="1"/>
  <c r="Q795" i="118" s="1"/>
  <c r="R795" i="118" s="1"/>
  <c r="I793" i="118"/>
  <c r="J793" i="118" s="1"/>
  <c r="K793" i="118" s="1"/>
  <c r="L793" i="118" s="1"/>
  <c r="M793" i="118" s="1"/>
  <c r="N793" i="118" s="1"/>
  <c r="O793" i="118" s="1"/>
  <c r="P793" i="118" s="1"/>
  <c r="Q793" i="118" s="1"/>
  <c r="R793" i="118" s="1"/>
  <c r="I792" i="118"/>
  <c r="J792" i="118" s="1"/>
  <c r="K792" i="118" s="1"/>
  <c r="L792" i="118" s="1"/>
  <c r="M792" i="118" s="1"/>
  <c r="N792" i="118" s="1"/>
  <c r="O792" i="118" s="1"/>
  <c r="P792" i="118" s="1"/>
  <c r="Q792" i="118" s="1"/>
  <c r="R792" i="118" s="1"/>
  <c r="J791" i="118"/>
  <c r="K791" i="118" s="1"/>
  <c r="L791" i="118" s="1"/>
  <c r="M791" i="118" s="1"/>
  <c r="N791" i="118" s="1"/>
  <c r="O791" i="118" s="1"/>
  <c r="P791" i="118" s="1"/>
  <c r="Q791" i="118" s="1"/>
  <c r="R791" i="118" s="1"/>
  <c r="I791" i="118"/>
  <c r="C791" i="118"/>
  <c r="C792" i="118" s="1"/>
  <c r="C793" i="118" s="1"/>
  <c r="C794" i="118" s="1"/>
  <c r="C795" i="118" s="1"/>
  <c r="C796" i="118" s="1"/>
  <c r="C797" i="118" s="1"/>
  <c r="C798" i="118" s="1"/>
  <c r="C799" i="118" s="1"/>
  <c r="C800" i="118" s="1"/>
  <c r="C801" i="118" s="1"/>
  <c r="C802" i="118" s="1"/>
  <c r="C803" i="118" s="1"/>
  <c r="C804" i="118" s="1"/>
  <c r="C805" i="118" s="1"/>
  <c r="C806" i="118" s="1"/>
  <c r="C807" i="118" s="1"/>
  <c r="C808" i="118" s="1"/>
  <c r="C809" i="118" s="1"/>
  <c r="C810" i="118" s="1"/>
  <c r="C811" i="118" s="1"/>
  <c r="C812" i="118" s="1"/>
  <c r="C813" i="118" s="1"/>
  <c r="C814" i="118" s="1"/>
  <c r="C815" i="118" s="1"/>
  <c r="C816" i="118" s="1"/>
  <c r="C817" i="118" s="1"/>
  <c r="C818" i="118" s="1"/>
  <c r="C819" i="118" s="1"/>
  <c r="C820" i="118" s="1"/>
  <c r="I789" i="118"/>
  <c r="J789" i="118" s="1"/>
  <c r="K789" i="118" s="1"/>
  <c r="L789" i="118" s="1"/>
  <c r="M789" i="118" s="1"/>
  <c r="N789" i="118" s="1"/>
  <c r="O789" i="118" s="1"/>
  <c r="P789" i="118" s="1"/>
  <c r="Q789" i="118" s="1"/>
  <c r="R789" i="118" s="1"/>
  <c r="I788" i="118"/>
  <c r="J788" i="118" s="1"/>
  <c r="K788" i="118" s="1"/>
  <c r="L788" i="118" s="1"/>
  <c r="M788" i="118" s="1"/>
  <c r="N788" i="118" s="1"/>
  <c r="O788" i="118" s="1"/>
  <c r="P788" i="118" s="1"/>
  <c r="Q788" i="118" s="1"/>
  <c r="R788" i="118" s="1"/>
  <c r="I786" i="118"/>
  <c r="J786" i="118" s="1"/>
  <c r="K786" i="118" s="1"/>
  <c r="L786" i="118" s="1"/>
  <c r="M786" i="118" s="1"/>
  <c r="N786" i="118" s="1"/>
  <c r="O786" i="118" s="1"/>
  <c r="P786" i="118" s="1"/>
  <c r="Q786" i="118" s="1"/>
  <c r="R786" i="118" s="1"/>
  <c r="I773" i="118"/>
  <c r="J773" i="118" s="1"/>
  <c r="K773" i="118" s="1"/>
  <c r="L773" i="118" s="1"/>
  <c r="M773" i="118" s="1"/>
  <c r="N773" i="118" s="1"/>
  <c r="O773" i="118" s="1"/>
  <c r="P773" i="118" s="1"/>
  <c r="Q773" i="118" s="1"/>
  <c r="R773" i="118" s="1"/>
  <c r="I772" i="118"/>
  <c r="J772" i="118" s="1"/>
  <c r="K772" i="118" s="1"/>
  <c r="L772" i="118" s="1"/>
  <c r="M772" i="118" s="1"/>
  <c r="N772" i="118" s="1"/>
  <c r="O772" i="118" s="1"/>
  <c r="P772" i="118" s="1"/>
  <c r="Q772" i="118" s="1"/>
  <c r="R772" i="118" s="1"/>
  <c r="I766" i="118"/>
  <c r="J766" i="118" s="1"/>
  <c r="K766" i="118" s="1"/>
  <c r="L766" i="118" s="1"/>
  <c r="M766" i="118" s="1"/>
  <c r="N766" i="118" s="1"/>
  <c r="O766" i="118" s="1"/>
  <c r="P766" i="118" s="1"/>
  <c r="Q766" i="118" s="1"/>
  <c r="R766" i="118" s="1"/>
  <c r="I765" i="118"/>
  <c r="J765" i="118" s="1"/>
  <c r="K765" i="118" s="1"/>
  <c r="L765" i="118" s="1"/>
  <c r="M765" i="118" s="1"/>
  <c r="N765" i="118" s="1"/>
  <c r="O765" i="118" s="1"/>
  <c r="P765" i="118" s="1"/>
  <c r="Q765" i="118" s="1"/>
  <c r="R765" i="118" s="1"/>
  <c r="I764" i="118"/>
  <c r="J764" i="118" s="1"/>
  <c r="K764" i="118" s="1"/>
  <c r="L764" i="118" s="1"/>
  <c r="M764" i="118" s="1"/>
  <c r="N764" i="118" s="1"/>
  <c r="O764" i="118" s="1"/>
  <c r="P764" i="118" s="1"/>
  <c r="Q764" i="118" s="1"/>
  <c r="R764" i="118" s="1"/>
  <c r="I762" i="118"/>
  <c r="J762" i="118" s="1"/>
  <c r="K762" i="118" s="1"/>
  <c r="L762" i="118" s="1"/>
  <c r="M762" i="118" s="1"/>
  <c r="N762" i="118" s="1"/>
  <c r="O762" i="118" s="1"/>
  <c r="P762" i="118" s="1"/>
  <c r="Q762" i="118" s="1"/>
  <c r="R762" i="118" s="1"/>
  <c r="I761" i="118"/>
  <c r="J761" i="118" s="1"/>
  <c r="K761" i="118" s="1"/>
  <c r="L761" i="118" s="1"/>
  <c r="M761" i="118" s="1"/>
  <c r="N761" i="118" s="1"/>
  <c r="O761" i="118" s="1"/>
  <c r="P761" i="118" s="1"/>
  <c r="Q761" i="118" s="1"/>
  <c r="R761" i="118" s="1"/>
  <c r="I760" i="118"/>
  <c r="J760" i="118" s="1"/>
  <c r="K760" i="118" s="1"/>
  <c r="L760" i="118" s="1"/>
  <c r="M760" i="118" s="1"/>
  <c r="N760" i="118" s="1"/>
  <c r="O760" i="118" s="1"/>
  <c r="P760" i="118" s="1"/>
  <c r="Q760" i="118" s="1"/>
  <c r="R760" i="118" s="1"/>
  <c r="C760" i="118"/>
  <c r="C761" i="118" s="1"/>
  <c r="C762" i="118" s="1"/>
  <c r="C763" i="118" s="1"/>
  <c r="C764" i="118" s="1"/>
  <c r="C765" i="118" s="1"/>
  <c r="C766" i="118" s="1"/>
  <c r="C767" i="118" s="1"/>
  <c r="C768" i="118" s="1"/>
  <c r="C769" i="118" s="1"/>
  <c r="C770" i="118" s="1"/>
  <c r="C771" i="118" s="1"/>
  <c r="C772" i="118" s="1"/>
  <c r="C773" i="118" s="1"/>
  <c r="C774" i="118" s="1"/>
  <c r="C775" i="118" s="1"/>
  <c r="C776" i="118" s="1"/>
  <c r="C777" i="118" s="1"/>
  <c r="C778" i="118" s="1"/>
  <c r="C779" i="118" s="1"/>
  <c r="C780" i="118" s="1"/>
  <c r="C781" i="118" s="1"/>
  <c r="C782" i="118" s="1"/>
  <c r="C783" i="118" s="1"/>
  <c r="C784" i="118" s="1"/>
  <c r="C785" i="118" s="1"/>
  <c r="C786" i="118" s="1"/>
  <c r="C787" i="118" s="1"/>
  <c r="C788" i="118" s="1"/>
  <c r="C789" i="118" s="1"/>
  <c r="I758" i="118"/>
  <c r="J758" i="118" s="1"/>
  <c r="K758" i="118" s="1"/>
  <c r="L758" i="118" s="1"/>
  <c r="M758" i="118" s="1"/>
  <c r="N758" i="118" s="1"/>
  <c r="O758" i="118" s="1"/>
  <c r="P758" i="118" s="1"/>
  <c r="Q758" i="118" s="1"/>
  <c r="R758" i="118" s="1"/>
  <c r="I757" i="118"/>
  <c r="J757" i="118" s="1"/>
  <c r="K757" i="118" s="1"/>
  <c r="L757" i="118" s="1"/>
  <c r="M757" i="118" s="1"/>
  <c r="N757" i="118" s="1"/>
  <c r="O757" i="118" s="1"/>
  <c r="P757" i="118" s="1"/>
  <c r="Q757" i="118" s="1"/>
  <c r="R757" i="118" s="1"/>
  <c r="I755" i="118"/>
  <c r="J755" i="118" s="1"/>
  <c r="K755" i="118" s="1"/>
  <c r="L755" i="118" s="1"/>
  <c r="M755" i="118" s="1"/>
  <c r="N755" i="118" s="1"/>
  <c r="O755" i="118" s="1"/>
  <c r="P755" i="118" s="1"/>
  <c r="Q755" i="118" s="1"/>
  <c r="R755" i="118" s="1"/>
  <c r="I742" i="118"/>
  <c r="J742" i="118" s="1"/>
  <c r="K742" i="118" s="1"/>
  <c r="L742" i="118" s="1"/>
  <c r="M742" i="118" s="1"/>
  <c r="N742" i="118" s="1"/>
  <c r="O742" i="118" s="1"/>
  <c r="P742" i="118" s="1"/>
  <c r="Q742" i="118" s="1"/>
  <c r="R742" i="118" s="1"/>
  <c r="I741" i="118"/>
  <c r="J741" i="118" s="1"/>
  <c r="K741" i="118" s="1"/>
  <c r="L741" i="118" s="1"/>
  <c r="M741" i="118" s="1"/>
  <c r="N741" i="118" s="1"/>
  <c r="O741" i="118" s="1"/>
  <c r="P741" i="118" s="1"/>
  <c r="Q741" i="118" s="1"/>
  <c r="R741" i="118" s="1"/>
  <c r="I735" i="118"/>
  <c r="J735" i="118" s="1"/>
  <c r="K735" i="118" s="1"/>
  <c r="L735" i="118" s="1"/>
  <c r="M735" i="118" s="1"/>
  <c r="N735" i="118" s="1"/>
  <c r="O735" i="118" s="1"/>
  <c r="P735" i="118" s="1"/>
  <c r="Q735" i="118" s="1"/>
  <c r="R735" i="118" s="1"/>
  <c r="I734" i="118"/>
  <c r="J734" i="118" s="1"/>
  <c r="K734" i="118" s="1"/>
  <c r="L734" i="118" s="1"/>
  <c r="M734" i="118" s="1"/>
  <c r="N734" i="118" s="1"/>
  <c r="O734" i="118" s="1"/>
  <c r="P734" i="118" s="1"/>
  <c r="Q734" i="118" s="1"/>
  <c r="R734" i="118" s="1"/>
  <c r="I733" i="118"/>
  <c r="J733" i="118" s="1"/>
  <c r="K733" i="118" s="1"/>
  <c r="L733" i="118" s="1"/>
  <c r="M733" i="118" s="1"/>
  <c r="N733" i="118" s="1"/>
  <c r="O733" i="118" s="1"/>
  <c r="P733" i="118" s="1"/>
  <c r="Q733" i="118" s="1"/>
  <c r="R733" i="118" s="1"/>
  <c r="I731" i="118"/>
  <c r="J731" i="118" s="1"/>
  <c r="K731" i="118" s="1"/>
  <c r="L731" i="118" s="1"/>
  <c r="M731" i="118" s="1"/>
  <c r="N731" i="118" s="1"/>
  <c r="O731" i="118" s="1"/>
  <c r="P731" i="118" s="1"/>
  <c r="Q731" i="118" s="1"/>
  <c r="R731" i="118" s="1"/>
  <c r="I730" i="118"/>
  <c r="J730" i="118" s="1"/>
  <c r="K730" i="118" s="1"/>
  <c r="L730" i="118" s="1"/>
  <c r="M730" i="118" s="1"/>
  <c r="N730" i="118" s="1"/>
  <c r="O730" i="118" s="1"/>
  <c r="P730" i="118" s="1"/>
  <c r="Q730" i="118" s="1"/>
  <c r="R730" i="118" s="1"/>
  <c r="I729" i="118"/>
  <c r="J729" i="118" s="1"/>
  <c r="K729" i="118" s="1"/>
  <c r="L729" i="118" s="1"/>
  <c r="M729" i="118" s="1"/>
  <c r="N729" i="118" s="1"/>
  <c r="O729" i="118" s="1"/>
  <c r="P729" i="118" s="1"/>
  <c r="Q729" i="118" s="1"/>
  <c r="R729" i="118" s="1"/>
  <c r="C729" i="118"/>
  <c r="C730" i="118" s="1"/>
  <c r="C731" i="118" s="1"/>
  <c r="C732" i="118" s="1"/>
  <c r="C733" i="118" s="1"/>
  <c r="C734" i="118" s="1"/>
  <c r="C735" i="118" s="1"/>
  <c r="C736" i="118" s="1"/>
  <c r="C737" i="118" s="1"/>
  <c r="C738" i="118" s="1"/>
  <c r="C739" i="118" s="1"/>
  <c r="C740" i="118" s="1"/>
  <c r="C741" i="118" s="1"/>
  <c r="C742" i="118" s="1"/>
  <c r="C743" i="118" s="1"/>
  <c r="C744" i="118" s="1"/>
  <c r="C745" i="118" s="1"/>
  <c r="C746" i="118" s="1"/>
  <c r="C747" i="118" s="1"/>
  <c r="C748" i="118" s="1"/>
  <c r="C749" i="118" s="1"/>
  <c r="C750" i="118" s="1"/>
  <c r="C751" i="118" s="1"/>
  <c r="C752" i="118" s="1"/>
  <c r="C753" i="118" s="1"/>
  <c r="C754" i="118" s="1"/>
  <c r="C755" i="118" s="1"/>
  <c r="C756" i="118" s="1"/>
  <c r="C757" i="118" s="1"/>
  <c r="C758" i="118" s="1"/>
  <c r="I727" i="118"/>
  <c r="J727" i="118" s="1"/>
  <c r="K727" i="118" s="1"/>
  <c r="L727" i="118" s="1"/>
  <c r="M727" i="118" s="1"/>
  <c r="N727" i="118" s="1"/>
  <c r="O727" i="118" s="1"/>
  <c r="P727" i="118" s="1"/>
  <c r="Q727" i="118" s="1"/>
  <c r="R727" i="118" s="1"/>
  <c r="C724" i="118"/>
  <c r="I721" i="118"/>
  <c r="J721" i="118" s="1"/>
  <c r="K721" i="118" s="1"/>
  <c r="L721" i="118" s="1"/>
  <c r="M721" i="118" s="1"/>
  <c r="N721" i="118" s="1"/>
  <c r="O721" i="118" s="1"/>
  <c r="P721" i="118" s="1"/>
  <c r="Q721" i="118" s="1"/>
  <c r="R721" i="118" s="1"/>
  <c r="I720" i="118"/>
  <c r="J720" i="118" s="1"/>
  <c r="K720" i="118" s="1"/>
  <c r="L720" i="118" s="1"/>
  <c r="M720" i="118" s="1"/>
  <c r="N720" i="118" s="1"/>
  <c r="O720" i="118" s="1"/>
  <c r="P720" i="118" s="1"/>
  <c r="Q720" i="118" s="1"/>
  <c r="R720" i="118" s="1"/>
  <c r="I718" i="118"/>
  <c r="J718" i="118" s="1"/>
  <c r="K718" i="118" s="1"/>
  <c r="L718" i="118" s="1"/>
  <c r="M718" i="118" s="1"/>
  <c r="N718" i="118" s="1"/>
  <c r="O718" i="118" s="1"/>
  <c r="P718" i="118" s="1"/>
  <c r="Q718" i="118" s="1"/>
  <c r="R718" i="118" s="1"/>
  <c r="I705" i="118"/>
  <c r="J705" i="118" s="1"/>
  <c r="K705" i="118" s="1"/>
  <c r="L705" i="118" s="1"/>
  <c r="M705" i="118" s="1"/>
  <c r="N705" i="118" s="1"/>
  <c r="O705" i="118" s="1"/>
  <c r="P705" i="118" s="1"/>
  <c r="Q705" i="118" s="1"/>
  <c r="R705" i="118" s="1"/>
  <c r="I704" i="118"/>
  <c r="J704" i="118" s="1"/>
  <c r="K704" i="118" s="1"/>
  <c r="L704" i="118" s="1"/>
  <c r="M704" i="118" s="1"/>
  <c r="N704" i="118" s="1"/>
  <c r="O704" i="118" s="1"/>
  <c r="P704" i="118" s="1"/>
  <c r="Q704" i="118" s="1"/>
  <c r="R704" i="118" s="1"/>
  <c r="I698" i="118"/>
  <c r="J698" i="118" s="1"/>
  <c r="K698" i="118" s="1"/>
  <c r="L698" i="118" s="1"/>
  <c r="M698" i="118" s="1"/>
  <c r="N698" i="118" s="1"/>
  <c r="O698" i="118" s="1"/>
  <c r="P698" i="118" s="1"/>
  <c r="Q698" i="118" s="1"/>
  <c r="R698" i="118" s="1"/>
  <c r="I697" i="118"/>
  <c r="J697" i="118" s="1"/>
  <c r="K697" i="118" s="1"/>
  <c r="L697" i="118" s="1"/>
  <c r="M697" i="118" s="1"/>
  <c r="N697" i="118" s="1"/>
  <c r="O697" i="118" s="1"/>
  <c r="P697" i="118" s="1"/>
  <c r="Q697" i="118" s="1"/>
  <c r="R697" i="118" s="1"/>
  <c r="I696" i="118"/>
  <c r="J696" i="118" s="1"/>
  <c r="K696" i="118" s="1"/>
  <c r="L696" i="118" s="1"/>
  <c r="M696" i="118" s="1"/>
  <c r="N696" i="118" s="1"/>
  <c r="O696" i="118" s="1"/>
  <c r="P696" i="118" s="1"/>
  <c r="Q696" i="118" s="1"/>
  <c r="R696" i="118" s="1"/>
  <c r="I694" i="118"/>
  <c r="J694" i="118" s="1"/>
  <c r="K694" i="118" s="1"/>
  <c r="L694" i="118" s="1"/>
  <c r="M694" i="118" s="1"/>
  <c r="N694" i="118" s="1"/>
  <c r="O694" i="118" s="1"/>
  <c r="P694" i="118" s="1"/>
  <c r="Q694" i="118" s="1"/>
  <c r="R694" i="118" s="1"/>
  <c r="I693" i="118"/>
  <c r="J693" i="118" s="1"/>
  <c r="K693" i="118" s="1"/>
  <c r="L693" i="118" s="1"/>
  <c r="M693" i="118" s="1"/>
  <c r="N693" i="118" s="1"/>
  <c r="O693" i="118" s="1"/>
  <c r="P693" i="118" s="1"/>
  <c r="Q693" i="118" s="1"/>
  <c r="R693" i="118" s="1"/>
  <c r="I692" i="118"/>
  <c r="J692" i="118" s="1"/>
  <c r="K692" i="118" s="1"/>
  <c r="L692" i="118" s="1"/>
  <c r="M692" i="118" s="1"/>
  <c r="N692" i="118" s="1"/>
  <c r="O692" i="118" s="1"/>
  <c r="P692" i="118" s="1"/>
  <c r="Q692" i="118" s="1"/>
  <c r="R692" i="118" s="1"/>
  <c r="C692" i="118"/>
  <c r="C693" i="118" s="1"/>
  <c r="C694" i="118" s="1"/>
  <c r="C695" i="118" s="1"/>
  <c r="C696" i="118" s="1"/>
  <c r="C697" i="118" s="1"/>
  <c r="C698" i="118" s="1"/>
  <c r="C699" i="118" s="1"/>
  <c r="C700" i="118" s="1"/>
  <c r="C701" i="118" s="1"/>
  <c r="C702" i="118" s="1"/>
  <c r="C703" i="118" s="1"/>
  <c r="C704" i="118" s="1"/>
  <c r="C705" i="118" s="1"/>
  <c r="C706" i="118" s="1"/>
  <c r="C707" i="118" s="1"/>
  <c r="C708" i="118" s="1"/>
  <c r="C709" i="118" s="1"/>
  <c r="C710" i="118" s="1"/>
  <c r="C711" i="118" s="1"/>
  <c r="C712" i="118" s="1"/>
  <c r="C713" i="118" s="1"/>
  <c r="C714" i="118" s="1"/>
  <c r="C715" i="118" s="1"/>
  <c r="C716" i="118" s="1"/>
  <c r="C717" i="118" s="1"/>
  <c r="C718" i="118" s="1"/>
  <c r="C719" i="118" s="1"/>
  <c r="C720" i="118" s="1"/>
  <c r="C721" i="118" s="1"/>
  <c r="I690" i="118"/>
  <c r="J690" i="118" s="1"/>
  <c r="K690" i="118" s="1"/>
  <c r="L690" i="118" s="1"/>
  <c r="M690" i="118" s="1"/>
  <c r="N690" i="118" s="1"/>
  <c r="O690" i="118" s="1"/>
  <c r="P690" i="118" s="1"/>
  <c r="Q690" i="118" s="1"/>
  <c r="R690" i="118" s="1"/>
  <c r="I689" i="118"/>
  <c r="J689" i="118" s="1"/>
  <c r="K689" i="118" s="1"/>
  <c r="L689" i="118" s="1"/>
  <c r="M689" i="118" s="1"/>
  <c r="N689" i="118" s="1"/>
  <c r="O689" i="118" s="1"/>
  <c r="P689" i="118" s="1"/>
  <c r="Q689" i="118" s="1"/>
  <c r="R689" i="118" s="1"/>
  <c r="I687" i="118"/>
  <c r="J687" i="118" s="1"/>
  <c r="K687" i="118" s="1"/>
  <c r="L687" i="118" s="1"/>
  <c r="M687" i="118" s="1"/>
  <c r="N687" i="118" s="1"/>
  <c r="O687" i="118" s="1"/>
  <c r="P687" i="118" s="1"/>
  <c r="Q687" i="118" s="1"/>
  <c r="R687" i="118" s="1"/>
  <c r="I674" i="118"/>
  <c r="J674" i="118" s="1"/>
  <c r="K674" i="118" s="1"/>
  <c r="L674" i="118" s="1"/>
  <c r="M674" i="118" s="1"/>
  <c r="N674" i="118" s="1"/>
  <c r="O674" i="118" s="1"/>
  <c r="P674" i="118" s="1"/>
  <c r="Q674" i="118" s="1"/>
  <c r="R674" i="118" s="1"/>
  <c r="I673" i="118"/>
  <c r="J673" i="118" s="1"/>
  <c r="K673" i="118" s="1"/>
  <c r="L673" i="118" s="1"/>
  <c r="M673" i="118" s="1"/>
  <c r="N673" i="118" s="1"/>
  <c r="O673" i="118" s="1"/>
  <c r="P673" i="118" s="1"/>
  <c r="Q673" i="118" s="1"/>
  <c r="R673" i="118" s="1"/>
  <c r="I667" i="118"/>
  <c r="J667" i="118" s="1"/>
  <c r="K667" i="118" s="1"/>
  <c r="L667" i="118" s="1"/>
  <c r="M667" i="118" s="1"/>
  <c r="N667" i="118" s="1"/>
  <c r="O667" i="118" s="1"/>
  <c r="P667" i="118" s="1"/>
  <c r="Q667" i="118" s="1"/>
  <c r="R667" i="118" s="1"/>
  <c r="I666" i="118"/>
  <c r="J666" i="118" s="1"/>
  <c r="K666" i="118" s="1"/>
  <c r="L666" i="118" s="1"/>
  <c r="M666" i="118" s="1"/>
  <c r="N666" i="118" s="1"/>
  <c r="O666" i="118" s="1"/>
  <c r="P666" i="118" s="1"/>
  <c r="Q666" i="118" s="1"/>
  <c r="R666" i="118" s="1"/>
  <c r="I665" i="118"/>
  <c r="J665" i="118" s="1"/>
  <c r="K665" i="118" s="1"/>
  <c r="L665" i="118" s="1"/>
  <c r="M665" i="118" s="1"/>
  <c r="N665" i="118" s="1"/>
  <c r="O665" i="118" s="1"/>
  <c r="P665" i="118" s="1"/>
  <c r="Q665" i="118" s="1"/>
  <c r="R665" i="118" s="1"/>
  <c r="I663" i="118"/>
  <c r="J663" i="118" s="1"/>
  <c r="K663" i="118" s="1"/>
  <c r="L663" i="118" s="1"/>
  <c r="M663" i="118" s="1"/>
  <c r="N663" i="118" s="1"/>
  <c r="O663" i="118" s="1"/>
  <c r="P663" i="118" s="1"/>
  <c r="Q663" i="118" s="1"/>
  <c r="R663" i="118" s="1"/>
  <c r="I662" i="118"/>
  <c r="J662" i="118" s="1"/>
  <c r="K662" i="118" s="1"/>
  <c r="L662" i="118" s="1"/>
  <c r="M662" i="118" s="1"/>
  <c r="N662" i="118" s="1"/>
  <c r="O662" i="118" s="1"/>
  <c r="P662" i="118" s="1"/>
  <c r="Q662" i="118" s="1"/>
  <c r="R662" i="118" s="1"/>
  <c r="I661" i="118"/>
  <c r="J661" i="118" s="1"/>
  <c r="K661" i="118" s="1"/>
  <c r="L661" i="118" s="1"/>
  <c r="M661" i="118" s="1"/>
  <c r="N661" i="118" s="1"/>
  <c r="O661" i="118" s="1"/>
  <c r="P661" i="118" s="1"/>
  <c r="Q661" i="118" s="1"/>
  <c r="R661" i="118" s="1"/>
  <c r="C661" i="118"/>
  <c r="C662" i="118" s="1"/>
  <c r="C663" i="118" s="1"/>
  <c r="C664" i="118" s="1"/>
  <c r="C665" i="118" s="1"/>
  <c r="C666" i="118" s="1"/>
  <c r="C667" i="118" s="1"/>
  <c r="C668" i="118" s="1"/>
  <c r="C669" i="118" s="1"/>
  <c r="C670" i="118" s="1"/>
  <c r="C671" i="118" s="1"/>
  <c r="C672" i="118" s="1"/>
  <c r="C673" i="118" s="1"/>
  <c r="C674" i="118" s="1"/>
  <c r="C675" i="118" s="1"/>
  <c r="C676" i="118" s="1"/>
  <c r="C677" i="118" s="1"/>
  <c r="C678" i="118" s="1"/>
  <c r="C679" i="118" s="1"/>
  <c r="C680" i="118" s="1"/>
  <c r="C681" i="118" s="1"/>
  <c r="C682" i="118" s="1"/>
  <c r="C683" i="118" s="1"/>
  <c r="C684" i="118" s="1"/>
  <c r="C685" i="118" s="1"/>
  <c r="C686" i="118" s="1"/>
  <c r="C687" i="118" s="1"/>
  <c r="C688" i="118" s="1"/>
  <c r="C689" i="118" s="1"/>
  <c r="C690" i="118" s="1"/>
  <c r="I659" i="118"/>
  <c r="J659" i="118" s="1"/>
  <c r="K659" i="118" s="1"/>
  <c r="L659" i="118" s="1"/>
  <c r="M659" i="118" s="1"/>
  <c r="N659" i="118" s="1"/>
  <c r="O659" i="118" s="1"/>
  <c r="P659" i="118" s="1"/>
  <c r="Q659" i="118" s="1"/>
  <c r="R659" i="118" s="1"/>
  <c r="C656" i="118"/>
  <c r="I653" i="118"/>
  <c r="J653" i="118" s="1"/>
  <c r="K653" i="118" s="1"/>
  <c r="L653" i="118" s="1"/>
  <c r="M653" i="118" s="1"/>
  <c r="N653" i="118" s="1"/>
  <c r="O653" i="118" s="1"/>
  <c r="P653" i="118" s="1"/>
  <c r="Q653" i="118" s="1"/>
  <c r="R653" i="118" s="1"/>
  <c r="I651" i="118"/>
  <c r="J651" i="118" s="1"/>
  <c r="K651" i="118" s="1"/>
  <c r="L651" i="118" s="1"/>
  <c r="M651" i="118" s="1"/>
  <c r="N651" i="118" s="1"/>
  <c r="O651" i="118" s="1"/>
  <c r="P651" i="118" s="1"/>
  <c r="Q651" i="118" s="1"/>
  <c r="R651" i="118" s="1"/>
  <c r="I643" i="118"/>
  <c r="J643" i="118" s="1"/>
  <c r="K643" i="118" s="1"/>
  <c r="L643" i="118" s="1"/>
  <c r="M643" i="118" s="1"/>
  <c r="N643" i="118" s="1"/>
  <c r="O643" i="118" s="1"/>
  <c r="P643" i="118" s="1"/>
  <c r="Q643" i="118" s="1"/>
  <c r="R643" i="118" s="1"/>
  <c r="I638" i="118"/>
  <c r="J638" i="118" s="1"/>
  <c r="K638" i="118" s="1"/>
  <c r="L638" i="118" s="1"/>
  <c r="M638" i="118" s="1"/>
  <c r="N638" i="118" s="1"/>
  <c r="O638" i="118" s="1"/>
  <c r="P638" i="118" s="1"/>
  <c r="Q638" i="118" s="1"/>
  <c r="R638" i="118" s="1"/>
  <c r="I637" i="118"/>
  <c r="J637" i="118" s="1"/>
  <c r="K637" i="118" s="1"/>
  <c r="L637" i="118" s="1"/>
  <c r="M637" i="118" s="1"/>
  <c r="N637" i="118" s="1"/>
  <c r="O637" i="118" s="1"/>
  <c r="P637" i="118" s="1"/>
  <c r="Q637" i="118" s="1"/>
  <c r="R637" i="118" s="1"/>
  <c r="I631" i="118"/>
  <c r="J631" i="118" s="1"/>
  <c r="K631" i="118" s="1"/>
  <c r="L631" i="118" s="1"/>
  <c r="M631" i="118" s="1"/>
  <c r="N631" i="118" s="1"/>
  <c r="O631" i="118" s="1"/>
  <c r="P631" i="118" s="1"/>
  <c r="Q631" i="118" s="1"/>
  <c r="R631" i="118" s="1"/>
  <c r="I630" i="118"/>
  <c r="J630" i="118" s="1"/>
  <c r="K630" i="118" s="1"/>
  <c r="L630" i="118" s="1"/>
  <c r="M630" i="118" s="1"/>
  <c r="N630" i="118" s="1"/>
  <c r="O630" i="118" s="1"/>
  <c r="P630" i="118" s="1"/>
  <c r="Q630" i="118" s="1"/>
  <c r="R630" i="118" s="1"/>
  <c r="I629" i="118"/>
  <c r="J629" i="118" s="1"/>
  <c r="K629" i="118" s="1"/>
  <c r="L629" i="118" s="1"/>
  <c r="M629" i="118" s="1"/>
  <c r="N629" i="118" s="1"/>
  <c r="O629" i="118" s="1"/>
  <c r="P629" i="118" s="1"/>
  <c r="Q629" i="118" s="1"/>
  <c r="R629" i="118" s="1"/>
  <c r="I627" i="118"/>
  <c r="J627" i="118" s="1"/>
  <c r="K627" i="118" s="1"/>
  <c r="L627" i="118" s="1"/>
  <c r="M627" i="118" s="1"/>
  <c r="N627" i="118" s="1"/>
  <c r="O627" i="118" s="1"/>
  <c r="P627" i="118" s="1"/>
  <c r="Q627" i="118" s="1"/>
  <c r="R627" i="118" s="1"/>
  <c r="I626" i="118"/>
  <c r="J626" i="118" s="1"/>
  <c r="K626" i="118" s="1"/>
  <c r="L626" i="118" s="1"/>
  <c r="M626" i="118" s="1"/>
  <c r="N626" i="118" s="1"/>
  <c r="O626" i="118" s="1"/>
  <c r="P626" i="118" s="1"/>
  <c r="Q626" i="118" s="1"/>
  <c r="R626" i="118" s="1"/>
  <c r="I625" i="118"/>
  <c r="J625" i="118" s="1"/>
  <c r="K625" i="118" s="1"/>
  <c r="L625" i="118" s="1"/>
  <c r="M625" i="118" s="1"/>
  <c r="N625" i="118" s="1"/>
  <c r="O625" i="118" s="1"/>
  <c r="P625" i="118" s="1"/>
  <c r="Q625" i="118" s="1"/>
  <c r="R625" i="118" s="1"/>
  <c r="C625" i="118"/>
  <c r="C626" i="118" s="1"/>
  <c r="C627" i="118" s="1"/>
  <c r="C628" i="118" s="1"/>
  <c r="C629" i="118" s="1"/>
  <c r="C630" i="118" s="1"/>
  <c r="C631" i="118" s="1"/>
  <c r="C632" i="118" s="1"/>
  <c r="C633" i="118" s="1"/>
  <c r="C634" i="118" s="1"/>
  <c r="C635" i="118" s="1"/>
  <c r="C636" i="118" s="1"/>
  <c r="C637" i="118" s="1"/>
  <c r="C638" i="118" s="1"/>
  <c r="C639" i="118" s="1"/>
  <c r="C640" i="118" s="1"/>
  <c r="C641" i="118" s="1"/>
  <c r="C642" i="118" s="1"/>
  <c r="C643" i="118" s="1"/>
  <c r="C644" i="118" s="1"/>
  <c r="C645" i="118" s="1"/>
  <c r="C646" i="118" s="1"/>
  <c r="C647" i="118" s="1"/>
  <c r="C648" i="118" s="1"/>
  <c r="C649" i="118" s="1"/>
  <c r="C650" i="118" s="1"/>
  <c r="C651" i="118" s="1"/>
  <c r="C652" i="118" s="1"/>
  <c r="C653" i="118" s="1"/>
  <c r="I623" i="118"/>
  <c r="J623" i="118" s="1"/>
  <c r="K623" i="118" s="1"/>
  <c r="L623" i="118" s="1"/>
  <c r="M623" i="118" s="1"/>
  <c r="N623" i="118" s="1"/>
  <c r="O623" i="118" s="1"/>
  <c r="P623" i="118" s="1"/>
  <c r="Q623" i="118" s="1"/>
  <c r="R623" i="118" s="1"/>
  <c r="I621" i="118"/>
  <c r="J621" i="118" s="1"/>
  <c r="K621" i="118" s="1"/>
  <c r="L621" i="118" s="1"/>
  <c r="M621" i="118" s="1"/>
  <c r="N621" i="118" s="1"/>
  <c r="O621" i="118" s="1"/>
  <c r="P621" i="118" s="1"/>
  <c r="Q621" i="118" s="1"/>
  <c r="R621" i="118" s="1"/>
  <c r="I608" i="118"/>
  <c r="J608" i="118" s="1"/>
  <c r="K608" i="118" s="1"/>
  <c r="L608" i="118" s="1"/>
  <c r="M608" i="118" s="1"/>
  <c r="N608" i="118" s="1"/>
  <c r="O608" i="118" s="1"/>
  <c r="P608" i="118" s="1"/>
  <c r="Q608" i="118" s="1"/>
  <c r="R608" i="118" s="1"/>
  <c r="I607" i="118"/>
  <c r="J607" i="118" s="1"/>
  <c r="K607" i="118" s="1"/>
  <c r="L607" i="118" s="1"/>
  <c r="M607" i="118" s="1"/>
  <c r="N607" i="118" s="1"/>
  <c r="O607" i="118" s="1"/>
  <c r="P607" i="118" s="1"/>
  <c r="Q607" i="118" s="1"/>
  <c r="R607" i="118" s="1"/>
  <c r="I601" i="118"/>
  <c r="J601" i="118" s="1"/>
  <c r="K601" i="118" s="1"/>
  <c r="L601" i="118" s="1"/>
  <c r="M601" i="118" s="1"/>
  <c r="N601" i="118" s="1"/>
  <c r="O601" i="118" s="1"/>
  <c r="P601" i="118" s="1"/>
  <c r="Q601" i="118" s="1"/>
  <c r="R601" i="118" s="1"/>
  <c r="I600" i="118"/>
  <c r="J600" i="118" s="1"/>
  <c r="K600" i="118" s="1"/>
  <c r="L600" i="118" s="1"/>
  <c r="M600" i="118" s="1"/>
  <c r="N600" i="118" s="1"/>
  <c r="O600" i="118" s="1"/>
  <c r="P600" i="118" s="1"/>
  <c r="Q600" i="118" s="1"/>
  <c r="R600" i="118" s="1"/>
  <c r="I599" i="118"/>
  <c r="J599" i="118" s="1"/>
  <c r="K599" i="118" s="1"/>
  <c r="L599" i="118" s="1"/>
  <c r="M599" i="118" s="1"/>
  <c r="N599" i="118" s="1"/>
  <c r="O599" i="118" s="1"/>
  <c r="P599" i="118" s="1"/>
  <c r="Q599" i="118" s="1"/>
  <c r="R599" i="118" s="1"/>
  <c r="I597" i="118"/>
  <c r="J597" i="118" s="1"/>
  <c r="K597" i="118" s="1"/>
  <c r="L597" i="118" s="1"/>
  <c r="M597" i="118" s="1"/>
  <c r="N597" i="118" s="1"/>
  <c r="O597" i="118" s="1"/>
  <c r="P597" i="118" s="1"/>
  <c r="Q597" i="118" s="1"/>
  <c r="R597" i="118" s="1"/>
  <c r="I596" i="118"/>
  <c r="J596" i="118" s="1"/>
  <c r="K596" i="118" s="1"/>
  <c r="L596" i="118" s="1"/>
  <c r="M596" i="118" s="1"/>
  <c r="N596" i="118" s="1"/>
  <c r="O596" i="118" s="1"/>
  <c r="P596" i="118" s="1"/>
  <c r="Q596" i="118" s="1"/>
  <c r="R596" i="118" s="1"/>
  <c r="I595" i="118"/>
  <c r="J595" i="118" s="1"/>
  <c r="K595" i="118" s="1"/>
  <c r="L595" i="118" s="1"/>
  <c r="M595" i="118" s="1"/>
  <c r="N595" i="118" s="1"/>
  <c r="O595" i="118" s="1"/>
  <c r="P595" i="118" s="1"/>
  <c r="Q595" i="118" s="1"/>
  <c r="R595" i="118" s="1"/>
  <c r="C595" i="118"/>
  <c r="C596" i="118" s="1"/>
  <c r="C597" i="118" s="1"/>
  <c r="C598" i="118" s="1"/>
  <c r="C599" i="118" s="1"/>
  <c r="C600" i="118" s="1"/>
  <c r="C601" i="118" s="1"/>
  <c r="C602" i="118" s="1"/>
  <c r="C603" i="118" s="1"/>
  <c r="C604" i="118" s="1"/>
  <c r="C605" i="118" s="1"/>
  <c r="C606" i="118" s="1"/>
  <c r="C607" i="118" s="1"/>
  <c r="C608" i="118" s="1"/>
  <c r="C609" i="118" s="1"/>
  <c r="C610" i="118" s="1"/>
  <c r="C611" i="118" s="1"/>
  <c r="C612" i="118" s="1"/>
  <c r="C613" i="118" s="1"/>
  <c r="C614" i="118" s="1"/>
  <c r="C615" i="118" s="1"/>
  <c r="C616" i="118" s="1"/>
  <c r="C617" i="118" s="1"/>
  <c r="C618" i="118" s="1"/>
  <c r="C619" i="118" s="1"/>
  <c r="C620" i="118" s="1"/>
  <c r="C621" i="118" s="1"/>
  <c r="C622" i="118" s="1"/>
  <c r="C623" i="118" s="1"/>
  <c r="I593" i="118"/>
  <c r="J593" i="118" s="1"/>
  <c r="K593" i="118" s="1"/>
  <c r="L593" i="118" s="1"/>
  <c r="M593" i="118" s="1"/>
  <c r="N593" i="118" s="1"/>
  <c r="O593" i="118" s="1"/>
  <c r="P593" i="118" s="1"/>
  <c r="Q593" i="118" s="1"/>
  <c r="R593" i="118" s="1"/>
  <c r="I591" i="118"/>
  <c r="J591" i="118" s="1"/>
  <c r="K591" i="118" s="1"/>
  <c r="L591" i="118" s="1"/>
  <c r="M591" i="118" s="1"/>
  <c r="N591" i="118" s="1"/>
  <c r="O591" i="118" s="1"/>
  <c r="P591" i="118" s="1"/>
  <c r="Q591" i="118" s="1"/>
  <c r="R591" i="118" s="1"/>
  <c r="I583" i="118"/>
  <c r="J583" i="118" s="1"/>
  <c r="K583" i="118" s="1"/>
  <c r="L583" i="118" s="1"/>
  <c r="M583" i="118" s="1"/>
  <c r="N583" i="118" s="1"/>
  <c r="O583" i="118" s="1"/>
  <c r="P583" i="118" s="1"/>
  <c r="Q583" i="118" s="1"/>
  <c r="R583" i="118" s="1"/>
  <c r="I578" i="118"/>
  <c r="J578" i="118" s="1"/>
  <c r="K578" i="118" s="1"/>
  <c r="L578" i="118" s="1"/>
  <c r="M578" i="118" s="1"/>
  <c r="N578" i="118" s="1"/>
  <c r="O578" i="118" s="1"/>
  <c r="P578" i="118" s="1"/>
  <c r="Q578" i="118" s="1"/>
  <c r="R578" i="118" s="1"/>
  <c r="I577" i="118"/>
  <c r="J577" i="118" s="1"/>
  <c r="K577" i="118" s="1"/>
  <c r="L577" i="118" s="1"/>
  <c r="M577" i="118" s="1"/>
  <c r="N577" i="118" s="1"/>
  <c r="O577" i="118" s="1"/>
  <c r="P577" i="118" s="1"/>
  <c r="Q577" i="118" s="1"/>
  <c r="R577" i="118" s="1"/>
  <c r="I571" i="118"/>
  <c r="J571" i="118" s="1"/>
  <c r="K571" i="118" s="1"/>
  <c r="L571" i="118" s="1"/>
  <c r="M571" i="118" s="1"/>
  <c r="N571" i="118" s="1"/>
  <c r="O571" i="118" s="1"/>
  <c r="P571" i="118" s="1"/>
  <c r="Q571" i="118" s="1"/>
  <c r="R571" i="118" s="1"/>
  <c r="I570" i="118"/>
  <c r="J570" i="118" s="1"/>
  <c r="K570" i="118" s="1"/>
  <c r="L570" i="118" s="1"/>
  <c r="M570" i="118" s="1"/>
  <c r="N570" i="118" s="1"/>
  <c r="O570" i="118" s="1"/>
  <c r="P570" i="118" s="1"/>
  <c r="Q570" i="118" s="1"/>
  <c r="R570" i="118" s="1"/>
  <c r="I569" i="118"/>
  <c r="J569" i="118" s="1"/>
  <c r="K569" i="118" s="1"/>
  <c r="L569" i="118" s="1"/>
  <c r="M569" i="118" s="1"/>
  <c r="N569" i="118" s="1"/>
  <c r="O569" i="118" s="1"/>
  <c r="P569" i="118" s="1"/>
  <c r="Q569" i="118" s="1"/>
  <c r="R569" i="118" s="1"/>
  <c r="I567" i="118"/>
  <c r="J567" i="118" s="1"/>
  <c r="K567" i="118" s="1"/>
  <c r="L567" i="118" s="1"/>
  <c r="M567" i="118" s="1"/>
  <c r="N567" i="118" s="1"/>
  <c r="O567" i="118" s="1"/>
  <c r="P567" i="118" s="1"/>
  <c r="Q567" i="118" s="1"/>
  <c r="R567" i="118" s="1"/>
  <c r="I566" i="118"/>
  <c r="J566" i="118" s="1"/>
  <c r="K566" i="118" s="1"/>
  <c r="L566" i="118" s="1"/>
  <c r="M566" i="118" s="1"/>
  <c r="N566" i="118" s="1"/>
  <c r="O566" i="118" s="1"/>
  <c r="P566" i="118" s="1"/>
  <c r="Q566" i="118" s="1"/>
  <c r="R566" i="118" s="1"/>
  <c r="I565" i="118"/>
  <c r="J565" i="118" s="1"/>
  <c r="K565" i="118" s="1"/>
  <c r="L565" i="118" s="1"/>
  <c r="M565" i="118" s="1"/>
  <c r="N565" i="118" s="1"/>
  <c r="O565" i="118" s="1"/>
  <c r="P565" i="118" s="1"/>
  <c r="Q565" i="118" s="1"/>
  <c r="R565" i="118" s="1"/>
  <c r="C565" i="118"/>
  <c r="C566" i="118" s="1"/>
  <c r="C567" i="118" s="1"/>
  <c r="C568" i="118" s="1"/>
  <c r="C569" i="118" s="1"/>
  <c r="C570" i="118" s="1"/>
  <c r="C571" i="118" s="1"/>
  <c r="C572" i="118" s="1"/>
  <c r="C573" i="118" s="1"/>
  <c r="C574" i="118" s="1"/>
  <c r="C575" i="118" s="1"/>
  <c r="C576" i="118" s="1"/>
  <c r="C577" i="118" s="1"/>
  <c r="C578" i="118" s="1"/>
  <c r="C579" i="118" s="1"/>
  <c r="C580" i="118" s="1"/>
  <c r="C581" i="118" s="1"/>
  <c r="C582" i="118" s="1"/>
  <c r="C583" i="118" s="1"/>
  <c r="C584" i="118" s="1"/>
  <c r="C585" i="118" s="1"/>
  <c r="C586" i="118" s="1"/>
  <c r="C587" i="118" s="1"/>
  <c r="C588" i="118" s="1"/>
  <c r="C589" i="118" s="1"/>
  <c r="C590" i="118" s="1"/>
  <c r="C591" i="118" s="1"/>
  <c r="C592" i="118" s="1"/>
  <c r="C593" i="118" s="1"/>
  <c r="I563" i="118"/>
  <c r="J563" i="118" s="1"/>
  <c r="K563" i="118" s="1"/>
  <c r="L563" i="118" s="1"/>
  <c r="M563" i="118" s="1"/>
  <c r="N563" i="118" s="1"/>
  <c r="O563" i="118" s="1"/>
  <c r="P563" i="118" s="1"/>
  <c r="Q563" i="118" s="1"/>
  <c r="R563" i="118" s="1"/>
  <c r="I561" i="118"/>
  <c r="J561" i="118" s="1"/>
  <c r="K561" i="118" s="1"/>
  <c r="L561" i="118" s="1"/>
  <c r="M561" i="118" s="1"/>
  <c r="N561" i="118" s="1"/>
  <c r="O561" i="118" s="1"/>
  <c r="P561" i="118" s="1"/>
  <c r="Q561" i="118" s="1"/>
  <c r="R561" i="118" s="1"/>
  <c r="I548" i="118"/>
  <c r="J548" i="118" s="1"/>
  <c r="K548" i="118" s="1"/>
  <c r="L548" i="118" s="1"/>
  <c r="M548" i="118" s="1"/>
  <c r="N548" i="118" s="1"/>
  <c r="O548" i="118" s="1"/>
  <c r="P548" i="118" s="1"/>
  <c r="Q548" i="118" s="1"/>
  <c r="R548" i="118" s="1"/>
  <c r="I547" i="118"/>
  <c r="J547" i="118" s="1"/>
  <c r="K547" i="118" s="1"/>
  <c r="L547" i="118" s="1"/>
  <c r="M547" i="118" s="1"/>
  <c r="N547" i="118" s="1"/>
  <c r="O547" i="118" s="1"/>
  <c r="P547" i="118" s="1"/>
  <c r="Q547" i="118" s="1"/>
  <c r="R547" i="118" s="1"/>
  <c r="I541" i="118"/>
  <c r="J541" i="118" s="1"/>
  <c r="K541" i="118" s="1"/>
  <c r="L541" i="118" s="1"/>
  <c r="M541" i="118" s="1"/>
  <c r="N541" i="118" s="1"/>
  <c r="O541" i="118" s="1"/>
  <c r="P541" i="118" s="1"/>
  <c r="Q541" i="118" s="1"/>
  <c r="R541" i="118" s="1"/>
  <c r="I540" i="118"/>
  <c r="J540" i="118" s="1"/>
  <c r="K540" i="118" s="1"/>
  <c r="L540" i="118" s="1"/>
  <c r="M540" i="118" s="1"/>
  <c r="N540" i="118" s="1"/>
  <c r="O540" i="118" s="1"/>
  <c r="P540" i="118" s="1"/>
  <c r="Q540" i="118" s="1"/>
  <c r="R540" i="118" s="1"/>
  <c r="I539" i="118"/>
  <c r="J539" i="118" s="1"/>
  <c r="K539" i="118" s="1"/>
  <c r="L539" i="118" s="1"/>
  <c r="M539" i="118" s="1"/>
  <c r="N539" i="118" s="1"/>
  <c r="O539" i="118" s="1"/>
  <c r="P539" i="118" s="1"/>
  <c r="Q539" i="118" s="1"/>
  <c r="R539" i="118" s="1"/>
  <c r="I536" i="118"/>
  <c r="J536" i="118" s="1"/>
  <c r="K536" i="118" s="1"/>
  <c r="L536" i="118" s="1"/>
  <c r="M536" i="118" s="1"/>
  <c r="N536" i="118" s="1"/>
  <c r="O536" i="118" s="1"/>
  <c r="P536" i="118" s="1"/>
  <c r="Q536" i="118" s="1"/>
  <c r="R536" i="118" s="1"/>
  <c r="I535" i="118"/>
  <c r="J535" i="118" s="1"/>
  <c r="K535" i="118" s="1"/>
  <c r="L535" i="118" s="1"/>
  <c r="M535" i="118" s="1"/>
  <c r="N535" i="118" s="1"/>
  <c r="O535" i="118" s="1"/>
  <c r="P535" i="118" s="1"/>
  <c r="Q535" i="118" s="1"/>
  <c r="R535" i="118" s="1"/>
  <c r="C535" i="118"/>
  <c r="C536" i="118" s="1"/>
  <c r="C537" i="118" s="1"/>
  <c r="C538" i="118" s="1"/>
  <c r="C539" i="118" s="1"/>
  <c r="C540" i="118" s="1"/>
  <c r="C541" i="118" s="1"/>
  <c r="C542" i="118" s="1"/>
  <c r="C543" i="118" s="1"/>
  <c r="C544" i="118" s="1"/>
  <c r="C545" i="118" s="1"/>
  <c r="C546" i="118" s="1"/>
  <c r="C547" i="118" s="1"/>
  <c r="C548" i="118" s="1"/>
  <c r="C549" i="118" s="1"/>
  <c r="C550" i="118" s="1"/>
  <c r="C551" i="118" s="1"/>
  <c r="C552" i="118" s="1"/>
  <c r="C553" i="118" s="1"/>
  <c r="C554" i="118" s="1"/>
  <c r="C555" i="118" s="1"/>
  <c r="C556" i="118" s="1"/>
  <c r="C557" i="118" s="1"/>
  <c r="C558" i="118" s="1"/>
  <c r="C559" i="118" s="1"/>
  <c r="C560" i="118" s="1"/>
  <c r="C561" i="118" s="1"/>
  <c r="C562" i="118" s="1"/>
  <c r="C563" i="118" s="1"/>
  <c r="I533" i="118"/>
  <c r="J533" i="118" s="1"/>
  <c r="K533" i="118" s="1"/>
  <c r="L533" i="118" s="1"/>
  <c r="M533" i="118" s="1"/>
  <c r="N533" i="118" s="1"/>
  <c r="O533" i="118" s="1"/>
  <c r="P533" i="118" s="1"/>
  <c r="Q533" i="118" s="1"/>
  <c r="R533" i="118" s="1"/>
  <c r="I531" i="118"/>
  <c r="J531" i="118" s="1"/>
  <c r="K531" i="118" s="1"/>
  <c r="L531" i="118" s="1"/>
  <c r="M531" i="118" s="1"/>
  <c r="N531" i="118" s="1"/>
  <c r="O531" i="118" s="1"/>
  <c r="P531" i="118" s="1"/>
  <c r="Q531" i="118" s="1"/>
  <c r="R531" i="118" s="1"/>
  <c r="I523" i="118"/>
  <c r="J523" i="118" s="1"/>
  <c r="K523" i="118" s="1"/>
  <c r="L523" i="118" s="1"/>
  <c r="M523" i="118" s="1"/>
  <c r="N523" i="118" s="1"/>
  <c r="O523" i="118" s="1"/>
  <c r="P523" i="118" s="1"/>
  <c r="Q523" i="118" s="1"/>
  <c r="R523" i="118" s="1"/>
  <c r="I518" i="118"/>
  <c r="J518" i="118" s="1"/>
  <c r="K518" i="118" s="1"/>
  <c r="L518" i="118" s="1"/>
  <c r="M518" i="118" s="1"/>
  <c r="N518" i="118" s="1"/>
  <c r="O518" i="118" s="1"/>
  <c r="P518" i="118" s="1"/>
  <c r="Q518" i="118" s="1"/>
  <c r="R518" i="118" s="1"/>
  <c r="I517" i="118"/>
  <c r="J517" i="118" s="1"/>
  <c r="K517" i="118" s="1"/>
  <c r="L517" i="118" s="1"/>
  <c r="M517" i="118" s="1"/>
  <c r="N517" i="118" s="1"/>
  <c r="O517" i="118" s="1"/>
  <c r="P517" i="118" s="1"/>
  <c r="Q517" i="118" s="1"/>
  <c r="R517" i="118" s="1"/>
  <c r="I511" i="118"/>
  <c r="J511" i="118" s="1"/>
  <c r="K511" i="118" s="1"/>
  <c r="L511" i="118" s="1"/>
  <c r="M511" i="118" s="1"/>
  <c r="N511" i="118" s="1"/>
  <c r="O511" i="118" s="1"/>
  <c r="P511" i="118" s="1"/>
  <c r="Q511" i="118" s="1"/>
  <c r="R511" i="118" s="1"/>
  <c r="I510" i="118"/>
  <c r="J510" i="118" s="1"/>
  <c r="K510" i="118" s="1"/>
  <c r="L510" i="118" s="1"/>
  <c r="M510" i="118" s="1"/>
  <c r="N510" i="118" s="1"/>
  <c r="O510" i="118" s="1"/>
  <c r="P510" i="118" s="1"/>
  <c r="Q510" i="118" s="1"/>
  <c r="R510" i="118" s="1"/>
  <c r="I509" i="118"/>
  <c r="J509" i="118" s="1"/>
  <c r="K509" i="118" s="1"/>
  <c r="L509" i="118" s="1"/>
  <c r="M509" i="118" s="1"/>
  <c r="N509" i="118" s="1"/>
  <c r="O509" i="118" s="1"/>
  <c r="P509" i="118" s="1"/>
  <c r="Q509" i="118" s="1"/>
  <c r="R509" i="118" s="1"/>
  <c r="I507" i="118"/>
  <c r="J507" i="118" s="1"/>
  <c r="K507" i="118" s="1"/>
  <c r="L507" i="118" s="1"/>
  <c r="M507" i="118" s="1"/>
  <c r="N507" i="118" s="1"/>
  <c r="O507" i="118" s="1"/>
  <c r="P507" i="118" s="1"/>
  <c r="Q507" i="118" s="1"/>
  <c r="R507" i="118" s="1"/>
  <c r="I506" i="118"/>
  <c r="J506" i="118" s="1"/>
  <c r="K506" i="118" s="1"/>
  <c r="L506" i="118" s="1"/>
  <c r="M506" i="118" s="1"/>
  <c r="N506" i="118" s="1"/>
  <c r="O506" i="118" s="1"/>
  <c r="P506" i="118" s="1"/>
  <c r="Q506" i="118" s="1"/>
  <c r="R506" i="118" s="1"/>
  <c r="I505" i="118"/>
  <c r="J505" i="118" s="1"/>
  <c r="K505" i="118" s="1"/>
  <c r="L505" i="118" s="1"/>
  <c r="M505" i="118" s="1"/>
  <c r="N505" i="118" s="1"/>
  <c r="O505" i="118" s="1"/>
  <c r="P505" i="118" s="1"/>
  <c r="Q505" i="118" s="1"/>
  <c r="R505" i="118" s="1"/>
  <c r="C505" i="118"/>
  <c r="C506" i="118" s="1"/>
  <c r="C507" i="118" s="1"/>
  <c r="C508" i="118" s="1"/>
  <c r="C509" i="118" s="1"/>
  <c r="C510" i="118" s="1"/>
  <c r="C511" i="118" s="1"/>
  <c r="C512" i="118" s="1"/>
  <c r="C513" i="118" s="1"/>
  <c r="C514" i="118" s="1"/>
  <c r="C515" i="118" s="1"/>
  <c r="C516" i="118" s="1"/>
  <c r="C517" i="118" s="1"/>
  <c r="C518" i="118" s="1"/>
  <c r="C519" i="118" s="1"/>
  <c r="C520" i="118" s="1"/>
  <c r="C521" i="118" s="1"/>
  <c r="C522" i="118" s="1"/>
  <c r="C523" i="118" s="1"/>
  <c r="C524" i="118" s="1"/>
  <c r="C525" i="118" s="1"/>
  <c r="C526" i="118" s="1"/>
  <c r="C527" i="118" s="1"/>
  <c r="C528" i="118" s="1"/>
  <c r="C529" i="118" s="1"/>
  <c r="C530" i="118" s="1"/>
  <c r="C531" i="118" s="1"/>
  <c r="C532" i="118" s="1"/>
  <c r="C533" i="118" s="1"/>
  <c r="I503" i="118"/>
  <c r="J503" i="118" s="1"/>
  <c r="K503" i="118" s="1"/>
  <c r="L503" i="118" s="1"/>
  <c r="M503" i="118" s="1"/>
  <c r="N503" i="118" s="1"/>
  <c r="O503" i="118" s="1"/>
  <c r="P503" i="118" s="1"/>
  <c r="Q503" i="118" s="1"/>
  <c r="R503" i="118" s="1"/>
  <c r="I501" i="118"/>
  <c r="J501" i="118" s="1"/>
  <c r="K501" i="118" s="1"/>
  <c r="L501" i="118" s="1"/>
  <c r="M501" i="118" s="1"/>
  <c r="N501" i="118" s="1"/>
  <c r="O501" i="118" s="1"/>
  <c r="P501" i="118" s="1"/>
  <c r="Q501" i="118" s="1"/>
  <c r="R501" i="118" s="1"/>
  <c r="I488" i="118"/>
  <c r="J488" i="118" s="1"/>
  <c r="K488" i="118" s="1"/>
  <c r="L488" i="118" s="1"/>
  <c r="M488" i="118" s="1"/>
  <c r="N488" i="118" s="1"/>
  <c r="O488" i="118" s="1"/>
  <c r="P488" i="118" s="1"/>
  <c r="Q488" i="118" s="1"/>
  <c r="R488" i="118" s="1"/>
  <c r="I487" i="118"/>
  <c r="J487" i="118" s="1"/>
  <c r="K487" i="118" s="1"/>
  <c r="L487" i="118" s="1"/>
  <c r="M487" i="118" s="1"/>
  <c r="N487" i="118" s="1"/>
  <c r="O487" i="118" s="1"/>
  <c r="P487" i="118" s="1"/>
  <c r="Q487" i="118" s="1"/>
  <c r="R487" i="118" s="1"/>
  <c r="I481" i="118"/>
  <c r="J481" i="118" s="1"/>
  <c r="K481" i="118" s="1"/>
  <c r="L481" i="118" s="1"/>
  <c r="M481" i="118" s="1"/>
  <c r="N481" i="118" s="1"/>
  <c r="O481" i="118" s="1"/>
  <c r="P481" i="118" s="1"/>
  <c r="Q481" i="118" s="1"/>
  <c r="R481" i="118" s="1"/>
  <c r="I480" i="118"/>
  <c r="J480" i="118" s="1"/>
  <c r="K480" i="118" s="1"/>
  <c r="L480" i="118" s="1"/>
  <c r="M480" i="118" s="1"/>
  <c r="N480" i="118" s="1"/>
  <c r="O480" i="118" s="1"/>
  <c r="P480" i="118" s="1"/>
  <c r="Q480" i="118" s="1"/>
  <c r="R480" i="118" s="1"/>
  <c r="I479" i="118"/>
  <c r="J479" i="118" s="1"/>
  <c r="K479" i="118" s="1"/>
  <c r="L479" i="118" s="1"/>
  <c r="M479" i="118" s="1"/>
  <c r="N479" i="118" s="1"/>
  <c r="O479" i="118" s="1"/>
  <c r="P479" i="118" s="1"/>
  <c r="Q479" i="118" s="1"/>
  <c r="R479" i="118" s="1"/>
  <c r="I477" i="118"/>
  <c r="J477" i="118" s="1"/>
  <c r="K477" i="118" s="1"/>
  <c r="L477" i="118" s="1"/>
  <c r="M477" i="118" s="1"/>
  <c r="N477" i="118" s="1"/>
  <c r="O477" i="118" s="1"/>
  <c r="P477" i="118" s="1"/>
  <c r="Q477" i="118" s="1"/>
  <c r="R477" i="118" s="1"/>
  <c r="I476" i="118"/>
  <c r="J476" i="118" s="1"/>
  <c r="K476" i="118" s="1"/>
  <c r="L476" i="118" s="1"/>
  <c r="M476" i="118" s="1"/>
  <c r="N476" i="118" s="1"/>
  <c r="O476" i="118" s="1"/>
  <c r="P476" i="118" s="1"/>
  <c r="Q476" i="118" s="1"/>
  <c r="R476" i="118" s="1"/>
  <c r="I475" i="118"/>
  <c r="J475" i="118" s="1"/>
  <c r="K475" i="118" s="1"/>
  <c r="L475" i="118" s="1"/>
  <c r="M475" i="118" s="1"/>
  <c r="N475" i="118" s="1"/>
  <c r="O475" i="118" s="1"/>
  <c r="P475" i="118" s="1"/>
  <c r="Q475" i="118" s="1"/>
  <c r="R475" i="118" s="1"/>
  <c r="C475" i="118"/>
  <c r="C476" i="118" s="1"/>
  <c r="C477" i="118" s="1"/>
  <c r="C478" i="118" s="1"/>
  <c r="C479" i="118" s="1"/>
  <c r="C480" i="118" s="1"/>
  <c r="C481" i="118" s="1"/>
  <c r="C482" i="118" s="1"/>
  <c r="C483" i="118" s="1"/>
  <c r="C484" i="118" s="1"/>
  <c r="C485" i="118" s="1"/>
  <c r="C486" i="118" s="1"/>
  <c r="C487" i="118" s="1"/>
  <c r="C488" i="118" s="1"/>
  <c r="C489" i="118" s="1"/>
  <c r="C490" i="118" s="1"/>
  <c r="C491" i="118" s="1"/>
  <c r="C492" i="118" s="1"/>
  <c r="C493" i="118" s="1"/>
  <c r="C494" i="118" s="1"/>
  <c r="C495" i="118" s="1"/>
  <c r="C496" i="118" s="1"/>
  <c r="C497" i="118" s="1"/>
  <c r="C498" i="118" s="1"/>
  <c r="C499" i="118" s="1"/>
  <c r="C500" i="118" s="1"/>
  <c r="C501" i="118" s="1"/>
  <c r="C502" i="118" s="1"/>
  <c r="C503" i="118" s="1"/>
  <c r="I473" i="118"/>
  <c r="J473" i="118" s="1"/>
  <c r="K473" i="118" s="1"/>
  <c r="L473" i="118" s="1"/>
  <c r="M473" i="118" s="1"/>
  <c r="N473" i="118" s="1"/>
  <c r="O473" i="118" s="1"/>
  <c r="P473" i="118" s="1"/>
  <c r="Q473" i="118" s="1"/>
  <c r="R473" i="118" s="1"/>
  <c r="I471" i="118"/>
  <c r="J471" i="118" s="1"/>
  <c r="K471" i="118" s="1"/>
  <c r="L471" i="118" s="1"/>
  <c r="M471" i="118" s="1"/>
  <c r="N471" i="118" s="1"/>
  <c r="O471" i="118" s="1"/>
  <c r="P471" i="118" s="1"/>
  <c r="Q471" i="118" s="1"/>
  <c r="R471" i="118" s="1"/>
  <c r="I463" i="118"/>
  <c r="J463" i="118" s="1"/>
  <c r="K463" i="118" s="1"/>
  <c r="L463" i="118" s="1"/>
  <c r="M463" i="118" s="1"/>
  <c r="N463" i="118" s="1"/>
  <c r="O463" i="118" s="1"/>
  <c r="P463" i="118" s="1"/>
  <c r="Q463" i="118" s="1"/>
  <c r="R463" i="118" s="1"/>
  <c r="I458" i="118"/>
  <c r="J458" i="118" s="1"/>
  <c r="K458" i="118" s="1"/>
  <c r="L458" i="118" s="1"/>
  <c r="M458" i="118" s="1"/>
  <c r="N458" i="118" s="1"/>
  <c r="O458" i="118" s="1"/>
  <c r="P458" i="118" s="1"/>
  <c r="Q458" i="118" s="1"/>
  <c r="R458" i="118" s="1"/>
  <c r="I457" i="118"/>
  <c r="J457" i="118" s="1"/>
  <c r="K457" i="118" s="1"/>
  <c r="L457" i="118" s="1"/>
  <c r="M457" i="118" s="1"/>
  <c r="N457" i="118" s="1"/>
  <c r="O457" i="118" s="1"/>
  <c r="P457" i="118" s="1"/>
  <c r="Q457" i="118" s="1"/>
  <c r="R457" i="118" s="1"/>
  <c r="I451" i="118"/>
  <c r="J451" i="118" s="1"/>
  <c r="K451" i="118" s="1"/>
  <c r="L451" i="118" s="1"/>
  <c r="M451" i="118" s="1"/>
  <c r="N451" i="118" s="1"/>
  <c r="O451" i="118" s="1"/>
  <c r="P451" i="118" s="1"/>
  <c r="Q451" i="118" s="1"/>
  <c r="R451" i="118" s="1"/>
  <c r="I450" i="118"/>
  <c r="J450" i="118" s="1"/>
  <c r="K450" i="118" s="1"/>
  <c r="L450" i="118" s="1"/>
  <c r="M450" i="118" s="1"/>
  <c r="N450" i="118" s="1"/>
  <c r="O450" i="118" s="1"/>
  <c r="P450" i="118" s="1"/>
  <c r="Q450" i="118" s="1"/>
  <c r="R450" i="118" s="1"/>
  <c r="I449" i="118"/>
  <c r="J449" i="118" s="1"/>
  <c r="K449" i="118" s="1"/>
  <c r="L449" i="118" s="1"/>
  <c r="M449" i="118" s="1"/>
  <c r="N449" i="118" s="1"/>
  <c r="O449" i="118" s="1"/>
  <c r="P449" i="118" s="1"/>
  <c r="Q449" i="118" s="1"/>
  <c r="R449" i="118" s="1"/>
  <c r="I447" i="118"/>
  <c r="J447" i="118" s="1"/>
  <c r="K447" i="118" s="1"/>
  <c r="L447" i="118" s="1"/>
  <c r="M447" i="118" s="1"/>
  <c r="N447" i="118" s="1"/>
  <c r="O447" i="118" s="1"/>
  <c r="P447" i="118" s="1"/>
  <c r="Q447" i="118" s="1"/>
  <c r="R447" i="118" s="1"/>
  <c r="I446" i="118"/>
  <c r="J446" i="118" s="1"/>
  <c r="K446" i="118" s="1"/>
  <c r="L446" i="118" s="1"/>
  <c r="M446" i="118" s="1"/>
  <c r="N446" i="118" s="1"/>
  <c r="O446" i="118" s="1"/>
  <c r="P446" i="118" s="1"/>
  <c r="Q446" i="118" s="1"/>
  <c r="R446" i="118" s="1"/>
  <c r="I445" i="118"/>
  <c r="J445" i="118" s="1"/>
  <c r="K445" i="118" s="1"/>
  <c r="L445" i="118" s="1"/>
  <c r="M445" i="118" s="1"/>
  <c r="N445" i="118" s="1"/>
  <c r="O445" i="118" s="1"/>
  <c r="P445" i="118" s="1"/>
  <c r="Q445" i="118" s="1"/>
  <c r="R445" i="118" s="1"/>
  <c r="C445" i="118"/>
  <c r="C446" i="118" s="1"/>
  <c r="C447" i="118" s="1"/>
  <c r="C448" i="118" s="1"/>
  <c r="C449" i="118" s="1"/>
  <c r="C450" i="118" s="1"/>
  <c r="C451" i="118" s="1"/>
  <c r="C452" i="118" s="1"/>
  <c r="C453" i="118" s="1"/>
  <c r="C454" i="118" s="1"/>
  <c r="C455" i="118" s="1"/>
  <c r="C456" i="118" s="1"/>
  <c r="C457" i="118" s="1"/>
  <c r="C458" i="118" s="1"/>
  <c r="C459" i="118" s="1"/>
  <c r="C460" i="118" s="1"/>
  <c r="C461" i="118" s="1"/>
  <c r="C462" i="118" s="1"/>
  <c r="C463" i="118" s="1"/>
  <c r="C464" i="118" s="1"/>
  <c r="C465" i="118" s="1"/>
  <c r="C466" i="118" s="1"/>
  <c r="C467" i="118" s="1"/>
  <c r="C468" i="118" s="1"/>
  <c r="C469" i="118" s="1"/>
  <c r="C470" i="118" s="1"/>
  <c r="C471" i="118" s="1"/>
  <c r="C472" i="118" s="1"/>
  <c r="C473" i="118" s="1"/>
  <c r="I443" i="118"/>
  <c r="J443" i="118" s="1"/>
  <c r="K443" i="118" s="1"/>
  <c r="L443" i="118" s="1"/>
  <c r="M443" i="118" s="1"/>
  <c r="N443" i="118" s="1"/>
  <c r="O443" i="118" s="1"/>
  <c r="P443" i="118" s="1"/>
  <c r="Q443" i="118" s="1"/>
  <c r="R443" i="118" s="1"/>
  <c r="I441" i="118"/>
  <c r="J441" i="118" s="1"/>
  <c r="K441" i="118" s="1"/>
  <c r="L441" i="118" s="1"/>
  <c r="M441" i="118" s="1"/>
  <c r="N441" i="118" s="1"/>
  <c r="O441" i="118" s="1"/>
  <c r="P441" i="118" s="1"/>
  <c r="Q441" i="118" s="1"/>
  <c r="R441" i="118" s="1"/>
  <c r="I428" i="118"/>
  <c r="J428" i="118" s="1"/>
  <c r="K428" i="118" s="1"/>
  <c r="L428" i="118" s="1"/>
  <c r="M428" i="118" s="1"/>
  <c r="N428" i="118" s="1"/>
  <c r="O428" i="118" s="1"/>
  <c r="P428" i="118" s="1"/>
  <c r="Q428" i="118" s="1"/>
  <c r="R428" i="118" s="1"/>
  <c r="I427" i="118"/>
  <c r="J427" i="118" s="1"/>
  <c r="K427" i="118" s="1"/>
  <c r="L427" i="118" s="1"/>
  <c r="M427" i="118" s="1"/>
  <c r="N427" i="118" s="1"/>
  <c r="O427" i="118" s="1"/>
  <c r="P427" i="118" s="1"/>
  <c r="Q427" i="118" s="1"/>
  <c r="R427" i="118" s="1"/>
  <c r="I421" i="118"/>
  <c r="J421" i="118" s="1"/>
  <c r="K421" i="118" s="1"/>
  <c r="L421" i="118" s="1"/>
  <c r="M421" i="118" s="1"/>
  <c r="N421" i="118" s="1"/>
  <c r="O421" i="118" s="1"/>
  <c r="P421" i="118" s="1"/>
  <c r="Q421" i="118" s="1"/>
  <c r="R421" i="118" s="1"/>
  <c r="I420" i="118"/>
  <c r="J420" i="118" s="1"/>
  <c r="K420" i="118" s="1"/>
  <c r="L420" i="118" s="1"/>
  <c r="M420" i="118" s="1"/>
  <c r="N420" i="118" s="1"/>
  <c r="O420" i="118" s="1"/>
  <c r="P420" i="118" s="1"/>
  <c r="Q420" i="118" s="1"/>
  <c r="R420" i="118" s="1"/>
  <c r="I419" i="118"/>
  <c r="J419" i="118" s="1"/>
  <c r="K419" i="118" s="1"/>
  <c r="L419" i="118" s="1"/>
  <c r="M419" i="118" s="1"/>
  <c r="N419" i="118" s="1"/>
  <c r="O419" i="118" s="1"/>
  <c r="P419" i="118" s="1"/>
  <c r="Q419" i="118" s="1"/>
  <c r="R419" i="118" s="1"/>
  <c r="I416" i="118"/>
  <c r="J416" i="118" s="1"/>
  <c r="K416" i="118" s="1"/>
  <c r="L416" i="118" s="1"/>
  <c r="M416" i="118" s="1"/>
  <c r="N416" i="118" s="1"/>
  <c r="O416" i="118" s="1"/>
  <c r="P416" i="118" s="1"/>
  <c r="Q416" i="118" s="1"/>
  <c r="R416" i="118" s="1"/>
  <c r="I415" i="118"/>
  <c r="J415" i="118" s="1"/>
  <c r="K415" i="118" s="1"/>
  <c r="L415" i="118" s="1"/>
  <c r="M415" i="118" s="1"/>
  <c r="N415" i="118" s="1"/>
  <c r="O415" i="118" s="1"/>
  <c r="P415" i="118" s="1"/>
  <c r="Q415" i="118" s="1"/>
  <c r="R415" i="118" s="1"/>
  <c r="C415" i="118"/>
  <c r="C416" i="118" s="1"/>
  <c r="C417" i="118" s="1"/>
  <c r="C418" i="118" s="1"/>
  <c r="C419" i="118" s="1"/>
  <c r="C420" i="118" s="1"/>
  <c r="C421" i="118" s="1"/>
  <c r="C422" i="118" s="1"/>
  <c r="C423" i="118" s="1"/>
  <c r="C424" i="118" s="1"/>
  <c r="C425" i="118" s="1"/>
  <c r="C426" i="118" s="1"/>
  <c r="C427" i="118" s="1"/>
  <c r="C428" i="118" s="1"/>
  <c r="C429" i="118" s="1"/>
  <c r="C430" i="118" s="1"/>
  <c r="C431" i="118" s="1"/>
  <c r="C432" i="118" s="1"/>
  <c r="C433" i="118" s="1"/>
  <c r="C434" i="118" s="1"/>
  <c r="C435" i="118" s="1"/>
  <c r="C436" i="118" s="1"/>
  <c r="C437" i="118" s="1"/>
  <c r="C438" i="118" s="1"/>
  <c r="C439" i="118" s="1"/>
  <c r="C440" i="118" s="1"/>
  <c r="C441" i="118" s="1"/>
  <c r="C442" i="118" s="1"/>
  <c r="C443" i="118" s="1"/>
  <c r="I413" i="118"/>
  <c r="J413" i="118" s="1"/>
  <c r="K413" i="118" s="1"/>
  <c r="L413" i="118" s="1"/>
  <c r="M413" i="118" s="1"/>
  <c r="N413" i="118" s="1"/>
  <c r="O413" i="118" s="1"/>
  <c r="P413" i="118" s="1"/>
  <c r="Q413" i="118" s="1"/>
  <c r="R413" i="118" s="1"/>
  <c r="C410" i="118"/>
  <c r="I407" i="118"/>
  <c r="J407" i="118" s="1"/>
  <c r="K407" i="118" s="1"/>
  <c r="L407" i="118" s="1"/>
  <c r="M407" i="118" s="1"/>
  <c r="N407" i="118" s="1"/>
  <c r="O407" i="118" s="1"/>
  <c r="P407" i="118" s="1"/>
  <c r="Q407" i="118" s="1"/>
  <c r="R407" i="118" s="1"/>
  <c r="I392" i="118"/>
  <c r="J392" i="118" s="1"/>
  <c r="K392" i="118" s="1"/>
  <c r="L392" i="118" s="1"/>
  <c r="M392" i="118" s="1"/>
  <c r="N392" i="118" s="1"/>
  <c r="O392" i="118" s="1"/>
  <c r="P392" i="118" s="1"/>
  <c r="Q392" i="118" s="1"/>
  <c r="R392" i="118" s="1"/>
  <c r="I391" i="118"/>
  <c r="J391" i="118" s="1"/>
  <c r="K391" i="118" s="1"/>
  <c r="L391" i="118" s="1"/>
  <c r="M391" i="118" s="1"/>
  <c r="N391" i="118" s="1"/>
  <c r="O391" i="118" s="1"/>
  <c r="P391" i="118" s="1"/>
  <c r="Q391" i="118" s="1"/>
  <c r="R391" i="118" s="1"/>
  <c r="I385" i="118"/>
  <c r="J385" i="118" s="1"/>
  <c r="K385" i="118" s="1"/>
  <c r="L385" i="118" s="1"/>
  <c r="M385" i="118" s="1"/>
  <c r="N385" i="118" s="1"/>
  <c r="O385" i="118" s="1"/>
  <c r="P385" i="118" s="1"/>
  <c r="Q385" i="118" s="1"/>
  <c r="R385" i="118" s="1"/>
  <c r="I384" i="118"/>
  <c r="J384" i="118" s="1"/>
  <c r="K384" i="118" s="1"/>
  <c r="L384" i="118" s="1"/>
  <c r="M384" i="118" s="1"/>
  <c r="N384" i="118" s="1"/>
  <c r="O384" i="118" s="1"/>
  <c r="P384" i="118" s="1"/>
  <c r="Q384" i="118" s="1"/>
  <c r="R384" i="118" s="1"/>
  <c r="I383" i="118"/>
  <c r="J383" i="118" s="1"/>
  <c r="K383" i="118" s="1"/>
  <c r="L383" i="118" s="1"/>
  <c r="M383" i="118" s="1"/>
  <c r="N383" i="118" s="1"/>
  <c r="O383" i="118" s="1"/>
  <c r="P383" i="118" s="1"/>
  <c r="Q383" i="118" s="1"/>
  <c r="R383" i="118" s="1"/>
  <c r="I381" i="118"/>
  <c r="J381" i="118" s="1"/>
  <c r="K381" i="118" s="1"/>
  <c r="L381" i="118" s="1"/>
  <c r="M381" i="118" s="1"/>
  <c r="N381" i="118" s="1"/>
  <c r="O381" i="118" s="1"/>
  <c r="P381" i="118" s="1"/>
  <c r="Q381" i="118" s="1"/>
  <c r="R381" i="118" s="1"/>
  <c r="I380" i="118"/>
  <c r="J380" i="118" s="1"/>
  <c r="K380" i="118" s="1"/>
  <c r="L380" i="118" s="1"/>
  <c r="M380" i="118" s="1"/>
  <c r="N380" i="118" s="1"/>
  <c r="O380" i="118" s="1"/>
  <c r="P380" i="118" s="1"/>
  <c r="Q380" i="118" s="1"/>
  <c r="R380" i="118" s="1"/>
  <c r="I379" i="118"/>
  <c r="J379" i="118" s="1"/>
  <c r="K379" i="118" s="1"/>
  <c r="L379" i="118" s="1"/>
  <c r="M379" i="118" s="1"/>
  <c r="N379" i="118" s="1"/>
  <c r="O379" i="118" s="1"/>
  <c r="P379" i="118" s="1"/>
  <c r="Q379" i="118" s="1"/>
  <c r="R379" i="118" s="1"/>
  <c r="C379" i="118"/>
  <c r="C380" i="118" s="1"/>
  <c r="C381" i="118" s="1"/>
  <c r="C382" i="118" s="1"/>
  <c r="C383" i="118" s="1"/>
  <c r="C384" i="118" s="1"/>
  <c r="C385" i="118" s="1"/>
  <c r="C386" i="118" s="1"/>
  <c r="C387" i="118" s="1"/>
  <c r="C388" i="118" s="1"/>
  <c r="C389" i="118" s="1"/>
  <c r="C390" i="118" s="1"/>
  <c r="C391" i="118" s="1"/>
  <c r="C392" i="118" s="1"/>
  <c r="C393" i="118" s="1"/>
  <c r="C394" i="118" s="1"/>
  <c r="C395" i="118" s="1"/>
  <c r="C396" i="118" s="1"/>
  <c r="C397" i="118" s="1"/>
  <c r="C398" i="118" s="1"/>
  <c r="C399" i="118" s="1"/>
  <c r="C400" i="118" s="1"/>
  <c r="C401" i="118" s="1"/>
  <c r="C402" i="118" s="1"/>
  <c r="C403" i="118" s="1"/>
  <c r="C404" i="118" s="1"/>
  <c r="C405" i="118" s="1"/>
  <c r="C406" i="118" s="1"/>
  <c r="I377" i="118"/>
  <c r="J377" i="118" s="1"/>
  <c r="K377" i="118" s="1"/>
  <c r="L377" i="118" s="1"/>
  <c r="M377" i="118" s="1"/>
  <c r="N377" i="118" s="1"/>
  <c r="O377" i="118" s="1"/>
  <c r="P377" i="118" s="1"/>
  <c r="Q377" i="118" s="1"/>
  <c r="R377" i="118" s="1"/>
  <c r="I376" i="118"/>
  <c r="J376" i="118" s="1"/>
  <c r="K376" i="118" s="1"/>
  <c r="L376" i="118" s="1"/>
  <c r="M376" i="118" s="1"/>
  <c r="N376" i="118" s="1"/>
  <c r="O376" i="118" s="1"/>
  <c r="P376" i="118" s="1"/>
  <c r="Q376" i="118" s="1"/>
  <c r="R376" i="118" s="1"/>
  <c r="I370" i="118"/>
  <c r="J370" i="118" s="1"/>
  <c r="K370" i="118" s="1"/>
  <c r="L370" i="118" s="1"/>
  <c r="M370" i="118" s="1"/>
  <c r="N370" i="118" s="1"/>
  <c r="O370" i="118" s="1"/>
  <c r="P370" i="118" s="1"/>
  <c r="Q370" i="118" s="1"/>
  <c r="R370" i="118" s="1"/>
  <c r="I369" i="118"/>
  <c r="J369" i="118" s="1"/>
  <c r="K369" i="118" s="1"/>
  <c r="L369" i="118" s="1"/>
  <c r="M369" i="118" s="1"/>
  <c r="N369" i="118" s="1"/>
  <c r="O369" i="118" s="1"/>
  <c r="P369" i="118" s="1"/>
  <c r="Q369" i="118" s="1"/>
  <c r="R369" i="118" s="1"/>
  <c r="I368" i="118"/>
  <c r="J368" i="118" s="1"/>
  <c r="K368" i="118" s="1"/>
  <c r="L368" i="118" s="1"/>
  <c r="M368" i="118" s="1"/>
  <c r="N368" i="118" s="1"/>
  <c r="O368" i="118" s="1"/>
  <c r="P368" i="118" s="1"/>
  <c r="Q368" i="118" s="1"/>
  <c r="R368" i="118" s="1"/>
  <c r="I367" i="118"/>
  <c r="J367" i="118" s="1"/>
  <c r="K367" i="118" s="1"/>
  <c r="L367" i="118" s="1"/>
  <c r="M367" i="118" s="1"/>
  <c r="N367" i="118" s="1"/>
  <c r="O367" i="118" s="1"/>
  <c r="P367" i="118" s="1"/>
  <c r="Q367" i="118" s="1"/>
  <c r="R367" i="118" s="1"/>
  <c r="I366" i="118"/>
  <c r="J366" i="118" s="1"/>
  <c r="K366" i="118" s="1"/>
  <c r="L366" i="118" s="1"/>
  <c r="M366" i="118" s="1"/>
  <c r="N366" i="118" s="1"/>
  <c r="O366" i="118" s="1"/>
  <c r="P366" i="118" s="1"/>
  <c r="Q366" i="118" s="1"/>
  <c r="R366" i="118" s="1"/>
  <c r="I365" i="118"/>
  <c r="J365" i="118" s="1"/>
  <c r="K365" i="118" s="1"/>
  <c r="L365" i="118" s="1"/>
  <c r="M365" i="118" s="1"/>
  <c r="N365" i="118" s="1"/>
  <c r="O365" i="118" s="1"/>
  <c r="P365" i="118" s="1"/>
  <c r="Q365" i="118" s="1"/>
  <c r="R365" i="118" s="1"/>
  <c r="I364" i="118"/>
  <c r="J364" i="118" s="1"/>
  <c r="K364" i="118" s="1"/>
  <c r="L364" i="118" s="1"/>
  <c r="M364" i="118" s="1"/>
  <c r="N364" i="118" s="1"/>
  <c r="O364" i="118" s="1"/>
  <c r="P364" i="118" s="1"/>
  <c r="Q364" i="118" s="1"/>
  <c r="R364" i="118" s="1"/>
  <c r="I363" i="118"/>
  <c r="J363" i="118" s="1"/>
  <c r="K363" i="118" s="1"/>
  <c r="L363" i="118" s="1"/>
  <c r="M363" i="118" s="1"/>
  <c r="N363" i="118" s="1"/>
  <c r="O363" i="118" s="1"/>
  <c r="P363" i="118" s="1"/>
  <c r="Q363" i="118" s="1"/>
  <c r="R363" i="118" s="1"/>
  <c r="I362" i="118"/>
  <c r="J362" i="118" s="1"/>
  <c r="K362" i="118" s="1"/>
  <c r="L362" i="118" s="1"/>
  <c r="M362" i="118" s="1"/>
  <c r="N362" i="118" s="1"/>
  <c r="O362" i="118" s="1"/>
  <c r="P362" i="118" s="1"/>
  <c r="Q362" i="118" s="1"/>
  <c r="R362" i="118" s="1"/>
  <c r="I361" i="118"/>
  <c r="J361" i="118" s="1"/>
  <c r="K361" i="118" s="1"/>
  <c r="L361" i="118" s="1"/>
  <c r="M361" i="118" s="1"/>
  <c r="N361" i="118" s="1"/>
  <c r="O361" i="118" s="1"/>
  <c r="P361" i="118" s="1"/>
  <c r="Q361" i="118" s="1"/>
  <c r="R361" i="118" s="1"/>
  <c r="I355" i="118"/>
  <c r="J355" i="118" s="1"/>
  <c r="K355" i="118" s="1"/>
  <c r="L355" i="118" s="1"/>
  <c r="M355" i="118" s="1"/>
  <c r="N355" i="118" s="1"/>
  <c r="O355" i="118" s="1"/>
  <c r="P355" i="118" s="1"/>
  <c r="Q355" i="118" s="1"/>
  <c r="R355" i="118" s="1"/>
  <c r="I354" i="118"/>
  <c r="J354" i="118" s="1"/>
  <c r="K354" i="118" s="1"/>
  <c r="L354" i="118" s="1"/>
  <c r="M354" i="118" s="1"/>
  <c r="N354" i="118" s="1"/>
  <c r="O354" i="118" s="1"/>
  <c r="P354" i="118" s="1"/>
  <c r="Q354" i="118" s="1"/>
  <c r="R354" i="118" s="1"/>
  <c r="I353" i="118"/>
  <c r="J353" i="118" s="1"/>
  <c r="K353" i="118" s="1"/>
  <c r="L353" i="118" s="1"/>
  <c r="M353" i="118" s="1"/>
  <c r="N353" i="118" s="1"/>
  <c r="O353" i="118" s="1"/>
  <c r="P353" i="118" s="1"/>
  <c r="Q353" i="118" s="1"/>
  <c r="R353" i="118" s="1"/>
  <c r="I351" i="118"/>
  <c r="J351" i="118" s="1"/>
  <c r="K351" i="118" s="1"/>
  <c r="L351" i="118" s="1"/>
  <c r="M351" i="118" s="1"/>
  <c r="N351" i="118" s="1"/>
  <c r="O351" i="118" s="1"/>
  <c r="P351" i="118" s="1"/>
  <c r="Q351" i="118" s="1"/>
  <c r="R351" i="118" s="1"/>
  <c r="I350" i="118"/>
  <c r="J350" i="118" s="1"/>
  <c r="K350" i="118" s="1"/>
  <c r="L350" i="118" s="1"/>
  <c r="M350" i="118" s="1"/>
  <c r="N350" i="118" s="1"/>
  <c r="O350" i="118" s="1"/>
  <c r="P350" i="118" s="1"/>
  <c r="Q350" i="118" s="1"/>
  <c r="R350" i="118" s="1"/>
  <c r="I349" i="118"/>
  <c r="J349" i="118" s="1"/>
  <c r="K349" i="118" s="1"/>
  <c r="L349" i="118" s="1"/>
  <c r="M349" i="118" s="1"/>
  <c r="N349" i="118" s="1"/>
  <c r="O349" i="118" s="1"/>
  <c r="P349" i="118" s="1"/>
  <c r="Q349" i="118" s="1"/>
  <c r="R349" i="118" s="1"/>
  <c r="C349" i="118"/>
  <c r="C350" i="118" s="1"/>
  <c r="C351" i="118" s="1"/>
  <c r="C352" i="118" s="1"/>
  <c r="C353" i="118" s="1"/>
  <c r="C354" i="118" s="1"/>
  <c r="C355" i="118" s="1"/>
  <c r="C356" i="118" s="1"/>
  <c r="C357" i="118" s="1"/>
  <c r="C358" i="118" s="1"/>
  <c r="C359" i="118" s="1"/>
  <c r="C360" i="118" s="1"/>
  <c r="C361" i="118" s="1"/>
  <c r="C362" i="118" s="1"/>
  <c r="C363" i="118" s="1"/>
  <c r="C364" i="118" s="1"/>
  <c r="C365" i="118" s="1"/>
  <c r="C366" i="118" s="1"/>
  <c r="C367" i="118" s="1"/>
  <c r="C368" i="118" s="1"/>
  <c r="C369" i="118" s="1"/>
  <c r="C370" i="118" s="1"/>
  <c r="C371" i="118" s="1"/>
  <c r="C372" i="118" s="1"/>
  <c r="C373" i="118" s="1"/>
  <c r="C374" i="118" s="1"/>
  <c r="C375" i="118" s="1"/>
  <c r="C376" i="118" s="1"/>
  <c r="C377" i="118" s="1"/>
  <c r="H347" i="118"/>
  <c r="I347" i="118" s="1"/>
  <c r="J347" i="118" s="1"/>
  <c r="K347" i="118" s="1"/>
  <c r="L347" i="118" s="1"/>
  <c r="M347" i="118" s="1"/>
  <c r="N347" i="118" s="1"/>
  <c r="O347" i="118" s="1"/>
  <c r="P347" i="118" s="1"/>
  <c r="Q347" i="118" s="1"/>
  <c r="R347" i="118" s="1"/>
  <c r="I346" i="118"/>
  <c r="J346" i="118" s="1"/>
  <c r="K346" i="118" s="1"/>
  <c r="L346" i="118" s="1"/>
  <c r="M346" i="118" s="1"/>
  <c r="N346" i="118" s="1"/>
  <c r="O346" i="118" s="1"/>
  <c r="P346" i="118" s="1"/>
  <c r="Q346" i="118" s="1"/>
  <c r="R346" i="118" s="1"/>
  <c r="I340" i="118"/>
  <c r="J340" i="118" s="1"/>
  <c r="K340" i="118" s="1"/>
  <c r="L340" i="118" s="1"/>
  <c r="M340" i="118" s="1"/>
  <c r="N340" i="118" s="1"/>
  <c r="O340" i="118" s="1"/>
  <c r="P340" i="118" s="1"/>
  <c r="Q340" i="118" s="1"/>
  <c r="R340" i="118" s="1"/>
  <c r="I339" i="118"/>
  <c r="J339" i="118" s="1"/>
  <c r="K339" i="118" s="1"/>
  <c r="L339" i="118" s="1"/>
  <c r="M339" i="118" s="1"/>
  <c r="N339" i="118" s="1"/>
  <c r="O339" i="118" s="1"/>
  <c r="P339" i="118" s="1"/>
  <c r="Q339" i="118" s="1"/>
  <c r="R339" i="118" s="1"/>
  <c r="I338" i="118"/>
  <c r="J338" i="118" s="1"/>
  <c r="K338" i="118" s="1"/>
  <c r="L338" i="118" s="1"/>
  <c r="M338" i="118" s="1"/>
  <c r="N338" i="118" s="1"/>
  <c r="O338" i="118" s="1"/>
  <c r="P338" i="118" s="1"/>
  <c r="Q338" i="118" s="1"/>
  <c r="R338" i="118" s="1"/>
  <c r="I337" i="118"/>
  <c r="J337" i="118" s="1"/>
  <c r="K337" i="118" s="1"/>
  <c r="L337" i="118" s="1"/>
  <c r="M337" i="118" s="1"/>
  <c r="N337" i="118" s="1"/>
  <c r="O337" i="118" s="1"/>
  <c r="P337" i="118" s="1"/>
  <c r="Q337" i="118" s="1"/>
  <c r="R337" i="118" s="1"/>
  <c r="I336" i="118"/>
  <c r="J336" i="118" s="1"/>
  <c r="K336" i="118" s="1"/>
  <c r="L336" i="118" s="1"/>
  <c r="M336" i="118" s="1"/>
  <c r="N336" i="118" s="1"/>
  <c r="O336" i="118" s="1"/>
  <c r="P336" i="118" s="1"/>
  <c r="Q336" i="118" s="1"/>
  <c r="R336" i="118" s="1"/>
  <c r="I335" i="118"/>
  <c r="J335" i="118" s="1"/>
  <c r="K335" i="118" s="1"/>
  <c r="L335" i="118" s="1"/>
  <c r="M335" i="118" s="1"/>
  <c r="N335" i="118" s="1"/>
  <c r="O335" i="118" s="1"/>
  <c r="P335" i="118" s="1"/>
  <c r="Q335" i="118" s="1"/>
  <c r="R335" i="118" s="1"/>
  <c r="I334" i="118"/>
  <c r="J334" i="118" s="1"/>
  <c r="K334" i="118" s="1"/>
  <c r="L334" i="118" s="1"/>
  <c r="M334" i="118" s="1"/>
  <c r="N334" i="118" s="1"/>
  <c r="O334" i="118" s="1"/>
  <c r="P334" i="118" s="1"/>
  <c r="Q334" i="118" s="1"/>
  <c r="R334" i="118" s="1"/>
  <c r="I333" i="118"/>
  <c r="J333" i="118" s="1"/>
  <c r="K333" i="118" s="1"/>
  <c r="L333" i="118" s="1"/>
  <c r="M333" i="118" s="1"/>
  <c r="N333" i="118" s="1"/>
  <c r="O333" i="118" s="1"/>
  <c r="P333" i="118" s="1"/>
  <c r="Q333" i="118" s="1"/>
  <c r="R333" i="118" s="1"/>
  <c r="I332" i="118"/>
  <c r="J332" i="118" s="1"/>
  <c r="K332" i="118" s="1"/>
  <c r="L332" i="118" s="1"/>
  <c r="M332" i="118" s="1"/>
  <c r="N332" i="118" s="1"/>
  <c r="O332" i="118" s="1"/>
  <c r="P332" i="118" s="1"/>
  <c r="Q332" i="118" s="1"/>
  <c r="R332" i="118" s="1"/>
  <c r="I331" i="118"/>
  <c r="J331" i="118" s="1"/>
  <c r="K331" i="118" s="1"/>
  <c r="L331" i="118" s="1"/>
  <c r="M331" i="118" s="1"/>
  <c r="N331" i="118" s="1"/>
  <c r="O331" i="118" s="1"/>
  <c r="P331" i="118" s="1"/>
  <c r="Q331" i="118" s="1"/>
  <c r="R331" i="118" s="1"/>
  <c r="I325" i="118"/>
  <c r="J325" i="118" s="1"/>
  <c r="K325" i="118" s="1"/>
  <c r="L325" i="118" s="1"/>
  <c r="M325" i="118" s="1"/>
  <c r="N325" i="118" s="1"/>
  <c r="O325" i="118" s="1"/>
  <c r="P325" i="118" s="1"/>
  <c r="Q325" i="118" s="1"/>
  <c r="R325" i="118" s="1"/>
  <c r="I324" i="118"/>
  <c r="J324" i="118" s="1"/>
  <c r="K324" i="118" s="1"/>
  <c r="L324" i="118" s="1"/>
  <c r="M324" i="118" s="1"/>
  <c r="N324" i="118" s="1"/>
  <c r="O324" i="118" s="1"/>
  <c r="P324" i="118" s="1"/>
  <c r="Q324" i="118" s="1"/>
  <c r="R324" i="118" s="1"/>
  <c r="I323" i="118"/>
  <c r="J323" i="118" s="1"/>
  <c r="K323" i="118" s="1"/>
  <c r="L323" i="118" s="1"/>
  <c r="M323" i="118" s="1"/>
  <c r="N323" i="118" s="1"/>
  <c r="O323" i="118" s="1"/>
  <c r="P323" i="118" s="1"/>
  <c r="Q323" i="118" s="1"/>
  <c r="R323" i="118" s="1"/>
  <c r="I321" i="118"/>
  <c r="J321" i="118" s="1"/>
  <c r="K321" i="118" s="1"/>
  <c r="L321" i="118" s="1"/>
  <c r="M321" i="118" s="1"/>
  <c r="N321" i="118" s="1"/>
  <c r="O321" i="118" s="1"/>
  <c r="P321" i="118" s="1"/>
  <c r="Q321" i="118" s="1"/>
  <c r="R321" i="118" s="1"/>
  <c r="I320" i="118"/>
  <c r="J320" i="118" s="1"/>
  <c r="K320" i="118" s="1"/>
  <c r="L320" i="118" s="1"/>
  <c r="M320" i="118" s="1"/>
  <c r="N320" i="118" s="1"/>
  <c r="O320" i="118" s="1"/>
  <c r="P320" i="118" s="1"/>
  <c r="Q320" i="118" s="1"/>
  <c r="R320" i="118" s="1"/>
  <c r="I319" i="118"/>
  <c r="J319" i="118" s="1"/>
  <c r="K319" i="118" s="1"/>
  <c r="L319" i="118" s="1"/>
  <c r="M319" i="118" s="1"/>
  <c r="N319" i="118" s="1"/>
  <c r="O319" i="118" s="1"/>
  <c r="P319" i="118" s="1"/>
  <c r="Q319" i="118" s="1"/>
  <c r="R319" i="118" s="1"/>
  <c r="C319" i="118"/>
  <c r="C320" i="118" s="1"/>
  <c r="C321" i="118" s="1"/>
  <c r="C322" i="118" s="1"/>
  <c r="C323" i="118" s="1"/>
  <c r="C324" i="118" s="1"/>
  <c r="C325" i="118" s="1"/>
  <c r="C326" i="118" s="1"/>
  <c r="C327" i="118" s="1"/>
  <c r="C328" i="118" s="1"/>
  <c r="C329" i="118" s="1"/>
  <c r="C330" i="118" s="1"/>
  <c r="C331" i="118" s="1"/>
  <c r="C332" i="118" s="1"/>
  <c r="C333" i="118" s="1"/>
  <c r="C334" i="118" s="1"/>
  <c r="C335" i="118" s="1"/>
  <c r="C336" i="118" s="1"/>
  <c r="C337" i="118" s="1"/>
  <c r="C338" i="118" s="1"/>
  <c r="C339" i="118" s="1"/>
  <c r="C340" i="118" s="1"/>
  <c r="C341" i="118" s="1"/>
  <c r="C342" i="118" s="1"/>
  <c r="C343" i="118" s="1"/>
  <c r="C344" i="118" s="1"/>
  <c r="C345" i="118" s="1"/>
  <c r="C346" i="118" s="1"/>
  <c r="I317" i="118"/>
  <c r="J317" i="118" s="1"/>
  <c r="K317" i="118" s="1"/>
  <c r="L317" i="118" s="1"/>
  <c r="M317" i="118" s="1"/>
  <c r="N317" i="118" s="1"/>
  <c r="O317" i="118" s="1"/>
  <c r="P317" i="118" s="1"/>
  <c r="Q317" i="118" s="1"/>
  <c r="R317" i="118" s="1"/>
  <c r="I295" i="118"/>
  <c r="J295" i="118" s="1"/>
  <c r="K295" i="118" s="1"/>
  <c r="L295" i="118" s="1"/>
  <c r="M295" i="118" s="1"/>
  <c r="N295" i="118" s="1"/>
  <c r="O295" i="118" s="1"/>
  <c r="P295" i="118" s="1"/>
  <c r="Q295" i="118" s="1"/>
  <c r="R295" i="118" s="1"/>
  <c r="I294" i="118"/>
  <c r="J294" i="118" s="1"/>
  <c r="K294" i="118" s="1"/>
  <c r="L294" i="118" s="1"/>
  <c r="M294" i="118" s="1"/>
  <c r="N294" i="118" s="1"/>
  <c r="O294" i="118" s="1"/>
  <c r="P294" i="118" s="1"/>
  <c r="Q294" i="118" s="1"/>
  <c r="R294" i="118" s="1"/>
  <c r="I293" i="118"/>
  <c r="J293" i="118" s="1"/>
  <c r="K293" i="118" s="1"/>
  <c r="L293" i="118" s="1"/>
  <c r="M293" i="118" s="1"/>
  <c r="N293" i="118" s="1"/>
  <c r="O293" i="118" s="1"/>
  <c r="P293" i="118" s="1"/>
  <c r="Q293" i="118" s="1"/>
  <c r="R293" i="118" s="1"/>
  <c r="I291" i="118"/>
  <c r="J291" i="118" s="1"/>
  <c r="K291" i="118" s="1"/>
  <c r="L291" i="118" s="1"/>
  <c r="M291" i="118" s="1"/>
  <c r="N291" i="118" s="1"/>
  <c r="O291" i="118" s="1"/>
  <c r="P291" i="118" s="1"/>
  <c r="Q291" i="118" s="1"/>
  <c r="R291" i="118" s="1"/>
  <c r="I290" i="118"/>
  <c r="J290" i="118" s="1"/>
  <c r="K290" i="118" s="1"/>
  <c r="L290" i="118" s="1"/>
  <c r="M290" i="118" s="1"/>
  <c r="N290" i="118" s="1"/>
  <c r="O290" i="118" s="1"/>
  <c r="P290" i="118" s="1"/>
  <c r="Q290" i="118" s="1"/>
  <c r="R290" i="118" s="1"/>
  <c r="I289" i="118"/>
  <c r="J289" i="118" s="1"/>
  <c r="K289" i="118" s="1"/>
  <c r="L289" i="118" s="1"/>
  <c r="M289" i="118" s="1"/>
  <c r="N289" i="118" s="1"/>
  <c r="O289" i="118" s="1"/>
  <c r="P289" i="118" s="1"/>
  <c r="Q289" i="118" s="1"/>
  <c r="R289" i="118" s="1"/>
  <c r="C289" i="118"/>
  <c r="C290" i="118" s="1"/>
  <c r="C291" i="118" s="1"/>
  <c r="C292" i="118" s="1"/>
  <c r="C293" i="118" s="1"/>
  <c r="C294" i="118" s="1"/>
  <c r="C295" i="118" s="1"/>
  <c r="C296" i="118" s="1"/>
  <c r="C297" i="118" s="1"/>
  <c r="C298" i="118" s="1"/>
  <c r="C299" i="118" s="1"/>
  <c r="C300" i="118" s="1"/>
  <c r="C301" i="118" s="1"/>
  <c r="C302" i="118" s="1"/>
  <c r="C303" i="118" s="1"/>
  <c r="C304" i="118" s="1"/>
  <c r="C305" i="118" s="1"/>
  <c r="C306" i="118" s="1"/>
  <c r="C307" i="118" s="1"/>
  <c r="C308" i="118" s="1"/>
  <c r="C309" i="118" s="1"/>
  <c r="C310" i="118" s="1"/>
  <c r="C311" i="118" s="1"/>
  <c r="C312" i="118" s="1"/>
  <c r="C313" i="118" s="1"/>
  <c r="C314" i="118" s="1"/>
  <c r="C315" i="118" s="1"/>
  <c r="I287" i="118"/>
  <c r="J287" i="118" s="1"/>
  <c r="K287" i="118" s="1"/>
  <c r="L287" i="118" s="1"/>
  <c r="M287" i="118" s="1"/>
  <c r="N287" i="118" s="1"/>
  <c r="O287" i="118" s="1"/>
  <c r="P287" i="118" s="1"/>
  <c r="Q287" i="118" s="1"/>
  <c r="R287" i="118" s="1"/>
  <c r="C284" i="118"/>
  <c r="I281" i="118"/>
  <c r="J281" i="118" s="1"/>
  <c r="K281" i="118" s="1"/>
  <c r="L281" i="118" s="1"/>
  <c r="M281" i="118" s="1"/>
  <c r="N281" i="118" s="1"/>
  <c r="O281" i="118" s="1"/>
  <c r="P281" i="118" s="1"/>
  <c r="Q281" i="118" s="1"/>
  <c r="R281" i="118" s="1"/>
  <c r="I254" i="118"/>
  <c r="J254" i="118" s="1"/>
  <c r="K254" i="118" s="1"/>
  <c r="L254" i="118" s="1"/>
  <c r="M254" i="118" s="1"/>
  <c r="N254" i="118" s="1"/>
  <c r="O254" i="118" s="1"/>
  <c r="P254" i="118" s="1"/>
  <c r="Q254" i="118" s="1"/>
  <c r="R254" i="118" s="1"/>
  <c r="I253" i="118"/>
  <c r="J253" i="118" s="1"/>
  <c r="K253" i="118" s="1"/>
  <c r="L253" i="118" s="1"/>
  <c r="M253" i="118" s="1"/>
  <c r="N253" i="118" s="1"/>
  <c r="O253" i="118" s="1"/>
  <c r="P253" i="118" s="1"/>
  <c r="Q253" i="118" s="1"/>
  <c r="R253" i="118" s="1"/>
  <c r="C253" i="118"/>
  <c r="C254" i="118" s="1"/>
  <c r="C255" i="118" s="1"/>
  <c r="C256" i="118" s="1"/>
  <c r="C257" i="118" s="1"/>
  <c r="C258" i="118" s="1"/>
  <c r="C259" i="118" s="1"/>
  <c r="C260" i="118" s="1"/>
  <c r="C261" i="118" s="1"/>
  <c r="C262" i="118" s="1"/>
  <c r="C263" i="118" s="1"/>
  <c r="C264" i="118" s="1"/>
  <c r="C265" i="118" s="1"/>
  <c r="C266" i="118" s="1"/>
  <c r="C267" i="118" s="1"/>
  <c r="C268" i="118" s="1"/>
  <c r="C269" i="118" s="1"/>
  <c r="C270" i="118" s="1"/>
  <c r="C271" i="118" s="1"/>
  <c r="C272" i="118" s="1"/>
  <c r="C273" i="118" s="1"/>
  <c r="C274" i="118" s="1"/>
  <c r="C275" i="118" s="1"/>
  <c r="C276" i="118" s="1"/>
  <c r="C277" i="118" s="1"/>
  <c r="C278" i="118" s="1"/>
  <c r="C279" i="118" s="1"/>
  <c r="C280" i="118" s="1"/>
  <c r="C281" i="118" s="1"/>
  <c r="I251" i="118"/>
  <c r="J251" i="118" s="1"/>
  <c r="K251" i="118" s="1"/>
  <c r="L251" i="118" s="1"/>
  <c r="M251" i="118" s="1"/>
  <c r="N251" i="118" s="1"/>
  <c r="O251" i="118" s="1"/>
  <c r="P251" i="118" s="1"/>
  <c r="Q251" i="118" s="1"/>
  <c r="R251" i="118" s="1"/>
  <c r="I236" i="118"/>
  <c r="J236" i="118" s="1"/>
  <c r="K236" i="118" s="1"/>
  <c r="L236" i="118" s="1"/>
  <c r="M236" i="118" s="1"/>
  <c r="N236" i="118" s="1"/>
  <c r="O236" i="118" s="1"/>
  <c r="P236" i="118" s="1"/>
  <c r="Q236" i="118" s="1"/>
  <c r="R236" i="118" s="1"/>
  <c r="I235" i="118"/>
  <c r="J235" i="118" s="1"/>
  <c r="K235" i="118" s="1"/>
  <c r="L235" i="118" s="1"/>
  <c r="M235" i="118" s="1"/>
  <c r="N235" i="118" s="1"/>
  <c r="O235" i="118" s="1"/>
  <c r="P235" i="118" s="1"/>
  <c r="Q235" i="118" s="1"/>
  <c r="R235" i="118" s="1"/>
  <c r="I229" i="118"/>
  <c r="J229" i="118" s="1"/>
  <c r="K229" i="118" s="1"/>
  <c r="L229" i="118" s="1"/>
  <c r="M229" i="118" s="1"/>
  <c r="N229" i="118" s="1"/>
  <c r="O229" i="118" s="1"/>
  <c r="P229" i="118" s="1"/>
  <c r="Q229" i="118" s="1"/>
  <c r="R229" i="118" s="1"/>
  <c r="I228" i="118"/>
  <c r="J228" i="118" s="1"/>
  <c r="K228" i="118" s="1"/>
  <c r="L228" i="118" s="1"/>
  <c r="M228" i="118" s="1"/>
  <c r="N228" i="118" s="1"/>
  <c r="O228" i="118" s="1"/>
  <c r="P228" i="118" s="1"/>
  <c r="Q228" i="118" s="1"/>
  <c r="R228" i="118" s="1"/>
  <c r="I227" i="118"/>
  <c r="J227" i="118" s="1"/>
  <c r="K227" i="118" s="1"/>
  <c r="L227" i="118" s="1"/>
  <c r="M227" i="118" s="1"/>
  <c r="N227" i="118" s="1"/>
  <c r="O227" i="118" s="1"/>
  <c r="P227" i="118" s="1"/>
  <c r="Q227" i="118" s="1"/>
  <c r="R227" i="118" s="1"/>
  <c r="I225" i="118"/>
  <c r="J225" i="118" s="1"/>
  <c r="K225" i="118" s="1"/>
  <c r="L225" i="118" s="1"/>
  <c r="M225" i="118" s="1"/>
  <c r="N225" i="118" s="1"/>
  <c r="O225" i="118" s="1"/>
  <c r="P225" i="118" s="1"/>
  <c r="Q225" i="118" s="1"/>
  <c r="R225" i="118" s="1"/>
  <c r="I224" i="118"/>
  <c r="J224" i="118" s="1"/>
  <c r="K224" i="118" s="1"/>
  <c r="L224" i="118" s="1"/>
  <c r="M224" i="118" s="1"/>
  <c r="N224" i="118" s="1"/>
  <c r="O224" i="118" s="1"/>
  <c r="P224" i="118" s="1"/>
  <c r="Q224" i="118" s="1"/>
  <c r="R224" i="118" s="1"/>
  <c r="I223" i="118"/>
  <c r="J223" i="118" s="1"/>
  <c r="K223" i="118" s="1"/>
  <c r="L223" i="118" s="1"/>
  <c r="M223" i="118" s="1"/>
  <c r="N223" i="118" s="1"/>
  <c r="O223" i="118" s="1"/>
  <c r="P223" i="118" s="1"/>
  <c r="Q223" i="118" s="1"/>
  <c r="R223" i="118" s="1"/>
  <c r="C223" i="118"/>
  <c r="C224" i="118" s="1"/>
  <c r="C225" i="118" s="1"/>
  <c r="C226" i="118" s="1"/>
  <c r="C227" i="118" s="1"/>
  <c r="C228" i="118" s="1"/>
  <c r="C229" i="118" s="1"/>
  <c r="C230" i="118" s="1"/>
  <c r="C231" i="118" s="1"/>
  <c r="C232" i="118" s="1"/>
  <c r="C233" i="118" s="1"/>
  <c r="C234" i="118" s="1"/>
  <c r="C235" i="118" s="1"/>
  <c r="C236" i="118" s="1"/>
  <c r="C237" i="118" s="1"/>
  <c r="C238" i="118" s="1"/>
  <c r="C239" i="118" s="1"/>
  <c r="C240" i="118" s="1"/>
  <c r="C241" i="118" s="1"/>
  <c r="C242" i="118" s="1"/>
  <c r="C243" i="118" s="1"/>
  <c r="C244" i="118" s="1"/>
  <c r="C245" i="118" s="1"/>
  <c r="C246" i="118" s="1"/>
  <c r="C247" i="118" s="1"/>
  <c r="C248" i="118" s="1"/>
  <c r="C249" i="118" s="1"/>
  <c r="C250" i="118" s="1"/>
  <c r="C251" i="118" s="1"/>
  <c r="I221" i="118"/>
  <c r="J221" i="118" s="1"/>
  <c r="K221" i="118" s="1"/>
  <c r="L221" i="118" s="1"/>
  <c r="M221" i="118" s="1"/>
  <c r="N221" i="118" s="1"/>
  <c r="O221" i="118" s="1"/>
  <c r="P221" i="118" s="1"/>
  <c r="Q221" i="118" s="1"/>
  <c r="R221" i="118" s="1"/>
  <c r="C218" i="118"/>
  <c r="I215" i="118"/>
  <c r="J215" i="118" s="1"/>
  <c r="K215" i="118" s="1"/>
  <c r="L215" i="118" s="1"/>
  <c r="M215" i="118" s="1"/>
  <c r="N215" i="118" s="1"/>
  <c r="O215" i="118" s="1"/>
  <c r="P215" i="118" s="1"/>
  <c r="Q215" i="118" s="1"/>
  <c r="R215" i="118" s="1"/>
  <c r="I200" i="118"/>
  <c r="J200" i="118" s="1"/>
  <c r="K200" i="118" s="1"/>
  <c r="L200" i="118" s="1"/>
  <c r="M200" i="118" s="1"/>
  <c r="N200" i="118" s="1"/>
  <c r="O200" i="118" s="1"/>
  <c r="P200" i="118" s="1"/>
  <c r="Q200" i="118" s="1"/>
  <c r="R200" i="118" s="1"/>
  <c r="I199" i="118"/>
  <c r="J199" i="118" s="1"/>
  <c r="K199" i="118" s="1"/>
  <c r="L199" i="118" s="1"/>
  <c r="M199" i="118" s="1"/>
  <c r="N199" i="118" s="1"/>
  <c r="O199" i="118" s="1"/>
  <c r="P199" i="118" s="1"/>
  <c r="Q199" i="118" s="1"/>
  <c r="R199" i="118" s="1"/>
  <c r="I193" i="118"/>
  <c r="J193" i="118" s="1"/>
  <c r="K193" i="118" s="1"/>
  <c r="L193" i="118" s="1"/>
  <c r="M193" i="118" s="1"/>
  <c r="N193" i="118" s="1"/>
  <c r="O193" i="118" s="1"/>
  <c r="P193" i="118" s="1"/>
  <c r="Q193" i="118" s="1"/>
  <c r="R193" i="118" s="1"/>
  <c r="I192" i="118"/>
  <c r="J192" i="118" s="1"/>
  <c r="K192" i="118" s="1"/>
  <c r="L192" i="118" s="1"/>
  <c r="M192" i="118" s="1"/>
  <c r="N192" i="118" s="1"/>
  <c r="O192" i="118" s="1"/>
  <c r="P192" i="118" s="1"/>
  <c r="Q192" i="118" s="1"/>
  <c r="R192" i="118" s="1"/>
  <c r="I191" i="118"/>
  <c r="J191" i="118" s="1"/>
  <c r="K191" i="118" s="1"/>
  <c r="L191" i="118" s="1"/>
  <c r="M191" i="118" s="1"/>
  <c r="N191" i="118" s="1"/>
  <c r="O191" i="118" s="1"/>
  <c r="P191" i="118" s="1"/>
  <c r="Q191" i="118" s="1"/>
  <c r="R191" i="118" s="1"/>
  <c r="I189" i="118"/>
  <c r="J189" i="118" s="1"/>
  <c r="K189" i="118" s="1"/>
  <c r="L189" i="118" s="1"/>
  <c r="M189" i="118" s="1"/>
  <c r="N189" i="118" s="1"/>
  <c r="O189" i="118" s="1"/>
  <c r="P189" i="118" s="1"/>
  <c r="Q189" i="118" s="1"/>
  <c r="R189" i="118" s="1"/>
  <c r="I188" i="118"/>
  <c r="J188" i="118" s="1"/>
  <c r="K188" i="118" s="1"/>
  <c r="L188" i="118" s="1"/>
  <c r="M188" i="118" s="1"/>
  <c r="N188" i="118" s="1"/>
  <c r="O188" i="118" s="1"/>
  <c r="P188" i="118" s="1"/>
  <c r="Q188" i="118" s="1"/>
  <c r="R188" i="118" s="1"/>
  <c r="I187" i="118"/>
  <c r="J187" i="118" s="1"/>
  <c r="K187" i="118" s="1"/>
  <c r="L187" i="118" s="1"/>
  <c r="M187" i="118" s="1"/>
  <c r="N187" i="118" s="1"/>
  <c r="O187" i="118" s="1"/>
  <c r="P187" i="118" s="1"/>
  <c r="Q187" i="118" s="1"/>
  <c r="R187" i="118" s="1"/>
  <c r="C187" i="118"/>
  <c r="C188" i="118" s="1"/>
  <c r="C189" i="118" s="1"/>
  <c r="C190" i="118" s="1"/>
  <c r="C191" i="118" s="1"/>
  <c r="C192" i="118" s="1"/>
  <c r="C193" i="118" s="1"/>
  <c r="C194" i="118" s="1"/>
  <c r="C195" i="118" s="1"/>
  <c r="C196" i="118" s="1"/>
  <c r="C197" i="118" s="1"/>
  <c r="C198" i="118" s="1"/>
  <c r="C199" i="118" s="1"/>
  <c r="C200" i="118" s="1"/>
  <c r="C201" i="118" s="1"/>
  <c r="C202" i="118" s="1"/>
  <c r="C203" i="118" s="1"/>
  <c r="C204" i="118" s="1"/>
  <c r="C205" i="118" s="1"/>
  <c r="C206" i="118" s="1"/>
  <c r="C207" i="118" s="1"/>
  <c r="C208" i="118" s="1"/>
  <c r="C209" i="118" s="1"/>
  <c r="C210" i="118" s="1"/>
  <c r="C211" i="118" s="1"/>
  <c r="C212" i="118" s="1"/>
  <c r="C213" i="118" s="1"/>
  <c r="C214" i="118" s="1"/>
  <c r="C215" i="118" s="1"/>
  <c r="I185" i="118"/>
  <c r="J185" i="118" s="1"/>
  <c r="K185" i="118" s="1"/>
  <c r="L185" i="118" s="1"/>
  <c r="M185" i="118" s="1"/>
  <c r="N185" i="118" s="1"/>
  <c r="O185" i="118" s="1"/>
  <c r="P185" i="118" s="1"/>
  <c r="Q185" i="118" s="1"/>
  <c r="R185" i="118" s="1"/>
  <c r="I170" i="118"/>
  <c r="J170" i="118" s="1"/>
  <c r="K170" i="118" s="1"/>
  <c r="L170" i="118" s="1"/>
  <c r="M170" i="118" s="1"/>
  <c r="N170" i="118" s="1"/>
  <c r="O170" i="118" s="1"/>
  <c r="P170" i="118" s="1"/>
  <c r="Q170" i="118" s="1"/>
  <c r="R170" i="118" s="1"/>
  <c r="I169" i="118"/>
  <c r="J169" i="118" s="1"/>
  <c r="K169" i="118" s="1"/>
  <c r="L169" i="118" s="1"/>
  <c r="M169" i="118" s="1"/>
  <c r="N169" i="118" s="1"/>
  <c r="O169" i="118" s="1"/>
  <c r="P169" i="118" s="1"/>
  <c r="Q169" i="118" s="1"/>
  <c r="R169" i="118" s="1"/>
  <c r="I163" i="118"/>
  <c r="J163" i="118" s="1"/>
  <c r="K163" i="118" s="1"/>
  <c r="L163" i="118" s="1"/>
  <c r="M163" i="118" s="1"/>
  <c r="N163" i="118" s="1"/>
  <c r="O163" i="118" s="1"/>
  <c r="P163" i="118" s="1"/>
  <c r="Q163" i="118" s="1"/>
  <c r="R163" i="118" s="1"/>
  <c r="I162" i="118"/>
  <c r="J162" i="118" s="1"/>
  <c r="K162" i="118" s="1"/>
  <c r="L162" i="118" s="1"/>
  <c r="M162" i="118" s="1"/>
  <c r="N162" i="118" s="1"/>
  <c r="O162" i="118" s="1"/>
  <c r="P162" i="118" s="1"/>
  <c r="Q162" i="118" s="1"/>
  <c r="R162" i="118" s="1"/>
  <c r="I161" i="118"/>
  <c r="J161" i="118" s="1"/>
  <c r="K161" i="118" s="1"/>
  <c r="L161" i="118" s="1"/>
  <c r="M161" i="118" s="1"/>
  <c r="N161" i="118" s="1"/>
  <c r="O161" i="118" s="1"/>
  <c r="P161" i="118" s="1"/>
  <c r="Q161" i="118" s="1"/>
  <c r="R161" i="118" s="1"/>
  <c r="I159" i="118"/>
  <c r="J159" i="118" s="1"/>
  <c r="K159" i="118" s="1"/>
  <c r="L159" i="118" s="1"/>
  <c r="M159" i="118" s="1"/>
  <c r="N159" i="118" s="1"/>
  <c r="O159" i="118" s="1"/>
  <c r="P159" i="118" s="1"/>
  <c r="Q159" i="118" s="1"/>
  <c r="R159" i="118" s="1"/>
  <c r="I158" i="118"/>
  <c r="J158" i="118" s="1"/>
  <c r="K158" i="118" s="1"/>
  <c r="L158" i="118" s="1"/>
  <c r="M158" i="118" s="1"/>
  <c r="N158" i="118" s="1"/>
  <c r="O158" i="118" s="1"/>
  <c r="P158" i="118" s="1"/>
  <c r="Q158" i="118" s="1"/>
  <c r="R158" i="118" s="1"/>
  <c r="I157" i="118"/>
  <c r="J157" i="118" s="1"/>
  <c r="K157" i="118" s="1"/>
  <c r="L157" i="118" s="1"/>
  <c r="M157" i="118" s="1"/>
  <c r="N157" i="118" s="1"/>
  <c r="O157" i="118" s="1"/>
  <c r="P157" i="118" s="1"/>
  <c r="Q157" i="118" s="1"/>
  <c r="R157" i="118" s="1"/>
  <c r="C157" i="118"/>
  <c r="C158" i="118" s="1"/>
  <c r="C159" i="118" s="1"/>
  <c r="C160" i="118" s="1"/>
  <c r="C161" i="118" s="1"/>
  <c r="C162" i="118" s="1"/>
  <c r="C163" i="118" s="1"/>
  <c r="C164" i="118" s="1"/>
  <c r="C165" i="118" s="1"/>
  <c r="C166" i="118" s="1"/>
  <c r="C167" i="118" s="1"/>
  <c r="C168" i="118" s="1"/>
  <c r="C169" i="118" s="1"/>
  <c r="C170" i="118" s="1"/>
  <c r="C171" i="118" s="1"/>
  <c r="C172" i="118" s="1"/>
  <c r="C173" i="118" s="1"/>
  <c r="C174" i="118" s="1"/>
  <c r="C175" i="118" s="1"/>
  <c r="C176" i="118" s="1"/>
  <c r="C177" i="118" s="1"/>
  <c r="C178" i="118" s="1"/>
  <c r="C179" i="118" s="1"/>
  <c r="C180" i="118" s="1"/>
  <c r="C181" i="118" s="1"/>
  <c r="C182" i="118" s="1"/>
  <c r="C183" i="118" s="1"/>
  <c r="C184" i="118" s="1"/>
  <c r="C185" i="118" s="1"/>
  <c r="I155" i="118"/>
  <c r="J155" i="118" s="1"/>
  <c r="K155" i="118" s="1"/>
  <c r="L155" i="118" s="1"/>
  <c r="M155" i="118" s="1"/>
  <c r="N155" i="118" s="1"/>
  <c r="O155" i="118" s="1"/>
  <c r="P155" i="118" s="1"/>
  <c r="Q155" i="118" s="1"/>
  <c r="R155" i="118" s="1"/>
  <c r="I140" i="118"/>
  <c r="J140" i="118" s="1"/>
  <c r="K140" i="118" s="1"/>
  <c r="L140" i="118" s="1"/>
  <c r="M140" i="118" s="1"/>
  <c r="N140" i="118" s="1"/>
  <c r="O140" i="118" s="1"/>
  <c r="P140" i="118" s="1"/>
  <c r="Q140" i="118" s="1"/>
  <c r="R140" i="118" s="1"/>
  <c r="I139" i="118"/>
  <c r="J139" i="118" s="1"/>
  <c r="K139" i="118" s="1"/>
  <c r="L139" i="118" s="1"/>
  <c r="M139" i="118" s="1"/>
  <c r="N139" i="118" s="1"/>
  <c r="O139" i="118" s="1"/>
  <c r="P139" i="118" s="1"/>
  <c r="Q139" i="118" s="1"/>
  <c r="R139" i="118" s="1"/>
  <c r="I133" i="118"/>
  <c r="J133" i="118" s="1"/>
  <c r="K133" i="118" s="1"/>
  <c r="L133" i="118" s="1"/>
  <c r="M133" i="118" s="1"/>
  <c r="N133" i="118" s="1"/>
  <c r="O133" i="118" s="1"/>
  <c r="P133" i="118" s="1"/>
  <c r="Q133" i="118" s="1"/>
  <c r="R133" i="118" s="1"/>
  <c r="I132" i="118"/>
  <c r="J132" i="118" s="1"/>
  <c r="K132" i="118" s="1"/>
  <c r="L132" i="118" s="1"/>
  <c r="M132" i="118" s="1"/>
  <c r="N132" i="118" s="1"/>
  <c r="O132" i="118" s="1"/>
  <c r="P132" i="118" s="1"/>
  <c r="Q132" i="118" s="1"/>
  <c r="R132" i="118" s="1"/>
  <c r="I131" i="118"/>
  <c r="J131" i="118" s="1"/>
  <c r="K131" i="118" s="1"/>
  <c r="L131" i="118" s="1"/>
  <c r="M131" i="118" s="1"/>
  <c r="N131" i="118" s="1"/>
  <c r="O131" i="118" s="1"/>
  <c r="P131" i="118" s="1"/>
  <c r="Q131" i="118" s="1"/>
  <c r="R131" i="118" s="1"/>
  <c r="I129" i="118"/>
  <c r="J129" i="118" s="1"/>
  <c r="K129" i="118" s="1"/>
  <c r="L129" i="118" s="1"/>
  <c r="M129" i="118" s="1"/>
  <c r="N129" i="118" s="1"/>
  <c r="O129" i="118" s="1"/>
  <c r="P129" i="118" s="1"/>
  <c r="Q129" i="118" s="1"/>
  <c r="R129" i="118" s="1"/>
  <c r="I128" i="118"/>
  <c r="J128" i="118" s="1"/>
  <c r="K128" i="118" s="1"/>
  <c r="L128" i="118" s="1"/>
  <c r="M128" i="118" s="1"/>
  <c r="N128" i="118" s="1"/>
  <c r="O128" i="118" s="1"/>
  <c r="P128" i="118" s="1"/>
  <c r="Q128" i="118" s="1"/>
  <c r="R128" i="118" s="1"/>
  <c r="I127" i="118"/>
  <c r="J127" i="118" s="1"/>
  <c r="K127" i="118" s="1"/>
  <c r="L127" i="118" s="1"/>
  <c r="M127" i="118" s="1"/>
  <c r="N127" i="118" s="1"/>
  <c r="O127" i="118" s="1"/>
  <c r="P127" i="118" s="1"/>
  <c r="Q127" i="118" s="1"/>
  <c r="R127" i="118" s="1"/>
  <c r="C127" i="118"/>
  <c r="C128" i="118" s="1"/>
  <c r="C129" i="118" s="1"/>
  <c r="C130" i="118" s="1"/>
  <c r="C131" i="118" s="1"/>
  <c r="C132" i="118" s="1"/>
  <c r="C133" i="118" s="1"/>
  <c r="C134" i="118" s="1"/>
  <c r="C135" i="118" s="1"/>
  <c r="C136" i="118" s="1"/>
  <c r="C137" i="118" s="1"/>
  <c r="C138" i="118" s="1"/>
  <c r="C139" i="118" s="1"/>
  <c r="C140" i="118" s="1"/>
  <c r="C141" i="118" s="1"/>
  <c r="C142" i="118" s="1"/>
  <c r="C143" i="118" s="1"/>
  <c r="C144" i="118" s="1"/>
  <c r="C145" i="118" s="1"/>
  <c r="C146" i="118" s="1"/>
  <c r="C147" i="118" s="1"/>
  <c r="C148" i="118" s="1"/>
  <c r="C149" i="118" s="1"/>
  <c r="C150" i="118" s="1"/>
  <c r="C151" i="118" s="1"/>
  <c r="C152" i="118" s="1"/>
  <c r="C153" i="118" s="1"/>
  <c r="C154" i="118" s="1"/>
  <c r="C155" i="118" s="1"/>
  <c r="I125" i="118"/>
  <c r="J125" i="118" s="1"/>
  <c r="K125" i="118" s="1"/>
  <c r="L125" i="118" s="1"/>
  <c r="M125" i="118" s="1"/>
  <c r="N125" i="118" s="1"/>
  <c r="O125" i="118" s="1"/>
  <c r="P125" i="118" s="1"/>
  <c r="Q125" i="118" s="1"/>
  <c r="R125" i="118" s="1"/>
  <c r="I103" i="118"/>
  <c r="J103" i="118" s="1"/>
  <c r="K103" i="118" s="1"/>
  <c r="L103" i="118" s="1"/>
  <c r="M103" i="118" s="1"/>
  <c r="N103" i="118" s="1"/>
  <c r="O103" i="118" s="1"/>
  <c r="P103" i="118" s="1"/>
  <c r="Q103" i="118" s="1"/>
  <c r="R103" i="118" s="1"/>
  <c r="I102" i="118"/>
  <c r="J102" i="118" s="1"/>
  <c r="K102" i="118" s="1"/>
  <c r="L102" i="118" s="1"/>
  <c r="M102" i="118" s="1"/>
  <c r="N102" i="118" s="1"/>
  <c r="O102" i="118" s="1"/>
  <c r="P102" i="118" s="1"/>
  <c r="Q102" i="118" s="1"/>
  <c r="R102" i="118" s="1"/>
  <c r="I101" i="118"/>
  <c r="J101" i="118" s="1"/>
  <c r="K101" i="118" s="1"/>
  <c r="L101" i="118" s="1"/>
  <c r="M101" i="118" s="1"/>
  <c r="N101" i="118" s="1"/>
  <c r="O101" i="118" s="1"/>
  <c r="P101" i="118" s="1"/>
  <c r="Q101" i="118" s="1"/>
  <c r="R101" i="118" s="1"/>
  <c r="I99" i="118"/>
  <c r="J99" i="118" s="1"/>
  <c r="K99" i="118" s="1"/>
  <c r="L99" i="118" s="1"/>
  <c r="M99" i="118" s="1"/>
  <c r="N99" i="118" s="1"/>
  <c r="O99" i="118" s="1"/>
  <c r="P99" i="118" s="1"/>
  <c r="Q99" i="118" s="1"/>
  <c r="R99" i="118" s="1"/>
  <c r="I98" i="118"/>
  <c r="J98" i="118" s="1"/>
  <c r="K98" i="118" s="1"/>
  <c r="L98" i="118" s="1"/>
  <c r="M98" i="118" s="1"/>
  <c r="N98" i="118" s="1"/>
  <c r="O98" i="118" s="1"/>
  <c r="P98" i="118" s="1"/>
  <c r="Q98" i="118" s="1"/>
  <c r="R98" i="118" s="1"/>
  <c r="I97" i="118"/>
  <c r="J97" i="118" s="1"/>
  <c r="K97" i="118" s="1"/>
  <c r="L97" i="118" s="1"/>
  <c r="M97" i="118" s="1"/>
  <c r="N97" i="118" s="1"/>
  <c r="O97" i="118" s="1"/>
  <c r="P97" i="118" s="1"/>
  <c r="Q97" i="118" s="1"/>
  <c r="R97" i="118" s="1"/>
  <c r="C97" i="118"/>
  <c r="C98" i="118" s="1"/>
  <c r="C99" i="118" s="1"/>
  <c r="C100" i="118" s="1"/>
  <c r="C101" i="118" s="1"/>
  <c r="C102" i="118" s="1"/>
  <c r="C103" i="118" s="1"/>
  <c r="C104" i="118" s="1"/>
  <c r="C105" i="118" s="1"/>
  <c r="C106" i="118" s="1"/>
  <c r="C107" i="118" s="1"/>
  <c r="C108" i="118" s="1"/>
  <c r="C109" i="118" s="1"/>
  <c r="C110" i="118" s="1"/>
  <c r="C111" i="118" s="1"/>
  <c r="C112" i="118" s="1"/>
  <c r="C113" i="118" s="1"/>
  <c r="C114" i="118" s="1"/>
  <c r="C115" i="118" s="1"/>
  <c r="C116" i="118" s="1"/>
  <c r="C117" i="118" s="1"/>
  <c r="C118" i="118" s="1"/>
  <c r="C119" i="118" s="1"/>
  <c r="C120" i="118" s="1"/>
  <c r="C121" i="118" s="1"/>
  <c r="C122" i="118" s="1"/>
  <c r="C123" i="118" s="1"/>
  <c r="C124" i="118" s="1"/>
  <c r="C125" i="118" s="1"/>
  <c r="I95" i="118"/>
  <c r="J95" i="118" s="1"/>
  <c r="K95" i="118" s="1"/>
  <c r="L95" i="118" s="1"/>
  <c r="M95" i="118" s="1"/>
  <c r="N95" i="118" s="1"/>
  <c r="O95" i="118" s="1"/>
  <c r="P95" i="118" s="1"/>
  <c r="Q95" i="118" s="1"/>
  <c r="R95" i="118" s="1"/>
  <c r="I73" i="118"/>
  <c r="J73" i="118" s="1"/>
  <c r="K73" i="118" s="1"/>
  <c r="L73" i="118" s="1"/>
  <c r="M73" i="118" s="1"/>
  <c r="N73" i="118" s="1"/>
  <c r="O73" i="118" s="1"/>
  <c r="P73" i="118" s="1"/>
  <c r="Q73" i="118" s="1"/>
  <c r="R73" i="118" s="1"/>
  <c r="I72" i="118"/>
  <c r="J72" i="118" s="1"/>
  <c r="K72" i="118" s="1"/>
  <c r="L72" i="118" s="1"/>
  <c r="M72" i="118" s="1"/>
  <c r="N72" i="118" s="1"/>
  <c r="O72" i="118" s="1"/>
  <c r="P72" i="118" s="1"/>
  <c r="Q72" i="118" s="1"/>
  <c r="R72" i="118" s="1"/>
  <c r="I71" i="118"/>
  <c r="J71" i="118" s="1"/>
  <c r="K71" i="118" s="1"/>
  <c r="L71" i="118" s="1"/>
  <c r="M71" i="118" s="1"/>
  <c r="N71" i="118" s="1"/>
  <c r="O71" i="118" s="1"/>
  <c r="P71" i="118" s="1"/>
  <c r="Q71" i="118" s="1"/>
  <c r="R71" i="118" s="1"/>
  <c r="I69" i="118"/>
  <c r="J69" i="118" s="1"/>
  <c r="K69" i="118" s="1"/>
  <c r="L69" i="118" s="1"/>
  <c r="M69" i="118" s="1"/>
  <c r="N69" i="118" s="1"/>
  <c r="O69" i="118" s="1"/>
  <c r="P69" i="118" s="1"/>
  <c r="Q69" i="118" s="1"/>
  <c r="R69" i="118" s="1"/>
  <c r="I68" i="118"/>
  <c r="J68" i="118" s="1"/>
  <c r="K68" i="118" s="1"/>
  <c r="L68" i="118" s="1"/>
  <c r="M68" i="118" s="1"/>
  <c r="N68" i="118" s="1"/>
  <c r="O68" i="118" s="1"/>
  <c r="P68" i="118" s="1"/>
  <c r="Q68" i="118" s="1"/>
  <c r="R68" i="118" s="1"/>
  <c r="I67" i="118"/>
  <c r="J67" i="118" s="1"/>
  <c r="K67" i="118" s="1"/>
  <c r="L67" i="118" s="1"/>
  <c r="M67" i="118" s="1"/>
  <c r="N67" i="118" s="1"/>
  <c r="O67" i="118" s="1"/>
  <c r="P67" i="118" s="1"/>
  <c r="Q67" i="118" s="1"/>
  <c r="R67" i="118" s="1"/>
  <c r="C67" i="118"/>
  <c r="C68" i="118" s="1"/>
  <c r="C69" i="118" s="1"/>
  <c r="C70" i="118" s="1"/>
  <c r="C71" i="118" s="1"/>
  <c r="C72" i="118" s="1"/>
  <c r="C73" i="118" s="1"/>
  <c r="C74" i="118" s="1"/>
  <c r="C75" i="118" s="1"/>
  <c r="C76" i="118" s="1"/>
  <c r="C77" i="118" s="1"/>
  <c r="C78" i="118" s="1"/>
  <c r="C79" i="118" s="1"/>
  <c r="C80" i="118" s="1"/>
  <c r="C81" i="118" s="1"/>
  <c r="C82" i="118" s="1"/>
  <c r="C83" i="118" s="1"/>
  <c r="C84" i="118" s="1"/>
  <c r="C85" i="118" s="1"/>
  <c r="C86" i="118" s="1"/>
  <c r="C87" i="118" s="1"/>
  <c r="C88" i="118" s="1"/>
  <c r="C89" i="118" s="1"/>
  <c r="C90" i="118" s="1"/>
  <c r="C91" i="118" s="1"/>
  <c r="C92" i="118" s="1"/>
  <c r="C93" i="118" s="1"/>
  <c r="C94" i="118" s="1"/>
  <c r="C95" i="118" s="1"/>
  <c r="I65" i="118"/>
  <c r="J65" i="118" s="1"/>
  <c r="K65" i="118" s="1"/>
  <c r="L65" i="118" s="1"/>
  <c r="M65" i="118" s="1"/>
  <c r="N65" i="118" s="1"/>
  <c r="O65" i="118" s="1"/>
  <c r="P65" i="118" s="1"/>
  <c r="Q65" i="118" s="1"/>
  <c r="R65" i="118" s="1"/>
  <c r="C62" i="118"/>
  <c r="R57" i="118"/>
  <c r="Q57" i="118"/>
  <c r="P57" i="118"/>
  <c r="O57" i="118"/>
  <c r="N57" i="118"/>
  <c r="M57" i="118"/>
  <c r="L57" i="118"/>
  <c r="K57" i="118"/>
  <c r="J57" i="118"/>
  <c r="I57" i="118"/>
  <c r="H57" i="118"/>
  <c r="C56" i="118"/>
  <c r="C57" i="118" s="1"/>
  <c r="C58" i="118" s="1"/>
  <c r="C59" i="118" s="1"/>
  <c r="R52" i="118"/>
  <c r="Q52" i="118"/>
  <c r="P52" i="118"/>
  <c r="O52" i="118"/>
  <c r="N52" i="118"/>
  <c r="M52" i="118"/>
  <c r="L52" i="118"/>
  <c r="K52" i="118"/>
  <c r="J52" i="118"/>
  <c r="I52" i="118"/>
  <c r="H52" i="118"/>
  <c r="C51" i="118"/>
  <c r="C52" i="118" s="1"/>
  <c r="C53" i="118" s="1"/>
  <c r="C54" i="118" s="1"/>
  <c r="R47" i="118"/>
  <c r="Q47" i="118"/>
  <c r="P47" i="118"/>
  <c r="O47" i="118"/>
  <c r="N47" i="118"/>
  <c r="M47" i="118"/>
  <c r="L47" i="118"/>
  <c r="K47" i="118"/>
  <c r="J47" i="118"/>
  <c r="I47" i="118"/>
  <c r="H47" i="118"/>
  <c r="C46" i="118"/>
  <c r="C47" i="118" s="1"/>
  <c r="C48" i="118" s="1"/>
  <c r="C49" i="118" s="1"/>
  <c r="R42" i="118"/>
  <c r="Q42" i="118"/>
  <c r="P42" i="118"/>
  <c r="O42" i="118"/>
  <c r="N42" i="118"/>
  <c r="M42" i="118"/>
  <c r="L42" i="118"/>
  <c r="K42" i="118"/>
  <c r="J42" i="118"/>
  <c r="I42" i="118"/>
  <c r="H42" i="118"/>
  <c r="C41" i="118"/>
  <c r="C42" i="118" s="1"/>
  <c r="C43" i="118" s="1"/>
  <c r="C44" i="118" s="1"/>
  <c r="C37" i="118"/>
  <c r="I25" i="118"/>
  <c r="J25" i="118" s="1"/>
  <c r="K25" i="118" s="1"/>
  <c r="L25" i="118" s="1"/>
  <c r="M25" i="118" s="1"/>
  <c r="N25" i="118" s="1"/>
  <c r="O25" i="118" s="1"/>
  <c r="P25" i="118" s="1"/>
  <c r="Q25" i="118" s="1"/>
  <c r="R25" i="118" s="1"/>
  <c r="C22" i="118"/>
  <c r="E19" i="118"/>
  <c r="R18" i="118"/>
  <c r="Q18" i="118"/>
  <c r="P18" i="118"/>
  <c r="O18" i="118"/>
  <c r="N18" i="118"/>
  <c r="M18" i="118"/>
  <c r="L18" i="118"/>
  <c r="K18" i="118"/>
  <c r="J18" i="118"/>
  <c r="I18" i="118"/>
  <c r="H18" i="118"/>
  <c r="E18" i="118"/>
  <c r="R17" i="118"/>
  <c r="R19" i="118" s="1"/>
  <c r="Q17" i="118"/>
  <c r="Q19" i="118" s="1"/>
  <c r="P17" i="118"/>
  <c r="P19" i="118" s="1"/>
  <c r="O17" i="118"/>
  <c r="O19" i="118" s="1"/>
  <c r="N17" i="118"/>
  <c r="N19" i="118" s="1"/>
  <c r="M17" i="118"/>
  <c r="M19" i="118" s="1"/>
  <c r="L17" i="118"/>
  <c r="L19" i="118" s="1"/>
  <c r="K17" i="118"/>
  <c r="K19" i="118" s="1"/>
  <c r="J17" i="118"/>
  <c r="J19" i="118" s="1"/>
  <c r="I17" i="118"/>
  <c r="I19" i="118" s="1"/>
  <c r="H17" i="118"/>
  <c r="H19" i="118" s="1"/>
  <c r="E17" i="118"/>
  <c r="C15" i="118"/>
  <c r="C11" i="118"/>
  <c r="C5" i="118"/>
  <c r="L849" i="118" l="1"/>
  <c r="K849" i="118"/>
  <c r="R849" i="118"/>
  <c r="J849" i="118"/>
  <c r="Q849" i="118"/>
  <c r="I849" i="118"/>
  <c r="P849" i="118"/>
  <c r="O849" i="118"/>
  <c r="N849" i="118"/>
  <c r="M849" i="118"/>
  <c r="C407" i="118"/>
  <c r="C347" i="118"/>
  <c r="C316" i="118"/>
  <c r="C317" i="118"/>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C1" i="102" l="1" a="1"/>
  <c r="C1" i="102" s="1"/>
  <c r="C10" i="115" l="1"/>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832" i="118" s="1"/>
  <c r="BF129" i="111"/>
  <c r="BE129" i="111"/>
  <c r="BD129" i="111"/>
  <c r="BC129" i="111"/>
  <c r="BB129" i="111"/>
  <c r="N129" i="111" s="1"/>
  <c r="O832" i="118" s="1"/>
  <c r="BA129" i="111"/>
  <c r="AZ129" i="111"/>
  <c r="AY129" i="111"/>
  <c r="AX129" i="111"/>
  <c r="AW129" i="111"/>
  <c r="M129" i="111" s="1"/>
  <c r="N832" i="118" s="1"/>
  <c r="AV129" i="111"/>
  <c r="AU129" i="111"/>
  <c r="AT129" i="111"/>
  <c r="AS129" i="111"/>
  <c r="AR129" i="111"/>
  <c r="L129" i="111" s="1"/>
  <c r="M832" i="118" s="1"/>
  <c r="AQ129" i="111"/>
  <c r="AP129" i="111"/>
  <c r="AO129" i="111"/>
  <c r="AN129" i="111"/>
  <c r="AM129" i="111"/>
  <c r="K129" i="111" s="1"/>
  <c r="L832" i="118" s="1"/>
  <c r="AL129" i="111"/>
  <c r="AK129" i="111"/>
  <c r="AJ129" i="111"/>
  <c r="AI129" i="111"/>
  <c r="AH129" i="111"/>
  <c r="J129" i="111" s="1"/>
  <c r="K832" i="118" s="1"/>
  <c r="AG129" i="111"/>
  <c r="AF129" i="111"/>
  <c r="AE129" i="111"/>
  <c r="AD129" i="111"/>
  <c r="AC129" i="111"/>
  <c r="I129" i="111" s="1"/>
  <c r="J832" i="118" s="1"/>
  <c r="AB129" i="111"/>
  <c r="AA129" i="111"/>
  <c r="Z129" i="111"/>
  <c r="Y129" i="111"/>
  <c r="X129" i="111"/>
  <c r="H129" i="111" s="1"/>
  <c r="I832" i="118"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BU265" i="109" s="1"/>
  <c r="BV265" i="109" s="1"/>
  <c r="AS264" i="109"/>
  <c r="AT264" i="109" s="1"/>
  <c r="AU264" i="109" s="1"/>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3" i="109"/>
  <c r="AT263" i="109" s="1"/>
  <c r="AU263" i="109" s="1"/>
  <c r="AV263" i="109" s="1"/>
  <c r="AW263" i="109" s="1"/>
  <c r="AX263" i="109" s="1"/>
  <c r="AY263" i="109" s="1"/>
  <c r="AZ263" i="109" s="1"/>
  <c r="BA263" i="109" s="1"/>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U262" i="109"/>
  <c r="AV262" i="109" s="1"/>
  <c r="AW262" i="109" s="1"/>
  <c r="AX262" i="109" s="1"/>
  <c r="AY262" i="109" s="1"/>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S262" i="109"/>
  <c r="AT262" i="109" s="1"/>
  <c r="AS261" i="109"/>
  <c r="AT261" i="109" s="1"/>
  <c r="AU261" i="109" s="1"/>
  <c r="AV261" i="109" s="1"/>
  <c r="AW261" i="109" s="1"/>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0" i="109"/>
  <c r="AT260" i="109" s="1"/>
  <c r="AU260" i="109" s="1"/>
  <c r="AV260" i="109" s="1"/>
  <c r="AW260" i="109" s="1"/>
  <c r="AX260" i="109" s="1"/>
  <c r="AY260" i="109" s="1"/>
  <c r="AZ260" i="109" s="1"/>
  <c r="BA260" i="109" s="1"/>
  <c r="BB260" i="109" s="1"/>
  <c r="BC260" i="109" s="1"/>
  <c r="BD260" i="109" s="1"/>
  <c r="BE260" i="109" s="1"/>
  <c r="BF260" i="109" s="1"/>
  <c r="BG260" i="109" s="1"/>
  <c r="BH260" i="109" s="1"/>
  <c r="BI260" i="109" s="1"/>
  <c r="BJ260" i="109" s="1"/>
  <c r="BK260" i="109" s="1"/>
  <c r="BL260" i="109" s="1"/>
  <c r="BM260" i="109" s="1"/>
  <c r="BN260" i="109" s="1"/>
  <c r="BO260" i="109" s="1"/>
  <c r="BP260" i="109" s="1"/>
  <c r="BQ260" i="109" s="1"/>
  <c r="BR260" i="109" s="1"/>
  <c r="BS260" i="109" s="1"/>
  <c r="BT260" i="109" s="1"/>
  <c r="BU260" i="109" s="1"/>
  <c r="BV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S259" i="109"/>
  <c r="AT259" i="109" s="1"/>
  <c r="AU259" i="109" s="1"/>
  <c r="AV259" i="109" s="1"/>
  <c r="AW259" i="109" s="1"/>
  <c r="AX259" i="109" s="1"/>
  <c r="AY259" i="109" s="1"/>
  <c r="AZ259" i="109" s="1"/>
  <c r="BA259" i="109" s="1"/>
  <c r="BB259" i="109" s="1"/>
  <c r="AW258" i="109"/>
  <c r="AX258" i="109" s="1"/>
  <c r="AY258" i="109" s="1"/>
  <c r="AZ258" i="109" s="1"/>
  <c r="BA258" i="109" s="1"/>
  <c r="BB258" i="109" s="1"/>
  <c r="BC258" i="109" s="1"/>
  <c r="BD258" i="109" s="1"/>
  <c r="BE258" i="109" s="1"/>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S258" i="109"/>
  <c r="AT258" i="109" s="1"/>
  <c r="AU258" i="109" s="1"/>
  <c r="AV258" i="109" s="1"/>
  <c r="AS257" i="109"/>
  <c r="AT257" i="109" s="1"/>
  <c r="AU257" i="109" s="1"/>
  <c r="AV257" i="109" s="1"/>
  <c r="AW257" i="109" s="1"/>
  <c r="AX257" i="109" s="1"/>
  <c r="AY257" i="109" s="1"/>
  <c r="AZ257" i="109" s="1"/>
  <c r="BA257" i="109" s="1"/>
  <c r="BB257" i="109" s="1"/>
  <c r="BC257" i="109" s="1"/>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S256" i="109"/>
  <c r="AT256" i="109" s="1"/>
  <c r="AU256" i="109" s="1"/>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S253" i="109"/>
  <c r="AT253" i="109" s="1"/>
  <c r="AU253" i="109" s="1"/>
  <c r="AV253" i="109" s="1"/>
  <c r="AW253" i="109" s="1"/>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S251" i="109"/>
  <c r="AT251" i="109" s="1"/>
  <c r="AU251" i="109" s="1"/>
  <c r="AV251" i="109" s="1"/>
  <c r="AW251" i="109" s="1"/>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S249" i="109"/>
  <c r="AT249" i="109" s="1"/>
  <c r="AU249" i="109" s="1"/>
  <c r="AV249" i="109" s="1"/>
  <c r="AW249" i="109" s="1"/>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S247" i="109"/>
  <c r="AT247" i="109" s="1"/>
  <c r="AU247" i="109" s="1"/>
  <c r="AV247" i="109" s="1"/>
  <c r="AW247" i="109" s="1"/>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S245" i="109"/>
  <c r="AT245" i="109" s="1"/>
  <c r="AU245" i="109" s="1"/>
  <c r="AV245" i="109" s="1"/>
  <c r="AW245" i="109" s="1"/>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S225" i="109"/>
  <c r="AT225" i="109" s="1"/>
  <c r="AU225" i="109" s="1"/>
  <c r="AV225" i="109" s="1"/>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T224" i="109"/>
  <c r="AU224" i="109" s="1"/>
  <c r="AV224" i="109" s="1"/>
  <c r="AW224" i="109" s="1"/>
  <c r="AX224" i="109" s="1"/>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S222" i="109"/>
  <c r="AT222" i="109" s="1"/>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1" i="109"/>
  <c r="AT221" i="109" s="1"/>
  <c r="AU221" i="109" s="1"/>
  <c r="AV221" i="109" s="1"/>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T220" i="109"/>
  <c r="AU220" i="109" s="1"/>
  <c r="AV220" i="109" s="1"/>
  <c r="AW220" i="109" s="1"/>
  <c r="AX220" i="109" s="1"/>
  <c r="AY220" i="109" s="1"/>
  <c r="AZ220" i="109" s="1"/>
  <c r="BA220" i="109" s="1"/>
  <c r="BB220" i="109" s="1"/>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S220" i="109"/>
  <c r="AS219" i="109"/>
  <c r="AT219" i="109" s="1"/>
  <c r="AU219" i="109" s="1"/>
  <c r="AV219" i="109" s="1"/>
  <c r="AW219" i="109" s="1"/>
  <c r="AX219" i="109" s="1"/>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S218" i="109"/>
  <c r="AT218" i="109" s="1"/>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T217" i="109"/>
  <c r="AU217" i="109" s="1"/>
  <c r="AV217" i="109" s="1"/>
  <c r="AW217" i="109" s="1"/>
  <c r="AX217" i="109" s="1"/>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S215" i="109"/>
  <c r="AT215" i="109" s="1"/>
  <c r="AU215" i="109" s="1"/>
  <c r="AV215" i="109" s="1"/>
  <c r="AW215" i="109" s="1"/>
  <c r="AX215" i="109" s="1"/>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S213" i="109"/>
  <c r="AT213" i="109" s="1"/>
  <c r="AU213" i="109" s="1"/>
  <c r="AV213" i="109" s="1"/>
  <c r="AW213" i="109" s="1"/>
  <c r="AX213" i="109" s="1"/>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S211" i="109"/>
  <c r="AT211" i="109" s="1"/>
  <c r="AU211" i="109" s="1"/>
  <c r="AV211" i="109" s="1"/>
  <c r="AW211" i="109" s="1"/>
  <c r="AX211" i="109" s="1"/>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S185" i="109"/>
  <c r="AT185" i="109" s="1"/>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T183" i="109"/>
  <c r="AU183" i="109" s="1"/>
  <c r="AV183" i="109" s="1"/>
  <c r="AW183" i="109" s="1"/>
  <c r="AX183" i="109" s="1"/>
  <c r="AY183" i="109" s="1"/>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S183" i="109"/>
  <c r="AS182" i="109"/>
  <c r="AT182" i="109" s="1"/>
  <c r="AU182" i="109" s="1"/>
  <c r="AV182" i="109" s="1"/>
  <c r="AW182" i="109" s="1"/>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S181" i="109"/>
  <c r="AT181" i="109" s="1"/>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AS179" i="109"/>
  <c r="AT179" i="109" s="1"/>
  <c r="AU179" i="109" s="1"/>
  <c r="AV179" i="109" s="1"/>
  <c r="AW179" i="109" s="1"/>
  <c r="AX179" i="109" s="1"/>
  <c r="AY179" i="109" s="1"/>
  <c r="AZ179" i="109" s="1"/>
  <c r="BA179" i="109" s="1"/>
  <c r="BB179" i="109" s="1"/>
  <c r="BC179" i="109" s="1"/>
  <c r="BD179" i="109" s="1"/>
  <c r="BE179" i="109" s="1"/>
  <c r="BF179" i="109" s="1"/>
  <c r="BG179" i="109" s="1"/>
  <c r="BH179" i="109" s="1"/>
  <c r="BI179" i="109" s="1"/>
  <c r="BJ179" i="109" s="1"/>
  <c r="BK179" i="109" s="1"/>
  <c r="BL179" i="109" s="1"/>
  <c r="BM179" i="109" s="1"/>
  <c r="BN179" i="109" s="1"/>
  <c r="BO179" i="109" s="1"/>
  <c r="BP179" i="109" s="1"/>
  <c r="BQ179" i="109" s="1"/>
  <c r="BR179" i="109" s="1"/>
  <c r="BS179" i="109" s="1"/>
  <c r="BT179" i="109" s="1"/>
  <c r="BU179" i="109" s="1"/>
  <c r="BV179" i="109" s="1"/>
  <c r="AS178" i="109"/>
  <c r="AT178" i="109" s="1"/>
  <c r="AU178" i="109" s="1"/>
  <c r="AV178" i="109" s="1"/>
  <c r="AW178" i="109" s="1"/>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T177" i="109"/>
  <c r="AU177" i="109" s="1"/>
  <c r="AV177" i="109" s="1"/>
  <c r="AW177" i="109" s="1"/>
  <c r="AS177" i="109"/>
  <c r="AS176" i="109"/>
  <c r="AT176" i="109" s="1"/>
  <c r="AU176" i="109" s="1"/>
  <c r="AV176" i="109" s="1"/>
  <c r="AW176" i="109" s="1"/>
  <c r="AX176" i="109" s="1"/>
  <c r="AY176" i="109" s="1"/>
  <c r="AZ176" i="109" s="1"/>
  <c r="BA176" i="109" s="1"/>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S147" i="109"/>
  <c r="AT147" i="109" s="1"/>
  <c r="AU147" i="109" s="1"/>
  <c r="AV147" i="109" s="1"/>
  <c r="AW147" i="109" s="1"/>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S146" i="109"/>
  <c r="AT146" i="109" s="1"/>
  <c r="AU146" i="109" s="1"/>
  <c r="AV146" i="109" s="1"/>
  <c r="AW146" i="109" s="1"/>
  <c r="AX146" i="109" s="1"/>
  <c r="AY146" i="109" s="1"/>
  <c r="AZ146" i="109" s="1"/>
  <c r="BA146" i="109" s="1"/>
  <c r="BB146" i="109" s="1"/>
  <c r="AS145" i="109"/>
  <c r="AT145" i="109" s="1"/>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4" i="109"/>
  <c r="AT144" i="109" s="1"/>
  <c r="AU144" i="109" s="1"/>
  <c r="AV144" i="109" s="1"/>
  <c r="AW144" i="109" s="1"/>
  <c r="AX144" i="109" s="1"/>
  <c r="AY144" i="109" s="1"/>
  <c r="AZ144" i="109" s="1"/>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T143" i="109"/>
  <c r="AU143" i="109" s="1"/>
  <c r="AV143" i="109" s="1"/>
  <c r="AW143" i="109" s="1"/>
  <c r="AX143" i="109" s="1"/>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S141" i="109"/>
  <c r="AT141" i="109" s="1"/>
  <c r="AU141" i="109" s="1"/>
  <c r="AV141" i="109" s="1"/>
  <c r="AW141" i="109" s="1"/>
  <c r="AX141" i="109" s="1"/>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S139" i="109"/>
  <c r="AT139" i="109" s="1"/>
  <c r="AU139" i="109" s="1"/>
  <c r="AV139" i="109" s="1"/>
  <c r="AW139" i="109" s="1"/>
  <c r="AX139" i="109" s="1"/>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AX137" i="109"/>
  <c r="AY137" i="109" s="1"/>
  <c r="AZ137" i="109" s="1"/>
  <c r="BA137" i="109" s="1"/>
  <c r="BB137" i="109" s="1"/>
  <c r="BC137" i="109" s="1"/>
  <c r="BD137" i="109" s="1"/>
  <c r="BE137" i="109" s="1"/>
  <c r="BF137" i="109" s="1"/>
  <c r="BG137" i="109" s="1"/>
  <c r="BH137" i="109" s="1"/>
  <c r="BI137" i="109" s="1"/>
  <c r="BJ137" i="109" s="1"/>
  <c r="BK137" i="109" s="1"/>
  <c r="BL137" i="109" s="1"/>
  <c r="BM137" i="109" s="1"/>
  <c r="BN137" i="109" s="1"/>
  <c r="BO137" i="109" s="1"/>
  <c r="BP137" i="109" s="1"/>
  <c r="BQ137" i="109" s="1"/>
  <c r="BR137" i="109" s="1"/>
  <c r="BS137" i="109" s="1"/>
  <c r="BT137" i="109" s="1"/>
  <c r="BU137" i="109" s="1"/>
  <c r="BV137" i="109" s="1"/>
  <c r="AS137" i="109"/>
  <c r="AT137" i="109" s="1"/>
  <c r="AU137" i="109" s="1"/>
  <c r="AV137" i="109" s="1"/>
  <c r="AW137" i="109" s="1"/>
  <c r="AT136" i="109"/>
  <c r="AU136" i="109" s="1"/>
  <c r="AV136" i="109" s="1"/>
  <c r="AW136" i="109" s="1"/>
  <c r="AX136" i="109" s="1"/>
  <c r="AY136" i="109" s="1"/>
  <c r="AZ136" i="109" s="1"/>
  <c r="BA136" i="109" s="1"/>
  <c r="BB136" i="109" s="1"/>
  <c r="BC136" i="109" s="1"/>
  <c r="BD136" i="109" s="1"/>
  <c r="BE136" i="109" s="1"/>
  <c r="BF136" i="109" s="1"/>
  <c r="BG136" i="109" s="1"/>
  <c r="BH136" i="109" s="1"/>
  <c r="BI136" i="109" s="1"/>
  <c r="BJ136" i="109" s="1"/>
  <c r="BK136" i="109" s="1"/>
  <c r="BL136" i="109" s="1"/>
  <c r="BM136" i="109" s="1"/>
  <c r="BN136" i="109" s="1"/>
  <c r="BO136" i="109" s="1"/>
  <c r="BP136" i="109" s="1"/>
  <c r="BQ136" i="109" s="1"/>
  <c r="BR136" i="109" s="1"/>
  <c r="BS136" i="109" s="1"/>
  <c r="BT136" i="109" s="1"/>
  <c r="BU136" i="109" s="1"/>
  <c r="BV136" i="109" s="1"/>
  <c r="AS136" i="109"/>
  <c r="AT135" i="109"/>
  <c r="AU135" i="109" s="1"/>
  <c r="AV135" i="109" s="1"/>
  <c r="AW135" i="109" s="1"/>
  <c r="AX135" i="109" s="1"/>
  <c r="AY135" i="109" s="1"/>
  <c r="AZ135" i="109" s="1"/>
  <c r="BA135" i="109" s="1"/>
  <c r="BB135" i="109" s="1"/>
  <c r="BC135" i="109" s="1"/>
  <c r="BD135" i="109" s="1"/>
  <c r="BE135" i="109" s="1"/>
  <c r="BF135" i="109" s="1"/>
  <c r="BG135" i="109" s="1"/>
  <c r="BH135" i="109" s="1"/>
  <c r="BI135" i="109" s="1"/>
  <c r="BJ135" i="109" s="1"/>
  <c r="BK135" i="109" s="1"/>
  <c r="BL135" i="109" s="1"/>
  <c r="BM135" i="109" s="1"/>
  <c r="BN135" i="109" s="1"/>
  <c r="BO135" i="109" s="1"/>
  <c r="BP135" i="109" s="1"/>
  <c r="BQ135" i="109" s="1"/>
  <c r="BR135" i="109" s="1"/>
  <c r="BS135" i="109" s="1"/>
  <c r="BT135" i="109" s="1"/>
  <c r="BU135" i="109" s="1"/>
  <c r="BV135" i="109" s="1"/>
  <c r="AS135" i="109"/>
  <c r="AS134" i="109"/>
  <c r="AT134" i="109" s="1"/>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T133" i="109"/>
  <c r="AU133" i="109" s="1"/>
  <c r="AV133" i="109" s="1"/>
  <c r="AW133" i="109" s="1"/>
  <c r="AX133" i="109" s="1"/>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S133" i="109"/>
  <c r="AT132" i="109"/>
  <c r="AU132" i="109" s="1"/>
  <c r="AV132" i="109" s="1"/>
  <c r="AW132" i="109" s="1"/>
  <c r="AX132" i="109" s="1"/>
  <c r="AY132" i="109" s="1"/>
  <c r="AZ132" i="109" s="1"/>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S132" i="109"/>
  <c r="AX131" i="109"/>
  <c r="AY131" i="109" s="1"/>
  <c r="AZ131" i="109" s="1"/>
  <c r="BA131" i="109" s="1"/>
  <c r="BB131" i="109" s="1"/>
  <c r="BC131" i="109" s="1"/>
  <c r="BD131" i="109" s="1"/>
  <c r="BE131" i="109" s="1"/>
  <c r="BF131" i="109" s="1"/>
  <c r="BG131" i="109" s="1"/>
  <c r="BH131" i="109" s="1"/>
  <c r="BI131" i="109" s="1"/>
  <c r="BJ131" i="109" s="1"/>
  <c r="BK131" i="109" s="1"/>
  <c r="BL131" i="109" s="1"/>
  <c r="BM131" i="109" s="1"/>
  <c r="BN131" i="109" s="1"/>
  <c r="BO131" i="109" s="1"/>
  <c r="BP131" i="109" s="1"/>
  <c r="BQ131" i="109" s="1"/>
  <c r="BR131" i="109" s="1"/>
  <c r="BS131" i="109" s="1"/>
  <c r="BT131" i="109" s="1"/>
  <c r="BU131" i="109" s="1"/>
  <c r="BV131" i="109" s="1"/>
  <c r="AS131" i="109"/>
  <c r="AT131" i="109" s="1"/>
  <c r="AU131" i="109" s="1"/>
  <c r="AV131" i="109" s="1"/>
  <c r="AW131" i="109" s="1"/>
  <c r="AS130" i="109"/>
  <c r="AT130" i="109" s="1"/>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T129" i="109"/>
  <c r="AU129" i="109" s="1"/>
  <c r="AV129" i="109" s="1"/>
  <c r="AW129" i="109" s="1"/>
  <c r="AX129" i="109" s="1"/>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S129" i="109"/>
  <c r="AS128" i="109"/>
  <c r="AT128" i="109" s="1"/>
  <c r="AU128" i="109" s="1"/>
  <c r="AV128" i="109" s="1"/>
  <c r="AW128" i="109" s="1"/>
  <c r="AX128" i="109" s="1"/>
  <c r="AY128" i="109" s="1"/>
  <c r="AZ128" i="109" s="1"/>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T127" i="109"/>
  <c r="AU127" i="109" s="1"/>
  <c r="AV127" i="109" s="1"/>
  <c r="AW127" i="109" s="1"/>
  <c r="AX127" i="109" s="1"/>
  <c r="AY127" i="109" s="1"/>
  <c r="AZ127" i="109" s="1"/>
  <c r="BA127" i="109" s="1"/>
  <c r="BB127" i="109" s="1"/>
  <c r="BC127" i="109" s="1"/>
  <c r="BD127" i="109" s="1"/>
  <c r="BE127" i="109" s="1"/>
  <c r="BF127" i="109" s="1"/>
  <c r="BG127" i="109" s="1"/>
  <c r="BH127" i="109" s="1"/>
  <c r="BI127" i="109" s="1"/>
  <c r="BJ127" i="109" s="1"/>
  <c r="BK127" i="109" s="1"/>
  <c r="BL127" i="109" s="1"/>
  <c r="BM127" i="109" s="1"/>
  <c r="BN127" i="109" s="1"/>
  <c r="BO127" i="109" s="1"/>
  <c r="BP127" i="109" s="1"/>
  <c r="BQ127" i="109" s="1"/>
  <c r="BR127" i="109" s="1"/>
  <c r="BS127" i="109" s="1"/>
  <c r="BT127" i="109" s="1"/>
  <c r="BU127" i="109" s="1"/>
  <c r="BV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S107" i="109"/>
  <c r="AT107" i="109" s="1"/>
  <c r="AU107" i="109" s="1"/>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S106" i="109"/>
  <c r="AT106" i="109" s="1"/>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S58" i="109"/>
  <c r="AT58" i="109" s="1"/>
  <c r="AU58" i="109" s="1"/>
  <c r="AV58" i="109" s="1"/>
  <c r="AW58" i="109" s="1"/>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S10" i="109"/>
  <c r="AT10" i="109" s="1"/>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S8" i="109"/>
  <c r="AT8" i="109" s="1"/>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S6" i="109"/>
  <c r="AT6" i="109" s="1"/>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5" i="109"/>
  <c r="AT5" i="109" s="1"/>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P28" i="118" s="1"/>
  <c r="BF41" i="111"/>
  <c r="BE41" i="111"/>
  <c r="BD41" i="111"/>
  <c r="BC41" i="111"/>
  <c r="BB41" i="111"/>
  <c r="N41" i="111" s="1"/>
  <c r="O28" i="118" s="1"/>
  <c r="BA41" i="111"/>
  <c r="AZ41" i="111"/>
  <c r="AY41" i="111"/>
  <c r="AX41" i="111"/>
  <c r="AW41" i="111"/>
  <c r="M41" i="111" s="1"/>
  <c r="N28" i="118" s="1"/>
  <c r="AV41" i="111"/>
  <c r="AU41" i="111"/>
  <c r="AT41" i="111"/>
  <c r="AS41" i="111"/>
  <c r="AR41" i="111"/>
  <c r="L41" i="111" s="1"/>
  <c r="M28" i="118" s="1"/>
  <c r="AQ41" i="111"/>
  <c r="AP41" i="111"/>
  <c r="AO41" i="111"/>
  <c r="AN41" i="111"/>
  <c r="AM41" i="111"/>
  <c r="K41" i="111" s="1"/>
  <c r="L28" i="118" s="1"/>
  <c r="AL41" i="111"/>
  <c r="AK41" i="111"/>
  <c r="AJ41" i="111"/>
  <c r="AI41" i="111"/>
  <c r="AH41" i="111"/>
  <c r="J41" i="111" s="1"/>
  <c r="K28" i="118" s="1"/>
  <c r="AG41" i="111"/>
  <c r="AF41" i="111"/>
  <c r="AE41" i="111"/>
  <c r="AD41" i="111"/>
  <c r="AC41" i="111"/>
  <c r="I41" i="111" s="1"/>
  <c r="J28" i="118" s="1"/>
  <c r="AB41" i="111"/>
  <c r="AA41" i="111"/>
  <c r="Z41" i="111"/>
  <c r="Y41" i="111"/>
  <c r="X41" i="111"/>
  <c r="H41" i="111" s="1"/>
  <c r="I28" i="118"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O8" i="111"/>
  <c r="P8" i="111" s="1"/>
  <c r="N8" i="111"/>
  <c r="M8" i="111"/>
  <c r="L8" i="111"/>
  <c r="K8" i="111"/>
  <c r="J8" i="111"/>
  <c r="I8" i="111"/>
  <c r="H8" i="111"/>
  <c r="G8" i="111" s="1"/>
  <c r="O7" i="111"/>
  <c r="P7" i="111" s="1"/>
  <c r="N7" i="111"/>
  <c r="M7" i="111"/>
  <c r="L7" i="111"/>
  <c r="K7" i="111"/>
  <c r="J7" i="111"/>
  <c r="I7" i="111"/>
  <c r="H7" i="111"/>
  <c r="O6" i="111"/>
  <c r="N6" i="111"/>
  <c r="M6" i="111"/>
  <c r="L6" i="111"/>
  <c r="K6" i="111"/>
  <c r="J6" i="111"/>
  <c r="I6" i="111"/>
  <c r="H6" i="111"/>
  <c r="O5" i="111"/>
  <c r="N5" i="111"/>
  <c r="M5" i="111"/>
  <c r="L5" i="111"/>
  <c r="K5" i="111"/>
  <c r="J5" i="111"/>
  <c r="I5" i="111"/>
  <c r="H5" i="111"/>
  <c r="G5" i="111" s="1"/>
  <c r="O4" i="111"/>
  <c r="N4" i="111"/>
  <c r="M4" i="111"/>
  <c r="L4" i="111"/>
  <c r="K4" i="111"/>
  <c r="J4" i="111"/>
  <c r="I4" i="111"/>
  <c r="H4" i="111"/>
  <c r="G4" i="111" s="1"/>
  <c r="O3" i="111"/>
  <c r="P3" i="111" s="1"/>
  <c r="N3" i="111"/>
  <c r="M3" i="111"/>
  <c r="L3" i="111"/>
  <c r="K3" i="111"/>
  <c r="J3" i="111"/>
  <c r="I3" i="111"/>
  <c r="H3" i="111"/>
  <c r="P26" i="118" l="1"/>
  <c r="P27" i="118"/>
  <c r="P143" i="111"/>
  <c r="P831" i="118"/>
  <c r="P830" i="118"/>
  <c r="M27" i="118"/>
  <c r="M26" i="118"/>
  <c r="M831" i="118"/>
  <c r="M830" i="118"/>
  <c r="K27" i="118"/>
  <c r="K26" i="118"/>
  <c r="J26" i="118"/>
  <c r="J27" i="118"/>
  <c r="J830" i="118"/>
  <c r="J831" i="118"/>
  <c r="K830" i="118"/>
  <c r="K831" i="118"/>
  <c r="O27" i="118"/>
  <c r="O26" i="118"/>
  <c r="O831" i="118"/>
  <c r="O830" i="118"/>
  <c r="L27" i="118"/>
  <c r="L26" i="118"/>
  <c r="L831" i="118"/>
  <c r="L830" i="118"/>
  <c r="I26" i="118"/>
  <c r="I27" i="118"/>
  <c r="G143" i="111"/>
  <c r="I830" i="118"/>
  <c r="I831" i="118"/>
  <c r="N27" i="118"/>
  <c r="N26" i="118"/>
  <c r="N831" i="118"/>
  <c r="N830" i="118"/>
  <c r="Q8" i="111"/>
  <c r="G3" i="111"/>
  <c r="G6" i="111"/>
  <c r="G7" i="111"/>
  <c r="P4" i="111"/>
  <c r="Q3" i="111"/>
  <c r="Q7" i="111"/>
  <c r="AX186" i="109"/>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P5" i="111"/>
  <c r="P6" i="111"/>
  <c r="AX177" i="109"/>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G129" i="111"/>
  <c r="H832" i="118" s="1"/>
  <c r="P129" i="111"/>
  <c r="Q832" i="118" s="1"/>
  <c r="O17" i="113"/>
  <c r="N16" i="113"/>
  <c r="M9" i="113"/>
  <c r="G14" i="113"/>
  <c r="G55" i="111"/>
  <c r="P41" i="111"/>
  <c r="Q28" i="118" s="1"/>
  <c r="G41" i="111"/>
  <c r="H28" i="118" s="1"/>
  <c r="P55" i="11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281" i="109"/>
  <c r="D345" i="109" s="1"/>
  <c r="D280" i="109"/>
  <c r="D279" i="109"/>
  <c r="D343" i="109" s="1"/>
  <c r="D278" i="109"/>
  <c r="D342" i="109" s="1"/>
  <c r="D277" i="109"/>
  <c r="D341" i="109" s="1"/>
  <c r="D276"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AS46" i="109" s="1"/>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Q26" i="118" l="1"/>
  <c r="Q27" i="118"/>
  <c r="H26" i="118"/>
  <c r="H27" i="118"/>
  <c r="H830" i="118"/>
  <c r="H831" i="118"/>
  <c r="Q143" i="111"/>
  <c r="Q830" i="118"/>
  <c r="Q831" i="118"/>
  <c r="D340" i="109"/>
  <c r="D344" i="109"/>
  <c r="E280" i="109"/>
  <c r="E344" i="109" s="1"/>
  <c r="Q6" i="111"/>
  <c r="Q4" i="111"/>
  <c r="E275" i="109"/>
  <c r="E339" i="109" s="1"/>
  <c r="D346" i="109"/>
  <c r="Q5" i="111"/>
  <c r="Q129" i="111"/>
  <c r="R832" i="118" s="1"/>
  <c r="O16" i="113"/>
  <c r="P17" i="113"/>
  <c r="N9" i="113"/>
  <c r="Q55" i="111"/>
  <c r="Q41" i="111"/>
  <c r="R28" i="118" s="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8" i="109"/>
  <c r="E289" i="109"/>
  <c r="E293" i="109"/>
  <c r="E297" i="109"/>
  <c r="E301" i="109"/>
  <c r="E302" i="109"/>
  <c r="E278" i="109"/>
  <c r="E342" i="109" s="1"/>
  <c r="E282" i="109"/>
  <c r="E286" i="109"/>
  <c r="E290" i="109"/>
  <c r="E354" i="109" s="1"/>
  <c r="E294" i="109"/>
  <c r="F47" i="109"/>
  <c r="E300" i="109"/>
  <c r="E299" i="109"/>
  <c r="E296" i="109"/>
  <c r="E360" i="109" s="1"/>
  <c r="E292" i="109"/>
  <c r="E288" i="109"/>
  <c r="E295" i="109"/>
  <c r="E291" i="109"/>
  <c r="E287" i="109"/>
  <c r="E283" i="109"/>
  <c r="E347" i="109" s="1"/>
  <c r="E279" i="109"/>
  <c r="E343" i="109" s="1"/>
  <c r="E276" i="109"/>
  <c r="E277" i="109"/>
  <c r="E281" i="109"/>
  <c r="E285" i="109"/>
  <c r="E349" i="109" s="1"/>
  <c r="D348" i="109"/>
  <c r="D356" i="109"/>
  <c r="R830" i="118" l="1"/>
  <c r="R831" i="118"/>
  <c r="R27" i="118"/>
  <c r="R26" i="118"/>
  <c r="E352" i="109"/>
  <c r="E364" i="109"/>
  <c r="E341" i="109"/>
  <c r="E351" i="109"/>
  <c r="E356" i="109"/>
  <c r="E350" i="109"/>
  <c r="E365" i="109"/>
  <c r="E355" i="109"/>
  <c r="E361" i="109"/>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01" i="109"/>
  <c r="F365" i="109" s="1"/>
  <c r="F300" i="109"/>
  <c r="F364" i="109" s="1"/>
  <c r="F298" i="109"/>
  <c r="F294" i="109"/>
  <c r="F358" i="109" s="1"/>
  <c r="F290" i="109"/>
  <c r="F354" i="109" s="1"/>
  <c r="F286" i="109"/>
  <c r="F282" i="109"/>
  <c r="F278" i="109"/>
  <c r="F275" i="109"/>
  <c r="F283" i="109"/>
  <c r="F280" i="109"/>
  <c r="F279" i="109"/>
  <c r="F292" i="109"/>
  <c r="F356" i="109" s="1"/>
  <c r="F288" i="109"/>
  <c r="F352" i="109" s="1"/>
  <c r="F302" i="109"/>
  <c r="F366" i="109" s="1"/>
  <c r="F297" i="109"/>
  <c r="F293" i="109"/>
  <c r="F357" i="109" s="1"/>
  <c r="F289" i="109"/>
  <c r="F353" i="109" s="1"/>
  <c r="F284" i="109"/>
  <c r="F348" i="109" s="1"/>
  <c r="F287" i="109"/>
  <c r="F351" i="109" s="1"/>
  <c r="F296" i="109"/>
  <c r="F360" i="109" s="1"/>
  <c r="F285" i="109"/>
  <c r="F281" i="109"/>
  <c r="F276" i="109"/>
  <c r="F340" i="109" s="1"/>
  <c r="F277" i="109"/>
  <c r="E345" i="109"/>
  <c r="E366" i="109"/>
  <c r="E353" i="109"/>
  <c r="F339" i="109" l="1"/>
  <c r="F361" i="109"/>
  <c r="F342" i="109"/>
  <c r="F355" i="109"/>
  <c r="F341" i="109"/>
  <c r="Q16" i="113"/>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00" i="109"/>
  <c r="G364" i="109" s="1"/>
  <c r="G298" i="109"/>
  <c r="G362" i="109" s="1"/>
  <c r="G294" i="109"/>
  <c r="G358" i="109" s="1"/>
  <c r="G290" i="109"/>
  <c r="G297" i="109"/>
  <c r="G293" i="109"/>
  <c r="G357" i="109" s="1"/>
  <c r="G289" i="109"/>
  <c r="G285" i="109"/>
  <c r="G281" i="109"/>
  <c r="G345" i="109" s="1"/>
  <c r="G277" i="109"/>
  <c r="G295" i="109"/>
  <c r="G359" i="109" s="1"/>
  <c r="G291" i="109"/>
  <c r="G286" i="109"/>
  <c r="G350" i="109" s="1"/>
  <c r="G282" i="109"/>
  <c r="G278" i="109"/>
  <c r="G342" i="109" s="1"/>
  <c r="G299" i="109"/>
  <c r="G287" i="109"/>
  <c r="G284" i="109"/>
  <c r="G283" i="109"/>
  <c r="G347" i="109" s="1"/>
  <c r="G280" i="109"/>
  <c r="G279" i="109"/>
  <c r="G296" i="109"/>
  <c r="G360" i="109" s="1"/>
  <c r="G292" i="109"/>
  <c r="G356" i="109" s="1"/>
  <c r="G288" i="109"/>
  <c r="G276" i="109"/>
  <c r="G340" i="109" s="1"/>
  <c r="G275" i="109"/>
  <c r="G339" i="109" s="1"/>
  <c r="F349" i="109"/>
  <c r="F347" i="109"/>
  <c r="F350" i="109"/>
  <c r="F363" i="109"/>
  <c r="G346" i="109" l="1"/>
  <c r="G348" i="109"/>
  <c r="G363" i="109"/>
  <c r="G355" i="109"/>
  <c r="G349" i="109"/>
  <c r="G365" i="109"/>
  <c r="Q9" i="113"/>
  <c r="G353" i="109"/>
  <c r="I47" i="109"/>
  <c r="H301" i="109"/>
  <c r="H365" i="109" s="1"/>
  <c r="H297" i="109"/>
  <c r="H293" i="109"/>
  <c r="H289" i="109"/>
  <c r="H302" i="109"/>
  <c r="H296" i="109"/>
  <c r="H292" i="109"/>
  <c r="H288" i="109"/>
  <c r="H284" i="109"/>
  <c r="H348" i="109" s="1"/>
  <c r="H280" i="109"/>
  <c r="H299" i="109"/>
  <c r="H298" i="109"/>
  <c r="H294" i="109"/>
  <c r="H290" i="109"/>
  <c r="H287" i="109"/>
  <c r="H283" i="109"/>
  <c r="H279" i="109"/>
  <c r="H276" i="109"/>
  <c r="H281" i="109"/>
  <c r="H275" i="109"/>
  <c r="H295" i="109"/>
  <c r="H291" i="109"/>
  <c r="H355" i="109" s="1"/>
  <c r="H286" i="109"/>
  <c r="H282" i="109"/>
  <c r="H300" i="109"/>
  <c r="H364" i="109" s="1"/>
  <c r="H285" i="109"/>
  <c r="H277" i="109"/>
  <c r="H278" i="109"/>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49" i="109" l="1"/>
  <c r="H340" i="109"/>
  <c r="H361" i="109"/>
  <c r="H343" i="109"/>
  <c r="H366" i="109"/>
  <c r="H342" i="109"/>
  <c r="H352" i="109"/>
  <c r="H353" i="109"/>
  <c r="H354" i="109"/>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60" i="109" l="1"/>
  <c r="I346" i="109"/>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277" i="109"/>
  <c r="J275" i="109"/>
  <c r="J297" i="109"/>
  <c r="J289" i="109"/>
  <c r="J284" i="109"/>
  <c r="J283" i="109"/>
  <c r="J296" i="109"/>
  <c r="J360" i="109" s="1"/>
  <c r="J292" i="109"/>
  <c r="J288" i="109"/>
  <c r="J293" i="109"/>
  <c r="J287" i="109"/>
  <c r="J280" i="109"/>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L32" i="104"/>
  <c r="L31" i="104"/>
  <c r="F31" i="104"/>
  <c r="L30" i="104"/>
  <c r="L28" i="104"/>
  <c r="L27" i="104"/>
  <c r="K27" i="104"/>
  <c r="K25" i="104"/>
  <c r="L23" i="104"/>
  <c r="K23" i="104"/>
  <c r="K21" i="104"/>
  <c r="O19" i="104"/>
  <c r="K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M30" i="104" s="1"/>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K24" i="104" s="1"/>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K20" i="104" s="1"/>
  <c r="J4" i="104"/>
  <c r="P3" i="104"/>
  <c r="O3" i="104"/>
  <c r="N3" i="104"/>
  <c r="M3" i="104"/>
  <c r="L3" i="104"/>
  <c r="K3" i="104"/>
  <c r="J3" i="104"/>
  <c r="F16" i="104"/>
  <c r="F32" i="104" s="1"/>
  <c r="F15" i="104"/>
  <c r="F14" i="104"/>
  <c r="F30" i="104" s="1"/>
  <c r="F13" i="104"/>
  <c r="F29" i="104" s="1"/>
  <c r="F12" i="104"/>
  <c r="F11" i="104"/>
  <c r="F10" i="104"/>
  <c r="F9" i="104"/>
  <c r="F8" i="104"/>
  <c r="F7" i="104"/>
  <c r="F6" i="104"/>
  <c r="F5" i="104"/>
  <c r="F4" i="104"/>
  <c r="F3" i="104"/>
  <c r="Q68" i="103"/>
  <c r="P68" i="103"/>
  <c r="O68" i="103"/>
  <c r="N68" i="103"/>
  <c r="M68" i="103"/>
  <c r="L68" i="103"/>
  <c r="K68" i="103"/>
  <c r="J72" i="103"/>
  <c r="I72" i="103"/>
  <c r="H72" i="103"/>
  <c r="G72" i="103"/>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38" i="103"/>
  <c r="O32" i="103"/>
  <c r="O16" i="103" s="1"/>
  <c r="N32" i="104" s="1"/>
  <c r="N32" i="103"/>
  <c r="N16" i="103" s="1"/>
  <c r="M32" i="103"/>
  <c r="M16" i="103" s="1"/>
  <c r="L32" i="103"/>
  <c r="L16" i="103" s="1"/>
  <c r="K32" i="104" s="1"/>
  <c r="K32" i="103"/>
  <c r="K16" i="103" s="1"/>
  <c r="J32" i="104" s="1"/>
  <c r="O31" i="103"/>
  <c r="N31" i="103"/>
  <c r="N15" i="103" s="1"/>
  <c r="N47" i="103" s="1"/>
  <c r="M31" i="103"/>
  <c r="M15" i="103" s="1"/>
  <c r="L31" i="103"/>
  <c r="L15" i="103" s="1"/>
  <c r="K31" i="104" s="1"/>
  <c r="K31" i="103"/>
  <c r="K15" i="103" s="1"/>
  <c r="O30" i="103"/>
  <c r="O14" i="103" s="1"/>
  <c r="O46" i="103" s="1"/>
  <c r="N30" i="103"/>
  <c r="N14" i="103" s="1"/>
  <c r="M30" i="103"/>
  <c r="M14" i="103" s="1"/>
  <c r="L30" i="103"/>
  <c r="L14" i="103" s="1"/>
  <c r="K30" i="104" s="1"/>
  <c r="K30" i="103"/>
  <c r="K14" i="103" s="1"/>
  <c r="J30" i="104" s="1"/>
  <c r="O29" i="103"/>
  <c r="N29" i="103"/>
  <c r="N13" i="103" s="1"/>
  <c r="M29" i="104" s="1"/>
  <c r="M29" i="103"/>
  <c r="M13" i="103" s="1"/>
  <c r="L29" i="103"/>
  <c r="L13" i="103" s="1"/>
  <c r="L45" i="103" s="1"/>
  <c r="K29" i="103"/>
  <c r="K13" i="103" s="1"/>
  <c r="O28" i="103"/>
  <c r="O12" i="103" s="1"/>
  <c r="N28" i="103"/>
  <c r="N12" i="103" s="1"/>
  <c r="M28" i="103"/>
  <c r="M12" i="103" s="1"/>
  <c r="L28" i="103"/>
  <c r="L12" i="103" s="1"/>
  <c r="K28" i="103"/>
  <c r="K12" i="103" s="1"/>
  <c r="J28" i="104" s="1"/>
  <c r="O27" i="103"/>
  <c r="N27" i="103"/>
  <c r="N11" i="103" s="1"/>
  <c r="N43" i="103" s="1"/>
  <c r="M27" i="103"/>
  <c r="M11" i="103" s="1"/>
  <c r="L27" i="103"/>
  <c r="L11" i="103" s="1"/>
  <c r="K27" i="103"/>
  <c r="K11" i="103" s="1"/>
  <c r="J27" i="104" s="1"/>
  <c r="O26" i="103"/>
  <c r="O10" i="103" s="1"/>
  <c r="O42" i="103" s="1"/>
  <c r="N26" i="103"/>
  <c r="N10" i="103" s="1"/>
  <c r="M26" i="103"/>
  <c r="M10" i="103" s="1"/>
  <c r="L26" i="104" s="1"/>
  <c r="L26" i="103"/>
  <c r="L10" i="103" s="1"/>
  <c r="K26" i="103"/>
  <c r="K10" i="103" s="1"/>
  <c r="J26" i="104" s="1"/>
  <c r="O25" i="103"/>
  <c r="N25" i="103"/>
  <c r="N9" i="103" s="1"/>
  <c r="M25" i="104" s="1"/>
  <c r="M25" i="103"/>
  <c r="M9" i="103" s="1"/>
  <c r="L25" i="103"/>
  <c r="L9" i="103" s="1"/>
  <c r="L41" i="103" s="1"/>
  <c r="K25" i="103"/>
  <c r="K9" i="103" s="1"/>
  <c r="O24" i="103"/>
  <c r="O8" i="103" s="1"/>
  <c r="N24" i="104" s="1"/>
  <c r="N24" i="103"/>
  <c r="N8" i="103" s="1"/>
  <c r="M24" i="103"/>
  <c r="M8" i="103" s="1"/>
  <c r="L24" i="104" s="1"/>
  <c r="L24" i="103"/>
  <c r="L8" i="103" s="1"/>
  <c r="K24" i="103"/>
  <c r="K8" i="103" s="1"/>
  <c r="J24" i="104" s="1"/>
  <c r="O23" i="103"/>
  <c r="N23" i="103"/>
  <c r="N7" i="103" s="1"/>
  <c r="N39" i="103" s="1"/>
  <c r="M23" i="103"/>
  <c r="M7" i="103" s="1"/>
  <c r="L23" i="103"/>
  <c r="L7" i="103" s="1"/>
  <c r="K23" i="103"/>
  <c r="K7" i="103" s="1"/>
  <c r="J23" i="104" s="1"/>
  <c r="O22" i="103"/>
  <c r="O6" i="103" s="1"/>
  <c r="O38" i="103" s="1"/>
  <c r="N22" i="103"/>
  <c r="N6" i="103" s="1"/>
  <c r="M22" i="103"/>
  <c r="M6" i="103" s="1"/>
  <c r="L22" i="104" s="1"/>
  <c r="L22" i="103"/>
  <c r="L6" i="103" s="1"/>
  <c r="K22" i="103"/>
  <c r="K6" i="103" s="1"/>
  <c r="J22" i="104" s="1"/>
  <c r="O21" i="103"/>
  <c r="N21" i="103"/>
  <c r="N5" i="103" s="1"/>
  <c r="M21" i="104" s="1"/>
  <c r="M21" i="103"/>
  <c r="M5" i="103" s="1"/>
  <c r="L21" i="103"/>
  <c r="L5" i="103" s="1"/>
  <c r="L37" i="103" s="1"/>
  <c r="K21" i="103"/>
  <c r="K5" i="103" s="1"/>
  <c r="O20" i="103"/>
  <c r="O4" i="103" s="1"/>
  <c r="N20" i="104" s="1"/>
  <c r="N20" i="103"/>
  <c r="N4" i="103" s="1"/>
  <c r="M20" i="103"/>
  <c r="M4" i="103" s="1"/>
  <c r="L20" i="104" s="1"/>
  <c r="L20" i="103"/>
  <c r="L4" i="103" s="1"/>
  <c r="K20" i="103"/>
  <c r="K4" i="103" s="1"/>
  <c r="J20" i="104" s="1"/>
  <c r="Q19" i="103"/>
  <c r="Q3" i="103" s="1"/>
  <c r="P19" i="103"/>
  <c r="P3" i="103" s="1"/>
  <c r="O19" i="103"/>
  <c r="N19" i="103"/>
  <c r="N3" i="103" s="1"/>
  <c r="M19" i="104" s="1"/>
  <c r="M19" i="103"/>
  <c r="M3" i="103" s="1"/>
  <c r="L19" i="103"/>
  <c r="L3" i="103" s="1"/>
  <c r="K19" i="103"/>
  <c r="K3" i="103" s="1"/>
  <c r="J16" i="103"/>
  <c r="I16" i="103"/>
  <c r="I48" i="103" s="1"/>
  <c r="H16" i="103"/>
  <c r="G16" i="103"/>
  <c r="J15" i="103"/>
  <c r="I15" i="103"/>
  <c r="I47" i="103" s="1"/>
  <c r="H15" i="103"/>
  <c r="G15" i="103"/>
  <c r="J14" i="103"/>
  <c r="I14" i="103"/>
  <c r="I46" i="103" s="1"/>
  <c r="H14" i="103"/>
  <c r="G14" i="103"/>
  <c r="J13" i="103"/>
  <c r="I13" i="103"/>
  <c r="I45" i="103" s="1"/>
  <c r="H13" i="103"/>
  <c r="G13" i="103"/>
  <c r="J12" i="103"/>
  <c r="I12" i="103"/>
  <c r="H12" i="103"/>
  <c r="J11" i="103"/>
  <c r="I11" i="103"/>
  <c r="H11" i="103"/>
  <c r="G11" i="103"/>
  <c r="F27" i="104" s="1"/>
  <c r="J10" i="103"/>
  <c r="I10" i="103"/>
  <c r="H10" i="103"/>
  <c r="H42" i="103" s="1"/>
  <c r="G10" i="103"/>
  <c r="F26" i="104" s="1"/>
  <c r="J9" i="103"/>
  <c r="I9" i="103"/>
  <c r="H9" i="103"/>
  <c r="G9" i="103"/>
  <c r="F25" i="104" s="1"/>
  <c r="J8" i="103"/>
  <c r="I8" i="103"/>
  <c r="H8" i="103"/>
  <c r="H40" i="103" s="1"/>
  <c r="G8" i="103"/>
  <c r="F24" i="104" s="1"/>
  <c r="J7" i="103"/>
  <c r="I7" i="103"/>
  <c r="H7" i="103"/>
  <c r="G7" i="103"/>
  <c r="F23" i="104" s="1"/>
  <c r="J6" i="103"/>
  <c r="I6" i="103"/>
  <c r="H6" i="103"/>
  <c r="H38" i="103" s="1"/>
  <c r="G6" i="103"/>
  <c r="F22" i="104" s="1"/>
  <c r="J5" i="103"/>
  <c r="I5" i="103"/>
  <c r="H5" i="103"/>
  <c r="G5" i="103"/>
  <c r="F21" i="104" s="1"/>
  <c r="J4" i="103"/>
  <c r="I4" i="103"/>
  <c r="H4" i="103"/>
  <c r="H36" i="103" s="1"/>
  <c r="G4" i="103"/>
  <c r="F20" i="104" s="1"/>
  <c r="J3" i="103"/>
  <c r="I3" i="103"/>
  <c r="H3" i="103"/>
  <c r="G3" i="103"/>
  <c r="F19" i="104" s="1"/>
  <c r="G12" i="103"/>
  <c r="G5" i="104"/>
  <c r="H6" i="104"/>
  <c r="G3" i="104"/>
  <c r="G6" i="104"/>
  <c r="I10" i="104"/>
  <c r="H15" i="104"/>
  <c r="H12" i="104"/>
  <c r="G11" i="104"/>
  <c r="I5" i="104"/>
  <c r="H13" i="104"/>
  <c r="H8" i="104"/>
  <c r="G14" i="104"/>
  <c r="G8" i="104"/>
  <c r="G16" i="104"/>
  <c r="I3" i="104"/>
  <c r="G12" i="104"/>
  <c r="I15" i="104"/>
  <c r="I9" i="104"/>
  <c r="I16" i="104"/>
  <c r="I11" i="104"/>
  <c r="I12" i="104"/>
  <c r="I6" i="104"/>
  <c r="G13" i="104"/>
  <c r="H4" i="104"/>
  <c r="I4" i="104"/>
  <c r="I7" i="104"/>
  <c r="I8" i="104"/>
  <c r="G9" i="104"/>
  <c r="H7" i="104"/>
  <c r="G7" i="104"/>
  <c r="H9" i="104"/>
  <c r="G4" i="104"/>
  <c r="H11" i="104"/>
  <c r="H5" i="104"/>
  <c r="G15" i="104"/>
  <c r="I14" i="104"/>
  <c r="H14" i="104"/>
  <c r="H16" i="104"/>
  <c r="H3" i="104"/>
  <c r="H10" i="104"/>
  <c r="I13" i="104"/>
  <c r="G10" i="104"/>
  <c r="N40" i="103" l="1"/>
  <c r="M24" i="104"/>
  <c r="I44" i="103"/>
  <c r="M35" i="103"/>
  <c r="L19" i="104"/>
  <c r="N36" i="103"/>
  <c r="M20" i="104"/>
  <c r="N48" i="103"/>
  <c r="M32" i="104"/>
  <c r="L38" i="103"/>
  <c r="K22" i="104"/>
  <c r="M45" i="103"/>
  <c r="L29" i="104"/>
  <c r="K47" i="103"/>
  <c r="J31" i="104"/>
  <c r="I42" i="103"/>
  <c r="Q35" i="103"/>
  <c r="P19" i="104"/>
  <c r="M37" i="103"/>
  <c r="L21" i="104"/>
  <c r="M41" i="103"/>
  <c r="L25" i="104"/>
  <c r="L42" i="103"/>
  <c r="K26" i="104"/>
  <c r="M42" i="103"/>
  <c r="M28" i="104"/>
  <c r="I36" i="103"/>
  <c r="I40" i="103"/>
  <c r="L39" i="103"/>
  <c r="L43" i="103"/>
  <c r="M31" i="104"/>
  <c r="F28" i="104"/>
  <c r="J35" i="103"/>
  <c r="J36" i="103"/>
  <c r="J37" i="103"/>
  <c r="J38" i="103"/>
  <c r="J39" i="103"/>
  <c r="J40" i="103"/>
  <c r="J41" i="103"/>
  <c r="J42" i="103"/>
  <c r="J43" i="103"/>
  <c r="K35" i="103"/>
  <c r="P32" i="103"/>
  <c r="P16" i="103" s="1"/>
  <c r="L36" i="103"/>
  <c r="K37" i="103"/>
  <c r="N38" i="103"/>
  <c r="M39" i="103"/>
  <c r="L40" i="103"/>
  <c r="K41" i="103"/>
  <c r="N42" i="103"/>
  <c r="M43" i="103"/>
  <c r="K45" i="103"/>
  <c r="N46" i="103"/>
  <c r="M47" i="103"/>
  <c r="J69" i="103"/>
  <c r="J70" i="103" s="1"/>
  <c r="J10" i="111"/>
  <c r="J14" i="111"/>
  <c r="J12" i="111"/>
  <c r="J13" i="111"/>
  <c r="J11" i="111"/>
  <c r="J15" i="111"/>
  <c r="M22" i="104"/>
  <c r="M23" i="104"/>
  <c r="M26" i="104"/>
  <c r="M27" i="104"/>
  <c r="N28" i="104"/>
  <c r="J29" i="104"/>
  <c r="N30" i="104"/>
  <c r="H69" i="103"/>
  <c r="H70" i="103" s="1"/>
  <c r="H15" i="111"/>
  <c r="H14" i="111"/>
  <c r="H11" i="111"/>
  <c r="H10" i="111"/>
  <c r="H13" i="111"/>
  <c r="H12" i="111"/>
  <c r="I35" i="103"/>
  <c r="I37" i="103"/>
  <c r="I39" i="103"/>
  <c r="I41" i="103"/>
  <c r="I43" i="103"/>
  <c r="J44" i="103"/>
  <c r="J45" i="103"/>
  <c r="J46" i="103"/>
  <c r="J47" i="103"/>
  <c r="J48" i="103"/>
  <c r="N35" i="103"/>
  <c r="N37" i="103"/>
  <c r="N41" i="103"/>
  <c r="K44" i="103"/>
  <c r="N45" i="103"/>
  <c r="K48" i="103"/>
  <c r="O48" i="103"/>
  <c r="L47" i="103"/>
  <c r="I69" i="103"/>
  <c r="I70" i="103" s="1"/>
  <c r="I10" i="111"/>
  <c r="I13" i="111"/>
  <c r="I11" i="111"/>
  <c r="I15" i="111"/>
  <c r="I12" i="111"/>
  <c r="I14" i="111"/>
  <c r="H35" i="103"/>
  <c r="H37" i="103"/>
  <c r="H39" i="103"/>
  <c r="H41" i="103"/>
  <c r="H43" i="103"/>
  <c r="K46" i="103"/>
  <c r="G69" i="103"/>
  <c r="G70" i="103" s="1"/>
  <c r="G15" i="111"/>
  <c r="G12" i="111"/>
  <c r="G11" i="111"/>
  <c r="G13" i="111"/>
  <c r="G14" i="111"/>
  <c r="G10" i="111"/>
  <c r="J19" i="104"/>
  <c r="J21" i="104"/>
  <c r="N22" i="104"/>
  <c r="J25" i="104"/>
  <c r="N26" i="104"/>
  <c r="K28" i="104"/>
  <c r="K29" i="104"/>
  <c r="J344" i="109"/>
  <c r="J353" i="109"/>
  <c r="J345" i="109"/>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294" i="109"/>
  <c r="K358" i="109" s="1"/>
  <c r="K290" i="109"/>
  <c r="K354" i="109" s="1"/>
  <c r="K301" i="109"/>
  <c r="K365" i="109" s="1"/>
  <c r="K300" i="109"/>
  <c r="K297" i="109"/>
  <c r="K361" i="109" s="1"/>
  <c r="K293" i="109"/>
  <c r="K357" i="109" s="1"/>
  <c r="K289" i="109"/>
  <c r="K285" i="109"/>
  <c r="K281" i="109"/>
  <c r="K345" i="109" s="1"/>
  <c r="K277" i="109"/>
  <c r="K341" i="109" s="1"/>
  <c r="K296" i="109"/>
  <c r="K360" i="109" s="1"/>
  <c r="K292" i="109"/>
  <c r="K356" i="109" s="1"/>
  <c r="K288" i="109"/>
  <c r="K352" i="109" s="1"/>
  <c r="K284" i="109"/>
  <c r="K348" i="109" s="1"/>
  <c r="K280" i="109"/>
  <c r="K344" i="109" s="1"/>
  <c r="K276" i="109"/>
  <c r="K286" i="109"/>
  <c r="K350" i="109" s="1"/>
  <c r="K282" i="109"/>
  <c r="K346" i="109" s="1"/>
  <c r="K278" i="109"/>
  <c r="K342" i="109" s="1"/>
  <c r="K283" i="109"/>
  <c r="K295" i="109"/>
  <c r="K359" i="109" s="1"/>
  <c r="K291" i="109"/>
  <c r="K355" i="109" s="1"/>
  <c r="K287" i="109"/>
  <c r="K351" i="109" s="1"/>
  <c r="K279" i="109"/>
  <c r="K343" i="109" s="1"/>
  <c r="K275" i="109"/>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P21" i="104" s="1"/>
  <c r="Q25" i="103"/>
  <c r="Q9" i="103" s="1"/>
  <c r="P25" i="104" s="1"/>
  <c r="L44" i="103"/>
  <c r="M44" i="103"/>
  <c r="Q29" i="103"/>
  <c r="Q13" i="103" s="1"/>
  <c r="P29" i="104" s="1"/>
  <c r="L48" i="103"/>
  <c r="M48" i="103"/>
  <c r="M36" i="103"/>
  <c r="H46" i="103"/>
  <c r="H48" i="103"/>
  <c r="L35" i="103"/>
  <c r="K42" i="103"/>
  <c r="M38" i="103"/>
  <c r="Q23" i="103"/>
  <c r="Q7" i="103" s="1"/>
  <c r="Q27" i="103"/>
  <c r="Q11" i="103" s="1"/>
  <c r="P27" i="104" s="1"/>
  <c r="Q31" i="103"/>
  <c r="Q15" i="103" s="1"/>
  <c r="P31" i="104" s="1"/>
  <c r="P20" i="103"/>
  <c r="P4" i="103" s="1"/>
  <c r="P26" i="103"/>
  <c r="P10" i="103" s="1"/>
  <c r="P30" i="103"/>
  <c r="P14" i="103" s="1"/>
  <c r="Q20" i="103"/>
  <c r="Q4" i="103" s="1"/>
  <c r="Q22" i="103"/>
  <c r="Q6" i="103" s="1"/>
  <c r="P22" i="104" s="1"/>
  <c r="Q24" i="103"/>
  <c r="Q8" i="103" s="1"/>
  <c r="P24" i="104" s="1"/>
  <c r="Q26" i="103"/>
  <c r="Q10" i="103" s="1"/>
  <c r="Q28" i="103"/>
  <c r="Q12" i="103" s="1"/>
  <c r="Q30" i="103"/>
  <c r="Q14" i="103" s="1"/>
  <c r="P30" i="104" s="1"/>
  <c r="Q32" i="103"/>
  <c r="Q16" i="103" s="1"/>
  <c r="P22" i="103"/>
  <c r="P6" i="103" s="1"/>
  <c r="P28" i="103"/>
  <c r="P12" i="103" s="1"/>
  <c r="P21" i="103"/>
  <c r="P5" i="103" s="1"/>
  <c r="O21" i="104" s="1"/>
  <c r="P23" i="103"/>
  <c r="P7" i="103" s="1"/>
  <c r="P25" i="103"/>
  <c r="P9" i="103" s="1"/>
  <c r="P27" i="103"/>
  <c r="P11" i="103" s="1"/>
  <c r="O27" i="104" s="1"/>
  <c r="P29" i="103"/>
  <c r="P13" i="103" s="1"/>
  <c r="O29" i="104" s="1"/>
  <c r="P31" i="103"/>
  <c r="P15" i="103" s="1"/>
  <c r="O3" i="103"/>
  <c r="O7" i="103"/>
  <c r="O11" i="103"/>
  <c r="O15" i="103"/>
  <c r="P24" i="103"/>
  <c r="P8" i="103" s="1"/>
  <c r="O5" i="103"/>
  <c r="O9" i="103"/>
  <c r="O13" i="103"/>
  <c r="P40" i="103" l="1"/>
  <c r="O24" i="104"/>
  <c r="K339" i="109"/>
  <c r="O37" i="103"/>
  <c r="N21" i="104"/>
  <c r="O39" i="103"/>
  <c r="N23" i="104"/>
  <c r="O28" i="104"/>
  <c r="P48" i="103"/>
  <c r="O32" i="104"/>
  <c r="O35" i="103"/>
  <c r="N19" i="104"/>
  <c r="Q42" i="103"/>
  <c r="P26" i="104"/>
  <c r="O45" i="103"/>
  <c r="N29" i="104"/>
  <c r="O47" i="103"/>
  <c r="N31" i="104"/>
  <c r="P47" i="103"/>
  <c r="O31" i="104"/>
  <c r="P39" i="103"/>
  <c r="O23" i="104"/>
  <c r="Q48" i="103"/>
  <c r="P32" i="104"/>
  <c r="P42" i="103"/>
  <c r="O26" i="104"/>
  <c r="Q39" i="103"/>
  <c r="P23" i="104"/>
  <c r="K347" i="109"/>
  <c r="K340" i="109"/>
  <c r="K349" i="109"/>
  <c r="K364" i="109"/>
  <c r="K362" i="109"/>
  <c r="P28" i="104"/>
  <c r="Q36" i="103"/>
  <c r="P20" i="104"/>
  <c r="P41" i="103"/>
  <c r="O25" i="104"/>
  <c r="P38" i="103"/>
  <c r="O22" i="104"/>
  <c r="P46" i="103"/>
  <c r="O30" i="104"/>
  <c r="O41" i="103"/>
  <c r="N25" i="104"/>
  <c r="O43" i="103"/>
  <c r="N27" i="104"/>
  <c r="P36" i="103"/>
  <c r="O20" i="104"/>
  <c r="K15" i="111"/>
  <c r="K13" i="111"/>
  <c r="K11" i="111"/>
  <c r="K12" i="111"/>
  <c r="K14" i="111"/>
  <c r="K10" i="111"/>
  <c r="K353" i="109"/>
  <c r="C38" i="105"/>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293" i="109"/>
  <c r="L289" i="109"/>
  <c r="L296" i="109"/>
  <c r="L292" i="109"/>
  <c r="L288" i="109"/>
  <c r="L284" i="109"/>
  <c r="L280" i="109"/>
  <c r="L344" i="109" s="1"/>
  <c r="L286" i="109"/>
  <c r="L282" i="109"/>
  <c r="L278" i="109"/>
  <c r="L299" i="109"/>
  <c r="L285" i="109"/>
  <c r="L295" i="109"/>
  <c r="L291" i="109"/>
  <c r="L287" i="109"/>
  <c r="L283" i="109"/>
  <c r="L279" i="109"/>
  <c r="L276" i="109"/>
  <c r="L298" i="109"/>
  <c r="L362" i="109" s="1"/>
  <c r="L294" i="109"/>
  <c r="L290" i="109"/>
  <c r="L275" i="109"/>
  <c r="L302" i="109"/>
  <c r="L277" i="109"/>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L341" i="109" l="1"/>
  <c r="L358" i="109"/>
  <c r="L349" i="109"/>
  <c r="L350" i="109"/>
  <c r="L361" i="109"/>
  <c r="L15" i="111"/>
  <c r="L11" i="111"/>
  <c r="L14" i="111"/>
  <c r="L12" i="111"/>
  <c r="L10" i="111"/>
  <c r="L13" i="111"/>
  <c r="L351" i="109"/>
  <c r="L366" i="109"/>
  <c r="Q15" i="105"/>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292" i="109"/>
  <c r="M356" i="109" s="1"/>
  <c r="M288" i="109"/>
  <c r="M352" i="109" s="1"/>
  <c r="M302" i="109"/>
  <c r="M366" i="109" s="1"/>
  <c r="M295" i="109"/>
  <c r="M359" i="109" s="1"/>
  <c r="M291" i="109"/>
  <c r="M355" i="109" s="1"/>
  <c r="M287" i="109"/>
  <c r="M283" i="109"/>
  <c r="M347" i="109" s="1"/>
  <c r="M279" i="109"/>
  <c r="M276" i="109"/>
  <c r="M340" i="109" s="1"/>
  <c r="M275" i="109"/>
  <c r="M339" i="109" s="1"/>
  <c r="M281" i="109"/>
  <c r="M345" i="109" s="1"/>
  <c r="M277" i="109"/>
  <c r="M341" i="109" s="1"/>
  <c r="M298" i="109"/>
  <c r="M294" i="109"/>
  <c r="M358" i="109" s="1"/>
  <c r="M290" i="109"/>
  <c r="M354" i="109" s="1"/>
  <c r="M284" i="109"/>
  <c r="M348" i="109" s="1"/>
  <c r="M280" i="109"/>
  <c r="M299" i="109"/>
  <c r="M363" i="109" s="1"/>
  <c r="M297" i="109"/>
  <c r="M361" i="109" s="1"/>
  <c r="M293" i="109"/>
  <c r="M357" i="109" s="1"/>
  <c r="M289" i="109"/>
  <c r="M285" i="109"/>
  <c r="M286" i="109"/>
  <c r="M282" i="109"/>
  <c r="M346" i="109" s="1"/>
  <c r="M278" i="109"/>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M343" i="109" l="1"/>
  <c r="M360" i="109"/>
  <c r="M14" i="111"/>
  <c r="M10" i="111"/>
  <c r="M13" i="111"/>
  <c r="M11" i="111"/>
  <c r="M15" i="111"/>
  <c r="M12" i="111"/>
  <c r="M342" i="109"/>
  <c r="M353" i="109"/>
  <c r="M362" i="109"/>
  <c r="M350" i="109"/>
  <c r="M365" i="109"/>
  <c r="M349" i="109"/>
  <c r="M351" i="109"/>
  <c r="M344" i="109"/>
  <c r="O47" i="109"/>
  <c r="N299" i="109"/>
  <c r="N302" i="109"/>
  <c r="N295" i="109"/>
  <c r="N291" i="109"/>
  <c r="N298" i="109"/>
  <c r="N294" i="109"/>
  <c r="N290" i="109"/>
  <c r="N286" i="109"/>
  <c r="N282" i="109"/>
  <c r="N278" i="109"/>
  <c r="N287" i="109"/>
  <c r="N284" i="109"/>
  <c r="N283" i="109"/>
  <c r="N280" i="109"/>
  <c r="N279" i="109"/>
  <c r="N275" i="109"/>
  <c r="N300" i="109"/>
  <c r="N296" i="109"/>
  <c r="N360" i="109" s="1"/>
  <c r="N297" i="109"/>
  <c r="N293" i="109"/>
  <c r="N289" i="109"/>
  <c r="N285" i="109"/>
  <c r="N281" i="109"/>
  <c r="N277" i="109"/>
  <c r="N301" i="109"/>
  <c r="N292" i="109"/>
  <c r="N288" i="109"/>
  <c r="N276" i="109"/>
  <c r="O48" i="109"/>
  <c r="N333" i="109"/>
  <c r="N329" i="109"/>
  <c r="N332" i="109"/>
  <c r="N328" i="109"/>
  <c r="N324" i="109"/>
  <c r="N320" i="109"/>
  <c r="N316" i="109"/>
  <c r="N331" i="109"/>
  <c r="N327" i="109"/>
  <c r="N315" i="109"/>
  <c r="N311" i="109"/>
  <c r="N307" i="109"/>
  <c r="N326" i="109"/>
  <c r="N325" i="109"/>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49" i="109" l="1"/>
  <c r="N342" i="109"/>
  <c r="N366" i="109"/>
  <c r="N364" i="109"/>
  <c r="N13" i="111"/>
  <c r="N11" i="111"/>
  <c r="N15" i="111"/>
  <c r="N10" i="111"/>
  <c r="N14" i="111"/>
  <c r="N12" i="111"/>
  <c r="N356" i="109"/>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294" i="109"/>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278" i="109"/>
  <c r="O276" i="109"/>
  <c r="O340" i="109" s="1"/>
  <c r="O287" i="109"/>
  <c r="O351" i="109" s="1"/>
  <c r="O301" i="109"/>
  <c r="O300" i="109"/>
  <c r="O296" i="109"/>
  <c r="O292" i="109"/>
  <c r="O356" i="109" s="1"/>
  <c r="O288" i="109"/>
  <c r="O286" i="109"/>
  <c r="O284" i="109"/>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50" i="109" l="1"/>
  <c r="O364" i="109"/>
  <c r="O342" i="109"/>
  <c r="O358" i="109"/>
  <c r="O13" i="111"/>
  <c r="O11" i="111"/>
  <c r="O12" i="111"/>
  <c r="O14" i="111"/>
  <c r="O15" i="111"/>
  <c r="O10" i="111"/>
  <c r="O352" i="109"/>
  <c r="O365" i="109"/>
  <c r="O346" i="109"/>
  <c r="O362" i="109"/>
  <c r="O348" i="109"/>
  <c r="O360" i="109"/>
  <c r="Q47" i="109"/>
  <c r="P301" i="109"/>
  <c r="P299" i="109"/>
  <c r="P297" i="109"/>
  <c r="P293" i="109"/>
  <c r="P289" i="109"/>
  <c r="P300" i="109"/>
  <c r="P296" i="109"/>
  <c r="P292" i="109"/>
  <c r="P288" i="109"/>
  <c r="P284" i="109"/>
  <c r="P348" i="109" s="1"/>
  <c r="P280" i="109"/>
  <c r="P298" i="109"/>
  <c r="P294" i="109"/>
  <c r="P290" i="109"/>
  <c r="P354" i="109" s="1"/>
  <c r="P285" i="109"/>
  <c r="P281" i="109"/>
  <c r="P277" i="109"/>
  <c r="P276" i="109"/>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P358" i="109" l="1"/>
  <c r="P352" i="109"/>
  <c r="P353" i="109"/>
  <c r="P15" i="111"/>
  <c r="P14" i="111"/>
  <c r="P10" i="111"/>
  <c r="P11" i="111"/>
  <c r="P12" i="111"/>
  <c r="P13" i="111"/>
  <c r="P340" i="109"/>
  <c r="P363" i="109"/>
  <c r="R48" i="109"/>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01" i="109"/>
  <c r="Q295" i="109"/>
  <c r="Q359" i="109" s="1"/>
  <c r="Q291" i="109"/>
  <c r="Q355" i="109" s="1"/>
  <c r="Q287" i="109"/>
  <c r="Q283" i="109"/>
  <c r="Q279" i="109"/>
  <c r="Q297" i="109"/>
  <c r="Q361" i="109" s="1"/>
  <c r="Q293" i="109"/>
  <c r="Q357" i="109" s="1"/>
  <c r="Q289" i="109"/>
  <c r="Q286" i="109"/>
  <c r="Q350" i="109" s="1"/>
  <c r="Q282" i="109"/>
  <c r="Q346" i="109" s="1"/>
  <c r="Q278" i="109"/>
  <c r="Q342" i="109" s="1"/>
  <c r="Q276" i="109"/>
  <c r="Q340" i="109" s="1"/>
  <c r="Q275" i="109"/>
  <c r="Q339" i="109" s="1"/>
  <c r="Q280" i="109"/>
  <c r="Q344" i="109" s="1"/>
  <c r="Q298" i="109"/>
  <c r="Q362" i="109" s="1"/>
  <c r="Q290" i="109"/>
  <c r="Q354" i="109" s="1"/>
  <c r="Q281" i="109"/>
  <c r="Q302" i="109"/>
  <c r="Q366" i="109" s="1"/>
  <c r="Q299" i="109"/>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P69" i="103"/>
  <c r="P52" i="103" s="1"/>
  <c r="O63" i="103"/>
  <c r="O59" i="103"/>
  <c r="O55" i="103"/>
  <c r="O58" i="103"/>
  <c r="O64" i="103"/>
  <c r="O60" i="103"/>
  <c r="O56" i="103"/>
  <c r="O54" i="103"/>
  <c r="O65" i="103"/>
  <c r="O61" i="103"/>
  <c r="O57" i="103"/>
  <c r="O53" i="103"/>
  <c r="O62" i="103"/>
  <c r="Q69" i="103" l="1"/>
  <c r="Q52" i="103" s="1"/>
  <c r="Q10" i="111"/>
  <c r="Q15" i="111"/>
  <c r="Q14" i="111"/>
  <c r="Q12" i="111"/>
  <c r="Q11" i="111"/>
  <c r="Q13" i="111"/>
  <c r="Q353" i="109"/>
  <c r="Q347" i="109"/>
  <c r="Q365" i="109"/>
  <c r="Q363" i="109"/>
  <c r="Q351" i="109"/>
  <c r="Q352" i="109"/>
  <c r="Q345" i="109"/>
  <c r="Q343" i="109"/>
  <c r="S47" i="109"/>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43" i="109" l="1"/>
  <c r="R353" i="109"/>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290" i="109"/>
  <c r="S297" i="109"/>
  <c r="S361" i="109" s="1"/>
  <c r="S293" i="109"/>
  <c r="S289" i="109"/>
  <c r="S353" i="109" s="1"/>
  <c r="S285" i="109"/>
  <c r="S281" i="109"/>
  <c r="S345" i="109" s="1"/>
  <c r="S277" i="109"/>
  <c r="S341" i="109" s="1"/>
  <c r="S299" i="109"/>
  <c r="S363" i="109" s="1"/>
  <c r="S296" i="109"/>
  <c r="S360" i="109" s="1"/>
  <c r="S292" i="109"/>
  <c r="S288" i="109"/>
  <c r="S352" i="109" s="1"/>
  <c r="S287" i="109"/>
  <c r="S351" i="109" s="1"/>
  <c r="S284" i="109"/>
  <c r="S283" i="109"/>
  <c r="S347" i="109" s="1"/>
  <c r="S280" i="109"/>
  <c r="S344" i="109" s="1"/>
  <c r="S279" i="109"/>
  <c r="S282" i="109"/>
  <c r="S301" i="109"/>
  <c r="S365" i="109" s="1"/>
  <c r="S300" i="109"/>
  <c r="S364" i="109" s="1"/>
  <c r="S295" i="109"/>
  <c r="S291" i="109"/>
  <c r="S276" i="109"/>
  <c r="S340" i="109" s="1"/>
  <c r="S286" i="109"/>
  <c r="S350" i="109" s="1"/>
  <c r="S275" i="109"/>
  <c r="S278" i="109"/>
  <c r="AD31" i="105"/>
  <c r="AD31" i="108"/>
  <c r="AD43" i="105"/>
  <c r="AD43" i="108"/>
  <c r="AD46" i="105"/>
  <c r="AD46" i="108"/>
  <c r="AD48" i="105"/>
  <c r="AD48" i="108"/>
  <c r="AD38" i="105"/>
  <c r="AD38" i="108"/>
  <c r="AC50" i="105"/>
  <c r="AD50" i="108"/>
  <c r="AD47" i="105"/>
  <c r="AD47" i="108"/>
  <c r="AC38" i="105"/>
  <c r="AC48" i="105"/>
  <c r="AC43" i="105"/>
  <c r="AC31" i="105"/>
  <c r="AC46" i="105"/>
  <c r="AC47" i="105"/>
  <c r="AD50" i="105"/>
  <c r="S355" i="109" l="1"/>
  <c r="S348" i="109"/>
  <c r="S354" i="109"/>
  <c r="S342" i="109"/>
  <c r="S346" i="109"/>
  <c r="S339" i="109"/>
  <c r="S359" i="109"/>
  <c r="S358" i="109"/>
  <c r="S356" i="109"/>
  <c r="S343" i="109"/>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280" i="109"/>
  <c r="T344" i="109" s="1"/>
  <c r="T300" i="109"/>
  <c r="T364" i="109" s="1"/>
  <c r="T276" i="109"/>
  <c r="T278" i="109"/>
  <c r="T342" i="109" s="1"/>
  <c r="T283" i="109"/>
  <c r="T347" i="109" s="1"/>
  <c r="T295" i="109"/>
  <c r="T359" i="109" s="1"/>
  <c r="T291" i="109"/>
  <c r="T355" i="109" s="1"/>
  <c r="T285" i="109"/>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T349" i="109" l="1"/>
  <c r="T348" i="109"/>
  <c r="AL86" i="108"/>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291" i="109"/>
  <c r="U287" i="109"/>
  <c r="U351" i="109" s="1"/>
  <c r="U283" i="109"/>
  <c r="U279" i="109"/>
  <c r="U343" i="109" s="1"/>
  <c r="U302" i="109"/>
  <c r="U366" i="109" s="1"/>
  <c r="U301" i="109"/>
  <c r="U365" i="109" s="1"/>
  <c r="U285" i="109"/>
  <c r="U349" i="109" s="1"/>
  <c r="U281" i="109"/>
  <c r="U277" i="109"/>
  <c r="U341" i="109" s="1"/>
  <c r="U276" i="109"/>
  <c r="U275" i="109"/>
  <c r="U339" i="109" s="1"/>
  <c r="U284" i="109"/>
  <c r="U348" i="109" s="1"/>
  <c r="U298" i="109"/>
  <c r="U362" i="109" s="1"/>
  <c r="U294" i="109"/>
  <c r="U358" i="109" s="1"/>
  <c r="U290" i="109"/>
  <c r="U286" i="109"/>
  <c r="U350" i="109" s="1"/>
  <c r="U282" i="109"/>
  <c r="U346" i="109" s="1"/>
  <c r="U278" i="109"/>
  <c r="U342" i="109" s="1"/>
  <c r="U297" i="109"/>
  <c r="U361" i="109" s="1"/>
  <c r="U293" i="109"/>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U340" i="109" l="1"/>
  <c r="U357" i="109"/>
  <c r="U345" i="109"/>
  <c r="U359" i="109"/>
  <c r="W47" i="109"/>
  <c r="V299" i="109"/>
  <c r="V295" i="109"/>
  <c r="V291" i="109"/>
  <c r="V301" i="109"/>
  <c r="V300" i="109"/>
  <c r="V298" i="109"/>
  <c r="V294" i="109"/>
  <c r="V290" i="109"/>
  <c r="V286" i="109"/>
  <c r="V282" i="109"/>
  <c r="V278" i="109"/>
  <c r="V275" i="109"/>
  <c r="V283" i="109"/>
  <c r="V280" i="109"/>
  <c r="V279" i="109"/>
  <c r="V302" i="109"/>
  <c r="V292" i="109"/>
  <c r="V288" i="109"/>
  <c r="V285" i="109"/>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V349" i="109" l="1"/>
  <c r="V342" i="109"/>
  <c r="V355" i="109"/>
  <c r="X48" i="109"/>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01" i="109"/>
  <c r="W365" i="109" s="1"/>
  <c r="W300" i="109"/>
  <c r="W298" i="109"/>
  <c r="W362" i="109" s="1"/>
  <c r="W294" i="109"/>
  <c r="W358" i="109" s="1"/>
  <c r="W290" i="109"/>
  <c r="W354" i="109" s="1"/>
  <c r="W297" i="109"/>
  <c r="W361" i="109" s="1"/>
  <c r="W293" i="109"/>
  <c r="W289" i="109"/>
  <c r="W285" i="109"/>
  <c r="W281" i="109"/>
  <c r="W345" i="109" s="1"/>
  <c r="W277" i="109"/>
  <c r="W295" i="109"/>
  <c r="W291" i="109"/>
  <c r="W286" i="109"/>
  <c r="W350" i="109" s="1"/>
  <c r="W282" i="109"/>
  <c r="W346" i="109" s="1"/>
  <c r="W278" i="109"/>
  <c r="W342" i="109" s="1"/>
  <c r="W276" i="109"/>
  <c r="W287" i="109"/>
  <c r="W351" i="109" s="1"/>
  <c r="W284" i="109"/>
  <c r="W348" i="109" s="1"/>
  <c r="W283" i="109"/>
  <c r="W280" i="109"/>
  <c r="W344" i="109" s="1"/>
  <c r="W279" i="109"/>
  <c r="W343" i="109" s="1"/>
  <c r="W296" i="109"/>
  <c r="W360" i="109" s="1"/>
  <c r="W292" i="109"/>
  <c r="W356" i="109" s="1"/>
  <c r="W288" i="109"/>
  <c r="W299" i="109"/>
  <c r="W363" i="109" s="1"/>
  <c r="W275" i="109"/>
  <c r="W339" i="109" s="1"/>
  <c r="W340" i="109" l="1"/>
  <c r="W347" i="109"/>
  <c r="W359" i="109"/>
  <c r="W353" i="109"/>
  <c r="W366" i="109"/>
  <c r="W364" i="109"/>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288" i="109"/>
  <c r="Y352" i="109" s="1"/>
  <c r="Y299" i="109"/>
  <c r="Y363" i="109" s="1"/>
  <c r="Y295" i="109"/>
  <c r="Y359" i="109" s="1"/>
  <c r="Y291" i="109"/>
  <c r="Y355" i="109" s="1"/>
  <c r="Y287" i="109"/>
  <c r="Y351" i="109" s="1"/>
  <c r="Y283" i="109"/>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Y356" i="109" l="1"/>
  <c r="Y347" i="109"/>
  <c r="AA47" i="109"/>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290" i="109"/>
  <c r="AA301" i="109"/>
  <c r="AA300" i="109"/>
  <c r="AA297" i="109"/>
  <c r="AA293" i="109"/>
  <c r="AA289" i="109"/>
  <c r="AA353" i="109" s="1"/>
  <c r="AA285" i="109"/>
  <c r="AA349" i="109" s="1"/>
  <c r="AA281" i="109"/>
  <c r="AA277" i="109"/>
  <c r="AA341" i="109" s="1"/>
  <c r="AA296" i="109"/>
  <c r="AA360" i="109" s="1"/>
  <c r="AA292" i="109"/>
  <c r="AA288" i="109"/>
  <c r="AA280" i="109"/>
  <c r="AA344" i="109" s="1"/>
  <c r="AA279" i="109"/>
  <c r="AA343" i="109" s="1"/>
  <c r="AA286" i="109"/>
  <c r="AA282" i="109"/>
  <c r="AA346" i="109" s="1"/>
  <c r="AA278" i="109"/>
  <c r="AA342" i="109" s="1"/>
  <c r="AA283" i="109"/>
  <c r="AA295" i="109"/>
  <c r="AA291" i="109"/>
  <c r="AA287" i="109"/>
  <c r="AA351" i="109" s="1"/>
  <c r="AA284" i="109"/>
  <c r="AA348" i="109" s="1"/>
  <c r="AA276" i="109"/>
  <c r="AA275" i="109"/>
  <c r="AA339" i="109" s="1"/>
  <c r="AA357" i="109" l="1"/>
  <c r="AA354" i="109"/>
  <c r="AA355" i="109"/>
  <c r="AA352" i="109"/>
  <c r="AA358" i="109"/>
  <c r="AA340" i="109"/>
  <c r="AA350" i="109"/>
  <c r="AA364" i="109"/>
  <c r="AA347" i="109"/>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292" i="109"/>
  <c r="AB288" i="109"/>
  <c r="AB284" i="109"/>
  <c r="AB348" i="109" s="1"/>
  <c r="AB280" i="109"/>
  <c r="AB344" i="109" s="1"/>
  <c r="AB276" i="109"/>
  <c r="AB340" i="109" s="1"/>
  <c r="AB286" i="109"/>
  <c r="AB282" i="109"/>
  <c r="AB346" i="109" s="1"/>
  <c r="AB278" i="109"/>
  <c r="AB275" i="109"/>
  <c r="AB339" i="109" s="1"/>
  <c r="AB281" i="109"/>
  <c r="AB345" i="109" s="1"/>
  <c r="AB302" i="109"/>
  <c r="AB366" i="109" s="1"/>
  <c r="AB299" i="109"/>
  <c r="AB295" i="109"/>
  <c r="AB291" i="109"/>
  <c r="AB355" i="109" s="1"/>
  <c r="AB287" i="109"/>
  <c r="AB351" i="109" s="1"/>
  <c r="AB283" i="109"/>
  <c r="AB279" i="109"/>
  <c r="AB298" i="109"/>
  <c r="AB362" i="109" s="1"/>
  <c r="AB294" i="109"/>
  <c r="AB290" i="109"/>
  <c r="AB285" i="109"/>
  <c r="AB349" i="109" s="1"/>
  <c r="AB277" i="109"/>
  <c r="AA361" i="109"/>
  <c r="AA359" i="109"/>
  <c r="AA356" i="109"/>
  <c r="AA362" i="109"/>
  <c r="AB352" i="109" l="1"/>
  <c r="AB343" i="109"/>
  <c r="AB356" i="109"/>
  <c r="AB350" i="109"/>
  <c r="AB359" i="109"/>
  <c r="AB354" i="109"/>
  <c r="AB347" i="109"/>
  <c r="AB342" i="109"/>
  <c r="AB360" i="109"/>
  <c r="AB363" i="109"/>
  <c r="AB364" i="109"/>
  <c r="AD48" i="109"/>
  <c r="AC334" i="109"/>
  <c r="AC330" i="109"/>
  <c r="AC326" i="109"/>
  <c r="AC333" i="109"/>
  <c r="AC329" i="109"/>
  <c r="AC325" i="109"/>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294" i="109"/>
  <c r="AC358" i="109" s="1"/>
  <c r="AC290" i="109"/>
  <c r="AC284" i="109"/>
  <c r="AC280" i="109"/>
  <c r="AC344" i="109" s="1"/>
  <c r="AC297" i="109"/>
  <c r="AC361" i="109" s="1"/>
  <c r="AC293" i="109"/>
  <c r="AC289" i="109"/>
  <c r="AC353" i="109" s="1"/>
  <c r="AC285" i="109"/>
  <c r="AC349" i="109" s="1"/>
  <c r="AC277" i="109"/>
  <c r="AC341" i="109" s="1"/>
  <c r="AC286" i="109"/>
  <c r="AC350" i="109" s="1"/>
  <c r="AC278" i="109"/>
  <c r="AC362" i="109" l="1"/>
  <c r="AC352" i="109"/>
  <c r="AC348" i="109"/>
  <c r="AC342" i="109"/>
  <c r="AC355" i="109"/>
  <c r="AC356" i="109"/>
  <c r="AE47" i="109"/>
  <c r="AD299" i="109"/>
  <c r="AD302" i="109"/>
  <c r="AD295" i="109"/>
  <c r="AD291" i="109"/>
  <c r="AD355" i="109" s="1"/>
  <c r="AD298" i="109"/>
  <c r="AD294" i="109"/>
  <c r="AD290" i="109"/>
  <c r="AD286" i="109"/>
  <c r="AD282" i="109"/>
  <c r="AD278" i="109"/>
  <c r="AD287" i="109"/>
  <c r="AD284" i="109"/>
  <c r="AD283" i="109"/>
  <c r="AD280" i="109"/>
  <c r="AD279" i="109"/>
  <c r="AD276" i="109"/>
  <c r="AD275" i="109"/>
  <c r="AD296" i="109"/>
  <c r="AD360" i="109" s="1"/>
  <c r="AD301" i="109"/>
  <c r="AD300" i="109"/>
  <c r="AD297" i="109"/>
  <c r="AD293" i="109"/>
  <c r="AD289" i="109"/>
  <c r="AD285" i="109"/>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50" i="109" l="1"/>
  <c r="AD349" i="109"/>
  <c r="AD340" i="109"/>
  <c r="AD364" i="109"/>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297" i="109"/>
  <c r="AF293" i="109"/>
  <c r="AF289" i="109"/>
  <c r="AF300" i="109"/>
  <c r="AF296" i="109"/>
  <c r="AF292" i="109"/>
  <c r="AF288" i="109"/>
  <c r="AF284" i="109"/>
  <c r="AF280" i="109"/>
  <c r="AF276" i="109"/>
  <c r="AF302" i="109"/>
  <c r="AF298" i="109"/>
  <c r="AF294" i="109"/>
  <c r="AF290" i="109"/>
  <c r="AF285" i="109"/>
  <c r="AF281" i="109"/>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45" i="109" l="1"/>
  <c r="AF348" i="109"/>
  <c r="AF363" i="109"/>
  <c r="AF362" i="109"/>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292" i="109"/>
  <c r="AG288" i="109"/>
  <c r="AG352" i="109" s="1"/>
  <c r="AG301" i="109"/>
  <c r="AG365" i="109" s="1"/>
  <c r="AG295" i="109"/>
  <c r="AG291" i="109"/>
  <c r="AG287" i="109"/>
  <c r="AG351" i="109" s="1"/>
  <c r="AG283" i="109"/>
  <c r="AG347" i="109" s="1"/>
  <c r="AG279" i="109"/>
  <c r="AG343" i="109" s="1"/>
  <c r="AG297" i="109"/>
  <c r="AG293" i="109"/>
  <c r="AG289" i="109"/>
  <c r="AG286" i="109"/>
  <c r="AG350" i="109" s="1"/>
  <c r="AG282" i="109"/>
  <c r="AG278" i="109"/>
  <c r="AG342" i="109" s="1"/>
  <c r="AG275" i="109"/>
  <c r="AG339" i="109" s="1"/>
  <c r="AG280" i="109"/>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61" i="109" l="1"/>
  <c r="AG344" i="109"/>
  <c r="AG359" i="109"/>
  <c r="AG360" i="109"/>
  <c r="AG341" i="109"/>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AH322" i="109"/>
  <c r="AH321" i="109"/>
  <c r="AH318" i="109"/>
  <c r="AH317" i="109"/>
  <c r="AH313" i="109"/>
  <c r="AH309" i="109"/>
  <c r="AH308" i="109"/>
  <c r="AH323" i="109"/>
  <c r="AH312" i="109"/>
  <c r="AH310" i="109"/>
  <c r="AH314" i="109"/>
  <c r="AH319" i="109"/>
  <c r="AH356" i="109" l="1"/>
  <c r="AH349" i="109"/>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289" i="109"/>
  <c r="AI285" i="109"/>
  <c r="AI349" i="109" s="1"/>
  <c r="AI281" i="109"/>
  <c r="AI345" i="109" s="1"/>
  <c r="AI277" i="109"/>
  <c r="AI296" i="109"/>
  <c r="AI292" i="109"/>
  <c r="AI288" i="109"/>
  <c r="AI352" i="109" s="1"/>
  <c r="AI287" i="109"/>
  <c r="AI284" i="109"/>
  <c r="AI348" i="109" s="1"/>
  <c r="AI283" i="109"/>
  <c r="AI280" i="109"/>
  <c r="AI279" i="109"/>
  <c r="AI343" i="109" s="1"/>
  <c r="AI276" i="109"/>
  <c r="AI340" i="109" s="1"/>
  <c r="AI300" i="109"/>
  <c r="AI364" i="109" s="1"/>
  <c r="AI299" i="109"/>
  <c r="AI363" i="109" s="1"/>
  <c r="AI295" i="109"/>
  <c r="AI359" i="109" s="1"/>
  <c r="AI291" i="109"/>
  <c r="AI355" i="109" s="1"/>
  <c r="AI301" i="109"/>
  <c r="AI286" i="109"/>
  <c r="AI350" i="109" s="1"/>
  <c r="AI282" i="109"/>
  <c r="AI278" i="109"/>
  <c r="AI275" i="109"/>
  <c r="AI339" i="109" s="1"/>
  <c r="AH344" i="109"/>
  <c r="AH341" i="109"/>
  <c r="AH346" i="109"/>
  <c r="AH362" i="109"/>
  <c r="AH364" i="109"/>
  <c r="AI365" i="109" l="1"/>
  <c r="AI347" i="109"/>
  <c r="AI342" i="109"/>
  <c r="AI360" i="109"/>
  <c r="AI353" i="109"/>
  <c r="AI346" i="109"/>
  <c r="AI341" i="109"/>
  <c r="AI357" i="109"/>
  <c r="AI351" i="109"/>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298" i="109"/>
  <c r="AJ362" i="109" s="1"/>
  <c r="AJ297" i="109"/>
  <c r="AJ293" i="109"/>
  <c r="AJ357" i="109" s="1"/>
  <c r="AJ289" i="109"/>
  <c r="AJ353" i="109" s="1"/>
  <c r="AJ299" i="109"/>
  <c r="AJ296" i="109"/>
  <c r="AJ360" i="109" s="1"/>
  <c r="AJ292" i="109"/>
  <c r="AJ288" i="109"/>
  <c r="AJ284" i="109"/>
  <c r="AJ348" i="109" s="1"/>
  <c r="AJ280" i="109"/>
  <c r="AJ276" i="109"/>
  <c r="AJ340" i="109" s="1"/>
  <c r="AJ282" i="109"/>
  <c r="AJ278" i="109"/>
  <c r="AJ342" i="109" s="1"/>
  <c r="AJ275" i="109"/>
  <c r="AJ287" i="109"/>
  <c r="AJ283" i="109"/>
  <c r="AJ295" i="109"/>
  <c r="AJ359" i="109" s="1"/>
  <c r="AJ291" i="109"/>
  <c r="AJ285" i="109"/>
  <c r="AJ281" i="109"/>
  <c r="AJ277" i="109"/>
  <c r="AJ341" i="109" s="1"/>
  <c r="AJ300" i="109"/>
  <c r="AJ364" i="109" s="1"/>
  <c r="AJ294" i="109"/>
  <c r="AJ290" i="109"/>
  <c r="AJ286" i="109"/>
  <c r="AJ279" i="109"/>
  <c r="AJ343" i="109" s="1"/>
  <c r="AJ345" i="109" l="1"/>
  <c r="AJ346" i="109"/>
  <c r="AJ352" i="109"/>
  <c r="AJ366" i="109"/>
  <c r="AJ350" i="109"/>
  <c r="AJ354" i="109"/>
  <c r="AJ347" i="109"/>
  <c r="AJ349" i="109"/>
  <c r="AJ351" i="109"/>
  <c r="AJ356" i="109"/>
  <c r="AL48" i="109"/>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292" i="109"/>
  <c r="AK356" i="109" s="1"/>
  <c r="AK288" i="109"/>
  <c r="AK352" i="109" s="1"/>
  <c r="AK295" i="109"/>
  <c r="AK359" i="109" s="1"/>
  <c r="AK291" i="109"/>
  <c r="AK287" i="109"/>
  <c r="AK351" i="109" s="1"/>
  <c r="AK283" i="109"/>
  <c r="AK347" i="109" s="1"/>
  <c r="AK279" i="109"/>
  <c r="AK343" i="109" s="1"/>
  <c r="AK285" i="109"/>
  <c r="AK349" i="109" s="1"/>
  <c r="AK281" i="109"/>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289" i="109"/>
  <c r="AK284" i="109"/>
  <c r="AK348" i="109" s="1"/>
  <c r="AK276" i="109"/>
  <c r="AK280" i="109"/>
  <c r="AK344" i="109" s="1"/>
  <c r="AJ358" i="109"/>
  <c r="AJ363" i="109"/>
  <c r="AK357" i="109" l="1"/>
  <c r="AK345" i="109"/>
  <c r="AK340" i="109"/>
  <c r="AK360" i="109"/>
  <c r="AK353" i="109"/>
  <c r="AK354" i="109"/>
  <c r="AM47" i="109"/>
  <c r="AL299" i="109"/>
  <c r="AL295" i="109"/>
  <c r="AL291" i="109"/>
  <c r="AL301" i="109"/>
  <c r="AL300" i="109"/>
  <c r="AL294" i="109"/>
  <c r="AL290" i="109"/>
  <c r="AL286" i="109"/>
  <c r="AL282" i="109"/>
  <c r="AL278" i="109"/>
  <c r="AL275" i="109"/>
  <c r="AL280" i="109"/>
  <c r="AL279" i="109"/>
  <c r="AL292" i="109"/>
  <c r="AL288" i="109"/>
  <c r="AL281" i="109"/>
  <c r="AL302" i="109"/>
  <c r="AL298" i="109"/>
  <c r="AL297" i="109"/>
  <c r="AL293" i="109"/>
  <c r="AL289" i="109"/>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53" i="109" l="1"/>
  <c r="AL366" i="109"/>
  <c r="AL343" i="109"/>
  <c r="AL346" i="109"/>
  <c r="AL363" i="109"/>
  <c r="AL345" i="109"/>
  <c r="AL350" i="109"/>
  <c r="AL365" i="109"/>
  <c r="AL364" i="109"/>
  <c r="AN48" i="109"/>
  <c r="AM332" i="109"/>
  <c r="AM328" i="109"/>
  <c r="AM331" i="109"/>
  <c r="AM327" i="109"/>
  <c r="AM323" i="109"/>
  <c r="AM319" i="109"/>
  <c r="AM315" i="109"/>
  <c r="AM330" i="109"/>
  <c r="AM326" i="109"/>
  <c r="AM333" i="109"/>
  <c r="AM329" i="109"/>
  <c r="AM314" i="109"/>
  <c r="AM310" i="109"/>
  <c r="AM334" i="109"/>
  <c r="AM324" i="109"/>
  <c r="AM320" i="109"/>
  <c r="AM316" i="109"/>
  <c r="AM325" i="109"/>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293" i="109"/>
  <c r="AM289" i="109"/>
  <c r="AM285" i="109"/>
  <c r="AM281" i="109"/>
  <c r="AM277" i="109"/>
  <c r="AM295" i="109"/>
  <c r="AM291" i="109"/>
  <c r="AM355" i="109" s="1"/>
  <c r="AM286" i="109"/>
  <c r="AM350" i="109" s="1"/>
  <c r="AM282" i="109"/>
  <c r="AM278" i="109"/>
  <c r="AM342" i="109" s="1"/>
  <c r="AM276" i="109"/>
  <c r="AM340" i="109" s="1"/>
  <c r="AM299" i="109"/>
  <c r="AM287" i="109"/>
  <c r="AM351" i="109" s="1"/>
  <c r="AM284" i="109"/>
  <c r="AM283" i="109"/>
  <c r="AM347" i="109" s="1"/>
  <c r="AM280" i="109"/>
  <c r="AM279" i="109"/>
  <c r="AM296" i="109"/>
  <c r="AM360" i="109" s="1"/>
  <c r="AM292" i="109"/>
  <c r="AM356" i="109" s="1"/>
  <c r="AM288" i="109"/>
  <c r="AM275" i="109"/>
  <c r="AL340" i="109"/>
  <c r="AL341" i="109"/>
  <c r="AL349" i="109"/>
  <c r="AL351" i="109"/>
  <c r="AL361" i="109"/>
  <c r="AL352" i="109"/>
  <c r="AL339" i="109"/>
  <c r="AL354" i="109"/>
  <c r="AL355" i="109"/>
  <c r="AL348" i="109"/>
  <c r="AL357" i="109"/>
  <c r="AL360" i="109"/>
  <c r="AL347" i="109"/>
  <c r="AL362" i="109"/>
  <c r="AL356" i="109"/>
  <c r="AL342" i="109"/>
  <c r="AL358" i="109"/>
  <c r="AL359" i="109"/>
  <c r="AM359" i="109" l="1"/>
  <c r="AM348" i="109"/>
  <c r="AM353" i="109"/>
  <c r="AM339" i="109"/>
  <c r="AM343" i="109"/>
  <c r="AM346" i="109"/>
  <c r="AM341" i="109"/>
  <c r="AM352" i="109"/>
  <c r="AM344" i="109"/>
  <c r="AM363" i="109"/>
  <c r="AM361" i="109"/>
  <c r="AM357" i="109"/>
  <c r="AO47" i="109"/>
  <c r="AN301" i="109"/>
  <c r="AN297" i="109"/>
  <c r="AN361" i="109" s="1"/>
  <c r="AN293" i="109"/>
  <c r="AN289" i="109"/>
  <c r="AN302" i="109"/>
  <c r="AN298" i="109"/>
  <c r="AN296" i="109"/>
  <c r="AN292" i="109"/>
  <c r="AN288" i="109"/>
  <c r="AN284" i="109"/>
  <c r="AN280" i="109"/>
  <c r="AN276" i="109"/>
  <c r="AN299" i="109"/>
  <c r="AN294" i="109"/>
  <c r="AN358" i="109" s="1"/>
  <c r="AN290" i="109"/>
  <c r="AN287" i="109"/>
  <c r="AN283" i="109"/>
  <c r="AN279" i="109"/>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43" i="109" l="1"/>
  <c r="AN348" i="109"/>
  <c r="AN362" i="109"/>
  <c r="AN355" i="109"/>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294" i="109"/>
  <c r="AP290" i="109"/>
  <c r="AP286" i="109"/>
  <c r="AP282" i="109"/>
  <c r="AP278" i="109"/>
  <c r="AP302" i="109"/>
  <c r="AP301" i="109"/>
  <c r="AP300" i="109"/>
  <c r="AP364" i="109" s="1"/>
  <c r="AP298" i="109"/>
  <c r="AP285" i="109"/>
  <c r="AP281" i="109"/>
  <c r="AP277" i="109"/>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41" i="109" l="1"/>
  <c r="AP346" i="109"/>
  <c r="AP355" i="109"/>
  <c r="AP352" i="109"/>
  <c r="AP356" i="109"/>
  <c r="AP345" i="109"/>
  <c r="AP365" i="109"/>
  <c r="AP350" i="109"/>
  <c r="AP359" i="109"/>
  <c r="AR48" i="109"/>
  <c r="AS48" i="109" s="1"/>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S47" i="109" s="1"/>
  <c r="AT47" i="109" s="1"/>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AQ302" i="109"/>
  <c r="AQ366" i="109" s="1"/>
  <c r="AQ298" i="109"/>
  <c r="AQ362" i="109" s="1"/>
  <c r="AQ299" i="109"/>
  <c r="AQ294" i="109"/>
  <c r="AQ358" i="109" s="1"/>
  <c r="AQ290" i="109"/>
  <c r="AQ301" i="109"/>
  <c r="AQ365" i="109" s="1"/>
  <c r="AQ300" i="109"/>
  <c r="AQ297" i="109"/>
  <c r="AQ361" i="109" s="1"/>
  <c r="AQ293" i="109"/>
  <c r="AQ357" i="109" s="1"/>
  <c r="AQ289" i="109"/>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283" i="109"/>
  <c r="AQ295" i="109"/>
  <c r="AQ291" i="109"/>
  <c r="AQ355" i="109" s="1"/>
  <c r="AQ287" i="109"/>
  <c r="AQ351" i="109" s="1"/>
  <c r="AQ284" i="109"/>
  <c r="AQ348" i="109" s="1"/>
  <c r="AQ275" i="109"/>
  <c r="AQ339" i="109" s="1"/>
  <c r="AQ342" i="109" l="1"/>
  <c r="AQ353" i="109"/>
  <c r="AR334" i="109"/>
  <c r="AS334" i="109" s="1"/>
  <c r="AT334" i="109" s="1"/>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R331" i="109"/>
  <c r="AS331" i="109" s="1"/>
  <c r="AT331" i="109" s="1"/>
  <c r="AU331" i="109" s="1"/>
  <c r="AV331" i="109" s="1"/>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R327" i="109"/>
  <c r="AS327" i="109" s="1"/>
  <c r="AT327" i="109" s="1"/>
  <c r="AU327" i="109" s="1"/>
  <c r="AV327" i="109" s="1"/>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R330" i="109"/>
  <c r="AS330" i="109" s="1"/>
  <c r="AT330" i="109" s="1"/>
  <c r="AU330" i="109" s="1"/>
  <c r="AV330" i="109" s="1"/>
  <c r="AW330" i="109" s="1"/>
  <c r="AX330" i="109" s="1"/>
  <c r="AY330" i="109" s="1"/>
  <c r="AZ330" i="109" s="1"/>
  <c r="BA330" i="109" s="1"/>
  <c r="BB330" i="109" s="1"/>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R326" i="109"/>
  <c r="AS326" i="109" s="1"/>
  <c r="AT326" i="109" s="1"/>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R322" i="109"/>
  <c r="AS322" i="109" s="1"/>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AR318" i="109"/>
  <c r="AS318" i="109" s="1"/>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R333" i="109"/>
  <c r="AS333" i="109" s="1"/>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AR329" i="109"/>
  <c r="AS329" i="109" s="1"/>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AR323" i="109"/>
  <c r="AS323" i="109" s="1"/>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R319" i="109"/>
  <c r="AS319" i="109" s="1"/>
  <c r="AT319" i="109" s="1"/>
  <c r="AU319" i="109" s="1"/>
  <c r="AV319" i="109" s="1"/>
  <c r="AW319" i="109" s="1"/>
  <c r="AX319" i="109" s="1"/>
  <c r="AY319" i="109" s="1"/>
  <c r="AZ319" i="109" s="1"/>
  <c r="BA319" i="109" s="1"/>
  <c r="BB319" i="109" s="1"/>
  <c r="BC319" i="109" s="1"/>
  <c r="BD319" i="109" s="1"/>
  <c r="BE319" i="109" s="1"/>
  <c r="BF319" i="109" s="1"/>
  <c r="BG319" i="109" s="1"/>
  <c r="BH319" i="109" s="1"/>
  <c r="BI319" i="109" s="1"/>
  <c r="BJ319" i="109" s="1"/>
  <c r="BK319" i="109" s="1"/>
  <c r="BL319" i="109" s="1"/>
  <c r="BM319" i="109" s="1"/>
  <c r="BN319" i="109" s="1"/>
  <c r="BO319" i="109" s="1"/>
  <c r="BP319" i="109" s="1"/>
  <c r="BQ319" i="109" s="1"/>
  <c r="BR319" i="109" s="1"/>
  <c r="BS319" i="109" s="1"/>
  <c r="BT319" i="109" s="1"/>
  <c r="BU319" i="109" s="1"/>
  <c r="BV319" i="109" s="1"/>
  <c r="AR315" i="109"/>
  <c r="AS315" i="109" s="1"/>
  <c r="AT315" i="109" s="1"/>
  <c r="AU315" i="109" s="1"/>
  <c r="AV315" i="109" s="1"/>
  <c r="AW315" i="109" s="1"/>
  <c r="AX315" i="109" s="1"/>
  <c r="AY315" i="109" s="1"/>
  <c r="AZ315" i="109" s="1"/>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R313" i="109"/>
  <c r="AS313" i="109" s="1"/>
  <c r="AT313" i="109" s="1"/>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R309" i="109"/>
  <c r="AS309" i="109" s="1"/>
  <c r="AT309" i="109" s="1"/>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R324" i="109"/>
  <c r="AS324" i="109" s="1"/>
  <c r="AT324" i="109" s="1"/>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R320" i="109"/>
  <c r="AS320" i="109" s="1"/>
  <c r="AT320" i="109" s="1"/>
  <c r="AU320" i="109" s="1"/>
  <c r="AV320" i="109" s="1"/>
  <c r="AW320" i="109" s="1"/>
  <c r="AX320" i="109" s="1"/>
  <c r="AY320" i="109" s="1"/>
  <c r="AZ320" i="109" s="1"/>
  <c r="BA320" i="109" s="1"/>
  <c r="BB320" i="109" s="1"/>
  <c r="BC320" i="109" s="1"/>
  <c r="BD320" i="109" s="1"/>
  <c r="BE320" i="109" s="1"/>
  <c r="BF320" i="109" s="1"/>
  <c r="BG320" i="109" s="1"/>
  <c r="BH320" i="109" s="1"/>
  <c r="BI320" i="109" s="1"/>
  <c r="BJ320" i="109" s="1"/>
  <c r="BK320" i="109" s="1"/>
  <c r="BL320" i="109" s="1"/>
  <c r="BM320" i="109" s="1"/>
  <c r="BN320" i="109" s="1"/>
  <c r="BO320" i="109" s="1"/>
  <c r="BP320" i="109" s="1"/>
  <c r="BQ320" i="109" s="1"/>
  <c r="BR320" i="109" s="1"/>
  <c r="BS320" i="109" s="1"/>
  <c r="BT320" i="109" s="1"/>
  <c r="BU320" i="109" s="1"/>
  <c r="BV320" i="109" s="1"/>
  <c r="AR316" i="109"/>
  <c r="AR332" i="109"/>
  <c r="AS332" i="109" s="1"/>
  <c r="AT332" i="109" s="1"/>
  <c r="AU332" i="109" s="1"/>
  <c r="AV332" i="109" s="1"/>
  <c r="AW332" i="109" s="1"/>
  <c r="AX332" i="109" s="1"/>
  <c r="AY332" i="109" s="1"/>
  <c r="AZ332" i="109" s="1"/>
  <c r="BA332" i="109" s="1"/>
  <c r="BB332" i="109" s="1"/>
  <c r="BC332" i="109" s="1"/>
  <c r="BD332" i="109" s="1"/>
  <c r="BE332" i="109" s="1"/>
  <c r="BF332" i="109" s="1"/>
  <c r="BG332" i="109" s="1"/>
  <c r="BH332" i="109" s="1"/>
  <c r="BI332" i="109" s="1"/>
  <c r="BJ332" i="109" s="1"/>
  <c r="BK332" i="109" s="1"/>
  <c r="BL332" i="109" s="1"/>
  <c r="BM332" i="109" s="1"/>
  <c r="BN332" i="109" s="1"/>
  <c r="BO332" i="109" s="1"/>
  <c r="BP332" i="109" s="1"/>
  <c r="BQ332" i="109" s="1"/>
  <c r="BR332" i="109" s="1"/>
  <c r="BS332" i="109" s="1"/>
  <c r="BT332" i="109" s="1"/>
  <c r="BU332" i="109" s="1"/>
  <c r="BV332" i="109" s="1"/>
  <c r="AR328" i="109"/>
  <c r="AS328" i="109" s="1"/>
  <c r="AT328" i="109" s="1"/>
  <c r="AU328" i="109" s="1"/>
  <c r="AV328" i="109" s="1"/>
  <c r="AW328" i="109" s="1"/>
  <c r="AX328" i="109" s="1"/>
  <c r="AY328" i="109" s="1"/>
  <c r="AZ328" i="109" s="1"/>
  <c r="BA328" i="109" s="1"/>
  <c r="BB328" i="109" s="1"/>
  <c r="BC328" i="109" s="1"/>
  <c r="BD328" i="109" s="1"/>
  <c r="BE328" i="109" s="1"/>
  <c r="BF328" i="109" s="1"/>
  <c r="BG328" i="109" s="1"/>
  <c r="BH328" i="109" s="1"/>
  <c r="BI328" i="109" s="1"/>
  <c r="BJ328" i="109" s="1"/>
  <c r="BK328" i="109" s="1"/>
  <c r="BL328" i="109" s="1"/>
  <c r="BM328" i="109" s="1"/>
  <c r="BN328" i="109" s="1"/>
  <c r="BO328" i="109" s="1"/>
  <c r="BP328" i="109" s="1"/>
  <c r="BQ328" i="109" s="1"/>
  <c r="BR328" i="109" s="1"/>
  <c r="BS328" i="109" s="1"/>
  <c r="BT328" i="109" s="1"/>
  <c r="BU328" i="109" s="1"/>
  <c r="BV328" i="109" s="1"/>
  <c r="AR325" i="109"/>
  <c r="AR321" i="109"/>
  <c r="AS321" i="109" s="1"/>
  <c r="AT321" i="109" s="1"/>
  <c r="AU321" i="109" s="1"/>
  <c r="AV321" i="109" s="1"/>
  <c r="AW321" i="109" s="1"/>
  <c r="AX321" i="109" s="1"/>
  <c r="AY321" i="109" s="1"/>
  <c r="AZ321" i="109" s="1"/>
  <c r="BA321" i="109" s="1"/>
  <c r="BB321" i="109" s="1"/>
  <c r="BC321" i="109" s="1"/>
  <c r="BD321" i="109" s="1"/>
  <c r="BE321" i="109" s="1"/>
  <c r="BF321" i="109" s="1"/>
  <c r="BG321" i="109" s="1"/>
  <c r="BH321" i="109" s="1"/>
  <c r="BI321" i="109" s="1"/>
  <c r="BJ321" i="109" s="1"/>
  <c r="BK321" i="109" s="1"/>
  <c r="BL321" i="109" s="1"/>
  <c r="BM321" i="109" s="1"/>
  <c r="BN321" i="109" s="1"/>
  <c r="BO321" i="109" s="1"/>
  <c r="BP321" i="109" s="1"/>
  <c r="BQ321" i="109" s="1"/>
  <c r="BR321" i="109" s="1"/>
  <c r="BS321" i="109" s="1"/>
  <c r="BT321" i="109" s="1"/>
  <c r="BU321" i="109" s="1"/>
  <c r="BV321" i="109" s="1"/>
  <c r="AR317" i="109"/>
  <c r="AS317" i="109" s="1"/>
  <c r="AT317" i="109" s="1"/>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R311" i="109"/>
  <c r="AS311" i="109" s="1"/>
  <c r="AT311" i="109" s="1"/>
  <c r="AU311" i="109" s="1"/>
  <c r="AV311" i="109" s="1"/>
  <c r="AW311" i="109" s="1"/>
  <c r="AX311" i="109" s="1"/>
  <c r="AY311" i="109" s="1"/>
  <c r="AZ311" i="109" s="1"/>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R312" i="109"/>
  <c r="AS312" i="109" s="1"/>
  <c r="AT312" i="109" s="1"/>
  <c r="AU312" i="109" s="1"/>
  <c r="AV312" i="109" s="1"/>
  <c r="AW312" i="109" s="1"/>
  <c r="AX312" i="109" s="1"/>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R308" i="109"/>
  <c r="AS308" i="109" s="1"/>
  <c r="AT308" i="109" s="1"/>
  <c r="AU308" i="109" s="1"/>
  <c r="AV308" i="109" s="1"/>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R314" i="109"/>
  <c r="AS314" i="109" s="1"/>
  <c r="AT314" i="109" s="1"/>
  <c r="AU314" i="109" s="1"/>
  <c r="AV314" i="109" s="1"/>
  <c r="AW314" i="109" s="1"/>
  <c r="AX314" i="109" s="1"/>
  <c r="AY314" i="109" s="1"/>
  <c r="AZ314" i="109" s="1"/>
  <c r="BA314" i="109" s="1"/>
  <c r="BB314" i="109" s="1"/>
  <c r="BC314" i="109" s="1"/>
  <c r="BD314" i="109" s="1"/>
  <c r="BE314" i="109" s="1"/>
  <c r="BF314" i="109" s="1"/>
  <c r="BG314" i="109" s="1"/>
  <c r="BH314" i="109" s="1"/>
  <c r="BI314" i="109" s="1"/>
  <c r="BJ314" i="109" s="1"/>
  <c r="BK314" i="109" s="1"/>
  <c r="BL314" i="109" s="1"/>
  <c r="BM314" i="109" s="1"/>
  <c r="BN314" i="109" s="1"/>
  <c r="BO314" i="109" s="1"/>
  <c r="BP314" i="109" s="1"/>
  <c r="BQ314" i="109" s="1"/>
  <c r="BR314" i="109" s="1"/>
  <c r="BS314" i="109" s="1"/>
  <c r="BT314" i="109" s="1"/>
  <c r="BU314" i="109" s="1"/>
  <c r="BV314" i="109" s="1"/>
  <c r="AR307" i="109"/>
  <c r="AS307" i="109" s="1"/>
  <c r="AT307" i="109" s="1"/>
  <c r="AU307" i="109" s="1"/>
  <c r="AV307" i="109" s="1"/>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R310" i="109"/>
  <c r="AS310" i="109" s="1"/>
  <c r="AT310" i="109" s="1"/>
  <c r="AU310" i="109" s="1"/>
  <c r="AV310" i="109" s="1"/>
  <c r="AW310" i="109" s="1"/>
  <c r="AX310" i="109" s="1"/>
  <c r="AY310" i="109" s="1"/>
  <c r="AZ310" i="109" s="1"/>
  <c r="BA310" i="109" s="1"/>
  <c r="BB310" i="109" s="1"/>
  <c r="BC310" i="109" s="1"/>
  <c r="BD310" i="109" s="1"/>
  <c r="BE310" i="109" s="1"/>
  <c r="BF310" i="109" s="1"/>
  <c r="BG310" i="109" s="1"/>
  <c r="BH310" i="109" s="1"/>
  <c r="BI310" i="109" s="1"/>
  <c r="BJ310" i="109" s="1"/>
  <c r="BK310" i="109" s="1"/>
  <c r="BL310" i="109" s="1"/>
  <c r="BM310" i="109" s="1"/>
  <c r="BN310" i="109" s="1"/>
  <c r="BO310" i="109" s="1"/>
  <c r="BP310" i="109" s="1"/>
  <c r="BQ310" i="109" s="1"/>
  <c r="BR310" i="109" s="1"/>
  <c r="BS310" i="109" s="1"/>
  <c r="BT310" i="109" s="1"/>
  <c r="BU310" i="109" s="1"/>
  <c r="BV310" i="109" s="1"/>
  <c r="AQ350" i="109"/>
  <c r="AR301" i="109"/>
  <c r="AS301" i="109" s="1"/>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R300" i="109"/>
  <c r="AR297" i="109"/>
  <c r="AR293" i="109"/>
  <c r="AR289" i="109"/>
  <c r="AR296" i="109"/>
  <c r="AR292" i="109"/>
  <c r="AR288" i="109"/>
  <c r="AS288" i="109" s="1"/>
  <c r="AT288" i="109" s="1"/>
  <c r="AU288" i="109" s="1"/>
  <c r="AV288" i="109" s="1"/>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R284" i="109"/>
  <c r="AR280" i="109"/>
  <c r="AS280" i="109" s="1"/>
  <c r="AT280" i="109" s="1"/>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R276" i="109"/>
  <c r="AR286" i="109"/>
  <c r="AS286" i="109" s="1"/>
  <c r="AT286" i="109" s="1"/>
  <c r="AU286" i="109" s="1"/>
  <c r="AV286" i="109" s="1"/>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R282" i="109"/>
  <c r="AR278" i="109"/>
  <c r="AS278" i="109" s="1"/>
  <c r="AT278" i="109" s="1"/>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R275" i="109"/>
  <c r="AR302" i="109"/>
  <c r="AR295" i="109"/>
  <c r="AR291" i="109"/>
  <c r="AR287" i="109"/>
  <c r="AR283" i="109"/>
  <c r="AS283" i="109" s="1"/>
  <c r="AT283" i="109" s="1"/>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R279" i="109"/>
  <c r="AR294" i="109"/>
  <c r="AR290" i="109"/>
  <c r="AR299" i="109"/>
  <c r="AS299" i="109" s="1"/>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R298" i="109"/>
  <c r="AS298" i="109" s="1"/>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R285" i="109"/>
  <c r="AR281" i="109"/>
  <c r="AR277" i="109"/>
  <c r="AS277" i="109" s="1"/>
  <c r="AT277" i="109" s="1"/>
  <c r="AU277" i="109" s="1"/>
  <c r="AV277" i="109" s="1"/>
  <c r="AW277" i="109" s="1"/>
  <c r="AX277" i="109" s="1"/>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Q354" i="109"/>
  <c r="AQ359" i="109"/>
  <c r="AQ347" i="109"/>
  <c r="AQ340" i="109"/>
  <c r="AQ356" i="109"/>
  <c r="AQ349" i="109"/>
  <c r="AQ364" i="109"/>
  <c r="AQ363" i="109"/>
  <c r="AR349" i="109" l="1"/>
  <c r="AS349" i="109" s="1"/>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285" i="109"/>
  <c r="AT285" i="109" s="1"/>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R358" i="109"/>
  <c r="AS358" i="109" s="1"/>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AS294" i="109"/>
  <c r="AT294" i="109" s="1"/>
  <c r="AU294" i="109" s="1"/>
  <c r="AV294" i="109" s="1"/>
  <c r="AW294" i="109" s="1"/>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R355" i="109"/>
  <c r="AS355" i="109" s="1"/>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291" i="109"/>
  <c r="AT291" i="109" s="1"/>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R343" i="109"/>
  <c r="AS343" i="109" s="1"/>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279" i="109"/>
  <c r="AT279" i="109" s="1"/>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R346" i="109"/>
  <c r="AS346" i="109" s="1"/>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282" i="109"/>
  <c r="AT282" i="109" s="1"/>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R348" i="109"/>
  <c r="AS348" i="109" s="1"/>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284" i="109"/>
  <c r="AT284" i="109" s="1"/>
  <c r="AU284" i="109" s="1"/>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R353" i="109"/>
  <c r="AS353" i="109" s="1"/>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289" i="109"/>
  <c r="AT289" i="109" s="1"/>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R366" i="109"/>
  <c r="AS366" i="109" s="1"/>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293" i="109"/>
  <c r="AT293" i="109" s="1"/>
  <c r="AU293" i="109" s="1"/>
  <c r="AV293" i="109" s="1"/>
  <c r="AW293" i="109" s="1"/>
  <c r="AX293" i="109" s="1"/>
  <c r="AY293" i="109" s="1"/>
  <c r="AZ293" i="109" s="1"/>
  <c r="BA293" i="109" s="1"/>
  <c r="BB293" i="109" s="1"/>
  <c r="BC293" i="109" s="1"/>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S316" i="109"/>
  <c r="AT316" i="109" s="1"/>
  <c r="AU316" i="109" s="1"/>
  <c r="AV316" i="109" s="1"/>
  <c r="AW316" i="109" s="1"/>
  <c r="AX316" i="109" s="1"/>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R359" i="109"/>
  <c r="AS359" i="109" s="1"/>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R345" i="109"/>
  <c r="AS345" i="109" s="1"/>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281" i="109"/>
  <c r="AT281" i="109" s="1"/>
  <c r="AU281" i="109" s="1"/>
  <c r="AV281" i="109" s="1"/>
  <c r="AW281" i="109" s="1"/>
  <c r="AX281" i="109" s="1"/>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R354" i="109"/>
  <c r="AS354" i="109" s="1"/>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290" i="109"/>
  <c r="AT290" i="109" s="1"/>
  <c r="AU290" i="109" s="1"/>
  <c r="AV290" i="109" s="1"/>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R351" i="109"/>
  <c r="AS351" i="109" s="1"/>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287" i="109"/>
  <c r="AT287" i="109" s="1"/>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R339" i="109"/>
  <c r="AS339" i="109" s="1"/>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S275" i="109"/>
  <c r="AT275" i="109" s="1"/>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R340" i="109"/>
  <c r="AS340" i="109" s="1"/>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276" i="109"/>
  <c r="AT276" i="109" s="1"/>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R356" i="109"/>
  <c r="AS356" i="109" s="1"/>
  <c r="AT356" i="109" s="1"/>
  <c r="AU356" i="109" s="1"/>
  <c r="AV356" i="109" s="1"/>
  <c r="AW356" i="109" s="1"/>
  <c r="AX356" i="109" s="1"/>
  <c r="AY356" i="109" s="1"/>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R361" i="109"/>
  <c r="AS361" i="109" s="1"/>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BU325" i="109" s="1"/>
  <c r="BV325" i="109" s="1"/>
  <c r="AR360" i="109"/>
  <c r="AS360" i="109" s="1"/>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R364" i="109"/>
  <c r="AS364" i="109" s="1"/>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R344" i="109"/>
  <c r="AS344" i="109" s="1"/>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R362" i="109"/>
  <c r="AS362" i="109" s="1"/>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R342" i="109"/>
  <c r="AS342" i="109" s="1"/>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R365" i="109"/>
  <c r="AS365" i="109" s="1"/>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R341" i="109"/>
  <c r="AS341" i="109" s="1"/>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R363" i="109"/>
  <c r="AS363" i="109" s="1"/>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R347" i="109"/>
  <c r="AS347" i="109" s="1"/>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R350" i="109"/>
  <c r="AS350" i="109" s="1"/>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R352" i="109"/>
  <c r="AS352" i="109" s="1"/>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R357" i="109"/>
  <c r="AS357" i="109" s="1"/>
  <c r="AT357" i="109" s="1"/>
  <c r="AU357" i="109" s="1"/>
  <c r="AV357" i="109" s="1"/>
  <c r="AW357" i="109" s="1"/>
  <c r="AX357" i="109" s="1"/>
  <c r="AY357" i="109" s="1"/>
  <c r="AZ357" i="109" s="1"/>
  <c r="BA357" i="109" s="1"/>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s>
  <commentList>
    <comment ref="H2" authorId="0" shapeId="0" xr:uid="{25FBCEDE-6DA1-442A-912A-00B73902CFE8}">
      <text>
        <r>
          <rPr>
            <sz val="9"/>
            <color rgb="FF000000"/>
            <rFont val="Tahoma"/>
            <family val="2"/>
          </rPr>
          <t>We can provide activity amounts (e.g. population or number of houses per person) for all years and prices (for all fuels and services) in the first year of simulation.</t>
        </r>
      </text>
    </comment>
    <comment ref="B95" authorId="0" shapeId="0" xr:uid="{C431EA66-E786-524C-BF4D-2F34517371A4}">
      <text>
        <r>
          <rPr>
            <sz val="9"/>
            <color indexed="81"/>
            <rFont val="Tahoma"/>
            <family val="2"/>
          </rPr>
          <t>End use demanded for each technology per unit of demand (in this case, GJ of heating per m2 of floorspace for each shell type (e.g. Pre-1960)</t>
        </r>
      </text>
    </comment>
    <comment ref="B838" authorId="0" shapeId="0" xr:uid="{86A34D03-A4FD-3A44-BDC1-E49CF8371E97}">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XX GJ of natural gas demanded times 0.051 tCO2/GJ</t>
        </r>
      </text>
    </comment>
    <comment ref="B839" authorId="0" shapeId="0" xr:uid="{9EB7A17A-A0E1-484F-8956-34E6782E5769}">
      <text>
        <r>
          <rPr>
            <sz val="9"/>
            <color indexed="81"/>
            <rFont val="Tahoma"/>
            <family val="2"/>
          </rPr>
          <t>These GHGs should be able to be summed when fuel is assigned to demand nodes.
For example, XX GJ of natural gas demanded times 0.051 tCO2/GJ</t>
        </r>
      </text>
    </comment>
    <comment ref="B840" authorId="0" shapeId="0" xr:uid="{2A148278-942E-524A-9F31-A3A6B866563F}">
      <text>
        <r>
          <rPr>
            <sz val="9"/>
            <color indexed="81"/>
            <rFont val="Tahoma"/>
            <family val="2"/>
          </rPr>
          <t>These GHGs should be able to be summed when fuel is assigned to demand nodes.
For example, XX GJ of natural gas demanded times 0.051 tCO2/GJ</t>
        </r>
      </text>
    </comment>
    <comment ref="H848" authorId="0" shapeId="0" xr:uid="{5C53782D-042B-3344-8978-24A513C40C51}">
      <text>
        <r>
          <rPr>
            <sz val="9"/>
            <color indexed="81"/>
            <rFont val="Tahoma"/>
            <family val="2"/>
          </rPr>
          <t>Should be enough to satisfy demand in 2000
(see example calcs 2000)</t>
        </r>
      </text>
    </comment>
    <comment ref="F885" authorId="0" shapeId="0" xr:uid="{AE65C72B-71C8-FD40-AA6C-1B37DA46CF4C}">
      <text>
        <r>
          <rPr>
            <sz val="9"/>
            <color indexed="81"/>
            <rFont val="Tahoma"/>
            <family val="2"/>
          </rPr>
          <t>This ratio is to pass along the GJ requirement (i.e. we want 1 GJ of heating, so require 1 GJ of furnace heating)</t>
        </r>
      </text>
    </comment>
    <comment ref="F914" authorId="0" shapeId="0" xr:uid="{B57B1626-499F-874C-8DDF-CD9E912868C6}">
      <text>
        <r>
          <rPr>
            <sz val="9"/>
            <color indexed="81"/>
            <rFont val="Tahoma"/>
            <family val="2"/>
          </rPr>
          <t>This ratio is to pass along the GJ requirement (i.e. we want 1 GJ of heating, so require 1 GJ of furnace heating)</t>
        </r>
      </text>
    </comment>
    <comment ref="D950" authorId="0" shapeId="0" xr:uid="{09E6D583-D14F-0945-9F0A-49761CDBEC07}">
      <text>
        <r>
          <rPr>
            <sz val="9"/>
            <color indexed="81"/>
            <rFont val="Tahoma"/>
            <family val="2"/>
          </rPr>
          <t>Note this is Canada, not Alberta for this fuel/price.
Need some way to actually allocate fuel at this point so that we can calculate GHG emissions later.</t>
        </r>
      </text>
    </comment>
    <comment ref="F950" authorId="0" shapeId="0" xr:uid="{785941B5-D211-0F43-8AFA-176DDA02A398}">
      <text>
        <r>
          <rPr>
            <sz val="9"/>
            <color indexed="81"/>
            <rFont val="Tahoma"/>
            <family val="2"/>
          </rPr>
          <t>This is the inverse of efficiency (GJ of energy provided per GJ of fuel used).</t>
        </r>
      </text>
    </comment>
    <comment ref="D951" authorId="0" shapeId="0" xr:uid="{3E71260A-C7B4-7745-94F3-523298B3ED69}">
      <text>
        <r>
          <rPr>
            <sz val="9"/>
            <color indexed="81"/>
            <rFont val="Tahoma"/>
            <family val="2"/>
          </rPr>
          <t>Note this is Canada, not Alberta for this fuel/price.
Need some way to actually allocate fuel at this point so that we can calculate GHG emissions later.</t>
        </r>
      </text>
    </comment>
    <comment ref="F951" authorId="0" shapeId="0" xr:uid="{A205590F-DB6C-6F47-A49D-70F2778B8DBE}">
      <text>
        <r>
          <rPr>
            <sz val="9"/>
            <color indexed="81"/>
            <rFont val="Tahoma"/>
            <family val="2"/>
          </rPr>
          <t>This is the inverse of efficiency (GJ of energy provided per GJ of fuel used).</t>
        </r>
      </text>
    </comment>
    <comment ref="D981" authorId="0" shapeId="0" xr:uid="{8281BAF8-ACC3-2146-A8FB-D09B24A4DA92}">
      <text>
        <r>
          <rPr>
            <sz val="9"/>
            <color indexed="81"/>
            <rFont val="Tahoma"/>
            <family val="2"/>
          </rPr>
          <t>Note this is Canada, not Alberta for this fuel/price.
Need some way to actually allocate fuel at this point so that we can calculate GHG emissions later.</t>
        </r>
      </text>
    </comment>
    <comment ref="F981" authorId="0" shapeId="0" xr:uid="{54E551C7-CD88-0443-8E02-C746E10DF403}">
      <text>
        <r>
          <rPr>
            <sz val="9"/>
            <color indexed="81"/>
            <rFont val="Tahoma"/>
            <family val="2"/>
          </rPr>
          <t>This is the inverse of efficiency (GJ of energy provided per GJ of fuel used).</t>
        </r>
      </text>
    </comment>
    <comment ref="D982" authorId="0" shapeId="0" xr:uid="{D9AEEB02-92D9-1742-8EBA-F4FDAE2781B6}">
      <text>
        <r>
          <rPr>
            <sz val="9"/>
            <color indexed="81"/>
            <rFont val="Tahoma"/>
            <family val="2"/>
          </rPr>
          <t>Note this is Canada, not Alberta for this fuel/price.
Need some way to actually allocate fuel at this point so that we can calculate GHG emissions later.</t>
        </r>
      </text>
    </comment>
    <comment ref="F982" authorId="0" shapeId="0" xr:uid="{47485376-E2EE-B04A-8AB7-67209D649E5A}">
      <text>
        <r>
          <rPr>
            <sz val="9"/>
            <color indexed="81"/>
            <rFont val="Tahoma"/>
            <family val="2"/>
          </rPr>
          <t>This is the inverse of efficiency (GJ of energy provided per GJ of fuel used).</t>
        </r>
      </text>
    </comment>
    <comment ref="D1012" authorId="0" shapeId="0" xr:uid="{AB6B8546-4ED3-7846-B116-88002B60AAE2}">
      <text>
        <r>
          <rPr>
            <sz val="9"/>
            <color indexed="81"/>
            <rFont val="Tahoma"/>
            <family val="2"/>
          </rPr>
          <t>Note this is Canada, not Alberta for this fuel/price.
Need some way to actually allocate fuel at this point so that we can calculate GHG emissions later.</t>
        </r>
      </text>
    </comment>
    <comment ref="F1012" authorId="0" shapeId="0" xr:uid="{591C3F57-DA2A-3D48-8A0C-77BA96BEDACA}">
      <text>
        <r>
          <rPr>
            <sz val="9"/>
            <color indexed="81"/>
            <rFont val="Tahoma"/>
            <family val="2"/>
          </rPr>
          <t>This is the inverse of efficiency (GJ of energy provided per GJ of fuel used).</t>
        </r>
      </text>
    </comment>
    <comment ref="D1013" authorId="0" shapeId="0" xr:uid="{8755B98E-61E8-DF49-B0B1-D19763506606}">
      <text>
        <r>
          <rPr>
            <sz val="9"/>
            <color indexed="81"/>
            <rFont val="Tahoma"/>
            <family val="2"/>
          </rPr>
          <t>Note this is Canada, not Alberta for this fuel/price.
Need some way to actually allocate fuel at this point so that we can calculate GHG emissions later.</t>
        </r>
      </text>
    </comment>
    <comment ref="F1013" authorId="0" shapeId="0" xr:uid="{8CDAFB68-757A-D645-8C5C-A8607C63913A}">
      <text>
        <r>
          <rPr>
            <sz val="9"/>
            <color indexed="81"/>
            <rFont val="Tahoma"/>
            <family val="2"/>
          </rPr>
          <t>This is the inverse of efficiency (GJ of energy provided per GJ of fuel used).</t>
        </r>
      </text>
    </comment>
    <comment ref="D1049" authorId="0" shapeId="0" xr:uid="{A7A8D1E3-B5BC-B94B-920C-D650A52434E0}">
      <text>
        <r>
          <rPr>
            <sz val="9"/>
            <color indexed="81"/>
            <rFont val="Tahoma"/>
            <family val="2"/>
          </rPr>
          <t>Note this is Canada, not Alberta for this fuel/price.
Need some way to actually allocate fuel at this point so that we can calculate GHG emissions later.</t>
        </r>
      </text>
    </comment>
    <comment ref="F1049" authorId="0" shapeId="0" xr:uid="{232D72DA-AD50-1441-9906-2E8BA4256C76}">
      <text>
        <r>
          <rPr>
            <sz val="9"/>
            <color indexed="81"/>
            <rFont val="Tahoma"/>
            <family val="2"/>
          </rPr>
          <t>This is the inverse of efficiency (GJ of energy provided per GJ of fuel used).</t>
        </r>
      </text>
    </comment>
    <comment ref="D1050" authorId="0" shapeId="0" xr:uid="{53E33FD1-62E7-1548-99E0-6F15733F8B79}">
      <text>
        <r>
          <rPr>
            <sz val="9"/>
            <color indexed="81"/>
            <rFont val="Tahoma"/>
            <family val="2"/>
          </rPr>
          <t>Note this is Canada, not Alberta for this fuel/price.
Need some way to actually allocate fuel at this point so that we can calculate GHG emissions later.</t>
        </r>
      </text>
    </comment>
    <comment ref="F1050" authorId="0" shapeId="0" xr:uid="{B7461CEB-B586-1A41-A7EF-A63178C82C63}">
      <text>
        <r>
          <rPr>
            <sz val="9"/>
            <color indexed="81"/>
            <rFont val="Tahoma"/>
            <family val="2"/>
          </rPr>
          <t>This is the inverse of efficiency (GJ of energy provided per GJ of fuel used).</t>
        </r>
      </text>
    </comment>
    <comment ref="D1080" authorId="0" shapeId="0" xr:uid="{64678E35-10CD-AA42-AF38-757CA8B735CA}">
      <text>
        <r>
          <rPr>
            <sz val="9"/>
            <color indexed="81"/>
            <rFont val="Tahoma"/>
            <family val="2"/>
          </rPr>
          <t>Note this is Canada, not Alberta for this fuel/price.
Need some way to actually allocate fuel at this point so that we can calculate GHG emissions later.</t>
        </r>
      </text>
    </comment>
    <comment ref="F1080" authorId="0" shapeId="0" xr:uid="{040A7EF0-6362-CB42-996D-5F29024F70D5}">
      <text>
        <r>
          <rPr>
            <sz val="9"/>
            <color indexed="81"/>
            <rFont val="Tahoma"/>
            <family val="2"/>
          </rPr>
          <t>This is the inverse of efficiency (GJ of energy provided per GJ of fuel used).</t>
        </r>
      </text>
    </comment>
    <comment ref="D1081" authorId="0" shapeId="0" xr:uid="{ED793A1D-80DF-784C-9DCF-F674BDFDFDF4}">
      <text>
        <r>
          <rPr>
            <sz val="9"/>
            <color indexed="81"/>
            <rFont val="Tahoma"/>
            <family val="2"/>
          </rPr>
          <t>Note this is Canada, not Alberta for this fuel/price.
Need some way to actually allocate fuel at this point so that we can calculate GHG emissions later.</t>
        </r>
      </text>
    </comment>
    <comment ref="F1081" authorId="0" shapeId="0" xr:uid="{2ABD3DBD-4030-BA41-9163-160EF1CAF87A}">
      <text>
        <r>
          <rPr>
            <sz val="9"/>
            <color indexed="81"/>
            <rFont val="Tahoma"/>
            <family val="2"/>
          </rPr>
          <t>This is the inverse of efficiency (GJ of energy provided per GJ of fuel used).</t>
        </r>
      </text>
    </comment>
  </commentList>
</comments>
</file>

<file path=xl/sharedStrings.xml><?xml version="1.0" encoding="utf-8"?>
<sst xmlns="http://schemas.openxmlformats.org/spreadsheetml/2006/main" count="6151" uniqueCount="487">
  <si>
    <t>Residential</t>
  </si>
  <si>
    <t>Shell</t>
  </si>
  <si>
    <t>Electricity</t>
  </si>
  <si>
    <t>Base load</t>
  </si>
  <si>
    <t>Generation</t>
  </si>
  <si>
    <t>Alberta</t>
  </si>
  <si>
    <t>Branch</t>
  </si>
  <si>
    <t>Retrofit Variance</t>
  </si>
  <si>
    <t>Value</t>
  </si>
  <si>
    <t>Parameter</t>
  </si>
  <si>
    <t>Years</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</si>
  <si>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</si>
  <si>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</si>
  <si>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</si>
  <si>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</si>
  <si>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</si>
  <si>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</si>
  <si>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</si>
  <si>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</si>
  <si>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</si>
  <si>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</si>
  <si>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</si>
  <si>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</si>
  <si>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</si>
  <si>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</si>
  <si>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</si>
  <si>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</si>
  <si>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</si>
  <si>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</si>
  <si>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</si>
  <si>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</si>
  <si>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</si>
  <si>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</si>
  <si>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</si>
  <si>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</si>
  <si>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</si>
  <si>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</si>
  <si>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</si>
  <si>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</si>
  <si>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</si>
  <si>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</si>
  <si>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</si>
  <si>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</si>
  <si>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</si>
  <si>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</si>
  <si>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</si>
  <si>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</si>
  <si>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</si>
  <si>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</si>
  <si>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</si>
  <si>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</si>
  <si>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</si>
  <si>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</si>
  <si>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</si>
  <si>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</si>
  <si>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</si>
  <si>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</si>
  <si>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</si>
  <si>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</si>
  <si>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</si>
  <si>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</si>
  <si>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</si>
  <si>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</si>
  <si>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</si>
  <si>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</si>
  <si>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</si>
  <si>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</si>
  <si>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</si>
  <si>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</si>
  <si>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</si>
  <si>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</si>
  <si>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</si>
  <si>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</si>
  <si>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</si>
  <si>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</si>
  <si>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</si>
  <si>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</si>
  <si>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</si>
  <si>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</si>
  <si>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</si>
  <si>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</si>
  <si>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</si>
  <si>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</si>
  <si>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</si>
  <si>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</si>
  <si>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</si>
  <si>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</si>
  <si>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</si>
  <si>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</si>
  <si>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</si>
  <si>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</si>
  <si>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</si>
  <si>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</si>
  <si>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</si>
  <si>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</si>
  <si>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</si>
  <si>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</si>
  <si>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</si>
  <si>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</si>
  <si>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</si>
  <si>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</si>
  <si>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</si>
  <si>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</si>
  <si>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</si>
  <si>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</si>
  <si>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</si>
  <si>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</si>
  <si>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</si>
  <si>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</si>
  <si>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</si>
  <si>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</si>
  <si>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</si>
  <si>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</si>
  <si>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</si>
  <si>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</si>
  <si>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</si>
  <si>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</si>
  <si>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</si>
  <si>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</si>
  <si>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</si>
  <si>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</si>
  <si>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</si>
  <si>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</si>
  <si>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</si>
  <si>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</si>
  <si>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</si>
  <si>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</si>
  <si>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</si>
  <si>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</si>
  <si>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</si>
  <si>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</si>
  <si>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</si>
  <si>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</si>
  <si>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</si>
  <si>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</si>
  <si>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</si>
  <si>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</si>
  <si>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</si>
  <si>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</si>
  <si>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</si>
  <si>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</si>
  <si>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</si>
  <si>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</si>
  <si>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</si>
  <si>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</si>
  <si>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</si>
  <si>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</si>
  <si>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</si>
  <si>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</si>
  <si>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</si>
  <si>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</si>
  <si>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</si>
  <si>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</si>
  <si>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</si>
  <si>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</si>
  <si>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</si>
  <si>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</si>
  <si>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</si>
  <si>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</si>
  <si>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</si>
  <si>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</si>
  <si>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</si>
  <si>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</si>
  <si>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</si>
  <si>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</si>
  <si>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</si>
  <si>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</si>
  <si>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</si>
  <si>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</si>
  <si>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</si>
  <si>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</si>
  <si>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</si>
  <si>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</si>
  <si>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</si>
  <si>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</si>
  <si>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</si>
  <si>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</si>
  <si>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</si>
  <si>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</si>
  <si>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</si>
  <si>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</si>
  <si>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</si>
  <si>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</si>
  <si>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</si>
  <si>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</si>
  <si>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</si>
  <si>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</si>
  <si>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</si>
  <si>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</si>
  <si>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</si>
  <si>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</si>
  <si>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</si>
  <si>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</si>
  <si>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</si>
  <si>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</si>
  <si>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</si>
  <si>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</si>
  <si>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</si>
  <si>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</si>
  <si>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</si>
  <si>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</si>
  <si>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</si>
  <si>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</si>
  <si>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</si>
  <si>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</si>
  <si>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</si>
  <si>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</si>
  <si>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</si>
  <si>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</si>
  <si>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</si>
  <si>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</si>
  <si>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</si>
  <si>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</si>
  <si>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</si>
  <si>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</si>
  <si>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</si>
  <si>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</si>
  <si>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</si>
  <si>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</si>
  <si>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</si>
  <si>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</si>
  <si>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</si>
  <si>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</si>
  <si>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</si>
  <si>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</si>
  <si>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</si>
  <si>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</si>
  <si>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</si>
  <si>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</si>
  <si>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</si>
  <si>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</si>
  <si>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</si>
  <si>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</si>
  <si>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</si>
  <si>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</si>
  <si>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</si>
  <si>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</si>
  <si>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</si>
  <si>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</si>
  <si>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</si>
  <si>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</si>
  <si>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</si>
  <si>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</si>
  <si>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</si>
  <si>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</si>
  <si>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</si>
  <si>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</si>
  <si>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</si>
  <si>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</si>
  <si>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</si>
  <si>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</si>
  <si>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</si>
  <si>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</si>
  <si>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</si>
  <si>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</si>
  <si>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</si>
  <si>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</si>
  <si>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</si>
  <si>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</si>
  <si>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</si>
  <si>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</si>
  <si>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</si>
  <si>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</si>
  <si>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</si>
  <si>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</si>
  <si>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</si>
  <si>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</si>
  <si>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</si>
  <si>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</si>
  <si>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</si>
  <si>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</si>
  <si>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</si>
  <si>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</si>
  <si>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</si>
  <si>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</si>
  <si>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</si>
  <si>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</si>
  <si>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</si>
  <si>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</si>
  <si>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</si>
  <si>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</si>
  <si>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</si>
  <si>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</si>
  <si>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</si>
  <si>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</si>
  <si>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</si>
  <si>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</si>
  <si>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</si>
  <si>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</si>
  <si>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</si>
  <si>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</si>
  <si>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</si>
  <si>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</si>
  <si>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</si>
  <si>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</si>
  <si>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</si>
  <si>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</si>
  <si>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</si>
  <si>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</si>
  <si>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</si>
  <si>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</si>
  <si>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</si>
  <si>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</si>
  <si>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</si>
  <si>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</si>
  <si>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</si>
  <si>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</si>
  <si>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</si>
  <si>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</si>
  <si>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</si>
  <si>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</si>
  <si>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</si>
  <si>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</si>
  <si>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</si>
  <si>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</si>
  <si>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</si>
  <si>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</si>
  <si>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</si>
  <si>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</si>
  <si>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</si>
  <si>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</si>
  <si>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</si>
  <si>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</si>
  <si>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</si>
  <si>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</si>
  <si>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</si>
  <si>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</si>
  <si>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</si>
  <si>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</si>
  <si>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</si>
  <si>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</si>
  <si>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</si>
  <si>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</si>
  <si>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</si>
  <si>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</si>
  <si>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</si>
  <si>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</si>
  <si>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</si>
  <si>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</si>
  <si>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</si>
  <si>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</si>
  <si>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</si>
  <si>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</si>
  <si>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</si>
  <si>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</si>
  <si>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</si>
  <si>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</si>
  <si>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</si>
  <si>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</si>
  <si>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</si>
  <si>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</si>
  <si>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</si>
  <si>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</si>
  <si>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</si>
  <si>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</si>
  <si>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</si>
  <si>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</si>
  <si>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</si>
  <si>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</si>
  <si>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</si>
  <si>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</si>
  <si>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</si>
  <si>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</si>
  <si>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</si>
  <si>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</si>
  <si>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</si>
  <si>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</si>
  <si>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</si>
  <si>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</si>
  <si>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</si>
  <si>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</si>
  <si>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</si>
  <si>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</si>
  <si>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</si>
  <si>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</si>
  <si>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</si>
  <si>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</si>
  <si>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</si>
  <si>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</si>
  <si>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</si>
  <si>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</si>
  <si>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</si>
  <si>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</si>
  <si>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</si>
  <si>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</si>
  <si>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</si>
  <si>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</si>
  <si>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</si>
  <si>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</si>
  <si>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</si>
  <si>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</si>
  <si>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</si>
  <si>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</si>
  <si>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</si>
  <si>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</si>
  <si>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</si>
  <si>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</si>
  <si>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</si>
  <si>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</si>
  <si>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</si>
  <si>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</si>
  <si>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</si>
  <si>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$/unit</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</si>
  <si>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</si>
  <si>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</si>
  <si>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</si>
  <si>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</si>
  <si>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</si>
  <si>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</si>
  <si>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</si>
  <si>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</si>
  <si>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</si>
  <si>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</si>
  <si>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</si>
  <si>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</si>
  <si>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</si>
  <si>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</si>
  <si>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</si>
  <si>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</si>
  <si>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</si>
  <si>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</si>
  <si>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</si>
  <si>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</si>
  <si>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</si>
  <si>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</si>
  <si>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</si>
  <si>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</si>
  <si>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</si>
  <si>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</si>
  <si>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</si>
  <si>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</si>
  <si>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</si>
  <si>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</si>
  <si>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</si>
  <si>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</si>
  <si>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</si>
  <si>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</si>
  <si>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</si>
  <si>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</si>
  <si>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</si>
  <si>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</si>
  <si>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</si>
  <si>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</si>
  <si>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</si>
  <si>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</si>
  <si>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</si>
  <si>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</si>
  <si>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</si>
  <si>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</si>
  <si>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</si>
  <si>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</si>
  <si>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</si>
  <si>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</si>
  <si>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</si>
  <si>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</si>
  <si>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</si>
  <si>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</si>
  <si>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</si>
  <si>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</si>
  <si>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</si>
  <si>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</si>
  <si>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</si>
  <si>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</si>
  <si>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</si>
  <si>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pyCIMS.Canada.Alberta.Electricity.Transmission Losses</t>
  </si>
  <si>
    <t>Root</t>
  </si>
  <si>
    <t>Node type</t>
  </si>
  <si>
    <t>NEB, Energy Future, 2019</t>
  </si>
  <si>
    <t>Tax</t>
  </si>
  <si>
    <t>Fixed Market Share</t>
  </si>
  <si>
    <t>Overnight capital cost</t>
  </si>
  <si>
    <t>Natural Gas existing</t>
  </si>
  <si>
    <t>Heat pump electric air source</t>
  </si>
  <si>
    <t>Heat pump - ground source</t>
  </si>
  <si>
    <t>Natural Gas efficient</t>
  </si>
  <si>
    <t>pyCIMS.Canada.Alberta.Residential.Buildings.Water heating</t>
  </si>
  <si>
    <t>Electric existing</t>
  </si>
  <si>
    <t>Natural Gas standard</t>
  </si>
  <si>
    <t>Electric standard</t>
  </si>
  <si>
    <t>Existing</t>
  </si>
  <si>
    <t>GJ / unit</t>
  </si>
  <si>
    <t>Standard (46% Eff)</t>
  </si>
  <si>
    <t>GJ / MWh</t>
  </si>
  <si>
    <t>Unit / MWh</t>
  </si>
  <si>
    <t>Sector No Tech</t>
  </si>
  <si>
    <t>Production Cost</t>
  </si>
  <si>
    <t>household/person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</si>
</sst>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9">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
      <sz val="9"/>
      <color rgb="FF000000"/>
      <name val="Tahoma"/>
      <family val="2"/>
    </font>
  </fonts>
  <fills count="18">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407">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164" fontId="19" fillId="0" borderId="0" xfId="0" applyNumberFormat="1" applyFont="1"/>
    <xf numFmtId="1" fontId="19" fillId="0" borderId="0" xfId="0" applyNumberFormat="1" applyFont="1"/>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0" fontId="0" fillId="0" borderId="0" xfId="0" applyNumberFormat="1" applyFont="1" applyFill="1" applyBorder="1"/>
    <xf numFmtId="0" fontId="19" fillId="0" borderId="0" xfId="0" applyNumberFormat="1" applyFont="1"/>
    <xf numFmtId="0" fontId="19" fillId="0" borderId="0" xfId="0" applyNumberFormat="1" applyFont="1" applyFill="1" applyBorder="1"/>
    <xf numFmtId="3" fontId="11" fillId="0" borderId="0" xfId="0" applyNumberFormat="1" applyFont="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0" fillId="0" borderId="0" xfId="0" applyFill="1" applyBorder="1" applyAlignment="1">
      <alignment horizontal="left"/>
    </xf>
    <xf numFmtId="0" fontId="11" fillId="0" borderId="0" xfId="0" applyFont="1" applyFill="1" applyBorder="1" applyAlignment="1">
      <alignment horizontal="left"/>
    </xf>
    <xf numFmtId="0" fontId="11" fillId="0" borderId="0" xfId="0" applyFont="1" applyFill="1"/>
    <xf numFmtId="0" fontId="11" fillId="0" borderId="0" xfId="0" applyFont="1" applyFill="1" applyBorder="1"/>
    <xf numFmtId="165" fontId="0" fillId="0" borderId="0" xfId="0" applyNumberFormat="1" applyFont="1" applyFill="1" applyBorder="1"/>
    <xf numFmtId="164" fontId="0" fillId="0" borderId="0" xfId="0" applyNumberFormat="1" applyFont="1" applyFill="1" applyBorder="1"/>
    <xf numFmtId="171" fontId="19" fillId="0" borderId="0" xfId="5" applyNumberFormat="1" applyFont="1" applyFill="1"/>
    <xf numFmtId="165" fontId="11" fillId="0" borderId="0" xfId="0" applyNumberFormat="1" applyFont="1" applyFill="1" applyBorder="1"/>
    <xf numFmtId="1" fontId="19" fillId="0" borderId="0" xfId="0" applyNumberFormat="1" applyFont="1" applyFill="1"/>
    <xf numFmtId="0" fontId="11" fillId="0" borderId="0" xfId="0" applyFont="1" applyFill="1" applyBorder="1" applyAlignment="1">
      <alignment horizontal="left" vertical="center"/>
    </xf>
    <xf numFmtId="0" fontId="19" fillId="0" borderId="0" xfId="0" applyNumberFormat="1" applyFont="1" applyFill="1"/>
    <xf numFmtId="3" fontId="19" fillId="0" borderId="0" xfId="0" applyNumberFormat="1" applyFont="1" applyFill="1"/>
    <xf numFmtId="0" fontId="0" fillId="0" borderId="0" xfId="0" applyFill="1" applyAlignment="1">
      <alignment vertical="center"/>
    </xf>
    <xf numFmtId="3" fontId="0" fillId="0" borderId="0" xfId="0" applyNumberFormat="1" applyFill="1" applyBorder="1" applyAlignment="1">
      <alignment vertical="center"/>
    </xf>
    <xf numFmtId="0" fontId="11" fillId="0" borderId="0" xfId="0" applyFont="1" applyFill="1" applyAlignment="1">
      <alignment vertical="center"/>
    </xf>
    <xf numFmtId="165" fontId="19" fillId="0" borderId="0" xfId="0" applyNumberFormat="1" applyFont="1" applyFill="1" applyBorder="1"/>
    <xf numFmtId="167" fontId="19" fillId="0" borderId="0" xfId="0" applyNumberFormat="1" applyFont="1" applyFill="1" applyBorder="1"/>
    <xf numFmtId="165" fontId="19" fillId="0" borderId="0" xfId="0" applyNumberFormat="1" applyFont="1" applyFill="1"/>
    <xf numFmtId="2" fontId="19" fillId="0" borderId="0" xfId="0" applyNumberFormat="1" applyFont="1" applyFill="1"/>
    <xf numFmtId="168" fontId="0" fillId="0" borderId="0" xfId="0" applyNumberFormat="1" applyFont="1" applyFill="1" applyBorder="1"/>
    <xf numFmtId="168" fontId="19" fillId="0" borderId="0" xfId="0" applyNumberFormat="1" applyFont="1" applyFill="1" applyBorder="1"/>
    <xf numFmtId="0" fontId="11" fillId="0" borderId="0" xfId="0" applyFont="1" applyAlignment="1">
      <alignment horizontal="left"/>
    </xf>
    <xf numFmtId="164" fontId="0" fillId="0" borderId="0" xfId="0" applyNumberFormat="1"/>
    <xf numFmtId="0" fontId="0" fillId="0" borderId="0" xfId="0" applyBorder="1" applyAlignment="1">
      <alignment horizontal="left"/>
    </xf>
    <xf numFmtId="165" fontId="0" fillId="0" borderId="0" xfId="0" applyNumberFormat="1"/>
    <xf numFmtId="0" fontId="0" fillId="13" borderId="0" xfId="0" applyFill="1" applyBorder="1" applyAlignment="1">
      <alignment horizontal="left"/>
    </xf>
    <xf numFmtId="0" fontId="0" fillId="13" borderId="0" xfId="0" applyFill="1" applyBorder="1"/>
    <xf numFmtId="0" fontId="0" fillId="13" borderId="0" xfId="0" applyFill="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Alignment="1">
      <alignment horizontal="left" vertical="center"/>
    </xf>
    <xf numFmtId="0" fontId="0" fillId="6" borderId="0" xfId="0" applyFill="1" applyAlignment="1">
      <alignment horizontal="left" vertical="center"/>
    </xf>
    <xf numFmtId="0" fontId="19" fillId="0" borderId="0" xfId="0" applyFont="1"/>
    <xf numFmtId="3" fontId="0" fillId="0" borderId="0" xfId="0" applyNumberFormat="1" applyBorder="1" applyAlignment="1">
      <alignment vertical="center"/>
    </xf>
    <xf numFmtId="0" fontId="11" fillId="0" borderId="0" xfId="0" applyFont="1" applyAlignment="1">
      <alignment vertical="center"/>
    </xf>
    <xf numFmtId="0" fontId="0" fillId="6" borderId="0" xfId="0" applyFill="1" applyAlignment="1">
      <alignment vertical="center"/>
    </xf>
    <xf numFmtId="0" fontId="0" fillId="4" borderId="0" xfId="0" applyFill="1" applyBorder="1" applyAlignment="1">
      <alignment horizontal="left"/>
    </xf>
    <xf numFmtId="0" fontId="0" fillId="4" borderId="0" xfId="0" applyFill="1"/>
    <xf numFmtId="167" fontId="19" fillId="0" borderId="0" xfId="0" applyNumberFormat="1" applyFont="1"/>
    <xf numFmtId="4" fontId="19" fillId="0" borderId="0" xfId="0" applyNumberFormat="1" applyFont="1"/>
    <xf numFmtId="0" fontId="14" fillId="9" borderId="0" xfId="0" applyFont="1" applyFill="1"/>
    <xf numFmtId="0" fontId="14" fillId="9" borderId="0" xfId="0" applyFont="1" applyFill="1" applyBorder="1" applyAlignment="1">
      <alignment horizontal="left"/>
    </xf>
    <xf numFmtId="0" fontId="14" fillId="9" borderId="2" xfId="0" applyFont="1" applyFill="1" applyBorder="1" applyAlignment="1">
      <alignment horizontal="left"/>
    </xf>
    <xf numFmtId="0" fontId="14" fillId="9" borderId="0" xfId="0" applyFont="1" applyFill="1" applyBorder="1"/>
    <xf numFmtId="0" fontId="14" fillId="16" borderId="0" xfId="0" applyFont="1" applyFill="1"/>
    <xf numFmtId="0" fontId="14" fillId="16" borderId="0" xfId="0" applyFont="1" applyFill="1" applyBorder="1" applyAlignment="1">
      <alignment horizontal="left"/>
    </xf>
    <xf numFmtId="0" fontId="14" fillId="16" borderId="2" xfId="0" applyFont="1" applyFill="1" applyBorder="1" applyAlignment="1">
      <alignment horizontal="left"/>
    </xf>
    <xf numFmtId="0" fontId="14" fillId="17" borderId="0" xfId="0" applyFont="1" applyFill="1"/>
    <xf numFmtId="0" fontId="14" fillId="17" borderId="0" xfId="0" applyFont="1" applyFill="1" applyBorder="1"/>
    <xf numFmtId="0" fontId="14" fillId="17" borderId="0" xfId="0" applyFont="1" applyFill="1" applyBorder="1" applyAlignment="1">
      <alignment horizontal="left"/>
    </xf>
    <xf numFmtId="0" fontId="14" fillId="17" borderId="2" xfId="0" applyFont="1" applyFill="1" applyBorder="1" applyAlignment="1">
      <alignment horizontal="left"/>
    </xf>
    <xf numFmtId="0" fontId="14" fillId="10" borderId="0" xfId="0" applyFont="1" applyFill="1"/>
    <xf numFmtId="0" fontId="14" fillId="10" borderId="0" xfId="0" applyFont="1" applyFill="1" applyBorder="1"/>
    <xf numFmtId="0" fontId="14" fillId="10" borderId="2" xfId="0" applyFont="1" applyFill="1" applyBorder="1" applyAlignment="1">
      <alignment horizontal="left"/>
    </xf>
    <xf numFmtId="0" fontId="14" fillId="10" borderId="0" xfId="0" applyFont="1" applyFill="1" applyBorder="1" applyAlignment="1">
      <alignment horizontal="left"/>
    </xf>
    <xf numFmtId="0" fontId="14" fillId="7" borderId="0" xfId="0" applyFont="1" applyFill="1"/>
    <xf numFmtId="0" fontId="14" fillId="7" borderId="0" xfId="0" applyFont="1" applyFill="1" applyBorder="1"/>
    <xf numFmtId="0" fontId="14" fillId="7" borderId="0" xfId="0" applyFont="1" applyFill="1" applyBorder="1" applyAlignment="1">
      <alignment horizontal="left"/>
    </xf>
    <xf numFmtId="0" fontId="14" fillId="7" borderId="2" xfId="0" applyFont="1" applyFill="1" applyBorder="1" applyAlignment="1">
      <alignment horizontal="left"/>
    </xf>
    <xf numFmtId="0" fontId="14" fillId="16" borderId="0" xfId="0" applyFont="1" applyFill="1" applyBorder="1"/>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54">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rgb="FFC00000"/>
        </patternFill>
      </fill>
    </dxf>
    <dxf>
      <font>
        <color theme="0"/>
      </font>
      <fill>
        <patternFill>
          <fgColor indexed="64"/>
          <bgColor theme="1"/>
        </patternFill>
      </fill>
    </dxf>
    <dxf>
      <font>
        <color theme="0"/>
      </font>
      <fill>
        <patternFill>
          <fgColor indexed="64"/>
          <bgColor theme="1"/>
        </patternFill>
      </fill>
    </dxf>
  </dxfs>
  <tableStyles count="0" defaultTableStyle="TableStyleMedium2" defaultPivotStyle="PivotStyleLight16"/>
  <colors>
    <mruColors>
      <color rgb="FF8F7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177800</xdr:rowOff>
        </xdr:from>
        <xdr:to>
          <xdr:col>0</xdr:col>
          <xdr:colOff>2489200</xdr:colOff>
          <xdr:row>23</xdr:row>
          <xdr:rowOff>25400</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177800</xdr:rowOff>
        </xdr:from>
        <xdr:to>
          <xdr:col>3</xdr:col>
          <xdr:colOff>571500</xdr:colOff>
          <xdr:row>42</xdr:row>
          <xdr:rowOff>101600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yCIMS_model_descri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s"/>
      <sheetName val="Lists"/>
      <sheetName val="Conversions"/>
      <sheetName val="Coefficients"/>
      <sheetName val="Incompatible"/>
      <sheetName val="Technology template"/>
      <sheetName val="Tree"/>
      <sheetName val="Model"/>
      <sheetName val="Sheet3"/>
      <sheetName val="Macro"/>
      <sheetName val="Prices"/>
      <sheetName val="Residential"/>
      <sheetName val="Electric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F1" t="str">
            <v>Source</v>
          </cell>
        </row>
        <row r="3">
          <cell r="C3" t="str">
            <v>Canada</v>
          </cell>
          <cell r="G3">
            <v>30685730</v>
          </cell>
          <cell r="H3">
            <v>32243753</v>
          </cell>
          <cell r="I3">
            <v>34004889</v>
          </cell>
          <cell r="J3">
            <v>35702908</v>
          </cell>
          <cell r="K3">
            <v>37873700</v>
          </cell>
          <cell r="L3">
            <v>39913500</v>
          </cell>
          <cell r="M3">
            <v>41888100</v>
          </cell>
          <cell r="N3">
            <v>43755500</v>
          </cell>
          <cell r="O3">
            <v>45506800</v>
          </cell>
          <cell r="P3">
            <v>47156200</v>
          </cell>
          <cell r="Q3">
            <v>48763100</v>
          </cell>
        </row>
        <row r="4">
          <cell r="C4" t="str">
            <v>Newfoundland and Labrador</v>
          </cell>
          <cell r="G4">
            <v>527966</v>
          </cell>
          <cell r="H4">
            <v>514332</v>
          </cell>
          <cell r="I4">
            <v>522009</v>
          </cell>
          <cell r="J4">
            <v>528117</v>
          </cell>
          <cell r="K4">
            <v>522299.99999999994</v>
          </cell>
          <cell r="L4">
            <v>513400</v>
          </cell>
          <cell r="M4">
            <v>502000</v>
          </cell>
          <cell r="N4">
            <v>487400</v>
          </cell>
          <cell r="O4">
            <v>470100</v>
          </cell>
          <cell r="P4">
            <v>487138.83683317655</v>
          </cell>
          <cell r="Q4">
            <v>503738.63488533581</v>
          </cell>
        </row>
        <row r="5">
          <cell r="C5" t="str">
            <v>Prince Edward Island</v>
          </cell>
          <cell r="G5">
            <v>136470</v>
          </cell>
          <cell r="H5">
            <v>138064</v>
          </cell>
          <cell r="I5">
            <v>141654</v>
          </cell>
          <cell r="J5">
            <v>144546</v>
          </cell>
          <cell r="K5">
            <v>157400</v>
          </cell>
          <cell r="L5">
            <v>167800</v>
          </cell>
          <cell r="M5">
            <v>177600</v>
          </cell>
          <cell r="N5">
            <v>186300</v>
          </cell>
          <cell r="O5">
            <v>193600</v>
          </cell>
          <cell r="P5">
            <v>200617.05767050199</v>
          </cell>
          <cell r="Q5">
            <v>207453.30719804514</v>
          </cell>
        </row>
        <row r="6">
          <cell r="C6" t="str">
            <v>Nova Scotia</v>
          </cell>
          <cell r="G6">
            <v>933821</v>
          </cell>
          <cell r="H6">
            <v>937926</v>
          </cell>
          <cell r="I6">
            <v>942107</v>
          </cell>
          <cell r="J6">
            <v>936525</v>
          </cell>
          <cell r="K6">
            <v>967100</v>
          </cell>
          <cell r="L6">
            <v>983900</v>
          </cell>
          <cell r="M6">
            <v>996100</v>
          </cell>
          <cell r="N6">
            <v>1001200</v>
          </cell>
          <cell r="O6">
            <v>998700</v>
          </cell>
          <cell r="P6">
            <v>1034898.0139231939</v>
          </cell>
          <cell r="Q6">
            <v>1070163.3155923949</v>
          </cell>
        </row>
        <row r="7">
          <cell r="C7" t="str">
            <v>New Brunswick</v>
          </cell>
          <cell r="G7">
            <v>750517</v>
          </cell>
          <cell r="H7">
            <v>748057</v>
          </cell>
          <cell r="I7">
            <v>753035</v>
          </cell>
          <cell r="J7">
            <v>758842</v>
          </cell>
          <cell r="K7">
            <v>775600</v>
          </cell>
          <cell r="L7">
            <v>787700</v>
          </cell>
          <cell r="M7">
            <v>796600</v>
          </cell>
          <cell r="N7">
            <v>800300</v>
          </cell>
          <cell r="O7">
            <v>798100</v>
          </cell>
          <cell r="P7">
            <v>827027.24032452295</v>
          </cell>
          <cell r="Q7">
            <v>855209.11402251967</v>
          </cell>
        </row>
        <row r="8">
          <cell r="C8" t="str">
            <v>Quebec</v>
          </cell>
          <cell r="G8">
            <v>7356951</v>
          </cell>
          <cell r="H8">
            <v>7581476</v>
          </cell>
          <cell r="I8">
            <v>7929222</v>
          </cell>
          <cell r="J8">
            <v>8175272</v>
          </cell>
          <cell r="K8">
            <v>8494500</v>
          </cell>
          <cell r="L8">
            <v>8738500</v>
          </cell>
          <cell r="M8">
            <v>8958900</v>
          </cell>
          <cell r="N8">
            <v>9159100</v>
          </cell>
          <cell r="O8">
            <v>9353100</v>
          </cell>
          <cell r="P8">
            <v>9692104.3496796079</v>
          </cell>
          <cell r="Q8">
            <v>10022373.592737788</v>
          </cell>
        </row>
        <row r="9">
          <cell r="C9" t="str">
            <v>Ontario</v>
          </cell>
          <cell r="G9">
            <v>11683290</v>
          </cell>
          <cell r="H9">
            <v>12528663</v>
          </cell>
          <cell r="I9">
            <v>13135778</v>
          </cell>
          <cell r="J9">
            <v>13707118</v>
          </cell>
          <cell r="K9">
            <v>14677900</v>
          </cell>
          <cell r="L9">
            <v>15561600</v>
          </cell>
          <cell r="M9">
            <v>16411599.999999998</v>
          </cell>
          <cell r="N9">
            <v>17195100</v>
          </cell>
          <cell r="O9">
            <v>17892000</v>
          </cell>
          <cell r="P9">
            <v>18540497.912399907</v>
          </cell>
          <cell r="Q9">
            <v>19172286.014397848</v>
          </cell>
        </row>
        <row r="10">
          <cell r="C10" t="str">
            <v>Manitoba</v>
          </cell>
          <cell r="G10">
            <v>1147313</v>
          </cell>
          <cell r="H10">
            <v>1178264</v>
          </cell>
          <cell r="I10">
            <v>1220780</v>
          </cell>
          <cell r="J10">
            <v>1292227</v>
          </cell>
          <cell r="K10">
            <v>1381900</v>
          </cell>
          <cell r="L10">
            <v>1457800</v>
          </cell>
          <cell r="M10">
            <v>1534800</v>
          </cell>
          <cell r="N10">
            <v>1612800</v>
          </cell>
          <cell r="O10">
            <v>1692500</v>
          </cell>
          <cell r="P10">
            <v>1753844.886917999</v>
          </cell>
          <cell r="Q10">
            <v>1813609.1034746456</v>
          </cell>
        </row>
        <row r="11">
          <cell r="C11" t="str">
            <v>Saskatchewan</v>
          </cell>
          <cell r="G11">
            <v>1007565</v>
          </cell>
          <cell r="H11">
            <v>993500</v>
          </cell>
          <cell r="I11">
            <v>1051443</v>
          </cell>
          <cell r="J11">
            <v>1120967</v>
          </cell>
          <cell r="K11">
            <v>1195100</v>
          </cell>
          <cell r="L11">
            <v>1287000</v>
          </cell>
          <cell r="M11">
            <v>1380400</v>
          </cell>
          <cell r="N11">
            <v>1468800</v>
          </cell>
          <cell r="O11">
            <v>1548700</v>
          </cell>
          <cell r="P11">
            <v>1604832.8368507563</v>
          </cell>
          <cell r="Q11">
            <v>1659519.3019504778</v>
          </cell>
        </row>
        <row r="12">
          <cell r="C12" t="str">
            <v>Alberta</v>
          </cell>
          <cell r="G12">
            <v>3004198</v>
          </cell>
          <cell r="H12">
            <v>3321768</v>
          </cell>
          <cell r="I12">
            <v>3732082</v>
          </cell>
          <cell r="J12">
            <v>4144491</v>
          </cell>
          <cell r="K12">
            <v>4472800</v>
          </cell>
          <cell r="L12">
            <v>4908500</v>
          </cell>
          <cell r="M12">
            <v>5360500</v>
          </cell>
          <cell r="N12">
            <v>5830000</v>
          </cell>
          <cell r="O12">
            <v>6317800</v>
          </cell>
          <cell r="P12">
            <v>6546789.4987122808</v>
          </cell>
          <cell r="Q12">
            <v>6769878.6374783553</v>
          </cell>
        </row>
        <row r="13">
          <cell r="C13" t="str">
            <v>British Columbia</v>
          </cell>
          <cell r="G13">
            <v>4039230</v>
          </cell>
          <cell r="H13">
            <v>4196062</v>
          </cell>
          <cell r="I13">
            <v>4465546</v>
          </cell>
          <cell r="J13">
            <v>4776388</v>
          </cell>
          <cell r="K13">
            <v>5103500</v>
          </cell>
          <cell r="L13">
            <v>5375800</v>
          </cell>
          <cell r="M13">
            <v>5632900</v>
          </cell>
          <cell r="N13">
            <v>5872900</v>
          </cell>
          <cell r="O13">
            <v>6096400</v>
          </cell>
          <cell r="P13">
            <v>6317364.8263556212</v>
          </cell>
          <cell r="Q13">
            <v>6532636.064060756</v>
          </cell>
        </row>
        <row r="14">
          <cell r="C14" t="str">
            <v>Yukon</v>
          </cell>
          <cell r="G14">
            <v>30431</v>
          </cell>
          <cell r="H14">
            <v>31902</v>
          </cell>
          <cell r="I14">
            <v>34596</v>
          </cell>
          <cell r="J14">
            <v>37690</v>
          </cell>
          <cell r="K14">
            <v>41300</v>
          </cell>
          <cell r="L14">
            <v>43500</v>
          </cell>
          <cell r="M14">
            <v>45400</v>
          </cell>
          <cell r="N14">
            <v>47000</v>
          </cell>
          <cell r="O14">
            <v>48300</v>
          </cell>
          <cell r="P14">
            <v>50050.63990436594</v>
          </cell>
          <cell r="Q14">
            <v>51756.171165627995</v>
          </cell>
        </row>
        <row r="15">
          <cell r="C15" t="str">
            <v>Northwest Territories</v>
          </cell>
          <cell r="G15">
            <v>40480</v>
          </cell>
          <cell r="H15">
            <v>43400</v>
          </cell>
          <cell r="I15">
            <v>43285</v>
          </cell>
          <cell r="J15">
            <v>44237</v>
          </cell>
          <cell r="K15">
            <v>45100</v>
          </cell>
          <cell r="L15">
            <v>46400</v>
          </cell>
          <cell r="M15">
            <v>47400</v>
          </cell>
          <cell r="N15">
            <v>48200</v>
          </cell>
          <cell r="O15">
            <v>48600</v>
          </cell>
          <cell r="P15">
            <v>50361.513444144613</v>
          </cell>
          <cell r="Q15">
            <v>52077.638067277854</v>
          </cell>
        </row>
        <row r="16">
          <cell r="C16" t="str">
            <v>Nunavut</v>
          </cell>
          <cell r="G16">
            <v>27498</v>
          </cell>
          <cell r="H16">
            <v>30339</v>
          </cell>
          <cell r="I16">
            <v>33352</v>
          </cell>
          <cell r="J16">
            <v>36488</v>
          </cell>
          <cell r="K16">
            <v>39300</v>
          </cell>
          <cell r="L16">
            <v>41600</v>
          </cell>
          <cell r="M16">
            <v>43900</v>
          </cell>
          <cell r="N16">
            <v>46400</v>
          </cell>
          <cell r="O16">
            <v>48800</v>
          </cell>
          <cell r="P16">
            <v>50568.762470663722</v>
          </cell>
          <cell r="Q16">
            <v>52291.949335044432</v>
          </cell>
        </row>
        <row r="52">
          <cell r="C52" t="str">
            <v>Canada</v>
          </cell>
          <cell r="G52">
            <v>1459303</v>
          </cell>
          <cell r="H52">
            <v>1650884</v>
          </cell>
          <cell r="I52">
            <v>1739847</v>
          </cell>
          <cell r="J52">
            <v>1932903</v>
          </cell>
          <cell r="K52">
            <v>2141643.4253889425</v>
          </cell>
          <cell r="L52">
            <v>2316572.3239389705</v>
          </cell>
          <cell r="M52">
            <v>2525561.0785171753</v>
          </cell>
          <cell r="N52">
            <v>2770764.330310679</v>
          </cell>
          <cell r="O52">
            <v>3048468.9778990773</v>
          </cell>
          <cell r="P52">
            <v>3358311.465306255</v>
          </cell>
          <cell r="Q52">
            <v>3698121.897248189</v>
          </cell>
        </row>
        <row r="53">
          <cell r="C53" t="str">
            <v>Newfoundland and Labrador</v>
          </cell>
          <cell r="G53">
            <v>24966</v>
          </cell>
          <cell r="H53">
            <v>30675</v>
          </cell>
          <cell r="I53">
            <v>31709</v>
          </cell>
          <cell r="J53">
            <v>32777</v>
          </cell>
          <cell r="K53">
            <v>36329.493481584082</v>
          </cell>
          <cell r="L53">
            <v>39296.877409401008</v>
          </cell>
          <cell r="M53">
            <v>42842.031335197222</v>
          </cell>
          <cell r="N53">
            <v>47001.505238317914</v>
          </cell>
          <cell r="O53">
            <v>51712.312399195354</v>
          </cell>
          <cell r="P53">
            <v>56968.285682671616</v>
          </cell>
          <cell r="Q53">
            <v>62732.616348485775</v>
          </cell>
        </row>
        <row r="54">
          <cell r="C54" t="str">
            <v>Prince Edward Island</v>
          </cell>
          <cell r="G54">
            <v>4547</v>
          </cell>
          <cell r="H54">
            <v>5096</v>
          </cell>
          <cell r="I54">
            <v>5416</v>
          </cell>
          <cell r="J54">
            <v>5846</v>
          </cell>
          <cell r="K54">
            <v>6479.6112790475208</v>
          </cell>
          <cell r="L54">
            <v>7008.8643053164815</v>
          </cell>
          <cell r="M54">
            <v>7641.1665248669187</v>
          </cell>
          <cell r="N54">
            <v>8383.0368741253496</v>
          </cell>
          <cell r="O54">
            <v>9223.2412449490821</v>
          </cell>
          <cell r="P54">
            <v>10160.67968700303</v>
          </cell>
          <cell r="Q54">
            <v>11188.787112098358</v>
          </cell>
        </row>
        <row r="55">
          <cell r="C55" t="str">
            <v>Nova Scotia</v>
          </cell>
          <cell r="G55">
            <v>32641</v>
          </cell>
          <cell r="H55">
            <v>35996</v>
          </cell>
          <cell r="I55">
            <v>38443</v>
          </cell>
          <cell r="J55">
            <v>38279</v>
          </cell>
          <cell r="K55">
            <v>42427.820757896006</v>
          </cell>
          <cell r="L55">
            <v>45893.314530141906</v>
          </cell>
          <cell r="M55">
            <v>50033.563702596781</v>
          </cell>
          <cell r="N55">
            <v>54891.253592994224</v>
          </cell>
          <cell r="O55">
            <v>60392.8244295939</v>
          </cell>
          <cell r="P55">
            <v>66531.073851999477</v>
          </cell>
          <cell r="Q55">
            <v>73263.014345537638</v>
          </cell>
        </row>
        <row r="56">
          <cell r="C56" t="str">
            <v>New Brunswick</v>
          </cell>
          <cell r="G56">
            <v>27011</v>
          </cell>
          <cell r="H56">
            <v>30221</v>
          </cell>
          <cell r="I56">
            <v>31836</v>
          </cell>
          <cell r="J56">
            <v>31882</v>
          </cell>
          <cell r="K56">
            <v>35337.490044234182</v>
          </cell>
          <cell r="L56">
            <v>38223.847379763945</v>
          </cell>
          <cell r="M56">
            <v>41672.198280158584</v>
          </cell>
          <cell r="N56">
            <v>45718.094700797868</v>
          </cell>
          <cell r="O56">
            <v>50300.26982064089</v>
          </cell>
          <cell r="P56">
            <v>55412.724902673719</v>
          </cell>
          <cell r="Q56">
            <v>61019.656296257235</v>
          </cell>
        </row>
        <row r="57">
          <cell r="C57" t="str">
            <v>Quebec</v>
          </cell>
          <cell r="G57">
            <v>294335</v>
          </cell>
          <cell r="H57">
            <v>323424</v>
          </cell>
          <cell r="I57">
            <v>342996</v>
          </cell>
          <cell r="J57">
            <v>367812</v>
          </cell>
          <cell r="K57">
            <v>407676.83608775685</v>
          </cell>
          <cell r="L57">
            <v>440975.77794510184</v>
          </cell>
          <cell r="M57">
            <v>480758.25211158925</v>
          </cell>
          <cell r="N57">
            <v>527434.40963834978</v>
          </cell>
          <cell r="O57">
            <v>580297.43564611906</v>
          </cell>
          <cell r="P57">
            <v>639278.12470680091</v>
          </cell>
          <cell r="Q57">
            <v>703963.42204500875</v>
          </cell>
        </row>
        <row r="58">
          <cell r="C58" t="str">
            <v>Ontario</v>
          </cell>
          <cell r="G58">
            <v>575390</v>
          </cell>
          <cell r="H58">
            <v>645906</v>
          </cell>
          <cell r="I58">
            <v>656803</v>
          </cell>
          <cell r="J58">
            <v>722653</v>
          </cell>
          <cell r="K58">
            <v>800976.82682817779</v>
          </cell>
          <cell r="L58">
            <v>866400.41341598879</v>
          </cell>
          <cell r="M58">
            <v>944562.4209193727</v>
          </cell>
          <cell r="N58">
            <v>1036268.6873413112</v>
          </cell>
          <cell r="O58">
            <v>1140130.5089610312</v>
          </cell>
          <cell r="P58">
            <v>1256011.9154724255</v>
          </cell>
          <cell r="Q58">
            <v>1383101.363824703</v>
          </cell>
        </row>
        <row r="59">
          <cell r="C59" t="str">
            <v>Manitoba</v>
          </cell>
          <cell r="G59">
            <v>46947</v>
          </cell>
          <cell r="H59">
            <v>51205</v>
          </cell>
          <cell r="I59">
            <v>56641</v>
          </cell>
          <cell r="J59">
            <v>63310</v>
          </cell>
          <cell r="K59">
            <v>70171.773875555678</v>
          </cell>
          <cell r="L59">
            <v>75903.386789186872</v>
          </cell>
          <cell r="M59">
            <v>82750.984038543393</v>
          </cell>
          <cell r="N59">
            <v>90785.163274183345</v>
          </cell>
          <cell r="O59">
            <v>99884.263294171484</v>
          </cell>
          <cell r="P59">
            <v>110036.37204655522</v>
          </cell>
          <cell r="Q59">
            <v>121170.39207440079</v>
          </cell>
        </row>
        <row r="60">
          <cell r="C60" t="str">
            <v>Saskatchewan</v>
          </cell>
          <cell r="G60">
            <v>63257</v>
          </cell>
          <cell r="H60">
            <v>70293</v>
          </cell>
          <cell r="I60">
            <v>74199</v>
          </cell>
          <cell r="J60">
            <v>82793</v>
          </cell>
          <cell r="K60">
            <v>91766.414065374847</v>
          </cell>
          <cell r="L60">
            <v>99261.87178071629</v>
          </cell>
          <cell r="M60">
            <v>108216.74650928956</v>
          </cell>
          <cell r="N60">
            <v>118723.3616010024</v>
          </cell>
          <cell r="O60">
            <v>130622.61587291643</v>
          </cell>
          <cell r="P60">
            <v>143898.93146186142</v>
          </cell>
          <cell r="Q60">
            <v>158459.33140129308</v>
          </cell>
        </row>
        <row r="61">
          <cell r="C61" t="str">
            <v>Alberta</v>
          </cell>
          <cell r="G61">
            <v>217724</v>
          </cell>
          <cell r="H61">
            <v>263911</v>
          </cell>
          <cell r="I61">
            <v>283544</v>
          </cell>
          <cell r="J61">
            <v>337590</v>
          </cell>
          <cell r="K61">
            <v>374179.26303346775</v>
          </cell>
          <cell r="L61">
            <v>404742.13151416194</v>
          </cell>
          <cell r="M61">
            <v>441255.80005641858</v>
          </cell>
          <cell r="N61">
            <v>484096.7188395444</v>
          </cell>
          <cell r="O61">
            <v>532616.14982592559</v>
          </cell>
          <cell r="P61">
            <v>586750.57398825744</v>
          </cell>
          <cell r="Q61">
            <v>646120.87601322006</v>
          </cell>
        </row>
        <row r="62">
          <cell r="C62" t="str">
            <v>British Columbia</v>
          </cell>
          <cell r="G62">
            <v>164117</v>
          </cell>
          <cell r="H62">
            <v>191715</v>
          </cell>
          <cell r="I62">
            <v>208500</v>
          </cell>
          <cell r="J62">
            <v>239696</v>
          </cell>
          <cell r="K62">
            <v>265675.14627823717</v>
          </cell>
          <cell r="L62">
            <v>287375.42568031803</v>
          </cell>
          <cell r="M62">
            <v>313300.89827993512</v>
          </cell>
          <cell r="N62">
            <v>343718.85162168142</v>
          </cell>
          <cell r="O62">
            <v>378168.66805496329</v>
          </cell>
          <cell r="P62">
            <v>416605.24773449847</v>
          </cell>
          <cell r="Q62">
            <v>458759.41081449331</v>
          </cell>
        </row>
        <row r="63">
          <cell r="C63" t="str">
            <v>Yukon</v>
          </cell>
          <cell r="G63">
            <v>1505</v>
          </cell>
          <cell r="H63">
            <v>1655</v>
          </cell>
          <cell r="I63">
            <v>2327</v>
          </cell>
          <cell r="J63">
            <v>2431</v>
          </cell>
          <cell r="K63">
            <v>2694.4808449135344</v>
          </cell>
          <cell r="L63">
            <v>2914.5653654164157</v>
          </cell>
          <cell r="M63">
            <v>3177.5018511719945</v>
          </cell>
          <cell r="N63">
            <v>3486.0011359902028</v>
          </cell>
          <cell r="O63">
            <v>3835.3916295708555</v>
          </cell>
          <cell r="P63">
            <v>4225.2159286870283</v>
          </cell>
          <cell r="Q63">
            <v>4652.7440077849997</v>
          </cell>
        </row>
        <row r="64">
          <cell r="C64" t="str">
            <v>Northwest Territories</v>
          </cell>
          <cell r="G64">
            <v>3337</v>
          </cell>
          <cell r="H64">
            <v>5086</v>
          </cell>
          <cell r="I64">
            <v>4789</v>
          </cell>
          <cell r="J64">
            <v>4809</v>
          </cell>
          <cell r="K64">
            <v>5330.2173521962923</v>
          </cell>
          <cell r="L64">
            <v>5765.5881704185695</v>
          </cell>
          <cell r="M64">
            <v>6285.7286722690751</v>
          </cell>
          <cell r="N64">
            <v>6896.0014245071507</v>
          </cell>
          <cell r="O64">
            <v>7587.1650952720047</v>
          </cell>
          <cell r="P64">
            <v>8358.3148502903805</v>
          </cell>
          <cell r="Q64">
            <v>9204.0501577285322</v>
          </cell>
        </row>
        <row r="65">
          <cell r="C65" t="str">
            <v>Nunavut</v>
          </cell>
          <cell r="G65">
            <v>1374</v>
          </cell>
          <cell r="H65">
            <v>1561</v>
          </cell>
          <cell r="I65">
            <v>2153</v>
          </cell>
          <cell r="J65">
            <v>2344</v>
          </cell>
          <cell r="K65">
            <v>2598.0514605007502</v>
          </cell>
          <cell r="L65">
            <v>2810.259653038288</v>
          </cell>
          <cell r="M65">
            <v>3063.7862357660033</v>
          </cell>
          <cell r="N65">
            <v>3361.2450278737283</v>
          </cell>
          <cell r="O65">
            <v>3698.1316247281302</v>
          </cell>
          <cell r="P65">
            <v>4074.0049925308072</v>
          </cell>
          <cell r="Q65">
            <v>4486.232807177309</v>
          </cell>
        </row>
      </sheetData>
      <sheetData sheetId="11">
        <row r="12">
          <cell r="G12">
            <v>6.5839184047367434</v>
          </cell>
          <cell r="H12">
            <v>6.5092291237233955</v>
          </cell>
          <cell r="I12">
            <v>11.805723376789475</v>
          </cell>
          <cell r="J12">
            <v>6.5143544044486541</v>
          </cell>
          <cell r="K12">
            <v>6.6768875399958185</v>
          </cell>
          <cell r="L12">
            <v>10.195413339080753</v>
          </cell>
          <cell r="M12">
            <v>10.620222228209117</v>
          </cell>
          <cell r="N12">
            <v>10.620222228209117</v>
          </cell>
          <cell r="O12">
            <v>10.620222228209117</v>
          </cell>
          <cell r="P12">
            <v>10.620222228209117</v>
          </cell>
          <cell r="Q12">
            <v>10.620222228209117</v>
          </cell>
        </row>
        <row r="15">
          <cell r="G15">
            <v>8.4936032074005272</v>
          </cell>
          <cell r="H15">
            <v>8.3972486872784486</v>
          </cell>
          <cell r="I15">
            <v>4.0408957689610068</v>
          </cell>
          <cell r="J15">
            <v>2.247462324417568</v>
          </cell>
          <cell r="K15">
            <v>1.9162573502928744</v>
          </cell>
          <cell r="L15">
            <v>2.5431810513146162</v>
          </cell>
          <cell r="M15">
            <v>3.0163310143498943</v>
          </cell>
          <cell r="N15">
            <v>3.6077684681439912</v>
          </cell>
          <cell r="O15">
            <v>3.8561721987375113</v>
          </cell>
          <cell r="P15">
            <v>3.8561721987375113</v>
          </cell>
          <cell r="Q15">
            <v>3.8561721987375113</v>
          </cell>
        </row>
        <row r="18">
          <cell r="D18" t="str">
            <v>Electricity</v>
          </cell>
        </row>
        <row r="19">
          <cell r="D19" t="str">
            <v>Electricity</v>
          </cell>
        </row>
        <row r="20">
          <cell r="D20" t="str">
            <v>Electricity</v>
          </cell>
        </row>
        <row r="21">
          <cell r="D21" t="str">
            <v>Electricity</v>
          </cell>
        </row>
        <row r="22">
          <cell r="D22" t="str">
            <v>Electricity</v>
          </cell>
        </row>
        <row r="23">
          <cell r="D23" t="str">
            <v>Electricity</v>
          </cell>
        </row>
        <row r="24">
          <cell r="D24" t="str">
            <v>Electricity</v>
          </cell>
        </row>
        <row r="25">
          <cell r="D25" t="str">
            <v>Electricity</v>
          </cell>
        </row>
        <row r="26">
          <cell r="D26" t="str">
            <v>Electricity</v>
          </cell>
        </row>
        <row r="27">
          <cell r="D27" t="str">
            <v>Electricity</v>
          </cell>
        </row>
        <row r="28">
          <cell r="D28" t="str">
            <v>Electricity</v>
          </cell>
        </row>
        <row r="29">
          <cell r="D29" t="str">
            <v>Electricity</v>
          </cell>
        </row>
        <row r="30">
          <cell r="D30" t="str">
            <v>Electricity</v>
          </cell>
        </row>
        <row r="31">
          <cell r="D31" t="str">
            <v>Electricity</v>
          </cell>
        </row>
        <row r="32">
          <cell r="D32" t="str">
            <v>Natural Gas</v>
          </cell>
        </row>
        <row r="33">
          <cell r="D33" t="str">
            <v>Natural Gas</v>
          </cell>
        </row>
        <row r="34">
          <cell r="D34" t="str">
            <v>Natural Gas</v>
          </cell>
        </row>
        <row r="35">
          <cell r="D35" t="str">
            <v>Natural Gas</v>
          </cell>
        </row>
        <row r="36">
          <cell r="D36" t="str">
            <v>Natural Gas</v>
          </cell>
        </row>
        <row r="37">
          <cell r="D37" t="str">
            <v>Natural Gas</v>
          </cell>
        </row>
        <row r="38">
          <cell r="D38" t="str">
            <v>Natural Gas</v>
          </cell>
        </row>
        <row r="39">
          <cell r="D39" t="str">
            <v>Natural Gas</v>
          </cell>
        </row>
        <row r="40">
          <cell r="D40" t="str">
            <v>Natural Gas</v>
          </cell>
        </row>
        <row r="41">
          <cell r="D41" t="str">
            <v>Natural Gas</v>
          </cell>
        </row>
        <row r="42">
          <cell r="D42" t="str">
            <v>Natural Gas</v>
          </cell>
        </row>
        <row r="43">
          <cell r="D43" t="str">
            <v>Natural Gas</v>
          </cell>
        </row>
        <row r="44">
          <cell r="D44" t="str">
            <v>Natural Gas</v>
          </cell>
        </row>
        <row r="45">
          <cell r="D45" t="str">
            <v>Natural Gas</v>
          </cell>
        </row>
        <row r="46">
          <cell r="D46" t="str">
            <v>Oil</v>
          </cell>
        </row>
        <row r="47">
          <cell r="D47" t="str">
            <v>Oil</v>
          </cell>
        </row>
        <row r="48">
          <cell r="D48" t="str">
            <v>Oil</v>
          </cell>
        </row>
        <row r="49">
          <cell r="D49" t="str">
            <v>Oil</v>
          </cell>
        </row>
        <row r="50">
          <cell r="D50" t="str">
            <v>Oil</v>
          </cell>
        </row>
        <row r="51">
          <cell r="D51" t="str">
            <v>Oil</v>
          </cell>
        </row>
        <row r="52">
          <cell r="D52" t="str">
            <v>Oil</v>
          </cell>
        </row>
        <row r="53">
          <cell r="D53" t="str">
            <v>Oil</v>
          </cell>
        </row>
        <row r="54">
          <cell r="D54" t="str">
            <v>Oil</v>
          </cell>
        </row>
        <row r="55">
          <cell r="D55" t="str">
            <v>Oil</v>
          </cell>
        </row>
        <row r="56">
          <cell r="D56" t="str">
            <v>Oil</v>
          </cell>
        </row>
        <row r="57">
          <cell r="D57" t="str">
            <v>Oil</v>
          </cell>
        </row>
        <row r="58">
          <cell r="D58" t="str">
            <v>Oil</v>
          </cell>
        </row>
        <row r="59">
          <cell r="D59" t="str">
            <v>Oil</v>
          </cell>
        </row>
      </sheetData>
      <sheetData sheetId="12">
        <row r="1">
          <cell r="E1" t="str">
            <v>Source</v>
          </cell>
        </row>
        <row r="3">
          <cell r="C3" t="str">
            <v>Canada</v>
          </cell>
          <cell r="F3">
            <v>2.6</v>
          </cell>
          <cell r="G3">
            <v>2.52</v>
          </cell>
          <cell r="H3">
            <v>2.5</v>
          </cell>
          <cell r="I3">
            <v>2.42</v>
          </cell>
          <cell r="J3">
            <v>2.4</v>
          </cell>
          <cell r="K3">
            <v>2.4</v>
          </cell>
          <cell r="L3">
            <v>2.4</v>
          </cell>
          <cell r="M3">
            <v>2.4</v>
          </cell>
          <cell r="N3">
            <v>2.4</v>
          </cell>
          <cell r="O3">
            <v>2.4</v>
          </cell>
          <cell r="P3">
            <v>2.4</v>
          </cell>
        </row>
        <row r="4">
          <cell r="C4" t="str">
            <v>Newfoundland and Labrador</v>
          </cell>
          <cell r="F4">
            <v>2.7</v>
          </cell>
          <cell r="G4">
            <v>2.54</v>
          </cell>
          <cell r="H4">
            <v>2.42</v>
          </cell>
          <cell r="I4">
            <v>2.3199999999999998</v>
          </cell>
          <cell r="J4">
            <v>2.2999999999999998</v>
          </cell>
          <cell r="K4">
            <v>2.2999999999999998</v>
          </cell>
          <cell r="L4">
            <v>2.2999999999999998</v>
          </cell>
          <cell r="M4">
            <v>2.2999999999999998</v>
          </cell>
          <cell r="N4">
            <v>2.2999999999999998</v>
          </cell>
          <cell r="O4">
            <v>2.2999999999999998</v>
          </cell>
          <cell r="P4">
            <v>2.2999999999999998</v>
          </cell>
        </row>
        <row r="5">
          <cell r="C5" t="str">
            <v>Prince Edward Island</v>
          </cell>
          <cell r="F5">
            <v>2.6</v>
          </cell>
          <cell r="G5">
            <v>2.52</v>
          </cell>
          <cell r="H5">
            <v>2.42</v>
          </cell>
          <cell r="I5">
            <v>2.3199999999999998</v>
          </cell>
          <cell r="J5">
            <v>2.2999999999999998</v>
          </cell>
          <cell r="K5">
            <v>2.2999999999999998</v>
          </cell>
          <cell r="L5">
            <v>2.2999999999999998</v>
          </cell>
          <cell r="M5">
            <v>2.2999999999999998</v>
          </cell>
          <cell r="N5">
            <v>2.2999999999999998</v>
          </cell>
          <cell r="O5">
            <v>2.2999999999999998</v>
          </cell>
          <cell r="P5">
            <v>2.2999999999999998</v>
          </cell>
        </row>
        <row r="6">
          <cell r="C6" t="str">
            <v>Nova Scotia</v>
          </cell>
          <cell r="F6">
            <v>2.5</v>
          </cell>
          <cell r="G6">
            <v>2.42</v>
          </cell>
          <cell r="H6">
            <v>2.3199999999999998</v>
          </cell>
          <cell r="I6">
            <v>2.2999999999999998</v>
          </cell>
          <cell r="J6">
            <v>2.2999999999999998</v>
          </cell>
          <cell r="K6">
            <v>2.2999999999999998</v>
          </cell>
          <cell r="L6">
            <v>2.2999999999999998</v>
          </cell>
          <cell r="M6">
            <v>2.2999999999999998</v>
          </cell>
          <cell r="N6">
            <v>2.2999999999999998</v>
          </cell>
          <cell r="O6">
            <v>2.2999999999999998</v>
          </cell>
          <cell r="P6">
            <v>2.2999999999999998</v>
          </cell>
        </row>
        <row r="7">
          <cell r="C7" t="str">
            <v>New Brunswick</v>
          </cell>
          <cell r="F7">
            <v>2.5</v>
          </cell>
          <cell r="G7">
            <v>2.42</v>
          </cell>
          <cell r="H7">
            <v>2.3199999999999998</v>
          </cell>
          <cell r="I7">
            <v>2.2999999999999998</v>
          </cell>
          <cell r="J7">
            <v>2.2999999999999998</v>
          </cell>
          <cell r="K7">
            <v>2.2999999999999998</v>
          </cell>
          <cell r="L7">
            <v>2.2999999999999998</v>
          </cell>
          <cell r="M7">
            <v>2.2999999999999998</v>
          </cell>
          <cell r="N7">
            <v>2.2999999999999998</v>
          </cell>
          <cell r="O7">
            <v>2.2999999999999998</v>
          </cell>
          <cell r="P7">
            <v>2.2999999999999998</v>
          </cell>
        </row>
        <row r="8">
          <cell r="C8" t="str">
            <v>Quebec</v>
          </cell>
          <cell r="F8">
            <v>2.4</v>
          </cell>
          <cell r="G8">
            <v>2.3199999999999998</v>
          </cell>
          <cell r="H8">
            <v>2.2999999999999998</v>
          </cell>
          <cell r="I8">
            <v>2.2999999999999998</v>
          </cell>
          <cell r="J8">
            <v>2.2999999999999998</v>
          </cell>
          <cell r="K8">
            <v>2.2999999999999998</v>
          </cell>
          <cell r="L8">
            <v>2.2999999999999998</v>
          </cell>
          <cell r="M8">
            <v>2.2999999999999998</v>
          </cell>
          <cell r="N8">
            <v>2.2999999999999998</v>
          </cell>
          <cell r="O8">
            <v>2.2999999999999998</v>
          </cell>
          <cell r="P8">
            <v>2.2999999999999998</v>
          </cell>
        </row>
        <row r="9">
          <cell r="C9" t="str">
            <v>Ontario</v>
          </cell>
          <cell r="F9">
            <v>2.7</v>
          </cell>
          <cell r="G9">
            <v>2.62</v>
          </cell>
          <cell r="H9">
            <v>2.6</v>
          </cell>
          <cell r="I9">
            <v>2.6</v>
          </cell>
          <cell r="J9">
            <v>2.6</v>
          </cell>
          <cell r="K9">
            <v>2.6</v>
          </cell>
          <cell r="L9">
            <v>2.6</v>
          </cell>
          <cell r="M9">
            <v>2.6</v>
          </cell>
          <cell r="N9">
            <v>2.6</v>
          </cell>
          <cell r="O9">
            <v>2.6</v>
          </cell>
          <cell r="P9">
            <v>2.6</v>
          </cell>
        </row>
        <row r="10">
          <cell r="C10" t="str">
            <v>Manitoba</v>
          </cell>
          <cell r="F10">
            <v>2.5</v>
          </cell>
          <cell r="G10">
            <v>2.5</v>
          </cell>
          <cell r="H10">
            <v>2.5</v>
          </cell>
          <cell r="I10">
            <v>2.5</v>
          </cell>
          <cell r="J10">
            <v>2.5</v>
          </cell>
          <cell r="K10">
            <v>2.5</v>
          </cell>
          <cell r="L10">
            <v>2.5</v>
          </cell>
          <cell r="M10">
            <v>2.5</v>
          </cell>
          <cell r="N10">
            <v>2.5</v>
          </cell>
          <cell r="O10">
            <v>2.5</v>
          </cell>
          <cell r="P10">
            <v>2.5</v>
          </cell>
        </row>
        <row r="11">
          <cell r="C11" t="str">
            <v>Saskatchewan</v>
          </cell>
          <cell r="F11">
            <v>2.5</v>
          </cell>
          <cell r="G11">
            <v>2.42</v>
          </cell>
          <cell r="H11">
            <v>2.48</v>
          </cell>
          <cell r="I11">
            <v>2.5</v>
          </cell>
          <cell r="J11">
            <v>2.5</v>
          </cell>
          <cell r="K11">
            <v>2.5</v>
          </cell>
          <cell r="L11">
            <v>2.5</v>
          </cell>
          <cell r="M11">
            <v>2.5</v>
          </cell>
          <cell r="N11">
            <v>2.5</v>
          </cell>
          <cell r="O11">
            <v>2.5</v>
          </cell>
          <cell r="P11">
            <v>2.5</v>
          </cell>
        </row>
        <row r="12">
          <cell r="C12" t="str">
            <v>Alberta</v>
          </cell>
          <cell r="F12">
            <v>2.6</v>
          </cell>
          <cell r="G12">
            <v>2.6</v>
          </cell>
          <cell r="H12">
            <v>2.6</v>
          </cell>
          <cell r="I12">
            <v>2.6</v>
          </cell>
          <cell r="J12">
            <v>2.6</v>
          </cell>
          <cell r="K12">
            <v>2.6</v>
          </cell>
          <cell r="L12">
            <v>2.6</v>
          </cell>
          <cell r="M12">
            <v>2.6</v>
          </cell>
          <cell r="N12">
            <v>2.6</v>
          </cell>
          <cell r="O12">
            <v>2.6</v>
          </cell>
          <cell r="P12">
            <v>2.6</v>
          </cell>
        </row>
        <row r="13">
          <cell r="C13" t="str">
            <v>British Columbia</v>
          </cell>
          <cell r="F13">
            <v>2.5</v>
          </cell>
          <cell r="G13">
            <v>2.5</v>
          </cell>
          <cell r="H13">
            <v>2.5</v>
          </cell>
          <cell r="I13">
            <v>2.42</v>
          </cell>
          <cell r="J13">
            <v>2.4</v>
          </cell>
          <cell r="K13">
            <v>2.4</v>
          </cell>
          <cell r="L13">
            <v>2.4</v>
          </cell>
          <cell r="M13">
            <v>2.4</v>
          </cell>
          <cell r="N13">
            <v>2.4</v>
          </cell>
          <cell r="O13">
            <v>2.4</v>
          </cell>
          <cell r="P13">
            <v>2.4</v>
          </cell>
        </row>
        <row r="14">
          <cell r="C14" t="str">
            <v>Yukon</v>
          </cell>
          <cell r="F14">
            <v>2.5</v>
          </cell>
          <cell r="G14">
            <v>2.42</v>
          </cell>
          <cell r="H14">
            <v>2.4</v>
          </cell>
          <cell r="I14">
            <v>2.3199999999999998</v>
          </cell>
          <cell r="J14">
            <v>2.2999999999999998</v>
          </cell>
          <cell r="K14">
            <v>2.2999999999999998</v>
          </cell>
          <cell r="L14">
            <v>2.2999999999999998</v>
          </cell>
          <cell r="M14">
            <v>2.2999999999999998</v>
          </cell>
          <cell r="N14">
            <v>2.2999999999999998</v>
          </cell>
          <cell r="O14">
            <v>2.2999999999999998</v>
          </cell>
          <cell r="P14">
            <v>2.2999999999999998</v>
          </cell>
        </row>
        <row r="15">
          <cell r="C15" t="str">
            <v>Northwest Territories</v>
          </cell>
          <cell r="F15">
            <v>2.9</v>
          </cell>
          <cell r="G15">
            <v>2.9</v>
          </cell>
          <cell r="H15">
            <v>2.82</v>
          </cell>
          <cell r="I15">
            <v>2.72</v>
          </cell>
          <cell r="J15">
            <v>2.7</v>
          </cell>
          <cell r="K15">
            <v>2.7</v>
          </cell>
          <cell r="L15">
            <v>2.7</v>
          </cell>
          <cell r="M15">
            <v>2.7</v>
          </cell>
          <cell r="N15">
            <v>2.7</v>
          </cell>
          <cell r="O15">
            <v>2.7</v>
          </cell>
          <cell r="P15">
            <v>2.7</v>
          </cell>
        </row>
        <row r="16">
          <cell r="C16" t="str">
            <v>Nunavut</v>
          </cell>
          <cell r="F16">
            <v>3.7</v>
          </cell>
          <cell r="G16">
            <v>3.7</v>
          </cell>
          <cell r="H16">
            <v>3.7</v>
          </cell>
          <cell r="I16">
            <v>3.62</v>
          </cell>
          <cell r="J16">
            <v>3.6</v>
          </cell>
          <cell r="K16">
            <v>3.6</v>
          </cell>
          <cell r="L16">
            <v>3.6</v>
          </cell>
          <cell r="M16">
            <v>3.6</v>
          </cell>
          <cell r="N16">
            <v>3.6</v>
          </cell>
          <cell r="O16">
            <v>3.6</v>
          </cell>
          <cell r="P16">
            <v>3.6</v>
          </cell>
        </row>
        <row r="36">
          <cell r="B36" t="str">
            <v>Single family detached</v>
          </cell>
          <cell r="C36" t="str">
            <v>Canada</v>
          </cell>
          <cell r="F36">
            <v>0</v>
          </cell>
          <cell r="G36">
            <v>0</v>
          </cell>
          <cell r="H36">
            <v>0</v>
          </cell>
          <cell r="I36">
            <v>0</v>
          </cell>
          <cell r="J36">
            <v>0</v>
          </cell>
          <cell r="K36">
            <v>0</v>
          </cell>
          <cell r="L36">
            <v>0</v>
          </cell>
          <cell r="M36">
            <v>0</v>
          </cell>
          <cell r="N36">
            <v>0</v>
          </cell>
          <cell r="O36">
            <v>0</v>
          </cell>
          <cell r="P36">
            <v>0</v>
          </cell>
        </row>
        <row r="37">
          <cell r="B37" t="str">
            <v>Single family detached</v>
          </cell>
          <cell r="C37" t="str">
            <v>Newfoundland and Labrador</v>
          </cell>
          <cell r="F37">
            <v>0</v>
          </cell>
          <cell r="G37">
            <v>0</v>
          </cell>
          <cell r="H37">
            <v>0</v>
          </cell>
          <cell r="I37">
            <v>0</v>
          </cell>
          <cell r="J37">
            <v>0</v>
          </cell>
          <cell r="K37">
            <v>0</v>
          </cell>
          <cell r="L37">
            <v>0</v>
          </cell>
          <cell r="M37">
            <v>0</v>
          </cell>
          <cell r="N37">
            <v>0</v>
          </cell>
          <cell r="O37">
            <v>0</v>
          </cell>
          <cell r="P37">
            <v>0</v>
          </cell>
        </row>
        <row r="38">
          <cell r="B38" t="str">
            <v>Single family detached</v>
          </cell>
          <cell r="C38" t="str">
            <v>Prince Edward Island</v>
          </cell>
          <cell r="F38">
            <v>0</v>
          </cell>
          <cell r="G38">
            <v>0</v>
          </cell>
          <cell r="H38">
            <v>0</v>
          </cell>
          <cell r="I38">
            <v>0</v>
          </cell>
          <cell r="J38">
            <v>0</v>
          </cell>
          <cell r="K38">
            <v>0</v>
          </cell>
          <cell r="L38">
            <v>0</v>
          </cell>
          <cell r="M38">
            <v>0</v>
          </cell>
          <cell r="N38">
            <v>0</v>
          </cell>
          <cell r="O38">
            <v>0</v>
          </cell>
          <cell r="P38">
            <v>0</v>
          </cell>
        </row>
        <row r="39">
          <cell r="B39" t="str">
            <v>Single family detached</v>
          </cell>
          <cell r="C39" t="str">
            <v>Nova Scotia</v>
          </cell>
          <cell r="F39">
            <v>0</v>
          </cell>
          <cell r="G39">
            <v>0</v>
          </cell>
          <cell r="H39">
            <v>0</v>
          </cell>
          <cell r="I39">
            <v>0</v>
          </cell>
          <cell r="J39">
            <v>0</v>
          </cell>
          <cell r="K39">
            <v>0</v>
          </cell>
          <cell r="L39">
            <v>0</v>
          </cell>
          <cell r="M39">
            <v>0</v>
          </cell>
          <cell r="N39">
            <v>0</v>
          </cell>
          <cell r="O39">
            <v>0</v>
          </cell>
          <cell r="P39">
            <v>0</v>
          </cell>
        </row>
        <row r="40">
          <cell r="B40" t="str">
            <v>Single family detached</v>
          </cell>
          <cell r="C40" t="str">
            <v>New Brunswick</v>
          </cell>
          <cell r="F40">
            <v>0</v>
          </cell>
          <cell r="G40">
            <v>0</v>
          </cell>
          <cell r="H40">
            <v>0</v>
          </cell>
          <cell r="I40">
            <v>0</v>
          </cell>
          <cell r="J40">
            <v>0</v>
          </cell>
          <cell r="K40">
            <v>0</v>
          </cell>
          <cell r="L40">
            <v>0</v>
          </cell>
          <cell r="M40">
            <v>0</v>
          </cell>
          <cell r="N40">
            <v>0</v>
          </cell>
          <cell r="O40">
            <v>0</v>
          </cell>
          <cell r="P40">
            <v>0</v>
          </cell>
        </row>
        <row r="41">
          <cell r="B41" t="str">
            <v>Single family detached</v>
          </cell>
          <cell r="C41" t="str">
            <v>Quebec</v>
          </cell>
          <cell r="F41">
            <v>0</v>
          </cell>
          <cell r="G41">
            <v>0</v>
          </cell>
          <cell r="H41">
            <v>0</v>
          </cell>
          <cell r="I41">
            <v>0</v>
          </cell>
          <cell r="J41">
            <v>0</v>
          </cell>
          <cell r="K41">
            <v>0</v>
          </cell>
          <cell r="L41">
            <v>0</v>
          </cell>
          <cell r="M41">
            <v>0</v>
          </cell>
          <cell r="N41">
            <v>0</v>
          </cell>
          <cell r="O41">
            <v>0</v>
          </cell>
          <cell r="P41">
            <v>0</v>
          </cell>
        </row>
        <row r="42">
          <cell r="B42" t="str">
            <v>Single family detached</v>
          </cell>
          <cell r="C42" t="str">
            <v>Ontario</v>
          </cell>
          <cell r="F42">
            <v>0</v>
          </cell>
          <cell r="G42">
            <v>0</v>
          </cell>
          <cell r="H42">
            <v>0</v>
          </cell>
          <cell r="I42">
            <v>0</v>
          </cell>
          <cell r="J42">
            <v>0</v>
          </cell>
          <cell r="K42">
            <v>0</v>
          </cell>
          <cell r="L42">
            <v>0</v>
          </cell>
          <cell r="M42">
            <v>0</v>
          </cell>
          <cell r="N42">
            <v>0</v>
          </cell>
          <cell r="O42">
            <v>0</v>
          </cell>
          <cell r="P42">
            <v>0</v>
          </cell>
        </row>
        <row r="43">
          <cell r="B43" t="str">
            <v>Single family detached</v>
          </cell>
          <cell r="C43" t="str">
            <v>Manitoba</v>
          </cell>
          <cell r="F43">
            <v>0</v>
          </cell>
          <cell r="G43">
            <v>0</v>
          </cell>
          <cell r="H43">
            <v>0</v>
          </cell>
          <cell r="I43">
            <v>0</v>
          </cell>
          <cell r="J43">
            <v>0</v>
          </cell>
          <cell r="K43">
            <v>0</v>
          </cell>
          <cell r="L43">
            <v>0</v>
          </cell>
          <cell r="M43">
            <v>0</v>
          </cell>
          <cell r="N43">
            <v>0</v>
          </cell>
          <cell r="O43">
            <v>0</v>
          </cell>
          <cell r="P43">
            <v>0</v>
          </cell>
        </row>
        <row r="44">
          <cell r="B44" t="str">
            <v>Single family detached</v>
          </cell>
          <cell r="C44" t="str">
            <v>Saskatchewan</v>
          </cell>
          <cell r="F44">
            <v>0</v>
          </cell>
          <cell r="G44">
            <v>0</v>
          </cell>
          <cell r="H44">
            <v>0</v>
          </cell>
          <cell r="I44">
            <v>0</v>
          </cell>
          <cell r="J44">
            <v>0</v>
          </cell>
          <cell r="K44">
            <v>0</v>
          </cell>
          <cell r="L44">
            <v>0</v>
          </cell>
          <cell r="M44">
            <v>0</v>
          </cell>
          <cell r="N44">
            <v>0</v>
          </cell>
          <cell r="O44">
            <v>0</v>
          </cell>
          <cell r="P44">
            <v>0</v>
          </cell>
        </row>
        <row r="45">
          <cell r="B45" t="str">
            <v>Single family detached</v>
          </cell>
          <cell r="C45" t="str">
            <v>Alberta</v>
          </cell>
          <cell r="F45">
            <v>736.77800000000002</v>
          </cell>
          <cell r="G45">
            <v>835.74400000000003</v>
          </cell>
          <cell r="H45">
            <v>933.23800000000006</v>
          </cell>
          <cell r="I45">
            <v>1005.0069999999999</v>
          </cell>
          <cell r="J45">
            <v>1014.869</v>
          </cell>
          <cell r="K45">
            <v>1014.869</v>
          </cell>
          <cell r="L45">
            <v>1014.869</v>
          </cell>
          <cell r="M45">
            <v>1014.869</v>
          </cell>
          <cell r="N45">
            <v>1014.869</v>
          </cell>
          <cell r="O45">
            <v>1014.869</v>
          </cell>
          <cell r="P45">
            <v>1014.869</v>
          </cell>
        </row>
        <row r="46">
          <cell r="B46" t="str">
            <v>Single family detached</v>
          </cell>
          <cell r="C46" t="str">
            <v>British Columbia</v>
          </cell>
          <cell r="F46">
            <v>0</v>
          </cell>
          <cell r="G46">
            <v>0</v>
          </cell>
          <cell r="H46">
            <v>0</v>
          </cell>
          <cell r="I46">
            <v>0</v>
          </cell>
          <cell r="J46">
            <v>0</v>
          </cell>
          <cell r="K46">
            <v>0</v>
          </cell>
          <cell r="L46">
            <v>0</v>
          </cell>
          <cell r="M46">
            <v>0</v>
          </cell>
          <cell r="N46">
            <v>0</v>
          </cell>
          <cell r="O46">
            <v>0</v>
          </cell>
          <cell r="P46">
            <v>0</v>
          </cell>
        </row>
        <row r="47">
          <cell r="B47" t="str">
            <v>Single family detached</v>
          </cell>
          <cell r="C47" t="str">
            <v>Yukon</v>
          </cell>
          <cell r="F47">
            <v>0</v>
          </cell>
          <cell r="G47">
            <v>0</v>
          </cell>
          <cell r="H47">
            <v>0</v>
          </cell>
          <cell r="I47">
            <v>0</v>
          </cell>
          <cell r="J47">
            <v>0</v>
          </cell>
          <cell r="K47">
            <v>0</v>
          </cell>
          <cell r="L47">
            <v>0</v>
          </cell>
          <cell r="M47">
            <v>0</v>
          </cell>
          <cell r="N47">
            <v>0</v>
          </cell>
          <cell r="O47">
            <v>0</v>
          </cell>
          <cell r="P47">
            <v>0</v>
          </cell>
        </row>
        <row r="48">
          <cell r="B48" t="str">
            <v>Single family detached</v>
          </cell>
          <cell r="C48" t="str">
            <v>Northwest Territories</v>
          </cell>
          <cell r="F48">
            <v>0</v>
          </cell>
          <cell r="G48">
            <v>0</v>
          </cell>
          <cell r="H48">
            <v>0</v>
          </cell>
          <cell r="I48">
            <v>0</v>
          </cell>
          <cell r="J48">
            <v>0</v>
          </cell>
          <cell r="K48">
            <v>0</v>
          </cell>
          <cell r="L48">
            <v>0</v>
          </cell>
          <cell r="M48">
            <v>0</v>
          </cell>
          <cell r="N48">
            <v>0</v>
          </cell>
          <cell r="O48">
            <v>0</v>
          </cell>
          <cell r="P48">
            <v>0</v>
          </cell>
        </row>
        <row r="49">
          <cell r="B49" t="str">
            <v>Single family detached</v>
          </cell>
          <cell r="C49" t="str">
            <v>Nunavut</v>
          </cell>
          <cell r="F49">
            <v>0</v>
          </cell>
          <cell r="G49">
            <v>0</v>
          </cell>
          <cell r="H49">
            <v>0</v>
          </cell>
          <cell r="I49">
            <v>0</v>
          </cell>
          <cell r="J49">
            <v>0</v>
          </cell>
          <cell r="K49">
            <v>0</v>
          </cell>
          <cell r="L49">
            <v>0</v>
          </cell>
          <cell r="M49">
            <v>0</v>
          </cell>
          <cell r="N49">
            <v>0</v>
          </cell>
          <cell r="O49">
            <v>0</v>
          </cell>
          <cell r="P49">
            <v>0</v>
          </cell>
        </row>
        <row r="50">
          <cell r="B50" t="str">
            <v>Single family attached</v>
          </cell>
          <cell r="C50" t="str">
            <v>Canada</v>
          </cell>
          <cell r="F50">
            <v>0</v>
          </cell>
          <cell r="G50">
            <v>0</v>
          </cell>
          <cell r="H50">
            <v>0</v>
          </cell>
          <cell r="I50">
            <v>0</v>
          </cell>
          <cell r="J50">
            <v>0</v>
          </cell>
          <cell r="K50">
            <v>0</v>
          </cell>
          <cell r="L50">
            <v>0</v>
          </cell>
          <cell r="M50">
            <v>0</v>
          </cell>
          <cell r="N50">
            <v>0</v>
          </cell>
          <cell r="O50">
            <v>0</v>
          </cell>
          <cell r="P50">
            <v>0</v>
          </cell>
        </row>
        <row r="51">
          <cell r="B51" t="str">
            <v>Single family attached</v>
          </cell>
          <cell r="C51" t="str">
            <v>Newfoundland and Labrador</v>
          </cell>
          <cell r="F51">
            <v>0</v>
          </cell>
          <cell r="G51">
            <v>0</v>
          </cell>
          <cell r="H51">
            <v>0</v>
          </cell>
          <cell r="I51">
            <v>0</v>
          </cell>
          <cell r="J51">
            <v>0</v>
          </cell>
          <cell r="K51">
            <v>0</v>
          </cell>
          <cell r="L51">
            <v>0</v>
          </cell>
          <cell r="M51">
            <v>0</v>
          </cell>
          <cell r="N51">
            <v>0</v>
          </cell>
          <cell r="O51">
            <v>0</v>
          </cell>
          <cell r="P51">
            <v>0</v>
          </cell>
        </row>
        <row r="52">
          <cell r="B52" t="str">
            <v>Single family attached</v>
          </cell>
          <cell r="C52" t="str">
            <v>Prince Edward Island</v>
          </cell>
          <cell r="F52">
            <v>0</v>
          </cell>
          <cell r="G52">
            <v>0</v>
          </cell>
          <cell r="H52">
            <v>0</v>
          </cell>
          <cell r="I52">
            <v>0</v>
          </cell>
          <cell r="J52">
            <v>0</v>
          </cell>
          <cell r="K52">
            <v>0</v>
          </cell>
          <cell r="L52">
            <v>0</v>
          </cell>
          <cell r="M52">
            <v>0</v>
          </cell>
          <cell r="N52">
            <v>0</v>
          </cell>
          <cell r="O52">
            <v>0</v>
          </cell>
          <cell r="P52">
            <v>0</v>
          </cell>
        </row>
        <row r="53">
          <cell r="B53" t="str">
            <v>Single family attached</v>
          </cell>
          <cell r="C53" t="str">
            <v>Nova Scotia</v>
          </cell>
          <cell r="F53">
            <v>0</v>
          </cell>
          <cell r="G53">
            <v>0</v>
          </cell>
          <cell r="H53">
            <v>0</v>
          </cell>
          <cell r="I53">
            <v>0</v>
          </cell>
          <cell r="J53">
            <v>0</v>
          </cell>
          <cell r="K53">
            <v>0</v>
          </cell>
          <cell r="L53">
            <v>0</v>
          </cell>
          <cell r="M53">
            <v>0</v>
          </cell>
          <cell r="N53">
            <v>0</v>
          </cell>
          <cell r="O53">
            <v>0</v>
          </cell>
          <cell r="P53">
            <v>0</v>
          </cell>
        </row>
        <row r="54">
          <cell r="B54" t="str">
            <v>Single family attached</v>
          </cell>
          <cell r="C54" t="str">
            <v>New Brunswick</v>
          </cell>
          <cell r="F54">
            <v>0</v>
          </cell>
          <cell r="G54">
            <v>0</v>
          </cell>
          <cell r="H54">
            <v>0</v>
          </cell>
          <cell r="I54">
            <v>0</v>
          </cell>
          <cell r="J54">
            <v>0</v>
          </cell>
          <cell r="K54">
            <v>0</v>
          </cell>
          <cell r="L54">
            <v>0</v>
          </cell>
          <cell r="M54">
            <v>0</v>
          </cell>
          <cell r="N54">
            <v>0</v>
          </cell>
          <cell r="O54">
            <v>0</v>
          </cell>
          <cell r="P54">
            <v>0</v>
          </cell>
        </row>
        <row r="55">
          <cell r="B55" t="str">
            <v>Single family attached</v>
          </cell>
          <cell r="C55" t="str">
            <v>Quebec</v>
          </cell>
          <cell r="F55">
            <v>0</v>
          </cell>
          <cell r="G55">
            <v>0</v>
          </cell>
          <cell r="H55">
            <v>0</v>
          </cell>
          <cell r="I55">
            <v>0</v>
          </cell>
          <cell r="J55">
            <v>0</v>
          </cell>
          <cell r="K55">
            <v>0</v>
          </cell>
          <cell r="L55">
            <v>0</v>
          </cell>
          <cell r="M55">
            <v>0</v>
          </cell>
          <cell r="N55">
            <v>0</v>
          </cell>
          <cell r="O55">
            <v>0</v>
          </cell>
          <cell r="P55">
            <v>0</v>
          </cell>
        </row>
        <row r="56">
          <cell r="B56" t="str">
            <v>Single family attached</v>
          </cell>
          <cell r="C56" t="str">
            <v>Ontario</v>
          </cell>
          <cell r="F56">
            <v>0</v>
          </cell>
          <cell r="G56">
            <v>0</v>
          </cell>
          <cell r="H56">
            <v>0</v>
          </cell>
          <cell r="I56">
            <v>0</v>
          </cell>
          <cell r="J56">
            <v>0</v>
          </cell>
          <cell r="K56">
            <v>0</v>
          </cell>
          <cell r="L56">
            <v>0</v>
          </cell>
          <cell r="M56">
            <v>0</v>
          </cell>
          <cell r="N56">
            <v>0</v>
          </cell>
          <cell r="O56">
            <v>0</v>
          </cell>
          <cell r="P56">
            <v>0</v>
          </cell>
        </row>
        <row r="57">
          <cell r="B57" t="str">
            <v>Single family attached</v>
          </cell>
          <cell r="C57" t="str">
            <v>Manitoba</v>
          </cell>
          <cell r="F57">
            <v>0</v>
          </cell>
          <cell r="G57">
            <v>0</v>
          </cell>
          <cell r="H57">
            <v>0</v>
          </cell>
          <cell r="I57">
            <v>0</v>
          </cell>
          <cell r="J57">
            <v>0</v>
          </cell>
          <cell r="K57">
            <v>0</v>
          </cell>
          <cell r="L57">
            <v>0</v>
          </cell>
          <cell r="M57">
            <v>0</v>
          </cell>
          <cell r="N57">
            <v>0</v>
          </cell>
          <cell r="O57">
            <v>0</v>
          </cell>
          <cell r="P57">
            <v>0</v>
          </cell>
        </row>
        <row r="58">
          <cell r="B58" t="str">
            <v>Single family attached</v>
          </cell>
          <cell r="C58" t="str">
            <v>Saskatchewan</v>
          </cell>
          <cell r="F58">
            <v>0</v>
          </cell>
          <cell r="G58">
            <v>0</v>
          </cell>
          <cell r="H58">
            <v>0</v>
          </cell>
          <cell r="I58">
            <v>0</v>
          </cell>
          <cell r="J58">
            <v>0</v>
          </cell>
          <cell r="K58">
            <v>0</v>
          </cell>
          <cell r="L58">
            <v>0</v>
          </cell>
          <cell r="M58">
            <v>0</v>
          </cell>
          <cell r="N58">
            <v>0</v>
          </cell>
          <cell r="O58">
            <v>0</v>
          </cell>
          <cell r="P58">
            <v>0</v>
          </cell>
        </row>
        <row r="59">
          <cell r="B59" t="str">
            <v>Single family attached</v>
          </cell>
          <cell r="C59" t="str">
            <v>Alberta</v>
          </cell>
          <cell r="F59">
            <v>131.429</v>
          </cell>
          <cell r="G59">
            <v>154.642</v>
          </cell>
          <cell r="H59">
            <v>182.791</v>
          </cell>
          <cell r="I59">
            <v>219.446</v>
          </cell>
          <cell r="J59">
            <v>225.62</v>
          </cell>
          <cell r="K59">
            <v>225.62</v>
          </cell>
          <cell r="L59">
            <v>225.62</v>
          </cell>
          <cell r="M59">
            <v>225.62</v>
          </cell>
          <cell r="N59">
            <v>225.62</v>
          </cell>
          <cell r="O59">
            <v>225.62</v>
          </cell>
          <cell r="P59">
            <v>225.62</v>
          </cell>
        </row>
        <row r="60">
          <cell r="B60" t="str">
            <v>Single family attached</v>
          </cell>
          <cell r="C60" t="str">
            <v>British Columbia</v>
          </cell>
          <cell r="F60">
            <v>0</v>
          </cell>
          <cell r="G60">
            <v>0</v>
          </cell>
          <cell r="H60">
            <v>0</v>
          </cell>
          <cell r="I60">
            <v>0</v>
          </cell>
          <cell r="J60">
            <v>0</v>
          </cell>
          <cell r="K60">
            <v>0</v>
          </cell>
          <cell r="L60">
            <v>0</v>
          </cell>
          <cell r="M60">
            <v>0</v>
          </cell>
          <cell r="N60">
            <v>0</v>
          </cell>
          <cell r="O60">
            <v>0</v>
          </cell>
          <cell r="P60">
            <v>0</v>
          </cell>
        </row>
        <row r="61">
          <cell r="B61" t="str">
            <v>Single family attached</v>
          </cell>
          <cell r="C61" t="str">
            <v>Yukon</v>
          </cell>
          <cell r="F61">
            <v>0</v>
          </cell>
          <cell r="G61">
            <v>0</v>
          </cell>
          <cell r="H61">
            <v>0</v>
          </cell>
          <cell r="I61">
            <v>0</v>
          </cell>
          <cell r="J61">
            <v>0</v>
          </cell>
          <cell r="K61">
            <v>0</v>
          </cell>
          <cell r="L61">
            <v>0</v>
          </cell>
          <cell r="M61">
            <v>0</v>
          </cell>
          <cell r="N61">
            <v>0</v>
          </cell>
          <cell r="O61">
            <v>0</v>
          </cell>
          <cell r="P61">
            <v>0</v>
          </cell>
        </row>
        <row r="62">
          <cell r="B62" t="str">
            <v>Single family attached</v>
          </cell>
          <cell r="C62" t="str">
            <v>Northwest Territories</v>
          </cell>
          <cell r="F62">
            <v>0</v>
          </cell>
          <cell r="G62">
            <v>0</v>
          </cell>
          <cell r="H62">
            <v>0</v>
          </cell>
          <cell r="I62">
            <v>0</v>
          </cell>
          <cell r="J62">
            <v>0</v>
          </cell>
          <cell r="K62">
            <v>0</v>
          </cell>
          <cell r="L62">
            <v>0</v>
          </cell>
          <cell r="M62">
            <v>0</v>
          </cell>
          <cell r="N62">
            <v>0</v>
          </cell>
          <cell r="O62">
            <v>0</v>
          </cell>
          <cell r="P62">
            <v>0</v>
          </cell>
        </row>
        <row r="63">
          <cell r="B63" t="str">
            <v>Single family attached</v>
          </cell>
          <cell r="C63" t="str">
            <v>Nunavut</v>
          </cell>
          <cell r="F63">
            <v>0</v>
          </cell>
          <cell r="G63">
            <v>0</v>
          </cell>
          <cell r="H63">
            <v>0</v>
          </cell>
          <cell r="I63">
            <v>0</v>
          </cell>
          <cell r="J63">
            <v>0</v>
          </cell>
          <cell r="K63">
            <v>0</v>
          </cell>
          <cell r="L63">
            <v>0</v>
          </cell>
          <cell r="M63">
            <v>0</v>
          </cell>
          <cell r="N63">
            <v>0</v>
          </cell>
          <cell r="O63">
            <v>0</v>
          </cell>
          <cell r="P63">
            <v>0</v>
          </cell>
        </row>
        <row r="64">
          <cell r="B64" t="str">
            <v>Apartment</v>
          </cell>
          <cell r="C64" t="str">
            <v>Canada</v>
          </cell>
          <cell r="F64">
            <v>0</v>
          </cell>
          <cell r="G64">
            <v>0</v>
          </cell>
          <cell r="H64">
            <v>0</v>
          </cell>
          <cell r="I64">
            <v>0</v>
          </cell>
          <cell r="J64">
            <v>0</v>
          </cell>
          <cell r="K64">
            <v>0</v>
          </cell>
          <cell r="L64">
            <v>0</v>
          </cell>
          <cell r="M64">
            <v>0</v>
          </cell>
          <cell r="N64">
            <v>0</v>
          </cell>
          <cell r="O64">
            <v>0</v>
          </cell>
          <cell r="P64">
            <v>0</v>
          </cell>
        </row>
        <row r="65">
          <cell r="B65" t="str">
            <v>Apartment</v>
          </cell>
          <cell r="C65" t="str">
            <v>Newfoundland and Labrador</v>
          </cell>
          <cell r="F65">
            <v>0</v>
          </cell>
          <cell r="G65">
            <v>0</v>
          </cell>
          <cell r="H65">
            <v>0</v>
          </cell>
          <cell r="I65">
            <v>0</v>
          </cell>
          <cell r="J65">
            <v>0</v>
          </cell>
          <cell r="K65">
            <v>0</v>
          </cell>
          <cell r="L65">
            <v>0</v>
          </cell>
          <cell r="M65">
            <v>0</v>
          </cell>
          <cell r="N65">
            <v>0</v>
          </cell>
          <cell r="O65">
            <v>0</v>
          </cell>
          <cell r="P65">
            <v>0</v>
          </cell>
        </row>
        <row r="66">
          <cell r="B66" t="str">
            <v>Apartment</v>
          </cell>
          <cell r="C66" t="str">
            <v>Prince Edward Island</v>
          </cell>
          <cell r="F66">
            <v>0</v>
          </cell>
          <cell r="G66">
            <v>0</v>
          </cell>
          <cell r="H66">
            <v>0</v>
          </cell>
          <cell r="I66">
            <v>0</v>
          </cell>
          <cell r="J66">
            <v>0</v>
          </cell>
          <cell r="K66">
            <v>0</v>
          </cell>
          <cell r="L66">
            <v>0</v>
          </cell>
          <cell r="M66">
            <v>0</v>
          </cell>
          <cell r="N66">
            <v>0</v>
          </cell>
          <cell r="O66">
            <v>0</v>
          </cell>
          <cell r="P66">
            <v>0</v>
          </cell>
        </row>
        <row r="67">
          <cell r="B67" t="str">
            <v>Apartment</v>
          </cell>
          <cell r="C67" t="str">
            <v>Nova Scotia</v>
          </cell>
          <cell r="F67">
            <v>0</v>
          </cell>
          <cell r="G67">
            <v>0</v>
          </cell>
          <cell r="H67">
            <v>0</v>
          </cell>
          <cell r="I67">
            <v>0</v>
          </cell>
          <cell r="J67">
            <v>0</v>
          </cell>
          <cell r="K67">
            <v>0</v>
          </cell>
          <cell r="L67">
            <v>0</v>
          </cell>
          <cell r="M67">
            <v>0</v>
          </cell>
          <cell r="N67">
            <v>0</v>
          </cell>
          <cell r="O67">
            <v>0</v>
          </cell>
          <cell r="P67">
            <v>0</v>
          </cell>
        </row>
        <row r="68">
          <cell r="B68" t="str">
            <v>Apartment</v>
          </cell>
          <cell r="C68" t="str">
            <v>New Brunswick</v>
          </cell>
          <cell r="F68">
            <v>0</v>
          </cell>
          <cell r="G68">
            <v>0</v>
          </cell>
          <cell r="H68">
            <v>0</v>
          </cell>
          <cell r="I68">
            <v>0</v>
          </cell>
          <cell r="J68">
            <v>0</v>
          </cell>
          <cell r="K68">
            <v>0</v>
          </cell>
          <cell r="L68">
            <v>0</v>
          </cell>
          <cell r="M68">
            <v>0</v>
          </cell>
          <cell r="N68">
            <v>0</v>
          </cell>
          <cell r="O68">
            <v>0</v>
          </cell>
          <cell r="P68">
            <v>0</v>
          </cell>
        </row>
        <row r="69">
          <cell r="B69" t="str">
            <v>Apartment</v>
          </cell>
          <cell r="C69" t="str">
            <v>Quebec</v>
          </cell>
          <cell r="F69">
            <v>0</v>
          </cell>
          <cell r="G69">
            <v>0</v>
          </cell>
          <cell r="H69">
            <v>0</v>
          </cell>
          <cell r="I69">
            <v>0</v>
          </cell>
          <cell r="J69">
            <v>0</v>
          </cell>
          <cell r="K69">
            <v>0</v>
          </cell>
          <cell r="L69">
            <v>0</v>
          </cell>
          <cell r="M69">
            <v>0</v>
          </cell>
          <cell r="N69">
            <v>0</v>
          </cell>
          <cell r="O69">
            <v>0</v>
          </cell>
          <cell r="P69">
            <v>0</v>
          </cell>
        </row>
        <row r="70">
          <cell r="B70" t="str">
            <v>Apartment</v>
          </cell>
          <cell r="C70" t="str">
            <v>Ontario</v>
          </cell>
          <cell r="F70">
            <v>0</v>
          </cell>
          <cell r="G70">
            <v>0</v>
          </cell>
          <cell r="H70">
            <v>0</v>
          </cell>
          <cell r="I70">
            <v>0</v>
          </cell>
          <cell r="J70">
            <v>0</v>
          </cell>
          <cell r="K70">
            <v>0</v>
          </cell>
          <cell r="L70">
            <v>0</v>
          </cell>
          <cell r="M70">
            <v>0</v>
          </cell>
          <cell r="N70">
            <v>0</v>
          </cell>
          <cell r="O70">
            <v>0</v>
          </cell>
          <cell r="P70">
            <v>0</v>
          </cell>
        </row>
        <row r="71">
          <cell r="B71" t="str">
            <v>Apartment</v>
          </cell>
          <cell r="C71" t="str">
            <v>Manitoba</v>
          </cell>
          <cell r="F71">
            <v>0</v>
          </cell>
          <cell r="G71">
            <v>0</v>
          </cell>
          <cell r="H71">
            <v>0</v>
          </cell>
          <cell r="I71">
            <v>0</v>
          </cell>
          <cell r="J71">
            <v>0</v>
          </cell>
          <cell r="K71">
            <v>0</v>
          </cell>
          <cell r="L71">
            <v>0</v>
          </cell>
          <cell r="M71">
            <v>0</v>
          </cell>
          <cell r="N71">
            <v>0</v>
          </cell>
          <cell r="O71">
            <v>0</v>
          </cell>
          <cell r="P71">
            <v>0</v>
          </cell>
        </row>
        <row r="72">
          <cell r="B72" t="str">
            <v>Apartment</v>
          </cell>
          <cell r="C72" t="str">
            <v>Saskatchewan</v>
          </cell>
          <cell r="F72">
            <v>0</v>
          </cell>
          <cell r="G72">
            <v>0</v>
          </cell>
          <cell r="H72">
            <v>0</v>
          </cell>
          <cell r="I72">
            <v>0</v>
          </cell>
          <cell r="J72">
            <v>0</v>
          </cell>
          <cell r="K72">
            <v>0</v>
          </cell>
          <cell r="L72">
            <v>0</v>
          </cell>
          <cell r="M72">
            <v>0</v>
          </cell>
          <cell r="N72">
            <v>0</v>
          </cell>
          <cell r="O72">
            <v>0</v>
          </cell>
          <cell r="P72">
            <v>0</v>
          </cell>
        </row>
        <row r="73">
          <cell r="B73" t="str">
            <v>Apartment</v>
          </cell>
          <cell r="C73" t="str">
            <v>Alberta</v>
          </cell>
          <cell r="F73">
            <v>240.845</v>
          </cell>
          <cell r="G73">
            <v>274.08699999999999</v>
          </cell>
          <cell r="H73">
            <v>312.69900000000001</v>
          </cell>
          <cell r="I73">
            <v>356.34800000000001</v>
          </cell>
          <cell r="J73">
            <v>363.14299999999997</v>
          </cell>
          <cell r="K73">
            <v>363.14299999999997</v>
          </cell>
          <cell r="L73">
            <v>363.14299999999997</v>
          </cell>
          <cell r="M73">
            <v>363.14299999999997</v>
          </cell>
          <cell r="N73">
            <v>363.14299999999997</v>
          </cell>
          <cell r="O73">
            <v>363.14299999999997</v>
          </cell>
          <cell r="P73">
            <v>363.14299999999997</v>
          </cell>
        </row>
        <row r="74">
          <cell r="B74" t="str">
            <v>Apartment</v>
          </cell>
          <cell r="C74" t="str">
            <v>British Columbia</v>
          </cell>
          <cell r="F74">
            <v>0</v>
          </cell>
          <cell r="G74">
            <v>0</v>
          </cell>
          <cell r="H74">
            <v>0</v>
          </cell>
          <cell r="I74">
            <v>0</v>
          </cell>
          <cell r="J74">
            <v>0</v>
          </cell>
          <cell r="K74">
            <v>0</v>
          </cell>
          <cell r="L74">
            <v>0</v>
          </cell>
          <cell r="M74">
            <v>0</v>
          </cell>
          <cell r="N74">
            <v>0</v>
          </cell>
          <cell r="O74">
            <v>0</v>
          </cell>
          <cell r="P74">
            <v>0</v>
          </cell>
        </row>
        <row r="75">
          <cell r="B75" t="str">
            <v>Apartment</v>
          </cell>
          <cell r="C75" t="str">
            <v>Yukon</v>
          </cell>
          <cell r="F75">
            <v>0</v>
          </cell>
          <cell r="G75">
            <v>0</v>
          </cell>
          <cell r="H75">
            <v>0</v>
          </cell>
          <cell r="I75">
            <v>0</v>
          </cell>
          <cell r="J75">
            <v>0</v>
          </cell>
          <cell r="K75">
            <v>0</v>
          </cell>
          <cell r="L75">
            <v>0</v>
          </cell>
          <cell r="M75">
            <v>0</v>
          </cell>
          <cell r="N75">
            <v>0</v>
          </cell>
          <cell r="O75">
            <v>0</v>
          </cell>
          <cell r="P75">
            <v>0</v>
          </cell>
        </row>
        <row r="76">
          <cell r="B76" t="str">
            <v>Apartment</v>
          </cell>
          <cell r="C76" t="str">
            <v>Northwest Territories</v>
          </cell>
          <cell r="F76">
            <v>0</v>
          </cell>
          <cell r="G76">
            <v>0</v>
          </cell>
          <cell r="H76">
            <v>0</v>
          </cell>
          <cell r="I76">
            <v>0</v>
          </cell>
          <cell r="J76">
            <v>0</v>
          </cell>
          <cell r="K76">
            <v>0</v>
          </cell>
          <cell r="L76">
            <v>0</v>
          </cell>
          <cell r="M76">
            <v>0</v>
          </cell>
          <cell r="N76">
            <v>0</v>
          </cell>
          <cell r="O76">
            <v>0</v>
          </cell>
          <cell r="P76">
            <v>0</v>
          </cell>
        </row>
        <row r="77">
          <cell r="B77" t="str">
            <v>Apartment</v>
          </cell>
          <cell r="C77" t="str">
            <v>Nunavut</v>
          </cell>
          <cell r="F77">
            <v>0</v>
          </cell>
          <cell r="G77">
            <v>0</v>
          </cell>
          <cell r="H77">
            <v>0</v>
          </cell>
          <cell r="I77">
            <v>0</v>
          </cell>
          <cell r="J77">
            <v>0</v>
          </cell>
          <cell r="K77">
            <v>0</v>
          </cell>
          <cell r="L77">
            <v>0</v>
          </cell>
          <cell r="M77">
            <v>0</v>
          </cell>
          <cell r="N77">
            <v>0</v>
          </cell>
          <cell r="O77">
            <v>0</v>
          </cell>
          <cell r="P77">
            <v>0</v>
          </cell>
        </row>
        <row r="78">
          <cell r="B78" t="str">
            <v>Mobile</v>
          </cell>
          <cell r="C78" t="str">
            <v>Canada</v>
          </cell>
          <cell r="F78">
            <v>0</v>
          </cell>
          <cell r="G78">
            <v>0</v>
          </cell>
          <cell r="H78">
            <v>0</v>
          </cell>
          <cell r="I78">
            <v>0</v>
          </cell>
          <cell r="J78">
            <v>0</v>
          </cell>
          <cell r="K78">
            <v>0</v>
          </cell>
          <cell r="L78">
            <v>0</v>
          </cell>
          <cell r="M78">
            <v>0</v>
          </cell>
          <cell r="N78">
            <v>0</v>
          </cell>
          <cell r="O78">
            <v>0</v>
          </cell>
          <cell r="P78">
            <v>0</v>
          </cell>
        </row>
        <row r="79">
          <cell r="B79" t="str">
            <v>Mobile</v>
          </cell>
          <cell r="C79" t="str">
            <v>Newfoundland and Labrador</v>
          </cell>
          <cell r="F79">
            <v>0</v>
          </cell>
          <cell r="G79">
            <v>0</v>
          </cell>
          <cell r="H79">
            <v>0</v>
          </cell>
          <cell r="I79">
            <v>0</v>
          </cell>
          <cell r="J79">
            <v>0</v>
          </cell>
          <cell r="K79">
            <v>0</v>
          </cell>
          <cell r="L79">
            <v>0</v>
          </cell>
          <cell r="M79">
            <v>0</v>
          </cell>
          <cell r="N79">
            <v>0</v>
          </cell>
          <cell r="O79">
            <v>0</v>
          </cell>
          <cell r="P79">
            <v>0</v>
          </cell>
        </row>
        <row r="80">
          <cell r="B80" t="str">
            <v>Mobile</v>
          </cell>
          <cell r="C80" t="str">
            <v>Prince Edward Island</v>
          </cell>
          <cell r="F80">
            <v>0</v>
          </cell>
          <cell r="G80">
            <v>0</v>
          </cell>
          <cell r="H80">
            <v>0</v>
          </cell>
          <cell r="I80">
            <v>0</v>
          </cell>
          <cell r="J80">
            <v>0</v>
          </cell>
          <cell r="K80">
            <v>0</v>
          </cell>
          <cell r="L80">
            <v>0</v>
          </cell>
          <cell r="M80">
            <v>0</v>
          </cell>
          <cell r="N80">
            <v>0</v>
          </cell>
          <cell r="O80">
            <v>0</v>
          </cell>
          <cell r="P80">
            <v>0</v>
          </cell>
        </row>
        <row r="81">
          <cell r="B81" t="str">
            <v>Mobile</v>
          </cell>
          <cell r="C81" t="str">
            <v>Nova Scotia</v>
          </cell>
          <cell r="F81">
            <v>0</v>
          </cell>
          <cell r="G81">
            <v>0</v>
          </cell>
          <cell r="H81">
            <v>0</v>
          </cell>
          <cell r="I81">
            <v>0</v>
          </cell>
          <cell r="J81">
            <v>0</v>
          </cell>
          <cell r="K81">
            <v>0</v>
          </cell>
          <cell r="L81">
            <v>0</v>
          </cell>
          <cell r="M81">
            <v>0</v>
          </cell>
          <cell r="N81">
            <v>0</v>
          </cell>
          <cell r="O81">
            <v>0</v>
          </cell>
          <cell r="P81">
            <v>0</v>
          </cell>
        </row>
        <row r="82">
          <cell r="B82" t="str">
            <v>Mobile</v>
          </cell>
          <cell r="C82" t="str">
            <v>New Brunswick</v>
          </cell>
          <cell r="F82">
            <v>0</v>
          </cell>
          <cell r="G82">
            <v>0</v>
          </cell>
          <cell r="H82">
            <v>0</v>
          </cell>
          <cell r="I82">
            <v>0</v>
          </cell>
          <cell r="J82">
            <v>0</v>
          </cell>
          <cell r="K82">
            <v>0</v>
          </cell>
          <cell r="L82">
            <v>0</v>
          </cell>
          <cell r="M82">
            <v>0</v>
          </cell>
          <cell r="N82">
            <v>0</v>
          </cell>
          <cell r="O82">
            <v>0</v>
          </cell>
          <cell r="P82">
            <v>0</v>
          </cell>
        </row>
        <row r="83">
          <cell r="B83" t="str">
            <v>Mobile</v>
          </cell>
          <cell r="C83" t="str">
            <v>Quebec</v>
          </cell>
          <cell r="F83">
            <v>0</v>
          </cell>
          <cell r="G83">
            <v>0</v>
          </cell>
          <cell r="H83">
            <v>0</v>
          </cell>
          <cell r="I83">
            <v>0</v>
          </cell>
          <cell r="J83">
            <v>0</v>
          </cell>
          <cell r="K83">
            <v>0</v>
          </cell>
          <cell r="L83">
            <v>0</v>
          </cell>
          <cell r="M83">
            <v>0</v>
          </cell>
          <cell r="N83">
            <v>0</v>
          </cell>
          <cell r="O83">
            <v>0</v>
          </cell>
          <cell r="P83">
            <v>0</v>
          </cell>
        </row>
        <row r="84">
          <cell r="B84" t="str">
            <v>Mobile</v>
          </cell>
          <cell r="C84" t="str">
            <v>Ontario</v>
          </cell>
          <cell r="F84">
            <v>0</v>
          </cell>
          <cell r="G84">
            <v>0</v>
          </cell>
          <cell r="H84">
            <v>0</v>
          </cell>
          <cell r="I84">
            <v>0</v>
          </cell>
          <cell r="J84">
            <v>0</v>
          </cell>
          <cell r="K84">
            <v>0</v>
          </cell>
          <cell r="L84">
            <v>0</v>
          </cell>
          <cell r="M84">
            <v>0</v>
          </cell>
          <cell r="N84">
            <v>0</v>
          </cell>
          <cell r="O84">
            <v>0</v>
          </cell>
          <cell r="P84">
            <v>0</v>
          </cell>
        </row>
        <row r="85">
          <cell r="B85" t="str">
            <v>Mobile</v>
          </cell>
          <cell r="C85" t="str">
            <v>Manitoba</v>
          </cell>
          <cell r="F85">
            <v>0</v>
          </cell>
          <cell r="G85">
            <v>0</v>
          </cell>
          <cell r="H85">
            <v>0</v>
          </cell>
          <cell r="I85">
            <v>0</v>
          </cell>
          <cell r="J85">
            <v>0</v>
          </cell>
          <cell r="K85">
            <v>0</v>
          </cell>
          <cell r="L85">
            <v>0</v>
          </cell>
          <cell r="M85">
            <v>0</v>
          </cell>
          <cell r="N85">
            <v>0</v>
          </cell>
          <cell r="O85">
            <v>0</v>
          </cell>
          <cell r="P85">
            <v>0</v>
          </cell>
        </row>
        <row r="86">
          <cell r="B86" t="str">
            <v>Mobile</v>
          </cell>
          <cell r="C86" t="str">
            <v>Saskatchewan</v>
          </cell>
          <cell r="F86">
            <v>0</v>
          </cell>
          <cell r="G86">
            <v>0</v>
          </cell>
          <cell r="H86">
            <v>0</v>
          </cell>
          <cell r="I86">
            <v>0</v>
          </cell>
          <cell r="J86">
            <v>0</v>
          </cell>
          <cell r="K86">
            <v>0</v>
          </cell>
          <cell r="L86">
            <v>0</v>
          </cell>
          <cell r="M86">
            <v>0</v>
          </cell>
          <cell r="N86">
            <v>0</v>
          </cell>
          <cell r="O86">
            <v>0</v>
          </cell>
          <cell r="P86">
            <v>0</v>
          </cell>
        </row>
        <row r="87">
          <cell r="B87" t="str">
            <v>Mobile</v>
          </cell>
          <cell r="C87" t="str">
            <v>Alberta</v>
          </cell>
          <cell r="F87">
            <v>51.143999999999998</v>
          </cell>
          <cell r="G87">
            <v>58.040999999999997</v>
          </cell>
          <cell r="H87">
            <v>64.87</v>
          </cell>
          <cell r="I87">
            <v>70.494</v>
          </cell>
          <cell r="J87">
            <v>71.623999999999995</v>
          </cell>
          <cell r="K87">
            <v>71.623999999999995</v>
          </cell>
          <cell r="L87">
            <v>71.623999999999995</v>
          </cell>
          <cell r="M87">
            <v>71.623999999999995</v>
          </cell>
          <cell r="N87">
            <v>71.623999999999995</v>
          </cell>
          <cell r="O87">
            <v>71.623999999999995</v>
          </cell>
          <cell r="P87">
            <v>71.623999999999995</v>
          </cell>
        </row>
        <row r="88">
          <cell r="B88" t="str">
            <v>Mobile</v>
          </cell>
          <cell r="C88" t="str">
            <v>British Columbia</v>
          </cell>
          <cell r="F88">
            <v>0</v>
          </cell>
          <cell r="G88">
            <v>0</v>
          </cell>
          <cell r="H88">
            <v>0</v>
          </cell>
          <cell r="I88">
            <v>0</v>
          </cell>
          <cell r="J88">
            <v>0</v>
          </cell>
          <cell r="K88">
            <v>0</v>
          </cell>
          <cell r="L88">
            <v>0</v>
          </cell>
          <cell r="M88">
            <v>0</v>
          </cell>
          <cell r="N88">
            <v>0</v>
          </cell>
          <cell r="O88">
            <v>0</v>
          </cell>
          <cell r="P88">
            <v>0</v>
          </cell>
        </row>
        <row r="89">
          <cell r="B89" t="str">
            <v>Mobile</v>
          </cell>
          <cell r="C89" t="str">
            <v>Yukon</v>
          </cell>
          <cell r="F89">
            <v>0</v>
          </cell>
          <cell r="G89">
            <v>0</v>
          </cell>
          <cell r="H89">
            <v>0</v>
          </cell>
          <cell r="I89">
            <v>0</v>
          </cell>
          <cell r="J89">
            <v>0</v>
          </cell>
          <cell r="K89">
            <v>0</v>
          </cell>
          <cell r="L89">
            <v>0</v>
          </cell>
          <cell r="M89">
            <v>0</v>
          </cell>
          <cell r="N89">
            <v>0</v>
          </cell>
          <cell r="O89">
            <v>0</v>
          </cell>
          <cell r="P89">
            <v>0</v>
          </cell>
        </row>
        <row r="90">
          <cell r="B90" t="str">
            <v>Mobile</v>
          </cell>
          <cell r="C90" t="str">
            <v>Northwest Territories</v>
          </cell>
          <cell r="F90">
            <v>0</v>
          </cell>
          <cell r="G90">
            <v>0</v>
          </cell>
          <cell r="H90">
            <v>0</v>
          </cell>
          <cell r="I90">
            <v>0</v>
          </cell>
          <cell r="J90">
            <v>0</v>
          </cell>
          <cell r="K90">
            <v>0</v>
          </cell>
          <cell r="L90">
            <v>0</v>
          </cell>
          <cell r="M90">
            <v>0</v>
          </cell>
          <cell r="N90">
            <v>0</v>
          </cell>
          <cell r="O90">
            <v>0</v>
          </cell>
          <cell r="P90">
            <v>0</v>
          </cell>
        </row>
        <row r="91">
          <cell r="B91" t="str">
            <v>Mobile</v>
          </cell>
          <cell r="C91" t="str">
            <v>Nunavut</v>
          </cell>
          <cell r="F91">
            <v>0</v>
          </cell>
          <cell r="G91">
            <v>0</v>
          </cell>
          <cell r="H91">
            <v>0</v>
          </cell>
          <cell r="I91">
            <v>0</v>
          </cell>
          <cell r="J91">
            <v>0</v>
          </cell>
          <cell r="K91">
            <v>0</v>
          </cell>
          <cell r="L91">
            <v>0</v>
          </cell>
          <cell r="M91">
            <v>0</v>
          </cell>
          <cell r="N91">
            <v>0</v>
          </cell>
          <cell r="O91">
            <v>0</v>
          </cell>
          <cell r="P91">
            <v>0</v>
          </cell>
        </row>
        <row r="95">
          <cell r="B95" t="str">
            <v>Single family detached</v>
          </cell>
          <cell r="C95" t="str">
            <v>Canada</v>
          </cell>
          <cell r="F95">
            <v>0</v>
          </cell>
          <cell r="G95">
            <v>0</v>
          </cell>
          <cell r="H95">
            <v>0</v>
          </cell>
          <cell r="I95">
            <v>0</v>
          </cell>
          <cell r="J95">
            <v>0</v>
          </cell>
          <cell r="K95">
            <v>0</v>
          </cell>
          <cell r="L95">
            <v>0</v>
          </cell>
          <cell r="M95">
            <v>0</v>
          </cell>
          <cell r="N95">
            <v>0</v>
          </cell>
          <cell r="O95">
            <v>0</v>
          </cell>
          <cell r="P95">
            <v>0</v>
          </cell>
        </row>
        <row r="96">
          <cell r="B96" t="str">
            <v>Single family detached</v>
          </cell>
          <cell r="C96" t="str">
            <v>Newfoundland and Labrador</v>
          </cell>
          <cell r="F96">
            <v>0</v>
          </cell>
          <cell r="G96">
            <v>0</v>
          </cell>
          <cell r="H96">
            <v>0</v>
          </cell>
          <cell r="I96">
            <v>0</v>
          </cell>
          <cell r="J96">
            <v>0</v>
          </cell>
          <cell r="K96">
            <v>0</v>
          </cell>
          <cell r="L96">
            <v>0</v>
          </cell>
          <cell r="M96">
            <v>0</v>
          </cell>
          <cell r="N96">
            <v>0</v>
          </cell>
          <cell r="O96">
            <v>0</v>
          </cell>
          <cell r="P96">
            <v>0</v>
          </cell>
        </row>
        <row r="97">
          <cell r="B97" t="str">
            <v>Single family detached</v>
          </cell>
          <cell r="C97" t="str">
            <v>Prince Edward Island</v>
          </cell>
          <cell r="F97">
            <v>0</v>
          </cell>
          <cell r="G97">
            <v>0</v>
          </cell>
          <cell r="H97">
            <v>0</v>
          </cell>
          <cell r="I97">
            <v>0</v>
          </cell>
          <cell r="J97">
            <v>0</v>
          </cell>
          <cell r="K97">
            <v>0</v>
          </cell>
          <cell r="L97">
            <v>0</v>
          </cell>
          <cell r="M97">
            <v>0</v>
          </cell>
          <cell r="N97">
            <v>0</v>
          </cell>
          <cell r="O97">
            <v>0</v>
          </cell>
          <cell r="P97">
            <v>0</v>
          </cell>
        </row>
        <row r="98">
          <cell r="B98" t="str">
            <v>Single family detached</v>
          </cell>
          <cell r="C98" t="str">
            <v>Nova Scotia</v>
          </cell>
          <cell r="F98">
            <v>0</v>
          </cell>
          <cell r="G98">
            <v>0</v>
          </cell>
          <cell r="H98">
            <v>0</v>
          </cell>
          <cell r="I98">
            <v>0</v>
          </cell>
          <cell r="J98">
            <v>0</v>
          </cell>
          <cell r="K98">
            <v>0</v>
          </cell>
          <cell r="L98">
            <v>0</v>
          </cell>
          <cell r="M98">
            <v>0</v>
          </cell>
          <cell r="N98">
            <v>0</v>
          </cell>
          <cell r="O98">
            <v>0</v>
          </cell>
          <cell r="P98">
            <v>0</v>
          </cell>
        </row>
        <row r="99">
          <cell r="B99" t="str">
            <v>Single family detached</v>
          </cell>
          <cell r="C99" t="str">
            <v>New Brunswick</v>
          </cell>
          <cell r="F99">
            <v>0</v>
          </cell>
          <cell r="G99">
            <v>0</v>
          </cell>
          <cell r="H99">
            <v>0</v>
          </cell>
          <cell r="I99">
            <v>0</v>
          </cell>
          <cell r="J99">
            <v>0</v>
          </cell>
          <cell r="K99">
            <v>0</v>
          </cell>
          <cell r="L99">
            <v>0</v>
          </cell>
          <cell r="M99">
            <v>0</v>
          </cell>
          <cell r="N99">
            <v>0</v>
          </cell>
          <cell r="O99">
            <v>0</v>
          </cell>
          <cell r="P99">
            <v>0</v>
          </cell>
        </row>
        <row r="100">
          <cell r="B100" t="str">
            <v>Single family detached</v>
          </cell>
          <cell r="C100" t="str">
            <v>Quebec</v>
          </cell>
          <cell r="F100">
            <v>0</v>
          </cell>
          <cell r="G100">
            <v>0</v>
          </cell>
          <cell r="H100">
            <v>0</v>
          </cell>
          <cell r="I100">
            <v>0</v>
          </cell>
          <cell r="J100">
            <v>0</v>
          </cell>
          <cell r="K100">
            <v>0</v>
          </cell>
          <cell r="L100">
            <v>0</v>
          </cell>
          <cell r="M100">
            <v>0</v>
          </cell>
          <cell r="N100">
            <v>0</v>
          </cell>
          <cell r="O100">
            <v>0</v>
          </cell>
          <cell r="P100">
            <v>0</v>
          </cell>
        </row>
        <row r="101">
          <cell r="B101" t="str">
            <v>Single family detached</v>
          </cell>
          <cell r="C101" t="str">
            <v>Ontario</v>
          </cell>
          <cell r="F101">
            <v>0</v>
          </cell>
          <cell r="G101">
            <v>0</v>
          </cell>
          <cell r="H101">
            <v>0</v>
          </cell>
          <cell r="I101">
            <v>0</v>
          </cell>
          <cell r="J101">
            <v>0</v>
          </cell>
          <cell r="K101">
            <v>0</v>
          </cell>
          <cell r="L101">
            <v>0</v>
          </cell>
          <cell r="M101">
            <v>0</v>
          </cell>
          <cell r="N101">
            <v>0</v>
          </cell>
          <cell r="O101">
            <v>0</v>
          </cell>
          <cell r="P101">
            <v>0</v>
          </cell>
        </row>
        <row r="102">
          <cell r="B102" t="str">
            <v>Single family detached</v>
          </cell>
          <cell r="C102" t="str">
            <v>Manitoba</v>
          </cell>
          <cell r="F102">
            <v>0</v>
          </cell>
          <cell r="G102">
            <v>0</v>
          </cell>
          <cell r="H102">
            <v>0</v>
          </cell>
          <cell r="I102">
            <v>0</v>
          </cell>
          <cell r="J102">
            <v>0</v>
          </cell>
          <cell r="K102">
            <v>0</v>
          </cell>
          <cell r="L102">
            <v>0</v>
          </cell>
          <cell r="M102">
            <v>0</v>
          </cell>
          <cell r="N102">
            <v>0</v>
          </cell>
          <cell r="O102">
            <v>0</v>
          </cell>
          <cell r="P102">
            <v>0</v>
          </cell>
        </row>
        <row r="103">
          <cell r="B103" t="str">
            <v>Single family detached</v>
          </cell>
          <cell r="C103" t="str">
            <v>Saskatchewan</v>
          </cell>
          <cell r="F103">
            <v>0</v>
          </cell>
          <cell r="G103">
            <v>0</v>
          </cell>
          <cell r="H103">
            <v>0</v>
          </cell>
          <cell r="I103">
            <v>0</v>
          </cell>
          <cell r="J103">
            <v>0</v>
          </cell>
          <cell r="K103">
            <v>0</v>
          </cell>
          <cell r="L103">
            <v>0</v>
          </cell>
          <cell r="M103">
            <v>0</v>
          </cell>
          <cell r="N103">
            <v>0</v>
          </cell>
          <cell r="O103">
            <v>0</v>
          </cell>
          <cell r="P103">
            <v>0</v>
          </cell>
        </row>
        <row r="104">
          <cell r="B104" t="str">
            <v>Single family detached</v>
          </cell>
          <cell r="C104" t="str">
            <v>Alberta</v>
          </cell>
          <cell r="F104">
            <v>102.056</v>
          </cell>
          <cell r="G104">
            <v>117.857</v>
          </cell>
          <cell r="H104">
            <v>134.34399999999999</v>
          </cell>
          <cell r="I104">
            <v>146.977</v>
          </cell>
          <cell r="J104">
            <v>148.864</v>
          </cell>
          <cell r="K104">
            <v>148.864</v>
          </cell>
          <cell r="L104">
            <v>148.864</v>
          </cell>
          <cell r="M104">
            <v>148.864</v>
          </cell>
          <cell r="N104">
            <v>148.864</v>
          </cell>
          <cell r="O104">
            <v>148.864</v>
          </cell>
          <cell r="P104">
            <v>148.864</v>
          </cell>
        </row>
        <row r="105">
          <cell r="B105" t="str">
            <v>Single family detached</v>
          </cell>
          <cell r="C105" t="str">
            <v>British Columbia</v>
          </cell>
          <cell r="F105">
            <v>0</v>
          </cell>
          <cell r="G105">
            <v>0</v>
          </cell>
          <cell r="H105">
            <v>0</v>
          </cell>
          <cell r="I105">
            <v>0</v>
          </cell>
          <cell r="J105">
            <v>0</v>
          </cell>
          <cell r="K105">
            <v>0</v>
          </cell>
          <cell r="L105">
            <v>0</v>
          </cell>
          <cell r="M105">
            <v>0</v>
          </cell>
          <cell r="N105">
            <v>0</v>
          </cell>
          <cell r="O105">
            <v>0</v>
          </cell>
          <cell r="P105">
            <v>0</v>
          </cell>
        </row>
        <row r="106">
          <cell r="B106" t="str">
            <v>Single family detached</v>
          </cell>
          <cell r="C106" t="str">
            <v>Yukon</v>
          </cell>
          <cell r="F106">
            <v>0</v>
          </cell>
          <cell r="G106">
            <v>0</v>
          </cell>
          <cell r="H106">
            <v>0</v>
          </cell>
          <cell r="I106">
            <v>0</v>
          </cell>
          <cell r="J106">
            <v>0</v>
          </cell>
          <cell r="K106">
            <v>0</v>
          </cell>
          <cell r="L106">
            <v>0</v>
          </cell>
          <cell r="M106">
            <v>0</v>
          </cell>
          <cell r="N106">
            <v>0</v>
          </cell>
          <cell r="O106">
            <v>0</v>
          </cell>
          <cell r="P106">
            <v>0</v>
          </cell>
        </row>
        <row r="107">
          <cell r="B107" t="str">
            <v>Single family detached</v>
          </cell>
          <cell r="C107" t="str">
            <v>Northwest Territories</v>
          </cell>
          <cell r="F107">
            <v>0</v>
          </cell>
          <cell r="G107">
            <v>0</v>
          </cell>
          <cell r="H107">
            <v>0</v>
          </cell>
          <cell r="I107">
            <v>0</v>
          </cell>
          <cell r="J107">
            <v>0</v>
          </cell>
          <cell r="K107">
            <v>0</v>
          </cell>
          <cell r="L107">
            <v>0</v>
          </cell>
          <cell r="M107">
            <v>0</v>
          </cell>
          <cell r="N107">
            <v>0</v>
          </cell>
          <cell r="O107">
            <v>0</v>
          </cell>
          <cell r="P107">
            <v>0</v>
          </cell>
        </row>
        <row r="108">
          <cell r="B108" t="str">
            <v>Single family detached</v>
          </cell>
          <cell r="C108" t="str">
            <v>Nunavut</v>
          </cell>
          <cell r="F108">
            <v>0</v>
          </cell>
          <cell r="G108">
            <v>0</v>
          </cell>
          <cell r="H108">
            <v>0</v>
          </cell>
          <cell r="I108">
            <v>0</v>
          </cell>
          <cell r="J108">
            <v>0</v>
          </cell>
          <cell r="K108">
            <v>0</v>
          </cell>
          <cell r="L108">
            <v>0</v>
          </cell>
          <cell r="M108">
            <v>0</v>
          </cell>
          <cell r="N108">
            <v>0</v>
          </cell>
          <cell r="O108">
            <v>0</v>
          </cell>
          <cell r="P108">
            <v>0</v>
          </cell>
        </row>
        <row r="109">
          <cell r="B109" t="str">
            <v>Single family attached</v>
          </cell>
          <cell r="C109" t="str">
            <v>Canada</v>
          </cell>
          <cell r="F109">
            <v>0</v>
          </cell>
          <cell r="G109">
            <v>0</v>
          </cell>
          <cell r="H109">
            <v>0</v>
          </cell>
          <cell r="I109">
            <v>0</v>
          </cell>
          <cell r="J109">
            <v>0</v>
          </cell>
          <cell r="K109">
            <v>0</v>
          </cell>
          <cell r="L109">
            <v>0</v>
          </cell>
          <cell r="M109">
            <v>0</v>
          </cell>
          <cell r="N109">
            <v>0</v>
          </cell>
          <cell r="O109">
            <v>0</v>
          </cell>
          <cell r="P109">
            <v>0</v>
          </cell>
        </row>
        <row r="110">
          <cell r="B110" t="str">
            <v>Single family attached</v>
          </cell>
          <cell r="C110" t="str">
            <v>Newfoundland and Labrador</v>
          </cell>
          <cell r="F110">
            <v>0</v>
          </cell>
          <cell r="G110">
            <v>0</v>
          </cell>
          <cell r="H110">
            <v>0</v>
          </cell>
          <cell r="I110">
            <v>0</v>
          </cell>
          <cell r="J110">
            <v>0</v>
          </cell>
          <cell r="K110">
            <v>0</v>
          </cell>
          <cell r="L110">
            <v>0</v>
          </cell>
          <cell r="M110">
            <v>0</v>
          </cell>
          <cell r="N110">
            <v>0</v>
          </cell>
          <cell r="O110">
            <v>0</v>
          </cell>
          <cell r="P110">
            <v>0</v>
          </cell>
        </row>
        <row r="111">
          <cell r="B111" t="str">
            <v>Single family attached</v>
          </cell>
          <cell r="C111" t="str">
            <v>Prince Edward Island</v>
          </cell>
          <cell r="F111">
            <v>0</v>
          </cell>
          <cell r="G111">
            <v>0</v>
          </cell>
          <cell r="H111">
            <v>0</v>
          </cell>
          <cell r="I111">
            <v>0</v>
          </cell>
          <cell r="J111">
            <v>0</v>
          </cell>
          <cell r="K111">
            <v>0</v>
          </cell>
          <cell r="L111">
            <v>0</v>
          </cell>
          <cell r="M111">
            <v>0</v>
          </cell>
          <cell r="N111">
            <v>0</v>
          </cell>
          <cell r="O111">
            <v>0</v>
          </cell>
          <cell r="P111">
            <v>0</v>
          </cell>
        </row>
        <row r="112">
          <cell r="B112" t="str">
            <v>Single family attached</v>
          </cell>
          <cell r="C112" t="str">
            <v>Nova Scotia</v>
          </cell>
          <cell r="F112">
            <v>0</v>
          </cell>
          <cell r="G112">
            <v>0</v>
          </cell>
          <cell r="H112">
            <v>0</v>
          </cell>
          <cell r="I112">
            <v>0</v>
          </cell>
          <cell r="J112">
            <v>0</v>
          </cell>
          <cell r="K112">
            <v>0</v>
          </cell>
          <cell r="L112">
            <v>0</v>
          </cell>
          <cell r="M112">
            <v>0</v>
          </cell>
          <cell r="N112">
            <v>0</v>
          </cell>
          <cell r="O112">
            <v>0</v>
          </cell>
          <cell r="P112">
            <v>0</v>
          </cell>
        </row>
        <row r="113">
          <cell r="B113" t="str">
            <v>Single family attached</v>
          </cell>
          <cell r="C113" t="str">
            <v>New Brunswick</v>
          </cell>
          <cell r="F113">
            <v>0</v>
          </cell>
          <cell r="G113">
            <v>0</v>
          </cell>
          <cell r="H113">
            <v>0</v>
          </cell>
          <cell r="I113">
            <v>0</v>
          </cell>
          <cell r="J113">
            <v>0</v>
          </cell>
          <cell r="K113">
            <v>0</v>
          </cell>
          <cell r="L113">
            <v>0</v>
          </cell>
          <cell r="M113">
            <v>0</v>
          </cell>
          <cell r="N113">
            <v>0</v>
          </cell>
          <cell r="O113">
            <v>0</v>
          </cell>
          <cell r="P113">
            <v>0</v>
          </cell>
        </row>
        <row r="114">
          <cell r="B114" t="str">
            <v>Single family attached</v>
          </cell>
          <cell r="C114" t="str">
            <v>Quebec</v>
          </cell>
          <cell r="F114">
            <v>0</v>
          </cell>
          <cell r="G114">
            <v>0</v>
          </cell>
          <cell r="H114">
            <v>0</v>
          </cell>
          <cell r="I114">
            <v>0</v>
          </cell>
          <cell r="J114">
            <v>0</v>
          </cell>
          <cell r="K114">
            <v>0</v>
          </cell>
          <cell r="L114">
            <v>0</v>
          </cell>
          <cell r="M114">
            <v>0</v>
          </cell>
          <cell r="N114">
            <v>0</v>
          </cell>
          <cell r="O114">
            <v>0</v>
          </cell>
          <cell r="P114">
            <v>0</v>
          </cell>
        </row>
        <row r="115">
          <cell r="B115" t="str">
            <v>Single family attached</v>
          </cell>
          <cell r="C115" t="str">
            <v>Ontario</v>
          </cell>
          <cell r="F115">
            <v>0</v>
          </cell>
          <cell r="G115">
            <v>0</v>
          </cell>
          <cell r="H115">
            <v>0</v>
          </cell>
          <cell r="I115">
            <v>0</v>
          </cell>
          <cell r="J115">
            <v>0</v>
          </cell>
          <cell r="K115">
            <v>0</v>
          </cell>
          <cell r="L115">
            <v>0</v>
          </cell>
          <cell r="M115">
            <v>0</v>
          </cell>
          <cell r="N115">
            <v>0</v>
          </cell>
          <cell r="O115">
            <v>0</v>
          </cell>
          <cell r="P115">
            <v>0</v>
          </cell>
        </row>
        <row r="116">
          <cell r="B116" t="str">
            <v>Single family attached</v>
          </cell>
          <cell r="C116" t="str">
            <v>Manitoba</v>
          </cell>
          <cell r="F116">
            <v>0</v>
          </cell>
          <cell r="G116">
            <v>0</v>
          </cell>
          <cell r="H116">
            <v>0</v>
          </cell>
          <cell r="I116">
            <v>0</v>
          </cell>
          <cell r="J116">
            <v>0</v>
          </cell>
          <cell r="K116">
            <v>0</v>
          </cell>
          <cell r="L116">
            <v>0</v>
          </cell>
          <cell r="M116">
            <v>0</v>
          </cell>
          <cell r="N116">
            <v>0</v>
          </cell>
          <cell r="O116">
            <v>0</v>
          </cell>
          <cell r="P116">
            <v>0</v>
          </cell>
        </row>
        <row r="117">
          <cell r="B117" t="str">
            <v>Single family attached</v>
          </cell>
          <cell r="C117" t="str">
            <v>Saskatchewan</v>
          </cell>
          <cell r="F117">
            <v>0</v>
          </cell>
          <cell r="G117">
            <v>0</v>
          </cell>
          <cell r="H117">
            <v>0</v>
          </cell>
          <cell r="I117">
            <v>0</v>
          </cell>
          <cell r="J117">
            <v>0</v>
          </cell>
          <cell r="K117">
            <v>0</v>
          </cell>
          <cell r="L117">
            <v>0</v>
          </cell>
          <cell r="M117">
            <v>0</v>
          </cell>
          <cell r="N117">
            <v>0</v>
          </cell>
          <cell r="O117">
            <v>0</v>
          </cell>
          <cell r="P117">
            <v>0</v>
          </cell>
        </row>
        <row r="118">
          <cell r="B118" t="str">
            <v>Single family attached</v>
          </cell>
          <cell r="C118" t="str">
            <v>Alberta</v>
          </cell>
          <cell r="F118">
            <v>14.111000000000001</v>
          </cell>
          <cell r="G118">
            <v>17.201000000000001</v>
          </cell>
          <cell r="H118">
            <v>21.187999999999999</v>
          </cell>
          <cell r="I118">
            <v>26.67</v>
          </cell>
          <cell r="J118">
            <v>27.663</v>
          </cell>
          <cell r="K118">
            <v>27.663</v>
          </cell>
          <cell r="L118">
            <v>27.663</v>
          </cell>
          <cell r="M118">
            <v>27.663</v>
          </cell>
          <cell r="N118">
            <v>27.663</v>
          </cell>
          <cell r="O118">
            <v>27.663</v>
          </cell>
          <cell r="P118">
            <v>27.663</v>
          </cell>
        </row>
        <row r="119">
          <cell r="B119" t="str">
            <v>Single family attached</v>
          </cell>
          <cell r="C119" t="str">
            <v>British Columbia</v>
          </cell>
          <cell r="F119">
            <v>0</v>
          </cell>
          <cell r="G119">
            <v>0</v>
          </cell>
          <cell r="H119">
            <v>0</v>
          </cell>
          <cell r="I119">
            <v>0</v>
          </cell>
          <cell r="J119">
            <v>0</v>
          </cell>
          <cell r="K119">
            <v>0</v>
          </cell>
          <cell r="L119">
            <v>0</v>
          </cell>
          <cell r="M119">
            <v>0</v>
          </cell>
          <cell r="N119">
            <v>0</v>
          </cell>
          <cell r="O119">
            <v>0</v>
          </cell>
          <cell r="P119">
            <v>0</v>
          </cell>
        </row>
        <row r="120">
          <cell r="B120" t="str">
            <v>Single family attached</v>
          </cell>
          <cell r="C120" t="str">
            <v>Yukon</v>
          </cell>
          <cell r="F120">
            <v>0</v>
          </cell>
          <cell r="G120">
            <v>0</v>
          </cell>
          <cell r="H120">
            <v>0</v>
          </cell>
          <cell r="I120">
            <v>0</v>
          </cell>
          <cell r="J120">
            <v>0</v>
          </cell>
          <cell r="K120">
            <v>0</v>
          </cell>
          <cell r="L120">
            <v>0</v>
          </cell>
          <cell r="M120">
            <v>0</v>
          </cell>
          <cell r="N120">
            <v>0</v>
          </cell>
          <cell r="O120">
            <v>0</v>
          </cell>
          <cell r="P120">
            <v>0</v>
          </cell>
        </row>
        <row r="121">
          <cell r="B121" t="str">
            <v>Single family attached</v>
          </cell>
          <cell r="C121" t="str">
            <v>Northwest Territories</v>
          </cell>
          <cell r="F121">
            <v>0</v>
          </cell>
          <cell r="G121">
            <v>0</v>
          </cell>
          <cell r="H121">
            <v>0</v>
          </cell>
          <cell r="I121">
            <v>0</v>
          </cell>
          <cell r="J121">
            <v>0</v>
          </cell>
          <cell r="K121">
            <v>0</v>
          </cell>
          <cell r="L121">
            <v>0</v>
          </cell>
          <cell r="M121">
            <v>0</v>
          </cell>
          <cell r="N121">
            <v>0</v>
          </cell>
          <cell r="O121">
            <v>0</v>
          </cell>
          <cell r="P121">
            <v>0</v>
          </cell>
        </row>
        <row r="122">
          <cell r="B122" t="str">
            <v>Single family attached</v>
          </cell>
          <cell r="C122" t="str">
            <v>Nunavut</v>
          </cell>
          <cell r="F122">
            <v>0</v>
          </cell>
          <cell r="G122">
            <v>0</v>
          </cell>
          <cell r="H122">
            <v>0</v>
          </cell>
          <cell r="I122">
            <v>0</v>
          </cell>
          <cell r="J122">
            <v>0</v>
          </cell>
          <cell r="K122">
            <v>0</v>
          </cell>
          <cell r="L122">
            <v>0</v>
          </cell>
          <cell r="M122">
            <v>0</v>
          </cell>
          <cell r="N122">
            <v>0</v>
          </cell>
          <cell r="O122">
            <v>0</v>
          </cell>
          <cell r="P122">
            <v>0</v>
          </cell>
        </row>
        <row r="123">
          <cell r="B123" t="str">
            <v>Apartment</v>
          </cell>
          <cell r="C123" t="str">
            <v>Canada</v>
          </cell>
          <cell r="F123">
            <v>0</v>
          </cell>
          <cell r="G123">
            <v>0</v>
          </cell>
          <cell r="H123">
            <v>0</v>
          </cell>
          <cell r="I123">
            <v>0</v>
          </cell>
          <cell r="J123">
            <v>0</v>
          </cell>
          <cell r="K123">
            <v>0</v>
          </cell>
          <cell r="L123">
            <v>0</v>
          </cell>
          <cell r="M123">
            <v>0</v>
          </cell>
          <cell r="N123">
            <v>0</v>
          </cell>
          <cell r="O123">
            <v>0</v>
          </cell>
          <cell r="P123">
            <v>0</v>
          </cell>
        </row>
        <row r="124">
          <cell r="B124" t="str">
            <v>Apartment</v>
          </cell>
          <cell r="C124" t="str">
            <v>Newfoundland and Labrador</v>
          </cell>
          <cell r="F124">
            <v>0</v>
          </cell>
          <cell r="G124">
            <v>0</v>
          </cell>
          <cell r="H124">
            <v>0</v>
          </cell>
          <cell r="I124">
            <v>0</v>
          </cell>
          <cell r="J124">
            <v>0</v>
          </cell>
          <cell r="K124">
            <v>0</v>
          </cell>
          <cell r="L124">
            <v>0</v>
          </cell>
          <cell r="M124">
            <v>0</v>
          </cell>
          <cell r="N124">
            <v>0</v>
          </cell>
          <cell r="O124">
            <v>0</v>
          </cell>
          <cell r="P124">
            <v>0</v>
          </cell>
        </row>
        <row r="125">
          <cell r="B125" t="str">
            <v>Apartment</v>
          </cell>
          <cell r="C125" t="str">
            <v>Prince Edward Island</v>
          </cell>
          <cell r="F125">
            <v>0</v>
          </cell>
          <cell r="G125">
            <v>0</v>
          </cell>
          <cell r="H125">
            <v>0</v>
          </cell>
          <cell r="I125">
            <v>0</v>
          </cell>
          <cell r="J125">
            <v>0</v>
          </cell>
          <cell r="K125">
            <v>0</v>
          </cell>
          <cell r="L125">
            <v>0</v>
          </cell>
          <cell r="M125">
            <v>0</v>
          </cell>
          <cell r="N125">
            <v>0</v>
          </cell>
          <cell r="O125">
            <v>0</v>
          </cell>
          <cell r="P125">
            <v>0</v>
          </cell>
        </row>
        <row r="126">
          <cell r="B126" t="str">
            <v>Apartment</v>
          </cell>
          <cell r="C126" t="str">
            <v>Nova Scotia</v>
          </cell>
          <cell r="F126">
            <v>0</v>
          </cell>
          <cell r="G126">
            <v>0</v>
          </cell>
          <cell r="H126">
            <v>0</v>
          </cell>
          <cell r="I126">
            <v>0</v>
          </cell>
          <cell r="J126">
            <v>0</v>
          </cell>
          <cell r="K126">
            <v>0</v>
          </cell>
          <cell r="L126">
            <v>0</v>
          </cell>
          <cell r="M126">
            <v>0</v>
          </cell>
          <cell r="N126">
            <v>0</v>
          </cell>
          <cell r="O126">
            <v>0</v>
          </cell>
          <cell r="P126">
            <v>0</v>
          </cell>
        </row>
        <row r="127">
          <cell r="B127" t="str">
            <v>Apartment</v>
          </cell>
          <cell r="C127" t="str">
            <v>New Brunswick</v>
          </cell>
          <cell r="F127">
            <v>0</v>
          </cell>
          <cell r="G127">
            <v>0</v>
          </cell>
          <cell r="H127">
            <v>0</v>
          </cell>
          <cell r="I127">
            <v>0</v>
          </cell>
          <cell r="J127">
            <v>0</v>
          </cell>
          <cell r="K127">
            <v>0</v>
          </cell>
          <cell r="L127">
            <v>0</v>
          </cell>
          <cell r="M127">
            <v>0</v>
          </cell>
          <cell r="N127">
            <v>0</v>
          </cell>
          <cell r="O127">
            <v>0</v>
          </cell>
          <cell r="P127">
            <v>0</v>
          </cell>
        </row>
        <row r="128">
          <cell r="B128" t="str">
            <v>Apartment</v>
          </cell>
          <cell r="C128" t="str">
            <v>Quebec</v>
          </cell>
          <cell r="F128">
            <v>0</v>
          </cell>
          <cell r="G128">
            <v>0</v>
          </cell>
          <cell r="H128">
            <v>0</v>
          </cell>
          <cell r="I128">
            <v>0</v>
          </cell>
          <cell r="J128">
            <v>0</v>
          </cell>
          <cell r="K128">
            <v>0</v>
          </cell>
          <cell r="L128">
            <v>0</v>
          </cell>
          <cell r="M128">
            <v>0</v>
          </cell>
          <cell r="N128">
            <v>0</v>
          </cell>
          <cell r="O128">
            <v>0</v>
          </cell>
          <cell r="P128">
            <v>0</v>
          </cell>
        </row>
        <row r="129">
          <cell r="B129" t="str">
            <v>Apartment</v>
          </cell>
          <cell r="C129" t="str">
            <v>Ontario</v>
          </cell>
          <cell r="F129">
            <v>0</v>
          </cell>
          <cell r="G129">
            <v>0</v>
          </cell>
          <cell r="H129">
            <v>0</v>
          </cell>
          <cell r="I129">
            <v>0</v>
          </cell>
          <cell r="J129">
            <v>0</v>
          </cell>
          <cell r="K129">
            <v>0</v>
          </cell>
          <cell r="L129">
            <v>0</v>
          </cell>
          <cell r="M129">
            <v>0</v>
          </cell>
          <cell r="N129">
            <v>0</v>
          </cell>
          <cell r="O129">
            <v>0</v>
          </cell>
          <cell r="P129">
            <v>0</v>
          </cell>
        </row>
        <row r="130">
          <cell r="B130" t="str">
            <v>Apartment</v>
          </cell>
          <cell r="C130" t="str">
            <v>Manitoba</v>
          </cell>
          <cell r="F130">
            <v>0</v>
          </cell>
          <cell r="G130">
            <v>0</v>
          </cell>
          <cell r="H130">
            <v>0</v>
          </cell>
          <cell r="I130">
            <v>0</v>
          </cell>
          <cell r="J130">
            <v>0</v>
          </cell>
          <cell r="K130">
            <v>0</v>
          </cell>
          <cell r="L130">
            <v>0</v>
          </cell>
          <cell r="M130">
            <v>0</v>
          </cell>
          <cell r="N130">
            <v>0</v>
          </cell>
          <cell r="O130">
            <v>0</v>
          </cell>
          <cell r="P130">
            <v>0</v>
          </cell>
        </row>
        <row r="131">
          <cell r="B131" t="str">
            <v>Apartment</v>
          </cell>
          <cell r="C131" t="str">
            <v>Saskatchewan</v>
          </cell>
          <cell r="F131">
            <v>0</v>
          </cell>
          <cell r="G131">
            <v>0</v>
          </cell>
          <cell r="H131">
            <v>0</v>
          </cell>
          <cell r="I131">
            <v>0</v>
          </cell>
          <cell r="J131">
            <v>0</v>
          </cell>
          <cell r="K131">
            <v>0</v>
          </cell>
          <cell r="L131">
            <v>0</v>
          </cell>
          <cell r="M131">
            <v>0</v>
          </cell>
          <cell r="N131">
            <v>0</v>
          </cell>
          <cell r="O131">
            <v>0</v>
          </cell>
          <cell r="P131">
            <v>0</v>
          </cell>
        </row>
        <row r="132">
          <cell r="B132" t="str">
            <v>Apartment</v>
          </cell>
          <cell r="C132" t="str">
            <v>Alberta</v>
          </cell>
          <cell r="F132">
            <v>20.414000000000001</v>
          </cell>
          <cell r="G132">
            <v>24.308</v>
          </cell>
          <cell r="H132">
            <v>29.071000000000002</v>
          </cell>
          <cell r="I132">
            <v>34.631</v>
          </cell>
          <cell r="J132">
            <v>35.563000000000002</v>
          </cell>
          <cell r="K132">
            <v>35.563000000000002</v>
          </cell>
          <cell r="L132">
            <v>35.563000000000002</v>
          </cell>
          <cell r="M132">
            <v>35.563000000000002</v>
          </cell>
          <cell r="N132">
            <v>35.563000000000002</v>
          </cell>
          <cell r="O132">
            <v>35.563000000000002</v>
          </cell>
          <cell r="P132">
            <v>35.563000000000002</v>
          </cell>
        </row>
        <row r="133">
          <cell r="B133" t="str">
            <v>Apartment</v>
          </cell>
          <cell r="C133" t="str">
            <v>British Columbia</v>
          </cell>
          <cell r="F133">
            <v>0</v>
          </cell>
          <cell r="G133">
            <v>0</v>
          </cell>
          <cell r="H133">
            <v>0</v>
          </cell>
          <cell r="I133">
            <v>0</v>
          </cell>
          <cell r="J133">
            <v>0</v>
          </cell>
          <cell r="K133">
            <v>0</v>
          </cell>
          <cell r="L133">
            <v>0</v>
          </cell>
          <cell r="M133">
            <v>0</v>
          </cell>
          <cell r="N133">
            <v>0</v>
          </cell>
          <cell r="O133">
            <v>0</v>
          </cell>
          <cell r="P133">
            <v>0</v>
          </cell>
        </row>
        <row r="134">
          <cell r="B134" t="str">
            <v>Apartment</v>
          </cell>
          <cell r="C134" t="str">
            <v>Yukon</v>
          </cell>
          <cell r="F134">
            <v>0</v>
          </cell>
          <cell r="G134">
            <v>0</v>
          </cell>
          <cell r="H134">
            <v>0</v>
          </cell>
          <cell r="I134">
            <v>0</v>
          </cell>
          <cell r="J134">
            <v>0</v>
          </cell>
          <cell r="K134">
            <v>0</v>
          </cell>
          <cell r="L134">
            <v>0</v>
          </cell>
          <cell r="M134">
            <v>0</v>
          </cell>
          <cell r="N134">
            <v>0</v>
          </cell>
          <cell r="O134">
            <v>0</v>
          </cell>
          <cell r="P134">
            <v>0</v>
          </cell>
        </row>
        <row r="135">
          <cell r="B135" t="str">
            <v>Apartment</v>
          </cell>
          <cell r="C135" t="str">
            <v>Northwest Territories</v>
          </cell>
          <cell r="F135">
            <v>0</v>
          </cell>
          <cell r="G135">
            <v>0</v>
          </cell>
          <cell r="H135">
            <v>0</v>
          </cell>
          <cell r="I135">
            <v>0</v>
          </cell>
          <cell r="J135">
            <v>0</v>
          </cell>
          <cell r="K135">
            <v>0</v>
          </cell>
          <cell r="L135">
            <v>0</v>
          </cell>
          <cell r="M135">
            <v>0</v>
          </cell>
          <cell r="N135">
            <v>0</v>
          </cell>
          <cell r="O135">
            <v>0</v>
          </cell>
          <cell r="P135">
            <v>0</v>
          </cell>
        </row>
        <row r="136">
          <cell r="B136" t="str">
            <v>Apartment</v>
          </cell>
          <cell r="C136" t="str">
            <v>Nunavut</v>
          </cell>
          <cell r="F136">
            <v>0</v>
          </cell>
          <cell r="G136">
            <v>0</v>
          </cell>
          <cell r="H136">
            <v>0</v>
          </cell>
          <cell r="I136">
            <v>0</v>
          </cell>
          <cell r="J136">
            <v>0</v>
          </cell>
          <cell r="K136">
            <v>0</v>
          </cell>
          <cell r="L136">
            <v>0</v>
          </cell>
          <cell r="M136">
            <v>0</v>
          </cell>
          <cell r="N136">
            <v>0</v>
          </cell>
          <cell r="O136">
            <v>0</v>
          </cell>
          <cell r="P136">
            <v>0</v>
          </cell>
        </row>
        <row r="137">
          <cell r="B137" t="str">
            <v>Mobile</v>
          </cell>
          <cell r="C137" t="str">
            <v>Canada</v>
          </cell>
          <cell r="F137">
            <v>0</v>
          </cell>
          <cell r="G137">
            <v>0</v>
          </cell>
          <cell r="H137">
            <v>0</v>
          </cell>
          <cell r="I137">
            <v>0</v>
          </cell>
          <cell r="J137">
            <v>0</v>
          </cell>
          <cell r="K137">
            <v>0</v>
          </cell>
          <cell r="L137">
            <v>0</v>
          </cell>
          <cell r="M137">
            <v>0</v>
          </cell>
          <cell r="N137">
            <v>0</v>
          </cell>
          <cell r="O137">
            <v>0</v>
          </cell>
          <cell r="P137">
            <v>0</v>
          </cell>
        </row>
        <row r="138">
          <cell r="B138" t="str">
            <v>Mobile</v>
          </cell>
          <cell r="C138" t="str">
            <v>Newfoundland and Labrador</v>
          </cell>
          <cell r="F138">
            <v>0</v>
          </cell>
          <cell r="G138">
            <v>0</v>
          </cell>
          <cell r="H138">
            <v>0</v>
          </cell>
          <cell r="I138">
            <v>0</v>
          </cell>
          <cell r="J138">
            <v>0</v>
          </cell>
          <cell r="K138">
            <v>0</v>
          </cell>
          <cell r="L138">
            <v>0</v>
          </cell>
          <cell r="M138">
            <v>0</v>
          </cell>
          <cell r="N138">
            <v>0</v>
          </cell>
          <cell r="O138">
            <v>0</v>
          </cell>
          <cell r="P138">
            <v>0</v>
          </cell>
        </row>
        <row r="139">
          <cell r="B139" t="str">
            <v>Mobile</v>
          </cell>
          <cell r="C139" t="str">
            <v>Prince Edward Island</v>
          </cell>
          <cell r="F139">
            <v>0</v>
          </cell>
          <cell r="G139">
            <v>0</v>
          </cell>
          <cell r="H139">
            <v>0</v>
          </cell>
          <cell r="I139">
            <v>0</v>
          </cell>
          <cell r="J139">
            <v>0</v>
          </cell>
          <cell r="K139">
            <v>0</v>
          </cell>
          <cell r="L139">
            <v>0</v>
          </cell>
          <cell r="M139">
            <v>0</v>
          </cell>
          <cell r="N139">
            <v>0</v>
          </cell>
          <cell r="O139">
            <v>0</v>
          </cell>
          <cell r="P139">
            <v>0</v>
          </cell>
        </row>
        <row r="140">
          <cell r="B140" t="str">
            <v>Mobile</v>
          </cell>
          <cell r="C140" t="str">
            <v>Nova Scotia</v>
          </cell>
          <cell r="F140">
            <v>0</v>
          </cell>
          <cell r="G140">
            <v>0</v>
          </cell>
          <cell r="H140">
            <v>0</v>
          </cell>
          <cell r="I140">
            <v>0</v>
          </cell>
          <cell r="J140">
            <v>0</v>
          </cell>
          <cell r="K140">
            <v>0</v>
          </cell>
          <cell r="L140">
            <v>0</v>
          </cell>
          <cell r="M140">
            <v>0</v>
          </cell>
          <cell r="N140">
            <v>0</v>
          </cell>
          <cell r="O140">
            <v>0</v>
          </cell>
          <cell r="P140">
            <v>0</v>
          </cell>
        </row>
        <row r="141">
          <cell r="B141" t="str">
            <v>Mobile</v>
          </cell>
          <cell r="C141" t="str">
            <v>New Brunswick</v>
          </cell>
          <cell r="F141">
            <v>0</v>
          </cell>
          <cell r="G141">
            <v>0</v>
          </cell>
          <cell r="H141">
            <v>0</v>
          </cell>
          <cell r="I141">
            <v>0</v>
          </cell>
          <cell r="J141">
            <v>0</v>
          </cell>
          <cell r="K141">
            <v>0</v>
          </cell>
          <cell r="L141">
            <v>0</v>
          </cell>
          <cell r="M141">
            <v>0</v>
          </cell>
          <cell r="N141">
            <v>0</v>
          </cell>
          <cell r="O141">
            <v>0</v>
          </cell>
          <cell r="P141">
            <v>0</v>
          </cell>
        </row>
        <row r="142">
          <cell r="B142" t="str">
            <v>Mobile</v>
          </cell>
          <cell r="C142" t="str">
            <v>Quebec</v>
          </cell>
          <cell r="F142">
            <v>0</v>
          </cell>
          <cell r="G142">
            <v>0</v>
          </cell>
          <cell r="H142">
            <v>0</v>
          </cell>
          <cell r="I142">
            <v>0</v>
          </cell>
          <cell r="J142">
            <v>0</v>
          </cell>
          <cell r="K142">
            <v>0</v>
          </cell>
          <cell r="L142">
            <v>0</v>
          </cell>
          <cell r="M142">
            <v>0</v>
          </cell>
          <cell r="N142">
            <v>0</v>
          </cell>
          <cell r="O142">
            <v>0</v>
          </cell>
          <cell r="P142">
            <v>0</v>
          </cell>
        </row>
        <row r="143">
          <cell r="B143" t="str">
            <v>Mobile</v>
          </cell>
          <cell r="C143" t="str">
            <v>Ontario</v>
          </cell>
          <cell r="F143">
            <v>0</v>
          </cell>
          <cell r="G143">
            <v>0</v>
          </cell>
          <cell r="H143">
            <v>0</v>
          </cell>
          <cell r="I143">
            <v>0</v>
          </cell>
          <cell r="J143">
            <v>0</v>
          </cell>
          <cell r="K143">
            <v>0</v>
          </cell>
          <cell r="L143">
            <v>0</v>
          </cell>
          <cell r="M143">
            <v>0</v>
          </cell>
          <cell r="N143">
            <v>0</v>
          </cell>
          <cell r="O143">
            <v>0</v>
          </cell>
          <cell r="P143">
            <v>0</v>
          </cell>
        </row>
        <row r="144">
          <cell r="B144" t="str">
            <v>Mobile</v>
          </cell>
          <cell r="C144" t="str">
            <v>Manitoba</v>
          </cell>
          <cell r="F144">
            <v>0</v>
          </cell>
          <cell r="G144">
            <v>0</v>
          </cell>
          <cell r="H144">
            <v>0</v>
          </cell>
          <cell r="I144">
            <v>0</v>
          </cell>
          <cell r="J144">
            <v>0</v>
          </cell>
          <cell r="K144">
            <v>0</v>
          </cell>
          <cell r="L144">
            <v>0</v>
          </cell>
          <cell r="M144">
            <v>0</v>
          </cell>
          <cell r="N144">
            <v>0</v>
          </cell>
          <cell r="O144">
            <v>0</v>
          </cell>
          <cell r="P144">
            <v>0</v>
          </cell>
        </row>
        <row r="145">
          <cell r="B145" t="str">
            <v>Mobile</v>
          </cell>
          <cell r="C145" t="str">
            <v>Saskatchewan</v>
          </cell>
          <cell r="F145">
            <v>0</v>
          </cell>
          <cell r="G145">
            <v>0</v>
          </cell>
          <cell r="H145">
            <v>0</v>
          </cell>
          <cell r="I145">
            <v>0</v>
          </cell>
          <cell r="J145">
            <v>0</v>
          </cell>
          <cell r="K145">
            <v>0</v>
          </cell>
          <cell r="L145">
            <v>0</v>
          </cell>
          <cell r="M145">
            <v>0</v>
          </cell>
          <cell r="N145">
            <v>0</v>
          </cell>
          <cell r="O145">
            <v>0</v>
          </cell>
          <cell r="P145">
            <v>0</v>
          </cell>
        </row>
        <row r="146">
          <cell r="B146" t="str">
            <v>Mobile</v>
          </cell>
          <cell r="C146" t="str">
            <v>Alberta</v>
          </cell>
          <cell r="F146">
            <v>4.6909999999999998</v>
          </cell>
          <cell r="G146">
            <v>5.3550000000000004</v>
          </cell>
          <cell r="H146">
            <v>6.0590000000000002</v>
          </cell>
          <cell r="I146">
            <v>6.6749999999999998</v>
          </cell>
          <cell r="J146">
            <v>6.8070000000000004</v>
          </cell>
          <cell r="K146">
            <v>6.8070000000000004</v>
          </cell>
          <cell r="L146">
            <v>6.8070000000000004</v>
          </cell>
          <cell r="M146">
            <v>6.8070000000000004</v>
          </cell>
          <cell r="N146">
            <v>6.8070000000000004</v>
          </cell>
          <cell r="O146">
            <v>6.8070000000000004</v>
          </cell>
          <cell r="P146">
            <v>6.8070000000000004</v>
          </cell>
        </row>
        <row r="147">
          <cell r="B147" t="str">
            <v>Mobile</v>
          </cell>
          <cell r="C147" t="str">
            <v>British Columbia</v>
          </cell>
          <cell r="F147">
            <v>0</v>
          </cell>
          <cell r="G147">
            <v>0</v>
          </cell>
          <cell r="H147">
            <v>0</v>
          </cell>
          <cell r="I147">
            <v>0</v>
          </cell>
          <cell r="J147">
            <v>0</v>
          </cell>
          <cell r="K147">
            <v>0</v>
          </cell>
          <cell r="L147">
            <v>0</v>
          </cell>
          <cell r="M147">
            <v>0</v>
          </cell>
          <cell r="N147">
            <v>0</v>
          </cell>
          <cell r="O147">
            <v>0</v>
          </cell>
          <cell r="P147">
            <v>0</v>
          </cell>
        </row>
        <row r="148">
          <cell r="B148" t="str">
            <v>Mobile</v>
          </cell>
          <cell r="C148" t="str">
            <v>Yukon</v>
          </cell>
          <cell r="F148">
            <v>0</v>
          </cell>
          <cell r="G148">
            <v>0</v>
          </cell>
          <cell r="H148">
            <v>0</v>
          </cell>
          <cell r="I148">
            <v>0</v>
          </cell>
          <cell r="J148">
            <v>0</v>
          </cell>
          <cell r="K148">
            <v>0</v>
          </cell>
          <cell r="L148">
            <v>0</v>
          </cell>
          <cell r="M148">
            <v>0</v>
          </cell>
          <cell r="N148">
            <v>0</v>
          </cell>
          <cell r="O148">
            <v>0</v>
          </cell>
          <cell r="P148">
            <v>0</v>
          </cell>
        </row>
        <row r="149">
          <cell r="B149" t="str">
            <v>Mobile</v>
          </cell>
          <cell r="C149" t="str">
            <v>Northwest Territories</v>
          </cell>
          <cell r="F149">
            <v>0</v>
          </cell>
          <cell r="G149">
            <v>0</v>
          </cell>
          <cell r="H149">
            <v>0</v>
          </cell>
          <cell r="I149">
            <v>0</v>
          </cell>
          <cell r="J149">
            <v>0</v>
          </cell>
          <cell r="K149">
            <v>0</v>
          </cell>
          <cell r="L149">
            <v>0</v>
          </cell>
          <cell r="M149">
            <v>0</v>
          </cell>
          <cell r="N149">
            <v>0</v>
          </cell>
          <cell r="O149">
            <v>0</v>
          </cell>
          <cell r="P149">
            <v>0</v>
          </cell>
        </row>
        <row r="150">
          <cell r="B150" t="str">
            <v>Mobile</v>
          </cell>
          <cell r="C150" t="str">
            <v>Nunavut</v>
          </cell>
          <cell r="F150">
            <v>0</v>
          </cell>
          <cell r="G150">
            <v>0</v>
          </cell>
          <cell r="H150">
            <v>0</v>
          </cell>
          <cell r="I150">
            <v>0</v>
          </cell>
          <cell r="J150">
            <v>0</v>
          </cell>
          <cell r="K150">
            <v>0</v>
          </cell>
          <cell r="L150">
            <v>0</v>
          </cell>
          <cell r="M150">
            <v>0</v>
          </cell>
          <cell r="N150">
            <v>0</v>
          </cell>
          <cell r="O150">
            <v>0</v>
          </cell>
          <cell r="P150">
            <v>0</v>
          </cell>
        </row>
      </sheetData>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sheetViews>
  <sheetFormatPr baseColWidth="10" defaultColWidth="9.1640625" defaultRowHeight="15"/>
  <cols>
    <col min="1" max="1" width="3" style="124" bestFit="1" customWidth="1"/>
    <col min="2" max="2" width="160.5" style="124" customWidth="1"/>
    <col min="3" max="3" width="141.1640625" style="124" customWidth="1"/>
    <col min="4" max="16384" width="9.1640625" style="124"/>
  </cols>
  <sheetData>
    <row r="1" spans="1:3" s="188" customFormat="1" ht="16">
      <c r="B1" s="188" t="s">
        <v>261</v>
      </c>
      <c r="C1" s="188" t="s">
        <v>258</v>
      </c>
    </row>
    <row r="2" spans="1:3" ht="32">
      <c r="A2" s="124">
        <v>1</v>
      </c>
      <c r="B2" s="124" t="s">
        <v>257</v>
      </c>
    </row>
    <row r="3" spans="1:3" ht="32">
      <c r="A3" s="124">
        <v>2</v>
      </c>
      <c r="B3" s="124" t="s">
        <v>303</v>
      </c>
    </row>
    <row r="4" spans="1:3" ht="80">
      <c r="A4" s="124">
        <v>3</v>
      </c>
      <c r="B4" s="124" t="s">
        <v>259</v>
      </c>
    </row>
    <row r="5" spans="1:3" ht="16">
      <c r="A5" s="124">
        <v>4</v>
      </c>
      <c r="B5" s="124" t="s">
        <v>260</v>
      </c>
    </row>
    <row r="6" spans="1:3" ht="32">
      <c r="A6" s="124">
        <v>5</v>
      </c>
      <c r="B6" s="124" t="s">
        <v>302</v>
      </c>
      <c r="C6" s="124" t="s">
        <v>396</v>
      </c>
    </row>
    <row r="7" spans="1:3" ht="16">
      <c r="A7" s="124">
        <v>6</v>
      </c>
      <c r="B7" s="124" t="s">
        <v>310</v>
      </c>
    </row>
    <row r="8" spans="1:3" ht="16">
      <c r="A8" s="124">
        <v>7</v>
      </c>
      <c r="B8" s="124" t="s">
        <v>311</v>
      </c>
    </row>
    <row r="9" spans="1:3" ht="16">
      <c r="A9" s="124">
        <v>8</v>
      </c>
      <c r="B9" s="124" t="s">
        <v>312</v>
      </c>
    </row>
    <row r="10" spans="1:3" ht="16">
      <c r="A10" s="124">
        <v>9</v>
      </c>
      <c r="B10" s="124" t="s">
        <v>395</v>
      </c>
    </row>
    <row r="11" spans="1:3">
      <c r="A11" s="124">
        <v>10</v>
      </c>
    </row>
    <row r="12" spans="1:3">
      <c r="A12" s="124">
        <v>11</v>
      </c>
    </row>
    <row r="13" spans="1:3">
      <c r="A13" s="124">
        <v>12</v>
      </c>
    </row>
    <row r="14" spans="1:3">
      <c r="A14" s="124">
        <v>13</v>
      </c>
    </row>
    <row r="15" spans="1:3">
      <c r="A15" s="124">
        <v>14</v>
      </c>
    </row>
    <row r="16" spans="1:3">
      <c r="A16" s="124">
        <v>15</v>
      </c>
    </row>
    <row r="17" spans="1:1">
      <c r="A17" s="124">
        <v>16</v>
      </c>
    </row>
    <row r="18" spans="1:1">
      <c r="A18" s="124">
        <v>17</v>
      </c>
    </row>
    <row r="19" spans="1:1">
      <c r="A19" s="124">
        <v>18</v>
      </c>
    </row>
    <row r="20" spans="1:1">
      <c r="A20" s="124">
        <v>19</v>
      </c>
    </row>
    <row r="21" spans="1:1">
      <c r="A21" s="124">
        <v>20</v>
      </c>
    </row>
    <row r="22" spans="1:1">
      <c r="A22" s="124">
        <v>21</v>
      </c>
    </row>
    <row r="23" spans="1:1">
      <c r="A23" s="124">
        <v>22</v>
      </c>
    </row>
    <row r="24" spans="1:1">
      <c r="A24" s="124">
        <v>23</v>
      </c>
    </row>
    <row r="25" spans="1:1">
      <c r="A25" s="124">
        <v>24</v>
      </c>
    </row>
    <row r="26" spans="1:1">
      <c r="A26" s="124">
        <v>25</v>
      </c>
    </row>
    <row r="27" spans="1:1">
      <c r="A27" s="124">
        <v>26</v>
      </c>
    </row>
    <row r="28" spans="1:1">
      <c r="A28" s="124">
        <v>27</v>
      </c>
    </row>
    <row r="29" spans="1:1">
      <c r="A29" s="124">
        <v>28</v>
      </c>
    </row>
    <row r="30" spans="1:1">
      <c r="A30" s="124">
        <v>29</v>
      </c>
    </row>
    <row r="31" spans="1:1">
      <c r="A31" s="124">
        <v>30</v>
      </c>
    </row>
    <row r="35" spans="1:3" s="188" customFormat="1" ht="16">
      <c r="B35" s="188" t="s">
        <v>262</v>
      </c>
      <c r="C35" s="188" t="s">
        <v>258</v>
      </c>
    </row>
    <row r="36" spans="1:3" ht="16">
      <c r="A36" s="124">
        <v>1</v>
      </c>
      <c r="B36" s="124" t="s">
        <v>335</v>
      </c>
    </row>
    <row r="37" spans="1:3" ht="16">
      <c r="A37" s="124">
        <v>2</v>
      </c>
      <c r="B37" s="124" t="s">
        <v>336</v>
      </c>
    </row>
    <row r="38" spans="1:3" ht="16">
      <c r="A38" s="124">
        <v>3</v>
      </c>
      <c r="B38" s="124" t="s">
        <v>341</v>
      </c>
    </row>
    <row r="39" spans="1:3">
      <c r="A39" s="124">
        <v>4</v>
      </c>
    </row>
    <row r="40" spans="1:3">
      <c r="A40" s="124">
        <v>5</v>
      </c>
    </row>
    <row r="41" spans="1:3">
      <c r="A41" s="124">
        <v>6</v>
      </c>
    </row>
    <row r="42" spans="1:3">
      <c r="A42" s="124">
        <v>7</v>
      </c>
    </row>
    <row r="43" spans="1:3">
      <c r="A43" s="124">
        <v>8</v>
      </c>
    </row>
    <row r="44" spans="1:3">
      <c r="A44" s="124">
        <v>9</v>
      </c>
    </row>
    <row r="45" spans="1:3">
      <c r="A45" s="124">
        <v>10</v>
      </c>
    </row>
    <row r="46" spans="1:3">
      <c r="A46" s="124">
        <v>11</v>
      </c>
    </row>
    <row r="47" spans="1:3">
      <c r="A47" s="124">
        <v>12</v>
      </c>
    </row>
    <row r="48" spans="1:3">
      <c r="A48" s="124">
        <v>13</v>
      </c>
    </row>
    <row r="49" spans="1:1">
      <c r="A49" s="124">
        <v>14</v>
      </c>
    </row>
    <row r="50" spans="1:1">
      <c r="A50" s="124">
        <v>15</v>
      </c>
    </row>
    <row r="51" spans="1:1">
      <c r="A51" s="124">
        <v>16</v>
      </c>
    </row>
    <row r="52" spans="1:1">
      <c r="A52" s="124">
        <v>17</v>
      </c>
    </row>
    <row r="53" spans="1:1">
      <c r="A53" s="124">
        <v>18</v>
      </c>
    </row>
    <row r="54" spans="1:1">
      <c r="A54" s="124">
        <v>19</v>
      </c>
    </row>
    <row r="55" spans="1:1">
      <c r="A55" s="124">
        <v>20</v>
      </c>
    </row>
    <row r="56" spans="1:1">
      <c r="A56" s="124">
        <v>21</v>
      </c>
    </row>
    <row r="57" spans="1:1">
      <c r="A57" s="124">
        <v>22</v>
      </c>
    </row>
    <row r="58" spans="1:1">
      <c r="A58" s="124">
        <v>23</v>
      </c>
    </row>
    <row r="59" spans="1:1">
      <c r="A59" s="124">
        <v>24</v>
      </c>
    </row>
    <row r="60" spans="1:1">
      <c r="A60" s="124">
        <v>25</v>
      </c>
    </row>
    <row r="61" spans="1:1">
      <c r="A61" s="124">
        <v>26</v>
      </c>
    </row>
    <row r="62" spans="1:1">
      <c r="A62" s="124">
        <v>27</v>
      </c>
    </row>
    <row r="63" spans="1:1">
      <c r="A63" s="124">
        <v>28</v>
      </c>
    </row>
    <row r="64" spans="1:1">
      <c r="A64" s="124">
        <v>29</v>
      </c>
    </row>
    <row r="65" spans="1:1">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topLeftCell="A46" zoomScale="130" zoomScaleNormal="130" workbookViewId="0"/>
  </sheetViews>
  <sheetFormatPr baseColWidth="10" defaultColWidth="9.1640625" defaultRowHeight="15" outlineLevelRow="1"/>
  <cols>
    <col min="1" max="1" width="23.5" style="272" bestFit="1" customWidth="1"/>
    <col min="2" max="16384" width="9.1640625" style="68"/>
  </cols>
  <sheetData>
    <row r="2" spans="1:1">
      <c r="A2" s="272" t="s">
        <v>407</v>
      </c>
    </row>
    <row r="3" spans="1:1" outlineLevel="1"/>
    <row r="4" spans="1:1" outlineLevel="1"/>
    <row r="5" spans="1:1" outlineLevel="1"/>
    <row r="6" spans="1:1" outlineLevel="1"/>
    <row r="7" spans="1:1" outlineLevel="1"/>
    <row r="8" spans="1:1" outlineLevel="1"/>
    <row r="9" spans="1:1" outlineLevel="1"/>
    <row r="10" spans="1:1" outlineLevel="1"/>
    <row r="11" spans="1:1" outlineLevel="1"/>
    <row r="12" spans="1:1" outlineLevel="1"/>
    <row r="14" spans="1:1">
      <c r="A14" s="272" t="s">
        <v>408</v>
      </c>
    </row>
    <row r="15" spans="1:1" outlineLevel="1"/>
    <row r="16" spans="1:1" outlineLevel="1"/>
    <row r="17" spans="1:1" outlineLevel="1"/>
    <row r="18" spans="1:1" outlineLevel="1"/>
    <row r="19" spans="1:1" outlineLevel="1"/>
    <row r="20" spans="1:1" outlineLevel="1"/>
    <row r="21" spans="1:1" outlineLevel="1"/>
    <row r="22" spans="1:1" outlineLevel="1"/>
    <row r="23" spans="1:1" outlineLevel="1"/>
    <row r="24" spans="1:1" outlineLevel="1"/>
    <row r="25" spans="1:1" outlineLevel="1"/>
    <row r="27" spans="1:1">
      <c r="A27" s="272" t="s">
        <v>409</v>
      </c>
    </row>
    <row r="28" spans="1:1" outlineLevel="1"/>
    <row r="29" spans="1:1" outlineLevel="1"/>
    <row r="30" spans="1:1" outlineLevel="1"/>
    <row r="31" spans="1:1" outlineLevel="1"/>
    <row r="32" spans="1:1" outlineLevel="1"/>
    <row r="33" spans="1:1" outlineLevel="1"/>
    <row r="34" spans="1:1" outlineLevel="1"/>
    <row r="35" spans="1:1" outlineLevel="1"/>
    <row r="36" spans="1:1" outlineLevel="1"/>
    <row r="37" spans="1:1" outlineLevel="1"/>
    <row r="38" spans="1:1" outlineLevel="1"/>
    <row r="39" spans="1:1" outlineLevel="1"/>
    <row r="40" spans="1:1" outlineLevel="1"/>
    <row r="41" spans="1:1" outlineLevel="1"/>
    <row r="42" spans="1:1" outlineLevel="1"/>
    <row r="43" spans="1:1" outlineLevel="1"/>
    <row r="44" spans="1:1" outlineLevel="1"/>
    <row r="45" spans="1:1" outlineLevel="1"/>
    <row r="46" spans="1:1" outlineLevel="1"/>
    <row r="48" spans="1:1">
      <c r="A48" s="272" t="s">
        <v>74</v>
      </c>
    </row>
    <row r="49" spans="1:1" outlineLevel="1"/>
    <row r="50" spans="1:1" outlineLevel="1"/>
    <row r="51" spans="1:1" outlineLevel="1"/>
    <row r="52" spans="1:1" outlineLevel="1"/>
    <row r="53" spans="1:1" outlineLevel="1"/>
    <row r="54" spans="1:1" outlineLevel="1"/>
    <row r="55" spans="1:1" outlineLevel="1"/>
    <row r="56" spans="1:1" outlineLevel="1"/>
    <row r="57" spans="1:1" outlineLevel="1"/>
    <row r="58" spans="1:1" outlineLevel="1"/>
    <row r="60" spans="1:1">
      <c r="A60" s="272" t="s">
        <v>415</v>
      </c>
    </row>
    <row r="61" spans="1:1" outlineLevel="1"/>
    <row r="62" spans="1:1" outlineLevel="1"/>
    <row r="63" spans="1:1" outlineLevel="1"/>
    <row r="64" spans="1:1" outlineLevel="1"/>
    <row r="65" spans="1:14" outlineLevel="1"/>
    <row r="66" spans="1:14" outlineLevel="1"/>
    <row r="67" spans="1:14" outlineLevel="1"/>
    <row r="68" spans="1:14" outlineLevel="1"/>
    <row r="70" spans="1:14">
      <c r="A70" s="272" t="s">
        <v>150</v>
      </c>
    </row>
    <row r="71" spans="1:14" outlineLevel="1"/>
    <row r="72" spans="1:14" outlineLevel="1">
      <c r="M72" s="322" t="s">
        <v>426</v>
      </c>
      <c r="N72" s="322"/>
    </row>
    <row r="73" spans="1:14" outlineLevel="1"/>
    <row r="74" spans="1:14" outlineLevel="1"/>
    <row r="75" spans="1:14" outlineLevel="1"/>
    <row r="76" spans="1:14" outlineLevel="1"/>
    <row r="77" spans="1:14" outlineLevel="1"/>
    <row r="78" spans="1:14" outlineLevel="1"/>
    <row r="79" spans="1:14" outlineLevel="1"/>
    <row r="80" spans="1:14" outlineLevel="1"/>
    <row r="82" spans="1:13">
      <c r="A82" s="272" t="s">
        <v>416</v>
      </c>
    </row>
    <row r="83" spans="1:13" outlineLevel="1"/>
    <row r="84" spans="1:13" outlineLevel="1"/>
    <row r="85" spans="1:13" outlineLevel="1"/>
    <row r="86" spans="1:13" outlineLevel="1"/>
    <row r="87" spans="1:13" outlineLevel="1"/>
    <row r="88" spans="1:13" outlineLevel="1"/>
    <row r="89" spans="1:13" outlineLevel="1"/>
    <row r="91" spans="1:13">
      <c r="A91" s="272" t="s">
        <v>417</v>
      </c>
    </row>
    <row r="92" spans="1:13" outlineLevel="1">
      <c r="M92" s="68" t="s">
        <v>421</v>
      </c>
    </row>
    <row r="93" spans="1:13" outlineLevel="1"/>
    <row r="94" spans="1:13" outlineLevel="1"/>
    <row r="95" spans="1:13" outlineLevel="1"/>
    <row r="96" spans="1:13" outlineLevel="1"/>
    <row r="97" spans="1:1" outlineLevel="1"/>
    <row r="98" spans="1:1" outlineLevel="1"/>
    <row r="99" spans="1:1" outlineLevel="1"/>
    <row r="101" spans="1:1">
      <c r="A101" s="272" t="s">
        <v>418</v>
      </c>
    </row>
    <row r="102" spans="1:1" outlineLevel="1"/>
    <row r="103" spans="1:1" outlineLevel="1"/>
    <row r="104" spans="1:1" outlineLevel="1"/>
    <row r="105" spans="1:1" outlineLevel="1"/>
    <row r="106" spans="1:1" outlineLevel="1"/>
    <row r="107" spans="1:1" outlineLevel="1"/>
    <row r="108" spans="1:1" outlineLevel="1"/>
    <row r="109" spans="1:1" outlineLevel="1"/>
    <row r="110" spans="1:1" outlineLevel="1"/>
    <row r="111" spans="1:1" outlineLevel="1"/>
    <row r="112" spans="1:1" outlineLevel="1"/>
    <row r="113" spans="1:1" outlineLevel="1"/>
    <row r="115" spans="1:1">
      <c r="A115" s="272" t="s">
        <v>434</v>
      </c>
    </row>
    <row r="116" spans="1:1" outlineLevel="1"/>
    <row r="117" spans="1:1" outlineLevel="1"/>
    <row r="118" spans="1:1" outlineLevel="1"/>
    <row r="119" spans="1:1" outlineLevel="1"/>
    <row r="120" spans="1:1" outlineLevel="1"/>
    <row r="121" spans="1:1" outlineLevel="1"/>
    <row r="127" spans="1:1">
      <c r="A127" s="272" t="s">
        <v>419</v>
      </c>
    </row>
    <row r="139" spans="1:1">
      <c r="A139" s="312" t="s">
        <v>420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workbookViewId="0"/>
  </sheetViews>
  <sheetFormatPr baseColWidth="10" defaultColWidth="9.1640625" defaultRowHeight="15"/>
  <cols>
    <col min="1" max="1" width="20" style="68" bestFit="1" customWidth="1"/>
    <col min="2" max="2" width="46.5" style="69" customWidth="1"/>
    <col min="3" max="3" width="3.1640625" style="68" customWidth="1"/>
    <col min="4" max="4" width="16.5" style="68" bestFit="1" customWidth="1"/>
    <col min="5" max="5" width="11.83203125" style="68" customWidth="1"/>
    <col min="6" max="6" width="3.1640625" style="68" customWidth="1"/>
    <col min="7" max="7" width="22" style="68" bestFit="1" customWidth="1"/>
    <col min="8" max="8" width="11.83203125" style="68" customWidth="1"/>
    <col min="9" max="9" width="3.1640625" style="68" customWidth="1"/>
    <col min="10" max="10" width="12.1640625" style="68" bestFit="1" customWidth="1"/>
    <col min="11" max="11" width="3.1640625" style="68" customWidth="1"/>
    <col min="12" max="12" width="9.1640625" style="68"/>
    <col min="13" max="13" width="3.1640625" style="68" customWidth="1"/>
    <col min="14" max="16384" width="9.1640625" style="68"/>
  </cols>
  <sheetData>
    <row r="1" spans="1:12" s="256" customFormat="1" ht="32">
      <c r="A1" s="256" t="s">
        <v>115</v>
      </c>
      <c r="B1" s="256" t="s">
        <v>114</v>
      </c>
      <c r="D1" s="256" t="s">
        <v>58</v>
      </c>
      <c r="E1" s="256" t="s">
        <v>59</v>
      </c>
      <c r="G1" s="256" t="s">
        <v>55</v>
      </c>
      <c r="H1" s="256" t="s">
        <v>109</v>
      </c>
      <c r="J1" s="256" t="s">
        <v>56</v>
      </c>
      <c r="L1" s="256" t="s">
        <v>54</v>
      </c>
    </row>
    <row r="2" spans="1:12" ht="48">
      <c r="A2" s="68" t="s">
        <v>21</v>
      </c>
      <c r="B2" s="69" t="s">
        <v>440</v>
      </c>
      <c r="D2" s="68" t="s">
        <v>47</v>
      </c>
      <c r="E2" s="68" t="s">
        <v>61</v>
      </c>
      <c r="G2" s="68" t="s">
        <v>0</v>
      </c>
      <c r="H2" s="68" t="s">
        <v>110</v>
      </c>
      <c r="J2" s="68" t="s">
        <v>2</v>
      </c>
      <c r="L2" s="68" t="s">
        <v>16</v>
      </c>
    </row>
    <row r="3" spans="1:12" ht="32">
      <c r="A3" s="68" t="s">
        <v>165</v>
      </c>
      <c r="B3" s="69" t="s">
        <v>439</v>
      </c>
      <c r="D3" s="68" t="s">
        <v>5</v>
      </c>
      <c r="E3" s="68" t="s">
        <v>62</v>
      </c>
      <c r="G3" s="68" t="s">
        <v>57</v>
      </c>
      <c r="H3" s="68" t="s">
        <v>110</v>
      </c>
      <c r="J3" s="68" t="s">
        <v>13</v>
      </c>
      <c r="L3" s="68" t="s">
        <v>17</v>
      </c>
    </row>
    <row r="4" spans="1:12" ht="48">
      <c r="A4" s="68" t="s">
        <v>20</v>
      </c>
      <c r="B4" s="69" t="s">
        <v>166</v>
      </c>
      <c r="D4" s="68" t="s">
        <v>60</v>
      </c>
      <c r="E4" s="68" t="s">
        <v>63</v>
      </c>
      <c r="G4" s="68" t="s">
        <v>2</v>
      </c>
      <c r="H4" s="68" t="s">
        <v>111</v>
      </c>
      <c r="L4" s="68" t="s">
        <v>18</v>
      </c>
    </row>
    <row r="5" spans="1:12" ht="32">
      <c r="A5" s="68" t="s">
        <v>64</v>
      </c>
      <c r="B5" s="69" t="s">
        <v>167</v>
      </c>
      <c r="G5" s="68" t="s">
        <v>13</v>
      </c>
      <c r="H5" s="68" t="s">
        <v>111</v>
      </c>
    </row>
    <row r="6" spans="1:12" ht="80">
      <c r="A6" s="68" t="s">
        <v>441</v>
      </c>
      <c r="B6" s="69" t="s">
        <v>442</v>
      </c>
      <c r="G6" s="68" t="s">
        <v>250</v>
      </c>
      <c r="H6" s="68" t="s">
        <v>111</v>
      </c>
    </row>
    <row r="7" spans="1:12">
      <c r="G7" s="68" t="s">
        <v>170</v>
      </c>
      <c r="H7" s="68" t="s">
        <v>111</v>
      </c>
    </row>
    <row r="8" spans="1:12">
      <c r="G8" s="68" t="s">
        <v>405</v>
      </c>
      <c r="H8" s="68" t="s">
        <v>111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workbookViewId="0">
      <selection sqref="A1:B1"/>
    </sheetView>
  </sheetViews>
  <sheetFormatPr baseColWidth="10" defaultColWidth="8.83203125" defaultRowHeight="15"/>
  <cols>
    <col min="1" max="1" width="26.6640625" bestFit="1" customWidth="1"/>
    <col min="2" max="2" width="22" bestFit="1" customWidth="1"/>
    <col min="3" max="3" width="2.6640625" style="190" customWidth="1"/>
    <col min="4" max="4" width="20.5" customWidth="1"/>
    <col min="6" max="6" width="2.6640625" style="190" customWidth="1"/>
    <col min="7" max="7" width="11.1640625" bestFit="1" customWidth="1"/>
  </cols>
  <sheetData>
    <row r="1" spans="1:7" s="255" customFormat="1">
      <c r="A1" s="406" t="s">
        <v>279</v>
      </c>
      <c r="B1" s="406"/>
      <c r="C1" s="20"/>
      <c r="D1" s="406" t="s">
        <v>280</v>
      </c>
      <c r="E1" s="406"/>
      <c r="F1" s="20"/>
      <c r="G1" s="255" t="s">
        <v>281</v>
      </c>
    </row>
    <row r="2" spans="1:7" s="255" customFormat="1">
      <c r="A2" s="255" t="s">
        <v>282</v>
      </c>
      <c r="B2" s="255" t="s">
        <v>15</v>
      </c>
      <c r="C2" s="20"/>
      <c r="D2" s="255" t="s">
        <v>282</v>
      </c>
      <c r="E2" s="255" t="s">
        <v>15</v>
      </c>
      <c r="F2" s="20"/>
    </row>
    <row r="3" spans="1:7">
      <c r="A3" t="s">
        <v>285</v>
      </c>
      <c r="B3" t="s">
        <v>278</v>
      </c>
      <c r="D3" t="s">
        <v>287</v>
      </c>
      <c r="E3" t="s">
        <v>283</v>
      </c>
      <c r="G3">
        <v>42</v>
      </c>
    </row>
    <row r="4" spans="1:7">
      <c r="A4" t="s">
        <v>287</v>
      </c>
      <c r="B4" t="s">
        <v>283</v>
      </c>
      <c r="D4" t="s">
        <v>284</v>
      </c>
      <c r="E4" t="s">
        <v>286</v>
      </c>
      <c r="G4">
        <v>3.7854000000000001</v>
      </c>
    </row>
    <row r="5" spans="1:7">
      <c r="A5" t="s">
        <v>288</v>
      </c>
      <c r="B5" t="s">
        <v>289</v>
      </c>
      <c r="D5" t="s">
        <v>290</v>
      </c>
      <c r="E5" t="s">
        <v>33</v>
      </c>
      <c r="G5">
        <v>1.0550600000000001</v>
      </c>
    </row>
    <row r="6" spans="1:7">
      <c r="A6" t="s">
        <v>330</v>
      </c>
      <c r="B6" t="s">
        <v>189</v>
      </c>
      <c r="D6" t="s">
        <v>290</v>
      </c>
      <c r="E6" t="s">
        <v>33</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workbookViewId="0"/>
  </sheetViews>
  <sheetFormatPr baseColWidth="10" defaultColWidth="9.1640625" defaultRowHeight="15"/>
  <cols>
    <col min="1" max="1" width="21.5" style="151" bestFit="1" customWidth="1"/>
    <col min="2" max="2" width="10.83203125" style="151" bestFit="1" customWidth="1"/>
    <col min="3" max="3" width="17" style="151" bestFit="1" customWidth="1"/>
    <col min="4" max="45" width="8.6640625" style="151" customWidth="1"/>
    <col min="46" max="16384" width="9.1640625" style="151"/>
  </cols>
  <sheetData>
    <row r="1" spans="1:74" s="140" customFormat="1">
      <c r="A1" s="140" t="s">
        <v>56</v>
      </c>
      <c r="B1" s="140" t="s">
        <v>15</v>
      </c>
      <c r="C1" s="140" t="s">
        <v>76</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c r="A3" s="144" t="s">
        <v>173</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c r="A4" s="144" t="s">
        <v>174</v>
      </c>
      <c r="B4" s="144" t="s">
        <v>175</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c r="A5" s="147" t="s">
        <v>176</v>
      </c>
      <c r="B5" s="148" t="s">
        <v>177</v>
      </c>
      <c r="C5" s="142" t="s">
        <v>295</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c r="A6" s="147" t="s">
        <v>178</v>
      </c>
      <c r="B6" s="148" t="s">
        <v>177</v>
      </c>
      <c r="C6" s="142" t="s">
        <v>295</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c r="A7" s="141" t="s">
        <v>179</v>
      </c>
      <c r="B7" s="148" t="s">
        <v>177</v>
      </c>
      <c r="C7" s="142" t="s">
        <v>180</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c r="A8" s="141" t="s">
        <v>181</v>
      </c>
      <c r="B8" s="148" t="s">
        <v>177</v>
      </c>
      <c r="C8" s="142" t="s">
        <v>293</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c r="A9" s="147" t="s">
        <v>182</v>
      </c>
      <c r="B9" s="151" t="s">
        <v>183</v>
      </c>
      <c r="C9" s="142" t="s">
        <v>293</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c r="A10" s="147" t="s">
        <v>184</v>
      </c>
      <c r="B10" s="151" t="s">
        <v>183</v>
      </c>
      <c r="C10" s="142" t="s">
        <v>293</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c r="A11" s="141" t="s">
        <v>185</v>
      </c>
      <c r="B11" s="142" t="s">
        <v>183</v>
      </c>
      <c r="C11" s="154" t="s">
        <v>186</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c r="A12" s="147" t="s">
        <v>187</v>
      </c>
      <c r="B12" s="151" t="s">
        <v>188</v>
      </c>
      <c r="C12" s="142" t="s">
        <v>293</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c r="A13" s="147" t="s">
        <v>11</v>
      </c>
      <c r="B13" s="148" t="s">
        <v>177</v>
      </c>
      <c r="C13" s="142" t="s">
        <v>295</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c r="A14" s="141" t="s">
        <v>2</v>
      </c>
      <c r="B14" s="142" t="s">
        <v>189</v>
      </c>
      <c r="C14" s="142" t="s">
        <v>293</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c r="A15" s="141" t="s">
        <v>190</v>
      </c>
      <c r="B15" s="148" t="s">
        <v>177</v>
      </c>
      <c r="C15" s="142" t="s">
        <v>180</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c r="A16" s="141" t="s">
        <v>191</v>
      </c>
      <c r="B16" s="148" t="s">
        <v>188</v>
      </c>
      <c r="C16" s="154" t="s">
        <v>192</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c r="A17" s="141" t="s">
        <v>193</v>
      </c>
      <c r="B17" s="148" t="s">
        <v>177</v>
      </c>
      <c r="C17" s="142" t="s">
        <v>295</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c r="A18" s="141" t="s">
        <v>249</v>
      </c>
      <c r="B18" s="148" t="s">
        <v>177</v>
      </c>
      <c r="C18" s="142" t="s">
        <v>293</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c r="A19" s="141" t="s">
        <v>194</v>
      </c>
      <c r="B19" s="148" t="s">
        <v>177</v>
      </c>
      <c r="C19" s="154" t="s">
        <v>195</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c r="A20" s="147" t="s">
        <v>12</v>
      </c>
      <c r="B20" s="148" t="s">
        <v>177</v>
      </c>
      <c r="C20" s="154" t="s">
        <v>195</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c r="A21" s="147" t="s">
        <v>197</v>
      </c>
      <c r="B21" s="148" t="s">
        <v>177</v>
      </c>
      <c r="C21" s="142" t="s">
        <v>295</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c r="A22" s="147" t="s">
        <v>195</v>
      </c>
      <c r="B22" s="148" t="s">
        <v>177</v>
      </c>
      <c r="C22" s="142" t="s">
        <v>293</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c r="A23" s="141" t="s">
        <v>13</v>
      </c>
      <c r="B23" s="148" t="s">
        <v>188</v>
      </c>
      <c r="C23" s="142" t="s">
        <v>293</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c r="A24" s="141" t="s">
        <v>186</v>
      </c>
      <c r="B24" s="142" t="s">
        <v>183</v>
      </c>
      <c r="C24" s="142" t="s">
        <v>293</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c r="A25" s="147" t="s">
        <v>198</v>
      </c>
      <c r="B25" s="148" t="s">
        <v>177</v>
      </c>
      <c r="C25" s="142" t="s">
        <v>293</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c r="A26" s="141" t="s">
        <v>192</v>
      </c>
      <c r="B26" s="148" t="s">
        <v>188</v>
      </c>
      <c r="C26" s="142" t="s">
        <v>293</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c r="A27" s="147" t="s">
        <v>199</v>
      </c>
      <c r="B27" s="151" t="s">
        <v>183</v>
      </c>
      <c r="C27" s="142" t="s">
        <v>293</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c r="A28" s="141" t="s">
        <v>200</v>
      </c>
      <c r="B28" s="148" t="s">
        <v>33</v>
      </c>
      <c r="C28" s="142" t="s">
        <v>201</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c r="A29" s="147" t="s">
        <v>202</v>
      </c>
      <c r="B29" s="148" t="s">
        <v>188</v>
      </c>
      <c r="C29" s="142" t="s">
        <v>295</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c r="A30" s="147" t="s">
        <v>203</v>
      </c>
      <c r="B30" s="151" t="s">
        <v>204</v>
      </c>
      <c r="C30" s="142" t="s">
        <v>296</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c r="A31" s="147" t="s">
        <v>205</v>
      </c>
      <c r="B31" s="148" t="s">
        <v>33</v>
      </c>
      <c r="C31" s="142" t="s">
        <v>201</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c r="A32" s="147" t="s">
        <v>14</v>
      </c>
      <c r="B32" s="151" t="s">
        <v>183</v>
      </c>
      <c r="C32" s="142" t="s">
        <v>293</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c r="A35" s="159" t="s">
        <v>206</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c r="A36" s="159" t="s">
        <v>207</v>
      </c>
      <c r="B36" s="159" t="s">
        <v>175</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c r="A37" s="141" t="s">
        <v>185</v>
      </c>
      <c r="B37" s="151" t="s">
        <v>183</v>
      </c>
      <c r="C37" s="162" t="s">
        <v>186</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c r="A38" s="141" t="s">
        <v>186</v>
      </c>
      <c r="B38" s="151" t="s">
        <v>183</v>
      </c>
      <c r="C38" s="163" t="s">
        <v>206</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c r="A39" s="147" t="s">
        <v>191</v>
      </c>
      <c r="B39" s="148" t="s">
        <v>188</v>
      </c>
      <c r="C39" s="162" t="s">
        <v>192</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c r="A40" s="141" t="s">
        <v>192</v>
      </c>
      <c r="B40" s="148" t="s">
        <v>188</v>
      </c>
      <c r="C40" s="163" t="s">
        <v>206</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c r="A41" s="141" t="s">
        <v>13</v>
      </c>
      <c r="B41" s="148" t="s">
        <v>188</v>
      </c>
      <c r="C41" s="163" t="s">
        <v>206</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c r="A44" s="166" t="s">
        <v>251</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c r="A45" s="166"/>
      <c r="B45" s="166" t="s">
        <v>252</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c r="A46" s="147" t="s">
        <v>16</v>
      </c>
      <c r="B46" s="148" t="s">
        <v>253</v>
      </c>
      <c r="C46" s="151" t="s">
        <v>256</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c r="A47" s="147" t="s">
        <v>17</v>
      </c>
      <c r="B47" s="148" t="s">
        <v>254</v>
      </c>
      <c r="C47" s="151" t="s">
        <v>256</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c r="A48" s="141" t="s">
        <v>18</v>
      </c>
      <c r="B48" s="148" t="s">
        <v>255</v>
      </c>
      <c r="C48" s="151" t="s">
        <v>256</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c r="A51" s="166" t="s">
        <v>54</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c r="A52" s="166" t="s">
        <v>16</v>
      </c>
      <c r="B52" s="166" t="s">
        <v>208</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c r="A53" s="147" t="s">
        <v>176</v>
      </c>
      <c r="B53" s="148" t="s">
        <v>177</v>
      </c>
      <c r="C53" s="151" t="s">
        <v>209</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c r="A54" s="147" t="s">
        <v>178</v>
      </c>
      <c r="B54" s="148" t="s">
        <v>177</v>
      </c>
      <c r="C54" s="151" t="s">
        <v>209</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c r="A55" s="141" t="s">
        <v>179</v>
      </c>
      <c r="B55" s="148" t="s">
        <v>177</v>
      </c>
      <c r="C55" s="151" t="s">
        <v>209</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c r="A56" s="141" t="s">
        <v>181</v>
      </c>
      <c r="B56" s="148" t="s">
        <v>177</v>
      </c>
      <c r="C56" s="151" t="s">
        <v>210</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c r="A57" s="147" t="s">
        <v>182</v>
      </c>
      <c r="B57" s="151" t="s">
        <v>183</v>
      </c>
      <c r="C57" s="151" t="s">
        <v>211</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c r="A58" s="147" t="s">
        <v>184</v>
      </c>
      <c r="B58" s="151" t="s">
        <v>183</v>
      </c>
      <c r="C58" s="151" t="s">
        <v>212</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c r="A59" s="141" t="s">
        <v>185</v>
      </c>
      <c r="B59" s="142" t="s">
        <v>183</v>
      </c>
      <c r="C59" s="154" t="s">
        <v>186</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c r="A60" s="147" t="s">
        <v>187</v>
      </c>
      <c r="B60" s="151" t="s">
        <v>188</v>
      </c>
      <c r="C60" s="151" t="s">
        <v>212</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c r="A61" s="147" t="s">
        <v>11</v>
      </c>
      <c r="B61" s="148" t="s">
        <v>177</v>
      </c>
      <c r="C61" s="151" t="s">
        <v>213</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c r="A62" s="147" t="s">
        <v>2</v>
      </c>
      <c r="B62" s="148" t="s">
        <v>189</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c r="A63" s="141" t="s">
        <v>190</v>
      </c>
      <c r="B63" s="148" t="s">
        <v>177</v>
      </c>
      <c r="C63" s="151" t="s">
        <v>209</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c r="A64" s="141" t="s">
        <v>191</v>
      </c>
      <c r="B64" s="148" t="s">
        <v>188</v>
      </c>
      <c r="C64" s="162" t="s">
        <v>192</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c r="A65" s="141" t="s">
        <v>193</v>
      </c>
      <c r="B65" s="148" t="s">
        <v>177</v>
      </c>
      <c r="C65" s="151" t="s">
        <v>213</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c r="A66" s="141" t="s">
        <v>249</v>
      </c>
      <c r="B66" s="148" t="s">
        <v>177</v>
      </c>
      <c r="C66" s="151" t="s">
        <v>213</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c r="A67" s="141" t="s">
        <v>194</v>
      </c>
      <c r="B67" s="148" t="s">
        <v>177</v>
      </c>
      <c r="C67" s="151" t="s">
        <v>213</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c r="A68" s="147" t="s">
        <v>12</v>
      </c>
      <c r="B68" s="148" t="s">
        <v>177</v>
      </c>
      <c r="C68" s="151" t="s">
        <v>213</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c r="A69" s="147" t="s">
        <v>197</v>
      </c>
      <c r="B69" s="148" t="s">
        <v>177</v>
      </c>
      <c r="C69" s="162" t="s">
        <v>198</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c r="A70" s="147" t="s">
        <v>195</v>
      </c>
      <c r="B70" s="148" t="s">
        <v>177</v>
      </c>
      <c r="C70" s="154" t="s">
        <v>196</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c r="A71" s="141" t="s">
        <v>13</v>
      </c>
      <c r="B71" s="148" t="s">
        <v>188</v>
      </c>
      <c r="C71" s="151" t="s">
        <v>214</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c r="A72" s="141" t="s">
        <v>186</v>
      </c>
      <c r="B72" s="142" t="s">
        <v>183</v>
      </c>
      <c r="C72" s="163" t="s">
        <v>206</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c r="A73" s="147" t="s">
        <v>198</v>
      </c>
      <c r="B73" s="148" t="s">
        <v>177</v>
      </c>
      <c r="C73" s="151" t="s">
        <v>210</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c r="A74" s="141" t="s">
        <v>192</v>
      </c>
      <c r="B74" s="148" t="s">
        <v>188</v>
      </c>
      <c r="C74" s="163" t="s">
        <v>206</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c r="A75" s="147" t="s">
        <v>199</v>
      </c>
      <c r="B75" s="151" t="s">
        <v>183</v>
      </c>
      <c r="C75" s="151" t="s">
        <v>215</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c r="A76" s="147" t="s">
        <v>200</v>
      </c>
      <c r="B76" s="148" t="s">
        <v>33</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c r="A77" s="147" t="s">
        <v>202</v>
      </c>
      <c r="B77" s="148" t="s">
        <v>188</v>
      </c>
      <c r="C77" s="162" t="s">
        <v>192</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c r="A78" s="147" t="s">
        <v>203</v>
      </c>
      <c r="B78" s="148" t="s">
        <v>204</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c r="A79" s="147" t="s">
        <v>205</v>
      </c>
      <c r="B79" s="151" t="s">
        <v>33</v>
      </c>
      <c r="C79" s="151" t="s">
        <v>216</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c r="A80" s="147" t="s">
        <v>14</v>
      </c>
      <c r="B80" s="151" t="s">
        <v>183</v>
      </c>
      <c r="C80" s="151" t="s">
        <v>215</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c r="A82" s="147" t="s">
        <v>217</v>
      </c>
      <c r="B82" s="151" t="s">
        <v>183</v>
      </c>
      <c r="C82" s="142" t="s">
        <v>218</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c r="A83" s="147" t="s">
        <v>219</v>
      </c>
      <c r="B83" s="151" t="s">
        <v>183</v>
      </c>
      <c r="C83" s="151" t="s">
        <v>218</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c r="A84" s="147" t="s">
        <v>220</v>
      </c>
      <c r="B84" s="151" t="s">
        <v>183</v>
      </c>
      <c r="C84" s="142" t="s">
        <v>218</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c r="A85" s="147" t="s">
        <v>221</v>
      </c>
      <c r="B85" s="151" t="s">
        <v>183</v>
      </c>
      <c r="C85" s="142" t="s">
        <v>218</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c r="A86" s="147" t="s">
        <v>222</v>
      </c>
      <c r="B86" s="151" t="s">
        <v>183</v>
      </c>
      <c r="C86" s="154" t="s">
        <v>172</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c r="A88" s="141" t="s">
        <v>223</v>
      </c>
      <c r="B88" s="148" t="s">
        <v>188</v>
      </c>
      <c r="C88" s="163" t="s">
        <v>206</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c r="A89" s="141" t="s">
        <v>224</v>
      </c>
      <c r="B89" s="148" t="s">
        <v>188</v>
      </c>
      <c r="C89" s="151" t="s">
        <v>214</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c r="A90" s="170" t="s">
        <v>225</v>
      </c>
      <c r="B90" s="148" t="s">
        <v>183</v>
      </c>
      <c r="C90" s="151" t="s">
        <v>218</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c r="A91" s="170" t="s">
        <v>226</v>
      </c>
      <c r="B91" s="148" t="s">
        <v>188</v>
      </c>
      <c r="C91" s="151" t="s">
        <v>218</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c r="A93" s="166" t="s">
        <v>54</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c r="A94" s="166" t="s">
        <v>17</v>
      </c>
      <c r="B94" s="166" t="s">
        <v>227</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c r="A95" s="147" t="s">
        <v>176</v>
      </c>
      <c r="B95" s="148" t="s">
        <v>177</v>
      </c>
      <c r="C95" s="151" t="s">
        <v>209</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c r="A96" s="147" t="s">
        <v>178</v>
      </c>
      <c r="B96" s="148" t="s">
        <v>177</v>
      </c>
      <c r="C96" s="151" t="s">
        <v>209</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c r="A97" s="141" t="s">
        <v>179</v>
      </c>
      <c r="B97" s="148" t="s">
        <v>177</v>
      </c>
      <c r="C97" s="154" t="s">
        <v>11</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c r="A98" s="141" t="s">
        <v>181</v>
      </c>
      <c r="B98" s="148" t="s">
        <v>177</v>
      </c>
      <c r="C98" s="151" t="s">
        <v>210</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c r="A99" s="147" t="s">
        <v>182</v>
      </c>
      <c r="B99" s="151" t="s">
        <v>183</v>
      </c>
      <c r="C99" s="151" t="s">
        <v>228</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c r="A100" s="147" t="s">
        <v>184</v>
      </c>
      <c r="B100" s="151" t="s">
        <v>183</v>
      </c>
      <c r="C100" s="151" t="s">
        <v>228</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c r="A101" s="141" t="s">
        <v>185</v>
      </c>
      <c r="B101" s="142" t="s">
        <v>183</v>
      </c>
      <c r="C101" s="154" t="s">
        <v>186</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c r="A102" s="147" t="s">
        <v>187</v>
      </c>
      <c r="B102" s="151" t="s">
        <v>188</v>
      </c>
      <c r="C102" s="151" t="s">
        <v>228</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c r="A103" s="147" t="s">
        <v>11</v>
      </c>
      <c r="B103" s="148" t="s">
        <v>177</v>
      </c>
      <c r="C103" s="151" t="s">
        <v>213</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c r="A104" s="147" t="s">
        <v>2</v>
      </c>
      <c r="B104" s="148" t="s">
        <v>189</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c r="A105" s="141" t="s">
        <v>190</v>
      </c>
      <c r="B105" s="148" t="s">
        <v>177</v>
      </c>
      <c r="C105" s="154" t="s">
        <v>193</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c r="A106" s="141" t="s">
        <v>191</v>
      </c>
      <c r="B106" s="148" t="s">
        <v>188</v>
      </c>
      <c r="C106" s="162" t="s">
        <v>192</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c r="A107" s="141" t="s">
        <v>193</v>
      </c>
      <c r="B107" s="148" t="s">
        <v>177</v>
      </c>
      <c r="C107" s="151" t="s">
        <v>213</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c r="A108" s="141" t="s">
        <v>249</v>
      </c>
      <c r="B108" s="142" t="s">
        <v>177</v>
      </c>
      <c r="C108" s="151" t="s">
        <v>213</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c r="A109" s="141" t="s">
        <v>194</v>
      </c>
      <c r="B109" s="142" t="s">
        <v>177</v>
      </c>
      <c r="C109" s="151" t="s">
        <v>213</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c r="A110" s="147" t="s">
        <v>12</v>
      </c>
      <c r="B110" s="151" t="s">
        <v>177</v>
      </c>
      <c r="C110" s="151" t="s">
        <v>213</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c r="A111" s="147" t="s">
        <v>197</v>
      </c>
      <c r="B111" s="151" t="s">
        <v>177</v>
      </c>
      <c r="C111" s="162" t="s">
        <v>198</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c r="A112" s="147" t="s">
        <v>195</v>
      </c>
      <c r="B112" s="151" t="s">
        <v>177</v>
      </c>
      <c r="C112" s="154" t="s">
        <v>196</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c r="A113" s="141" t="s">
        <v>13</v>
      </c>
      <c r="B113" s="148" t="s">
        <v>188</v>
      </c>
      <c r="C113" s="151" t="s">
        <v>229</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c r="A114" s="141" t="s">
        <v>186</v>
      </c>
      <c r="B114" s="142" t="s">
        <v>183</v>
      </c>
      <c r="C114" s="151" t="s">
        <v>213</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c r="A115" s="147" t="s">
        <v>198</v>
      </c>
      <c r="B115" s="151" t="s">
        <v>177</v>
      </c>
      <c r="C115" s="151" t="s">
        <v>210</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c r="A116" s="141" t="s">
        <v>192</v>
      </c>
      <c r="B116" s="148" t="s">
        <v>188</v>
      </c>
      <c r="C116" s="151" t="s">
        <v>230</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c r="A117" s="147" t="s">
        <v>199</v>
      </c>
      <c r="B117" s="151" t="s">
        <v>183</v>
      </c>
      <c r="C117" s="151" t="s">
        <v>215</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c r="A118" s="147" t="s">
        <v>200</v>
      </c>
      <c r="B118" s="151" t="s">
        <v>33</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c r="A119" s="147" t="s">
        <v>202</v>
      </c>
      <c r="B119" s="148" t="s">
        <v>188</v>
      </c>
      <c r="C119" s="162" t="s">
        <v>192</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c r="A120" s="147" t="s">
        <v>203</v>
      </c>
      <c r="B120" s="148" t="s">
        <v>204</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c r="A121" s="147" t="s">
        <v>205</v>
      </c>
      <c r="B121" s="151" t="s">
        <v>33</v>
      </c>
      <c r="C121" s="151" t="s">
        <v>216</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c r="A122" s="147" t="s">
        <v>14</v>
      </c>
      <c r="B122" s="151" t="s">
        <v>183</v>
      </c>
      <c r="C122" s="151" t="s">
        <v>215</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c r="A125" s="166" t="s">
        <v>54</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c r="A126" s="166" t="s">
        <v>18</v>
      </c>
      <c r="B126" s="166" t="s">
        <v>231</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c r="A127" s="147" t="s">
        <v>176</v>
      </c>
      <c r="B127" s="151" t="s">
        <v>177</v>
      </c>
      <c r="C127" s="151" t="s">
        <v>209</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c r="A128" s="147" t="s">
        <v>178</v>
      </c>
      <c r="B128" s="151" t="s">
        <v>177</v>
      </c>
      <c r="C128" s="151" t="s">
        <v>209</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c r="A129" s="141" t="s">
        <v>179</v>
      </c>
      <c r="B129" s="142" t="s">
        <v>177</v>
      </c>
      <c r="C129" s="154" t="s">
        <v>11</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c r="A130" s="141" t="s">
        <v>181</v>
      </c>
      <c r="B130" s="142" t="s">
        <v>177</v>
      </c>
      <c r="C130" s="151" t="s">
        <v>210</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c r="A131" s="147" t="s">
        <v>182</v>
      </c>
      <c r="B131" s="151" t="s">
        <v>183</v>
      </c>
      <c r="C131" s="151" t="s">
        <v>228</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c r="A132" s="147" t="s">
        <v>184</v>
      </c>
      <c r="B132" s="151" t="s">
        <v>183</v>
      </c>
      <c r="C132" s="151" t="s">
        <v>228</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c r="A133" s="141" t="s">
        <v>185</v>
      </c>
      <c r="B133" s="142" t="s">
        <v>183</v>
      </c>
      <c r="C133" s="154" t="s">
        <v>186</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c r="A134" s="147" t="s">
        <v>187</v>
      </c>
      <c r="B134" s="151" t="s">
        <v>188</v>
      </c>
      <c r="C134" s="151" t="s">
        <v>228</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c r="A135" s="147" t="s">
        <v>11</v>
      </c>
      <c r="B135" s="151" t="s">
        <v>177</v>
      </c>
      <c r="C135" s="151" t="s">
        <v>213</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c r="A136" s="147" t="s">
        <v>2</v>
      </c>
      <c r="B136" s="151" t="s">
        <v>189</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c r="A137" s="141" t="s">
        <v>190</v>
      </c>
      <c r="B137" s="148" t="s">
        <v>177</v>
      </c>
      <c r="C137" s="154" t="s">
        <v>193</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c r="A138" s="141" t="s">
        <v>191</v>
      </c>
      <c r="B138" s="148" t="s">
        <v>188</v>
      </c>
      <c r="C138" s="162" t="s">
        <v>192</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c r="A139" s="141" t="s">
        <v>193</v>
      </c>
      <c r="B139" s="148" t="s">
        <v>177</v>
      </c>
      <c r="C139" s="151" t="s">
        <v>213</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c r="A140" s="141" t="s">
        <v>249</v>
      </c>
      <c r="B140" s="142" t="s">
        <v>177</v>
      </c>
      <c r="C140" s="151" t="s">
        <v>213</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c r="A141" s="141" t="s">
        <v>194</v>
      </c>
      <c r="B141" s="142" t="s">
        <v>177</v>
      </c>
      <c r="C141" s="151" t="s">
        <v>213</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c r="A142" s="147" t="s">
        <v>12</v>
      </c>
      <c r="B142" s="151" t="s">
        <v>177</v>
      </c>
      <c r="C142" s="151" t="s">
        <v>213</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c r="A143" s="147" t="s">
        <v>197</v>
      </c>
      <c r="B143" s="151" t="s">
        <v>177</v>
      </c>
      <c r="C143" s="162" t="s">
        <v>198</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c r="A144" s="147" t="s">
        <v>195</v>
      </c>
      <c r="B144" s="151" t="s">
        <v>177</v>
      </c>
      <c r="C144" s="154" t="s">
        <v>196</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c r="A145" s="141" t="s">
        <v>13</v>
      </c>
      <c r="B145" s="148" t="s">
        <v>188</v>
      </c>
      <c r="C145" s="151" t="s">
        <v>229</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c r="A146" s="141" t="s">
        <v>186</v>
      </c>
      <c r="B146" s="142" t="s">
        <v>183</v>
      </c>
      <c r="C146" s="151" t="s">
        <v>232</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c r="A147" s="147" t="s">
        <v>198</v>
      </c>
      <c r="B147" s="151" t="s">
        <v>177</v>
      </c>
      <c r="C147" s="151" t="s">
        <v>210</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c r="A148" s="141" t="s">
        <v>192</v>
      </c>
      <c r="B148" s="148" t="s">
        <v>188</v>
      </c>
      <c r="C148" s="176" t="s">
        <v>202</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c r="A149" s="147" t="s">
        <v>199</v>
      </c>
      <c r="B149" s="151" t="s">
        <v>183</v>
      </c>
      <c r="C149" s="151" t="s">
        <v>215</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c r="A150" s="147" t="s">
        <v>200</v>
      </c>
      <c r="B150" s="151" t="s">
        <v>33</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c r="A151" s="147" t="s">
        <v>202</v>
      </c>
      <c r="B151" s="148" t="s">
        <v>188</v>
      </c>
      <c r="C151" s="151" t="s">
        <v>213</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c r="A152" s="147" t="s">
        <v>203</v>
      </c>
      <c r="B152" s="148" t="s">
        <v>204</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c r="A153" s="147" t="s">
        <v>205</v>
      </c>
      <c r="B153" s="151" t="s">
        <v>33</v>
      </c>
      <c r="C153" s="151" t="s">
        <v>216</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c r="A154" s="147" t="s">
        <v>14</v>
      </c>
      <c r="B154" s="151" t="s">
        <v>183</v>
      </c>
      <c r="C154" s="151" t="s">
        <v>215</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c r="A156" s="147" t="s">
        <v>233</v>
      </c>
      <c r="B156" s="151" t="s">
        <v>183</v>
      </c>
      <c r="C156" s="178" t="s">
        <v>234</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c r="A157" s="147" t="s">
        <v>235</v>
      </c>
      <c r="B157" s="151" t="s">
        <v>183</v>
      </c>
      <c r="C157" s="178" t="s">
        <v>218</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c r="A160" s="166" t="s">
        <v>54</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c r="A161" s="166" t="s">
        <v>236</v>
      </c>
      <c r="B161" s="166" t="s">
        <v>237</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c r="A162" s="147" t="s">
        <v>220</v>
      </c>
      <c r="B162" s="151" t="s">
        <v>183</v>
      </c>
      <c r="C162" s="151" t="s">
        <v>238</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c r="A163" s="147" t="s">
        <v>239</v>
      </c>
      <c r="B163" s="151" t="s">
        <v>183</v>
      </c>
      <c r="C163" s="151" t="s">
        <v>240</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c r="A166" s="180" t="s">
        <v>241</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c r="A167" s="180"/>
      <c r="B167" s="180" t="s">
        <v>172</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c r="A168" s="147" t="s">
        <v>176</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c r="A169" s="147" t="s">
        <v>178</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c r="A170" s="141" t="s">
        <v>179</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c r="A171" s="141" t="s">
        <v>181</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c r="A172" s="147" t="s">
        <v>182</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c r="A173" s="147" t="s">
        <v>184</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c r="A174" s="141" t="s">
        <v>185</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c r="A175" s="147" t="s">
        <v>187</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c r="A176" s="147" t="s">
        <v>11</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c r="A178" s="141" t="s">
        <v>190</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c r="A179" s="141" t="s">
        <v>191</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c r="A180" s="141" t="s">
        <v>193</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c r="A181" s="141" t="s">
        <v>249</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c r="A182" s="141" t="s">
        <v>194</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c r="A183" s="147" t="s">
        <v>12</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c r="A184" s="147" t="s">
        <v>197</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c r="A185" s="147" t="s">
        <v>195</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c r="A186" s="141" t="s">
        <v>13</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c r="A187" s="141" t="s">
        <v>186</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c r="A188" s="147" t="s">
        <v>198</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c r="A189" s="141" t="s">
        <v>192</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c r="A190" s="147" t="s">
        <v>199</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c r="A191" s="147" t="s">
        <v>200</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c r="A192" s="147" t="s">
        <v>202</v>
      </c>
      <c r="B192" s="148"/>
      <c r="C192" s="154" t="s">
        <v>192</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c r="A193" s="147" t="s">
        <v>203</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c r="A194" s="147" t="s">
        <v>205</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c r="A195" s="147" t="s">
        <v>14</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c r="A197" s="147" t="s">
        <v>222</v>
      </c>
      <c r="C197" s="142" t="s">
        <v>294</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c r="A200" s="180" t="s">
        <v>242</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c r="A201" s="180"/>
      <c r="B201" s="180" t="s">
        <v>172</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c r="A202" s="141" t="s">
        <v>185</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c r="A203" s="141" t="s">
        <v>186</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c r="A204" s="147" t="s">
        <v>191</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c r="A205" s="141" t="s">
        <v>192</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c r="A206" s="141" t="s">
        <v>13</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c r="A209" s="180" t="s">
        <v>243</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c r="A210" s="180"/>
      <c r="B210" s="180" t="s">
        <v>244</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c r="A211" s="147" t="s">
        <v>176</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1">
        <f t="shared" ref="AS211:BV211" si="158">AR211</f>
        <v>6.5625817706061929E-5</v>
      </c>
      <c r="AT211" s="191">
        <f t="shared" si="158"/>
        <v>6.5625817706061929E-5</v>
      </c>
      <c r="AU211" s="191">
        <f t="shared" si="158"/>
        <v>6.5625817706061929E-5</v>
      </c>
      <c r="AV211" s="191">
        <f t="shared" si="158"/>
        <v>6.5625817706061929E-5</v>
      </c>
      <c r="AW211" s="191">
        <f t="shared" si="158"/>
        <v>6.5625817706061929E-5</v>
      </c>
      <c r="AX211" s="191">
        <f t="shared" si="158"/>
        <v>6.5625817706061929E-5</v>
      </c>
      <c r="AY211" s="191">
        <f t="shared" si="158"/>
        <v>6.5625817706061929E-5</v>
      </c>
      <c r="AZ211" s="191">
        <f t="shared" si="158"/>
        <v>6.5625817706061929E-5</v>
      </c>
      <c r="BA211" s="191">
        <f t="shared" si="158"/>
        <v>6.5625817706061929E-5</v>
      </c>
      <c r="BB211" s="191">
        <f t="shared" si="158"/>
        <v>6.5625817706061929E-5</v>
      </c>
      <c r="BC211" s="191">
        <f t="shared" si="158"/>
        <v>6.5625817706061929E-5</v>
      </c>
      <c r="BD211" s="191">
        <f t="shared" si="158"/>
        <v>6.5625817706061929E-5</v>
      </c>
      <c r="BE211" s="191">
        <f t="shared" si="158"/>
        <v>6.5625817706061929E-5</v>
      </c>
      <c r="BF211" s="191">
        <f t="shared" si="158"/>
        <v>6.5625817706061929E-5</v>
      </c>
      <c r="BG211" s="191">
        <f t="shared" si="158"/>
        <v>6.5625817706061929E-5</v>
      </c>
      <c r="BH211" s="191">
        <f t="shared" si="158"/>
        <v>6.5625817706061929E-5</v>
      </c>
      <c r="BI211" s="191">
        <f t="shared" si="158"/>
        <v>6.5625817706061929E-5</v>
      </c>
      <c r="BJ211" s="191">
        <f t="shared" si="158"/>
        <v>6.5625817706061929E-5</v>
      </c>
      <c r="BK211" s="191">
        <f t="shared" si="158"/>
        <v>6.5625817706061929E-5</v>
      </c>
      <c r="BL211" s="191">
        <f t="shared" si="158"/>
        <v>6.5625817706061929E-5</v>
      </c>
      <c r="BM211" s="191">
        <f t="shared" si="158"/>
        <v>6.5625817706061929E-5</v>
      </c>
      <c r="BN211" s="191">
        <f t="shared" si="158"/>
        <v>6.5625817706061929E-5</v>
      </c>
      <c r="BO211" s="191">
        <f t="shared" si="158"/>
        <v>6.5625817706061929E-5</v>
      </c>
      <c r="BP211" s="191">
        <f t="shared" si="158"/>
        <v>6.5625817706061929E-5</v>
      </c>
      <c r="BQ211" s="191">
        <f t="shared" si="158"/>
        <v>6.5625817706061929E-5</v>
      </c>
      <c r="BR211" s="191">
        <f t="shared" si="158"/>
        <v>6.5625817706061929E-5</v>
      </c>
      <c r="BS211" s="191">
        <f t="shared" si="158"/>
        <v>6.5625817706061929E-5</v>
      </c>
      <c r="BT211" s="191">
        <f t="shared" si="158"/>
        <v>6.5625817706061929E-5</v>
      </c>
      <c r="BU211" s="191">
        <f t="shared" si="158"/>
        <v>6.5625817706061929E-5</v>
      </c>
      <c r="BV211" s="191">
        <f t="shared" si="158"/>
        <v>6.5625817706061929E-5</v>
      </c>
    </row>
    <row r="212" spans="1:74">
      <c r="A212" s="147" t="s">
        <v>178</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1">
        <f t="shared" ref="AS212:BV212" si="159">AR212</f>
        <v>7.7539874500078363E-7</v>
      </c>
      <c r="AT212" s="191">
        <f t="shared" si="159"/>
        <v>7.7539874500078363E-7</v>
      </c>
      <c r="AU212" s="191">
        <f t="shared" si="159"/>
        <v>7.7539874500078363E-7</v>
      </c>
      <c r="AV212" s="191">
        <f t="shared" si="159"/>
        <v>7.7539874500078363E-7</v>
      </c>
      <c r="AW212" s="191">
        <f t="shared" si="159"/>
        <v>7.7539874500078363E-7</v>
      </c>
      <c r="AX212" s="191">
        <f t="shared" si="159"/>
        <v>7.7539874500078363E-7</v>
      </c>
      <c r="AY212" s="191">
        <f t="shared" si="159"/>
        <v>7.7539874500078363E-7</v>
      </c>
      <c r="AZ212" s="191">
        <f t="shared" si="159"/>
        <v>7.7539874500078363E-7</v>
      </c>
      <c r="BA212" s="191">
        <f t="shared" si="159"/>
        <v>7.7539874500078363E-7</v>
      </c>
      <c r="BB212" s="191">
        <f t="shared" si="159"/>
        <v>7.7539874500078363E-7</v>
      </c>
      <c r="BC212" s="191">
        <f t="shared" si="159"/>
        <v>7.7539874500078363E-7</v>
      </c>
      <c r="BD212" s="191">
        <f t="shared" si="159"/>
        <v>7.7539874500078363E-7</v>
      </c>
      <c r="BE212" s="191">
        <f t="shared" si="159"/>
        <v>7.7539874500078363E-7</v>
      </c>
      <c r="BF212" s="191">
        <f t="shared" si="159"/>
        <v>7.7539874500078363E-7</v>
      </c>
      <c r="BG212" s="191">
        <f t="shared" si="159"/>
        <v>7.7539874500078363E-7</v>
      </c>
      <c r="BH212" s="191">
        <f t="shared" si="159"/>
        <v>7.7539874500078363E-7</v>
      </c>
      <c r="BI212" s="191">
        <f t="shared" si="159"/>
        <v>7.7539874500078363E-7</v>
      </c>
      <c r="BJ212" s="191">
        <f t="shared" si="159"/>
        <v>7.7539874500078363E-7</v>
      </c>
      <c r="BK212" s="191">
        <f t="shared" si="159"/>
        <v>7.7539874500078363E-7</v>
      </c>
      <c r="BL212" s="191">
        <f t="shared" si="159"/>
        <v>7.7539874500078363E-7</v>
      </c>
      <c r="BM212" s="191">
        <f t="shared" si="159"/>
        <v>7.7539874500078363E-7</v>
      </c>
      <c r="BN212" s="191">
        <f t="shared" si="159"/>
        <v>7.7539874500078363E-7</v>
      </c>
      <c r="BO212" s="191">
        <f t="shared" si="159"/>
        <v>7.7539874500078363E-7</v>
      </c>
      <c r="BP212" s="191">
        <f t="shared" si="159"/>
        <v>7.7539874500078363E-7</v>
      </c>
      <c r="BQ212" s="191">
        <f t="shared" si="159"/>
        <v>7.7539874500078363E-7</v>
      </c>
      <c r="BR212" s="191">
        <f t="shared" si="159"/>
        <v>7.7539874500078363E-7</v>
      </c>
      <c r="BS212" s="191">
        <f t="shared" si="159"/>
        <v>7.7539874500078363E-7</v>
      </c>
      <c r="BT212" s="191">
        <f t="shared" si="159"/>
        <v>7.7539874500078363E-7</v>
      </c>
      <c r="BU212" s="191">
        <f t="shared" si="159"/>
        <v>7.7539874500078363E-7</v>
      </c>
      <c r="BV212" s="191">
        <f t="shared" si="159"/>
        <v>7.7539874500078363E-7</v>
      </c>
    </row>
    <row r="213" spans="1:74">
      <c r="A213" s="141" t="s">
        <v>179</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1">
        <f t="shared" ref="AS213:BV213" si="160">AR213</f>
        <v>3.9913102253513877E-6</v>
      </c>
      <c r="AT213" s="191">
        <f t="shared" si="160"/>
        <v>3.9913102253513877E-6</v>
      </c>
      <c r="AU213" s="191">
        <f t="shared" si="160"/>
        <v>3.9913102253513877E-6</v>
      </c>
      <c r="AV213" s="191">
        <f t="shared" si="160"/>
        <v>3.9913102253513877E-6</v>
      </c>
      <c r="AW213" s="191">
        <f t="shared" si="160"/>
        <v>3.9913102253513877E-6</v>
      </c>
      <c r="AX213" s="191">
        <f t="shared" si="160"/>
        <v>3.9913102253513877E-6</v>
      </c>
      <c r="AY213" s="191">
        <f t="shared" si="160"/>
        <v>3.9913102253513877E-6</v>
      </c>
      <c r="AZ213" s="191">
        <f t="shared" si="160"/>
        <v>3.9913102253513877E-6</v>
      </c>
      <c r="BA213" s="191">
        <f t="shared" si="160"/>
        <v>3.9913102253513877E-6</v>
      </c>
      <c r="BB213" s="191">
        <f t="shared" si="160"/>
        <v>3.9913102253513877E-6</v>
      </c>
      <c r="BC213" s="191">
        <f t="shared" si="160"/>
        <v>3.9913102253513877E-6</v>
      </c>
      <c r="BD213" s="191">
        <f t="shared" si="160"/>
        <v>3.9913102253513877E-6</v>
      </c>
      <c r="BE213" s="191">
        <f t="shared" si="160"/>
        <v>3.9913102253513877E-6</v>
      </c>
      <c r="BF213" s="191">
        <f t="shared" si="160"/>
        <v>3.9913102253513877E-6</v>
      </c>
      <c r="BG213" s="191">
        <f t="shared" si="160"/>
        <v>3.9913102253513877E-6</v>
      </c>
      <c r="BH213" s="191">
        <f t="shared" si="160"/>
        <v>3.9913102253513877E-6</v>
      </c>
      <c r="BI213" s="191">
        <f t="shared" si="160"/>
        <v>3.9913102253513877E-6</v>
      </c>
      <c r="BJ213" s="191">
        <f t="shared" si="160"/>
        <v>3.9913102253513877E-6</v>
      </c>
      <c r="BK213" s="191">
        <f t="shared" si="160"/>
        <v>3.9913102253513877E-6</v>
      </c>
      <c r="BL213" s="191">
        <f t="shared" si="160"/>
        <v>3.9913102253513877E-6</v>
      </c>
      <c r="BM213" s="191">
        <f t="shared" si="160"/>
        <v>3.9913102253513877E-6</v>
      </c>
      <c r="BN213" s="191">
        <f t="shared" si="160"/>
        <v>3.9913102253513877E-6</v>
      </c>
      <c r="BO213" s="191">
        <f t="shared" si="160"/>
        <v>3.9913102253513877E-6</v>
      </c>
      <c r="BP213" s="191">
        <f t="shared" si="160"/>
        <v>3.9913102253513877E-6</v>
      </c>
      <c r="BQ213" s="191">
        <f t="shared" si="160"/>
        <v>3.9913102253513877E-6</v>
      </c>
      <c r="BR213" s="191">
        <f t="shared" si="160"/>
        <v>3.9913102253513877E-6</v>
      </c>
      <c r="BS213" s="191">
        <f t="shared" si="160"/>
        <v>3.9913102253513877E-6</v>
      </c>
      <c r="BT213" s="191">
        <f t="shared" si="160"/>
        <v>3.9913102253513877E-6</v>
      </c>
      <c r="BU213" s="191">
        <f t="shared" si="160"/>
        <v>3.9913102253513877E-6</v>
      </c>
      <c r="BV213" s="191">
        <f t="shared" si="160"/>
        <v>3.9913102253513877E-6</v>
      </c>
    </row>
    <row r="214" spans="1:74">
      <c r="A214" s="141" t="s">
        <v>181</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1">
        <f t="shared" ref="AS214:BV214" si="161">AR214</f>
        <v>8.4386515964682317E-7</v>
      </c>
      <c r="AT214" s="191">
        <f t="shared" si="161"/>
        <v>8.4386515964682317E-7</v>
      </c>
      <c r="AU214" s="191">
        <f t="shared" si="161"/>
        <v>8.4386515964682317E-7</v>
      </c>
      <c r="AV214" s="191">
        <f t="shared" si="161"/>
        <v>8.4386515964682317E-7</v>
      </c>
      <c r="AW214" s="191">
        <f t="shared" si="161"/>
        <v>8.4386515964682317E-7</v>
      </c>
      <c r="AX214" s="191">
        <f t="shared" si="161"/>
        <v>8.4386515964682317E-7</v>
      </c>
      <c r="AY214" s="191">
        <f t="shared" si="161"/>
        <v>8.4386515964682317E-7</v>
      </c>
      <c r="AZ214" s="191">
        <f t="shared" si="161"/>
        <v>8.4386515964682317E-7</v>
      </c>
      <c r="BA214" s="191">
        <f t="shared" si="161"/>
        <v>8.4386515964682317E-7</v>
      </c>
      <c r="BB214" s="191">
        <f t="shared" si="161"/>
        <v>8.4386515964682317E-7</v>
      </c>
      <c r="BC214" s="191">
        <f t="shared" si="161"/>
        <v>8.4386515964682317E-7</v>
      </c>
      <c r="BD214" s="191">
        <f t="shared" si="161"/>
        <v>8.4386515964682317E-7</v>
      </c>
      <c r="BE214" s="191">
        <f t="shared" si="161"/>
        <v>8.4386515964682317E-7</v>
      </c>
      <c r="BF214" s="191">
        <f t="shared" si="161"/>
        <v>8.4386515964682317E-7</v>
      </c>
      <c r="BG214" s="191">
        <f t="shared" si="161"/>
        <v>8.4386515964682317E-7</v>
      </c>
      <c r="BH214" s="191">
        <f t="shared" si="161"/>
        <v>8.4386515964682317E-7</v>
      </c>
      <c r="BI214" s="191">
        <f t="shared" si="161"/>
        <v>8.4386515964682317E-7</v>
      </c>
      <c r="BJ214" s="191">
        <f t="shared" si="161"/>
        <v>8.4386515964682317E-7</v>
      </c>
      <c r="BK214" s="191">
        <f t="shared" si="161"/>
        <v>8.4386515964682317E-7</v>
      </c>
      <c r="BL214" s="191">
        <f t="shared" si="161"/>
        <v>8.4386515964682317E-7</v>
      </c>
      <c r="BM214" s="191">
        <f t="shared" si="161"/>
        <v>8.4386515964682317E-7</v>
      </c>
      <c r="BN214" s="191">
        <f t="shared" si="161"/>
        <v>8.4386515964682317E-7</v>
      </c>
      <c r="BO214" s="191">
        <f t="shared" si="161"/>
        <v>8.4386515964682317E-7</v>
      </c>
      <c r="BP214" s="191">
        <f t="shared" si="161"/>
        <v>8.4386515964682317E-7</v>
      </c>
      <c r="BQ214" s="191">
        <f t="shared" si="161"/>
        <v>8.4386515964682317E-7</v>
      </c>
      <c r="BR214" s="191">
        <f t="shared" si="161"/>
        <v>8.4386515964682317E-7</v>
      </c>
      <c r="BS214" s="191">
        <f t="shared" si="161"/>
        <v>8.4386515964682317E-7</v>
      </c>
      <c r="BT214" s="191">
        <f t="shared" si="161"/>
        <v>8.4386515964682317E-7</v>
      </c>
      <c r="BU214" s="191">
        <f t="shared" si="161"/>
        <v>8.4386515964682317E-7</v>
      </c>
      <c r="BV214" s="191">
        <f t="shared" si="161"/>
        <v>8.4386515964682317E-7</v>
      </c>
    </row>
    <row r="215" spans="1:74">
      <c r="A215" s="147" t="s">
        <v>182</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1">
        <f t="shared" ref="AS215:BV215" si="162">AR215</f>
        <v>1.1200870687822775E-6</v>
      </c>
      <c r="AT215" s="191">
        <f t="shared" si="162"/>
        <v>1.1200870687822775E-6</v>
      </c>
      <c r="AU215" s="191">
        <f t="shared" si="162"/>
        <v>1.1200870687822775E-6</v>
      </c>
      <c r="AV215" s="191">
        <f t="shared" si="162"/>
        <v>1.1200870687822775E-6</v>
      </c>
      <c r="AW215" s="191">
        <f t="shared" si="162"/>
        <v>1.1200870687822775E-6</v>
      </c>
      <c r="AX215" s="191">
        <f t="shared" si="162"/>
        <v>1.1200870687822775E-6</v>
      </c>
      <c r="AY215" s="191">
        <f t="shared" si="162"/>
        <v>1.1200870687822775E-6</v>
      </c>
      <c r="AZ215" s="191">
        <f t="shared" si="162"/>
        <v>1.1200870687822775E-6</v>
      </c>
      <c r="BA215" s="191">
        <f t="shared" si="162"/>
        <v>1.1200870687822775E-6</v>
      </c>
      <c r="BB215" s="191">
        <f t="shared" si="162"/>
        <v>1.1200870687822775E-6</v>
      </c>
      <c r="BC215" s="191">
        <f t="shared" si="162"/>
        <v>1.1200870687822775E-6</v>
      </c>
      <c r="BD215" s="191">
        <f t="shared" si="162"/>
        <v>1.1200870687822775E-6</v>
      </c>
      <c r="BE215" s="191">
        <f t="shared" si="162"/>
        <v>1.1200870687822775E-6</v>
      </c>
      <c r="BF215" s="191">
        <f t="shared" si="162"/>
        <v>1.1200870687822775E-6</v>
      </c>
      <c r="BG215" s="191">
        <f t="shared" si="162"/>
        <v>1.1200870687822775E-6</v>
      </c>
      <c r="BH215" s="191">
        <f t="shared" si="162"/>
        <v>1.1200870687822775E-6</v>
      </c>
      <c r="BI215" s="191">
        <f t="shared" si="162"/>
        <v>1.1200870687822775E-6</v>
      </c>
      <c r="BJ215" s="191">
        <f t="shared" si="162"/>
        <v>1.1200870687822775E-6</v>
      </c>
      <c r="BK215" s="191">
        <f t="shared" si="162"/>
        <v>1.1200870687822775E-6</v>
      </c>
      <c r="BL215" s="191">
        <f t="shared" si="162"/>
        <v>1.1200870687822775E-6</v>
      </c>
      <c r="BM215" s="191">
        <f t="shared" si="162"/>
        <v>1.1200870687822775E-6</v>
      </c>
      <c r="BN215" s="191">
        <f t="shared" si="162"/>
        <v>1.1200870687822775E-6</v>
      </c>
      <c r="BO215" s="191">
        <f t="shared" si="162"/>
        <v>1.1200870687822775E-6</v>
      </c>
      <c r="BP215" s="191">
        <f t="shared" si="162"/>
        <v>1.1200870687822775E-6</v>
      </c>
      <c r="BQ215" s="191">
        <f t="shared" si="162"/>
        <v>1.1200870687822775E-6</v>
      </c>
      <c r="BR215" s="191">
        <f t="shared" si="162"/>
        <v>1.1200870687822775E-6</v>
      </c>
      <c r="BS215" s="191">
        <f t="shared" si="162"/>
        <v>1.1200870687822775E-6</v>
      </c>
      <c r="BT215" s="191">
        <f t="shared" si="162"/>
        <v>1.1200870687822775E-6</v>
      </c>
      <c r="BU215" s="191">
        <f t="shared" si="162"/>
        <v>1.1200870687822775E-6</v>
      </c>
      <c r="BV215" s="191">
        <f t="shared" si="162"/>
        <v>1.1200870687822775E-6</v>
      </c>
    </row>
    <row r="216" spans="1:74">
      <c r="A216" s="147" t="s">
        <v>184</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1">
        <f t="shared" ref="AS216:BV216" si="163">AR216</f>
        <v>1.0405828135151244E-6</v>
      </c>
      <c r="AT216" s="191">
        <f t="shared" si="163"/>
        <v>1.0405828135151244E-6</v>
      </c>
      <c r="AU216" s="191">
        <f t="shared" si="163"/>
        <v>1.0405828135151244E-6</v>
      </c>
      <c r="AV216" s="191">
        <f t="shared" si="163"/>
        <v>1.0405828135151244E-6</v>
      </c>
      <c r="AW216" s="191">
        <f t="shared" si="163"/>
        <v>1.0405828135151244E-6</v>
      </c>
      <c r="AX216" s="191">
        <f t="shared" si="163"/>
        <v>1.0405828135151244E-6</v>
      </c>
      <c r="AY216" s="191">
        <f t="shared" si="163"/>
        <v>1.0405828135151244E-6</v>
      </c>
      <c r="AZ216" s="191">
        <f t="shared" si="163"/>
        <v>1.0405828135151244E-6</v>
      </c>
      <c r="BA216" s="191">
        <f t="shared" si="163"/>
        <v>1.0405828135151244E-6</v>
      </c>
      <c r="BB216" s="191">
        <f t="shared" si="163"/>
        <v>1.0405828135151244E-6</v>
      </c>
      <c r="BC216" s="191">
        <f t="shared" si="163"/>
        <v>1.0405828135151244E-6</v>
      </c>
      <c r="BD216" s="191">
        <f t="shared" si="163"/>
        <v>1.0405828135151244E-6</v>
      </c>
      <c r="BE216" s="191">
        <f t="shared" si="163"/>
        <v>1.0405828135151244E-6</v>
      </c>
      <c r="BF216" s="191">
        <f t="shared" si="163"/>
        <v>1.0405828135151244E-6</v>
      </c>
      <c r="BG216" s="191">
        <f t="shared" si="163"/>
        <v>1.0405828135151244E-6</v>
      </c>
      <c r="BH216" s="191">
        <f t="shared" si="163"/>
        <v>1.0405828135151244E-6</v>
      </c>
      <c r="BI216" s="191">
        <f t="shared" si="163"/>
        <v>1.0405828135151244E-6</v>
      </c>
      <c r="BJ216" s="191">
        <f t="shared" si="163"/>
        <v>1.0405828135151244E-6</v>
      </c>
      <c r="BK216" s="191">
        <f t="shared" si="163"/>
        <v>1.0405828135151244E-6</v>
      </c>
      <c r="BL216" s="191">
        <f t="shared" si="163"/>
        <v>1.0405828135151244E-6</v>
      </c>
      <c r="BM216" s="191">
        <f t="shared" si="163"/>
        <v>1.0405828135151244E-6</v>
      </c>
      <c r="BN216" s="191">
        <f t="shared" si="163"/>
        <v>1.0405828135151244E-6</v>
      </c>
      <c r="BO216" s="191">
        <f t="shared" si="163"/>
        <v>1.0405828135151244E-6</v>
      </c>
      <c r="BP216" s="191">
        <f t="shared" si="163"/>
        <v>1.0405828135151244E-6</v>
      </c>
      <c r="BQ216" s="191">
        <f t="shared" si="163"/>
        <v>1.0405828135151244E-6</v>
      </c>
      <c r="BR216" s="191">
        <f t="shared" si="163"/>
        <v>1.0405828135151244E-6</v>
      </c>
      <c r="BS216" s="191">
        <f t="shared" si="163"/>
        <v>1.0405828135151244E-6</v>
      </c>
      <c r="BT216" s="191">
        <f t="shared" si="163"/>
        <v>1.0405828135151244E-6</v>
      </c>
      <c r="BU216" s="191">
        <f t="shared" si="163"/>
        <v>1.0405828135151244E-6</v>
      </c>
      <c r="BV216" s="191">
        <f t="shared" si="163"/>
        <v>1.0405828135151244E-6</v>
      </c>
    </row>
    <row r="217" spans="1:74">
      <c r="A217" s="141" t="s">
        <v>185</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1">
        <f t="shared" ref="AS217:BV217" si="164">AR217</f>
        <v>2.5888327551652638E-6</v>
      </c>
      <c r="AT217" s="191">
        <f t="shared" si="164"/>
        <v>2.5888327551652638E-6</v>
      </c>
      <c r="AU217" s="191">
        <f t="shared" si="164"/>
        <v>2.5888327551652638E-6</v>
      </c>
      <c r="AV217" s="191">
        <f t="shared" si="164"/>
        <v>2.5888327551652638E-6</v>
      </c>
      <c r="AW217" s="191">
        <f t="shared" si="164"/>
        <v>2.5888327551652638E-6</v>
      </c>
      <c r="AX217" s="191">
        <f t="shared" si="164"/>
        <v>2.5888327551652638E-6</v>
      </c>
      <c r="AY217" s="191">
        <f t="shared" si="164"/>
        <v>2.5888327551652638E-6</v>
      </c>
      <c r="AZ217" s="191">
        <f t="shared" si="164"/>
        <v>2.5888327551652638E-6</v>
      </c>
      <c r="BA217" s="191">
        <f t="shared" si="164"/>
        <v>2.5888327551652638E-6</v>
      </c>
      <c r="BB217" s="191">
        <f t="shared" si="164"/>
        <v>2.5888327551652638E-6</v>
      </c>
      <c r="BC217" s="191">
        <f t="shared" si="164"/>
        <v>2.5888327551652638E-6</v>
      </c>
      <c r="BD217" s="191">
        <f t="shared" si="164"/>
        <v>2.5888327551652638E-6</v>
      </c>
      <c r="BE217" s="191">
        <f t="shared" si="164"/>
        <v>2.5888327551652638E-6</v>
      </c>
      <c r="BF217" s="191">
        <f t="shared" si="164"/>
        <v>2.5888327551652638E-6</v>
      </c>
      <c r="BG217" s="191">
        <f t="shared" si="164"/>
        <v>2.5888327551652638E-6</v>
      </c>
      <c r="BH217" s="191">
        <f t="shared" si="164"/>
        <v>2.5888327551652638E-6</v>
      </c>
      <c r="BI217" s="191">
        <f t="shared" si="164"/>
        <v>2.5888327551652638E-6</v>
      </c>
      <c r="BJ217" s="191">
        <f t="shared" si="164"/>
        <v>2.5888327551652638E-6</v>
      </c>
      <c r="BK217" s="191">
        <f t="shared" si="164"/>
        <v>2.5888327551652638E-6</v>
      </c>
      <c r="BL217" s="191">
        <f t="shared" si="164"/>
        <v>2.5888327551652638E-6</v>
      </c>
      <c r="BM217" s="191">
        <f t="shared" si="164"/>
        <v>2.5888327551652638E-6</v>
      </c>
      <c r="BN217" s="191">
        <f t="shared" si="164"/>
        <v>2.5888327551652638E-6</v>
      </c>
      <c r="BO217" s="191">
        <f t="shared" si="164"/>
        <v>2.5888327551652638E-6</v>
      </c>
      <c r="BP217" s="191">
        <f t="shared" si="164"/>
        <v>2.5888327551652638E-6</v>
      </c>
      <c r="BQ217" s="191">
        <f t="shared" si="164"/>
        <v>2.5888327551652638E-6</v>
      </c>
      <c r="BR217" s="191">
        <f t="shared" si="164"/>
        <v>2.5888327551652638E-6</v>
      </c>
      <c r="BS217" s="191">
        <f t="shared" si="164"/>
        <v>2.5888327551652638E-6</v>
      </c>
      <c r="BT217" s="191">
        <f t="shared" si="164"/>
        <v>2.5888327551652638E-6</v>
      </c>
      <c r="BU217" s="191">
        <f t="shared" si="164"/>
        <v>2.5888327551652638E-6</v>
      </c>
      <c r="BV217" s="191">
        <f t="shared" si="164"/>
        <v>2.5888327551652638E-6</v>
      </c>
    </row>
    <row r="218" spans="1:74">
      <c r="A218" s="147" t="s">
        <v>187</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1">
        <f t="shared" ref="AS218:BV218" si="165">AR218</f>
        <v>2.0898631426917697E-6</v>
      </c>
      <c r="AT218" s="191">
        <f t="shared" si="165"/>
        <v>2.0898631426917697E-6</v>
      </c>
      <c r="AU218" s="191">
        <f t="shared" si="165"/>
        <v>2.0898631426917697E-6</v>
      </c>
      <c r="AV218" s="191">
        <f t="shared" si="165"/>
        <v>2.0898631426917697E-6</v>
      </c>
      <c r="AW218" s="191">
        <f t="shared" si="165"/>
        <v>2.0898631426917697E-6</v>
      </c>
      <c r="AX218" s="191">
        <f t="shared" si="165"/>
        <v>2.0898631426917697E-6</v>
      </c>
      <c r="AY218" s="191">
        <f t="shared" si="165"/>
        <v>2.0898631426917697E-6</v>
      </c>
      <c r="AZ218" s="191">
        <f t="shared" si="165"/>
        <v>2.0898631426917697E-6</v>
      </c>
      <c r="BA218" s="191">
        <f t="shared" si="165"/>
        <v>2.0898631426917697E-6</v>
      </c>
      <c r="BB218" s="191">
        <f t="shared" si="165"/>
        <v>2.0898631426917697E-6</v>
      </c>
      <c r="BC218" s="191">
        <f t="shared" si="165"/>
        <v>2.0898631426917697E-6</v>
      </c>
      <c r="BD218" s="191">
        <f t="shared" si="165"/>
        <v>2.0898631426917697E-6</v>
      </c>
      <c r="BE218" s="191">
        <f t="shared" si="165"/>
        <v>2.0898631426917697E-6</v>
      </c>
      <c r="BF218" s="191">
        <f t="shared" si="165"/>
        <v>2.0898631426917697E-6</v>
      </c>
      <c r="BG218" s="191">
        <f t="shared" si="165"/>
        <v>2.0898631426917697E-6</v>
      </c>
      <c r="BH218" s="191">
        <f t="shared" si="165"/>
        <v>2.0898631426917697E-6</v>
      </c>
      <c r="BI218" s="191">
        <f t="shared" si="165"/>
        <v>2.0898631426917697E-6</v>
      </c>
      <c r="BJ218" s="191">
        <f t="shared" si="165"/>
        <v>2.0898631426917697E-6</v>
      </c>
      <c r="BK218" s="191">
        <f t="shared" si="165"/>
        <v>2.0898631426917697E-6</v>
      </c>
      <c r="BL218" s="191">
        <f t="shared" si="165"/>
        <v>2.0898631426917697E-6</v>
      </c>
      <c r="BM218" s="191">
        <f t="shared" si="165"/>
        <v>2.0898631426917697E-6</v>
      </c>
      <c r="BN218" s="191">
        <f t="shared" si="165"/>
        <v>2.0898631426917697E-6</v>
      </c>
      <c r="BO218" s="191">
        <f t="shared" si="165"/>
        <v>2.0898631426917697E-6</v>
      </c>
      <c r="BP218" s="191">
        <f t="shared" si="165"/>
        <v>2.0898631426917697E-6</v>
      </c>
      <c r="BQ218" s="191">
        <f t="shared" si="165"/>
        <v>2.0898631426917697E-6</v>
      </c>
      <c r="BR218" s="191">
        <f t="shared" si="165"/>
        <v>2.0898631426917697E-6</v>
      </c>
      <c r="BS218" s="191">
        <f t="shared" si="165"/>
        <v>2.0898631426917697E-6</v>
      </c>
      <c r="BT218" s="191">
        <f t="shared" si="165"/>
        <v>2.0898631426917697E-6</v>
      </c>
      <c r="BU218" s="191">
        <f t="shared" si="165"/>
        <v>2.0898631426917697E-6</v>
      </c>
      <c r="BV218" s="191">
        <f t="shared" si="165"/>
        <v>2.0898631426917697E-6</v>
      </c>
    </row>
    <row r="219" spans="1:74">
      <c r="A219" s="147" t="s">
        <v>11</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1">
        <f t="shared" ref="AS219:BV219" si="166">AR219</f>
        <v>3.4725865492509613E-6</v>
      </c>
      <c r="AT219" s="191">
        <f t="shared" si="166"/>
        <v>3.4725865492509613E-6</v>
      </c>
      <c r="AU219" s="191">
        <f t="shared" si="166"/>
        <v>3.4725865492509613E-6</v>
      </c>
      <c r="AV219" s="191">
        <f t="shared" si="166"/>
        <v>3.4725865492509613E-6</v>
      </c>
      <c r="AW219" s="191">
        <f t="shared" si="166"/>
        <v>3.4725865492509613E-6</v>
      </c>
      <c r="AX219" s="191">
        <f t="shared" si="166"/>
        <v>3.4725865492509613E-6</v>
      </c>
      <c r="AY219" s="191">
        <f t="shared" si="166"/>
        <v>3.4725865492509613E-6</v>
      </c>
      <c r="AZ219" s="191">
        <f t="shared" si="166"/>
        <v>3.4725865492509613E-6</v>
      </c>
      <c r="BA219" s="191">
        <f t="shared" si="166"/>
        <v>3.4725865492509613E-6</v>
      </c>
      <c r="BB219" s="191">
        <f t="shared" si="166"/>
        <v>3.4725865492509613E-6</v>
      </c>
      <c r="BC219" s="191">
        <f t="shared" si="166"/>
        <v>3.4725865492509613E-6</v>
      </c>
      <c r="BD219" s="191">
        <f t="shared" si="166"/>
        <v>3.4725865492509613E-6</v>
      </c>
      <c r="BE219" s="191">
        <f t="shared" si="166"/>
        <v>3.4725865492509613E-6</v>
      </c>
      <c r="BF219" s="191">
        <f t="shared" si="166"/>
        <v>3.4725865492509613E-6</v>
      </c>
      <c r="BG219" s="191">
        <f t="shared" si="166"/>
        <v>3.4725865492509613E-6</v>
      </c>
      <c r="BH219" s="191">
        <f t="shared" si="166"/>
        <v>3.4725865492509613E-6</v>
      </c>
      <c r="BI219" s="191">
        <f t="shared" si="166"/>
        <v>3.4725865492509613E-6</v>
      </c>
      <c r="BJ219" s="191">
        <f t="shared" si="166"/>
        <v>3.4725865492509613E-6</v>
      </c>
      <c r="BK219" s="191">
        <f t="shared" si="166"/>
        <v>3.4725865492509613E-6</v>
      </c>
      <c r="BL219" s="191">
        <f t="shared" si="166"/>
        <v>3.4725865492509613E-6</v>
      </c>
      <c r="BM219" s="191">
        <f t="shared" si="166"/>
        <v>3.4725865492509613E-6</v>
      </c>
      <c r="BN219" s="191">
        <f t="shared" si="166"/>
        <v>3.4725865492509613E-6</v>
      </c>
      <c r="BO219" s="191">
        <f t="shared" si="166"/>
        <v>3.4725865492509613E-6</v>
      </c>
      <c r="BP219" s="191">
        <f t="shared" si="166"/>
        <v>3.4725865492509613E-6</v>
      </c>
      <c r="BQ219" s="191">
        <f t="shared" si="166"/>
        <v>3.4725865492509613E-6</v>
      </c>
      <c r="BR219" s="191">
        <f t="shared" si="166"/>
        <v>3.4725865492509613E-6</v>
      </c>
      <c r="BS219" s="191">
        <f t="shared" si="166"/>
        <v>3.4725865492509613E-6</v>
      </c>
      <c r="BT219" s="191">
        <f t="shared" si="166"/>
        <v>3.4725865492509613E-6</v>
      </c>
      <c r="BU219" s="191">
        <f t="shared" si="166"/>
        <v>3.4725865492509613E-6</v>
      </c>
      <c r="BV219" s="191">
        <f t="shared" si="166"/>
        <v>3.4725865492509613E-6</v>
      </c>
    </row>
    <row r="220" spans="1:74">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1">
        <f t="shared" ref="AS220:BV220" si="167">AR220</f>
        <v>0</v>
      </c>
      <c r="AT220" s="191">
        <f t="shared" si="167"/>
        <v>0</v>
      </c>
      <c r="AU220" s="191">
        <f t="shared" si="167"/>
        <v>0</v>
      </c>
      <c r="AV220" s="191">
        <f t="shared" si="167"/>
        <v>0</v>
      </c>
      <c r="AW220" s="191">
        <f t="shared" si="167"/>
        <v>0</v>
      </c>
      <c r="AX220" s="191">
        <f t="shared" si="167"/>
        <v>0</v>
      </c>
      <c r="AY220" s="191">
        <f t="shared" si="167"/>
        <v>0</v>
      </c>
      <c r="AZ220" s="191">
        <f t="shared" si="167"/>
        <v>0</v>
      </c>
      <c r="BA220" s="191">
        <f t="shared" si="167"/>
        <v>0</v>
      </c>
      <c r="BB220" s="191">
        <f t="shared" si="167"/>
        <v>0</v>
      </c>
      <c r="BC220" s="191">
        <f t="shared" si="167"/>
        <v>0</v>
      </c>
      <c r="BD220" s="191">
        <f t="shared" si="167"/>
        <v>0</v>
      </c>
      <c r="BE220" s="191">
        <f t="shared" si="167"/>
        <v>0</v>
      </c>
      <c r="BF220" s="191">
        <f t="shared" si="167"/>
        <v>0</v>
      </c>
      <c r="BG220" s="191">
        <f t="shared" si="167"/>
        <v>0</v>
      </c>
      <c r="BH220" s="191">
        <f t="shared" si="167"/>
        <v>0</v>
      </c>
      <c r="BI220" s="191">
        <f t="shared" si="167"/>
        <v>0</v>
      </c>
      <c r="BJ220" s="191">
        <f t="shared" si="167"/>
        <v>0</v>
      </c>
      <c r="BK220" s="191">
        <f t="shared" si="167"/>
        <v>0</v>
      </c>
      <c r="BL220" s="191">
        <f t="shared" si="167"/>
        <v>0</v>
      </c>
      <c r="BM220" s="191">
        <f t="shared" si="167"/>
        <v>0</v>
      </c>
      <c r="BN220" s="191">
        <f t="shared" si="167"/>
        <v>0</v>
      </c>
      <c r="BO220" s="191">
        <f t="shared" si="167"/>
        <v>0</v>
      </c>
      <c r="BP220" s="191">
        <f t="shared" si="167"/>
        <v>0</v>
      </c>
      <c r="BQ220" s="191">
        <f t="shared" si="167"/>
        <v>0</v>
      </c>
      <c r="BR220" s="191">
        <f t="shared" si="167"/>
        <v>0</v>
      </c>
      <c r="BS220" s="191">
        <f t="shared" si="167"/>
        <v>0</v>
      </c>
      <c r="BT220" s="191">
        <f t="shared" si="167"/>
        <v>0</v>
      </c>
      <c r="BU220" s="191">
        <f t="shared" si="167"/>
        <v>0</v>
      </c>
      <c r="BV220" s="191">
        <f t="shared" si="167"/>
        <v>0</v>
      </c>
    </row>
    <row r="221" spans="1:74">
      <c r="A221" s="141" t="s">
        <v>190</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1">
        <f t="shared" ref="AS221:BV221" si="168">AR221</f>
        <v>4.7002197368249499E-6</v>
      </c>
      <c r="AT221" s="191">
        <f t="shared" si="168"/>
        <v>4.7002197368249499E-6</v>
      </c>
      <c r="AU221" s="191">
        <f t="shared" si="168"/>
        <v>4.7002197368249499E-6</v>
      </c>
      <c r="AV221" s="191">
        <f t="shared" si="168"/>
        <v>4.7002197368249499E-6</v>
      </c>
      <c r="AW221" s="191">
        <f t="shared" si="168"/>
        <v>4.7002197368249499E-6</v>
      </c>
      <c r="AX221" s="191">
        <f t="shared" si="168"/>
        <v>4.7002197368249499E-6</v>
      </c>
      <c r="AY221" s="191">
        <f t="shared" si="168"/>
        <v>4.7002197368249499E-6</v>
      </c>
      <c r="AZ221" s="191">
        <f t="shared" si="168"/>
        <v>4.7002197368249499E-6</v>
      </c>
      <c r="BA221" s="191">
        <f t="shared" si="168"/>
        <v>4.7002197368249499E-6</v>
      </c>
      <c r="BB221" s="191">
        <f t="shared" si="168"/>
        <v>4.7002197368249499E-6</v>
      </c>
      <c r="BC221" s="191">
        <f t="shared" si="168"/>
        <v>4.7002197368249499E-6</v>
      </c>
      <c r="BD221" s="191">
        <f t="shared" si="168"/>
        <v>4.7002197368249499E-6</v>
      </c>
      <c r="BE221" s="191">
        <f t="shared" si="168"/>
        <v>4.7002197368249499E-6</v>
      </c>
      <c r="BF221" s="191">
        <f t="shared" si="168"/>
        <v>4.7002197368249499E-6</v>
      </c>
      <c r="BG221" s="191">
        <f t="shared" si="168"/>
        <v>4.7002197368249499E-6</v>
      </c>
      <c r="BH221" s="191">
        <f t="shared" si="168"/>
        <v>4.7002197368249499E-6</v>
      </c>
      <c r="BI221" s="191">
        <f t="shared" si="168"/>
        <v>4.7002197368249499E-6</v>
      </c>
      <c r="BJ221" s="191">
        <f t="shared" si="168"/>
        <v>4.7002197368249499E-6</v>
      </c>
      <c r="BK221" s="191">
        <f t="shared" si="168"/>
        <v>4.7002197368249499E-6</v>
      </c>
      <c r="BL221" s="191">
        <f t="shared" si="168"/>
        <v>4.7002197368249499E-6</v>
      </c>
      <c r="BM221" s="191">
        <f t="shared" si="168"/>
        <v>4.7002197368249499E-6</v>
      </c>
      <c r="BN221" s="191">
        <f t="shared" si="168"/>
        <v>4.7002197368249499E-6</v>
      </c>
      <c r="BO221" s="191">
        <f t="shared" si="168"/>
        <v>4.7002197368249499E-6</v>
      </c>
      <c r="BP221" s="191">
        <f t="shared" si="168"/>
        <v>4.7002197368249499E-6</v>
      </c>
      <c r="BQ221" s="191">
        <f t="shared" si="168"/>
        <v>4.7002197368249499E-6</v>
      </c>
      <c r="BR221" s="191">
        <f t="shared" si="168"/>
        <v>4.7002197368249499E-6</v>
      </c>
      <c r="BS221" s="191">
        <f t="shared" si="168"/>
        <v>4.7002197368249499E-6</v>
      </c>
      <c r="BT221" s="191">
        <f t="shared" si="168"/>
        <v>4.7002197368249499E-6</v>
      </c>
      <c r="BU221" s="191">
        <f t="shared" si="168"/>
        <v>4.7002197368249499E-6</v>
      </c>
      <c r="BV221" s="191">
        <f t="shared" si="168"/>
        <v>4.7002197368249499E-6</v>
      </c>
    </row>
    <row r="222" spans="1:74">
      <c r="A222" s="141" t="s">
        <v>191</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1">
        <f t="shared" ref="AS222:BV222" si="169">AR222</f>
        <v>8.5920178120384003E-7</v>
      </c>
      <c r="AT222" s="191">
        <f t="shared" si="169"/>
        <v>8.5920178120384003E-7</v>
      </c>
      <c r="AU222" s="191">
        <f t="shared" si="169"/>
        <v>8.5920178120384003E-7</v>
      </c>
      <c r="AV222" s="191">
        <f t="shared" si="169"/>
        <v>8.5920178120384003E-7</v>
      </c>
      <c r="AW222" s="191">
        <f t="shared" si="169"/>
        <v>8.5920178120384003E-7</v>
      </c>
      <c r="AX222" s="191">
        <f t="shared" si="169"/>
        <v>8.5920178120384003E-7</v>
      </c>
      <c r="AY222" s="191">
        <f t="shared" si="169"/>
        <v>8.5920178120384003E-7</v>
      </c>
      <c r="AZ222" s="191">
        <f t="shared" si="169"/>
        <v>8.5920178120384003E-7</v>
      </c>
      <c r="BA222" s="191">
        <f t="shared" si="169"/>
        <v>8.5920178120384003E-7</v>
      </c>
      <c r="BB222" s="191">
        <f t="shared" si="169"/>
        <v>8.5920178120384003E-7</v>
      </c>
      <c r="BC222" s="191">
        <f t="shared" si="169"/>
        <v>8.5920178120384003E-7</v>
      </c>
      <c r="BD222" s="191">
        <f t="shared" si="169"/>
        <v>8.5920178120384003E-7</v>
      </c>
      <c r="BE222" s="191">
        <f t="shared" si="169"/>
        <v>8.5920178120384003E-7</v>
      </c>
      <c r="BF222" s="191">
        <f t="shared" si="169"/>
        <v>8.5920178120384003E-7</v>
      </c>
      <c r="BG222" s="191">
        <f t="shared" si="169"/>
        <v>8.5920178120384003E-7</v>
      </c>
      <c r="BH222" s="191">
        <f t="shared" si="169"/>
        <v>8.5920178120384003E-7</v>
      </c>
      <c r="BI222" s="191">
        <f t="shared" si="169"/>
        <v>8.5920178120384003E-7</v>
      </c>
      <c r="BJ222" s="191">
        <f t="shared" si="169"/>
        <v>8.5920178120384003E-7</v>
      </c>
      <c r="BK222" s="191">
        <f t="shared" si="169"/>
        <v>8.5920178120384003E-7</v>
      </c>
      <c r="BL222" s="191">
        <f t="shared" si="169"/>
        <v>8.5920178120384003E-7</v>
      </c>
      <c r="BM222" s="191">
        <f t="shared" si="169"/>
        <v>8.5920178120384003E-7</v>
      </c>
      <c r="BN222" s="191">
        <f t="shared" si="169"/>
        <v>8.5920178120384003E-7</v>
      </c>
      <c r="BO222" s="191">
        <f t="shared" si="169"/>
        <v>8.5920178120384003E-7</v>
      </c>
      <c r="BP222" s="191">
        <f t="shared" si="169"/>
        <v>8.5920178120384003E-7</v>
      </c>
      <c r="BQ222" s="191">
        <f t="shared" si="169"/>
        <v>8.5920178120384003E-7</v>
      </c>
      <c r="BR222" s="191">
        <f t="shared" si="169"/>
        <v>8.5920178120384003E-7</v>
      </c>
      <c r="BS222" s="191">
        <f t="shared" si="169"/>
        <v>8.5920178120384003E-7</v>
      </c>
      <c r="BT222" s="191">
        <f t="shared" si="169"/>
        <v>8.5920178120384003E-7</v>
      </c>
      <c r="BU222" s="191">
        <f t="shared" si="169"/>
        <v>8.5920178120384003E-7</v>
      </c>
      <c r="BV222" s="191">
        <f t="shared" si="169"/>
        <v>8.5920178120384003E-7</v>
      </c>
    </row>
    <row r="223" spans="1:74">
      <c r="A223" s="141" t="s">
        <v>193</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1">
        <f t="shared" ref="AS223:BV223" si="170">AR223</f>
        <v>2.8571419702269423E-6</v>
      </c>
      <c r="AT223" s="191">
        <f t="shared" si="170"/>
        <v>2.8571419702269423E-6</v>
      </c>
      <c r="AU223" s="191">
        <f t="shared" si="170"/>
        <v>2.8571419702269423E-6</v>
      </c>
      <c r="AV223" s="191">
        <f t="shared" si="170"/>
        <v>2.8571419702269423E-6</v>
      </c>
      <c r="AW223" s="191">
        <f t="shared" si="170"/>
        <v>2.8571419702269423E-6</v>
      </c>
      <c r="AX223" s="191">
        <f t="shared" si="170"/>
        <v>2.8571419702269423E-6</v>
      </c>
      <c r="AY223" s="191">
        <f t="shared" si="170"/>
        <v>2.8571419702269423E-6</v>
      </c>
      <c r="AZ223" s="191">
        <f t="shared" si="170"/>
        <v>2.8571419702269423E-6</v>
      </c>
      <c r="BA223" s="191">
        <f t="shared" si="170"/>
        <v>2.8571419702269423E-6</v>
      </c>
      <c r="BB223" s="191">
        <f t="shared" si="170"/>
        <v>2.8571419702269423E-6</v>
      </c>
      <c r="BC223" s="191">
        <f t="shared" si="170"/>
        <v>2.8571419702269423E-6</v>
      </c>
      <c r="BD223" s="191">
        <f t="shared" si="170"/>
        <v>2.8571419702269423E-6</v>
      </c>
      <c r="BE223" s="191">
        <f t="shared" si="170"/>
        <v>2.8571419702269423E-6</v>
      </c>
      <c r="BF223" s="191">
        <f t="shared" si="170"/>
        <v>2.8571419702269423E-6</v>
      </c>
      <c r="BG223" s="191">
        <f t="shared" si="170"/>
        <v>2.8571419702269423E-6</v>
      </c>
      <c r="BH223" s="191">
        <f t="shared" si="170"/>
        <v>2.8571419702269423E-6</v>
      </c>
      <c r="BI223" s="191">
        <f t="shared" si="170"/>
        <v>2.8571419702269423E-6</v>
      </c>
      <c r="BJ223" s="191">
        <f t="shared" si="170"/>
        <v>2.8571419702269423E-6</v>
      </c>
      <c r="BK223" s="191">
        <f t="shared" si="170"/>
        <v>2.8571419702269423E-6</v>
      </c>
      <c r="BL223" s="191">
        <f t="shared" si="170"/>
        <v>2.8571419702269423E-6</v>
      </c>
      <c r="BM223" s="191">
        <f t="shared" si="170"/>
        <v>2.8571419702269423E-6</v>
      </c>
      <c r="BN223" s="191">
        <f t="shared" si="170"/>
        <v>2.8571419702269423E-6</v>
      </c>
      <c r="BO223" s="191">
        <f t="shared" si="170"/>
        <v>2.8571419702269423E-6</v>
      </c>
      <c r="BP223" s="191">
        <f t="shared" si="170"/>
        <v>2.8571419702269423E-6</v>
      </c>
      <c r="BQ223" s="191">
        <f t="shared" si="170"/>
        <v>2.8571419702269423E-6</v>
      </c>
      <c r="BR223" s="191">
        <f t="shared" si="170"/>
        <v>2.8571419702269423E-6</v>
      </c>
      <c r="BS223" s="191">
        <f t="shared" si="170"/>
        <v>2.8571419702269423E-6</v>
      </c>
      <c r="BT223" s="191">
        <f t="shared" si="170"/>
        <v>2.8571419702269423E-6</v>
      </c>
      <c r="BU223" s="191">
        <f t="shared" si="170"/>
        <v>2.8571419702269423E-6</v>
      </c>
      <c r="BV223" s="191">
        <f t="shared" si="170"/>
        <v>2.8571419702269423E-6</v>
      </c>
    </row>
    <row r="224" spans="1:74">
      <c r="A224" s="141" t="s">
        <v>249</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1">
        <f t="shared" ref="AS224:BV224" si="171">AR224</f>
        <v>2.8235279859362284E-6</v>
      </c>
      <c r="AT224" s="191">
        <f t="shared" si="171"/>
        <v>2.8235279859362284E-6</v>
      </c>
      <c r="AU224" s="191">
        <f t="shared" si="171"/>
        <v>2.8235279859362284E-6</v>
      </c>
      <c r="AV224" s="191">
        <f t="shared" si="171"/>
        <v>2.8235279859362284E-6</v>
      </c>
      <c r="AW224" s="191">
        <f t="shared" si="171"/>
        <v>2.8235279859362284E-6</v>
      </c>
      <c r="AX224" s="191">
        <f t="shared" si="171"/>
        <v>2.8235279859362284E-6</v>
      </c>
      <c r="AY224" s="191">
        <f t="shared" si="171"/>
        <v>2.8235279859362284E-6</v>
      </c>
      <c r="AZ224" s="191">
        <f t="shared" si="171"/>
        <v>2.8235279859362284E-6</v>
      </c>
      <c r="BA224" s="191">
        <f t="shared" si="171"/>
        <v>2.8235279859362284E-6</v>
      </c>
      <c r="BB224" s="191">
        <f t="shared" si="171"/>
        <v>2.8235279859362284E-6</v>
      </c>
      <c r="BC224" s="191">
        <f t="shared" si="171"/>
        <v>2.8235279859362284E-6</v>
      </c>
      <c r="BD224" s="191">
        <f t="shared" si="171"/>
        <v>2.8235279859362284E-6</v>
      </c>
      <c r="BE224" s="191">
        <f t="shared" si="171"/>
        <v>2.8235279859362284E-6</v>
      </c>
      <c r="BF224" s="191">
        <f t="shared" si="171"/>
        <v>2.8235279859362284E-6</v>
      </c>
      <c r="BG224" s="191">
        <f t="shared" si="171"/>
        <v>2.8235279859362284E-6</v>
      </c>
      <c r="BH224" s="191">
        <f t="shared" si="171"/>
        <v>2.8235279859362284E-6</v>
      </c>
      <c r="BI224" s="191">
        <f t="shared" si="171"/>
        <v>2.8235279859362284E-6</v>
      </c>
      <c r="BJ224" s="191">
        <f t="shared" si="171"/>
        <v>2.8235279859362284E-6</v>
      </c>
      <c r="BK224" s="191">
        <f t="shared" si="171"/>
        <v>2.8235279859362284E-6</v>
      </c>
      <c r="BL224" s="191">
        <f t="shared" si="171"/>
        <v>2.8235279859362284E-6</v>
      </c>
      <c r="BM224" s="191">
        <f t="shared" si="171"/>
        <v>2.8235279859362284E-6</v>
      </c>
      <c r="BN224" s="191">
        <f t="shared" si="171"/>
        <v>2.8235279859362284E-6</v>
      </c>
      <c r="BO224" s="191">
        <f t="shared" si="171"/>
        <v>2.8235279859362284E-6</v>
      </c>
      <c r="BP224" s="191">
        <f t="shared" si="171"/>
        <v>2.8235279859362284E-6</v>
      </c>
      <c r="BQ224" s="191">
        <f t="shared" si="171"/>
        <v>2.8235279859362284E-6</v>
      </c>
      <c r="BR224" s="191">
        <f t="shared" si="171"/>
        <v>2.8235279859362284E-6</v>
      </c>
      <c r="BS224" s="191">
        <f t="shared" si="171"/>
        <v>2.8235279859362284E-6</v>
      </c>
      <c r="BT224" s="191">
        <f t="shared" si="171"/>
        <v>2.8235279859362284E-6</v>
      </c>
      <c r="BU224" s="191">
        <f t="shared" si="171"/>
        <v>2.8235279859362284E-6</v>
      </c>
      <c r="BV224" s="191">
        <f t="shared" si="171"/>
        <v>2.8235279859362284E-6</v>
      </c>
    </row>
    <row r="225" spans="1:74">
      <c r="A225" s="141" t="s">
        <v>194</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1">
        <f t="shared" ref="AS225:BV225" si="172">AR225</f>
        <v>1.5610655905890815E-7</v>
      </c>
      <c r="AT225" s="191">
        <f t="shared" si="172"/>
        <v>1.5610655905890815E-7</v>
      </c>
      <c r="AU225" s="191">
        <f t="shared" si="172"/>
        <v>1.5610655905890815E-7</v>
      </c>
      <c r="AV225" s="191">
        <f t="shared" si="172"/>
        <v>1.5610655905890815E-7</v>
      </c>
      <c r="AW225" s="191">
        <f t="shared" si="172"/>
        <v>1.5610655905890815E-7</v>
      </c>
      <c r="AX225" s="191">
        <f t="shared" si="172"/>
        <v>1.5610655905890815E-7</v>
      </c>
      <c r="AY225" s="191">
        <f t="shared" si="172"/>
        <v>1.5610655905890815E-7</v>
      </c>
      <c r="AZ225" s="191">
        <f t="shared" si="172"/>
        <v>1.5610655905890815E-7</v>
      </c>
      <c r="BA225" s="191">
        <f t="shared" si="172"/>
        <v>1.5610655905890815E-7</v>
      </c>
      <c r="BB225" s="191">
        <f t="shared" si="172"/>
        <v>1.5610655905890815E-7</v>
      </c>
      <c r="BC225" s="191">
        <f t="shared" si="172"/>
        <v>1.5610655905890815E-7</v>
      </c>
      <c r="BD225" s="191">
        <f t="shared" si="172"/>
        <v>1.5610655905890815E-7</v>
      </c>
      <c r="BE225" s="191">
        <f t="shared" si="172"/>
        <v>1.5610655905890815E-7</v>
      </c>
      <c r="BF225" s="191">
        <f t="shared" si="172"/>
        <v>1.5610655905890815E-7</v>
      </c>
      <c r="BG225" s="191">
        <f t="shared" si="172"/>
        <v>1.5610655905890815E-7</v>
      </c>
      <c r="BH225" s="191">
        <f t="shared" si="172"/>
        <v>1.5610655905890815E-7</v>
      </c>
      <c r="BI225" s="191">
        <f t="shared" si="172"/>
        <v>1.5610655905890815E-7</v>
      </c>
      <c r="BJ225" s="191">
        <f t="shared" si="172"/>
        <v>1.5610655905890815E-7</v>
      </c>
      <c r="BK225" s="191">
        <f t="shared" si="172"/>
        <v>1.5610655905890815E-7</v>
      </c>
      <c r="BL225" s="191">
        <f t="shared" si="172"/>
        <v>1.5610655905890815E-7</v>
      </c>
      <c r="BM225" s="191">
        <f t="shared" si="172"/>
        <v>1.5610655905890815E-7</v>
      </c>
      <c r="BN225" s="191">
        <f t="shared" si="172"/>
        <v>1.5610655905890815E-7</v>
      </c>
      <c r="BO225" s="191">
        <f t="shared" si="172"/>
        <v>1.5610655905890815E-7</v>
      </c>
      <c r="BP225" s="191">
        <f t="shared" si="172"/>
        <v>1.5610655905890815E-7</v>
      </c>
      <c r="BQ225" s="191">
        <f t="shared" si="172"/>
        <v>1.5610655905890815E-7</v>
      </c>
      <c r="BR225" s="191">
        <f t="shared" si="172"/>
        <v>1.5610655905890815E-7</v>
      </c>
      <c r="BS225" s="191">
        <f t="shared" si="172"/>
        <v>1.5610655905890815E-7</v>
      </c>
      <c r="BT225" s="191">
        <f t="shared" si="172"/>
        <v>1.5610655905890815E-7</v>
      </c>
      <c r="BU225" s="191">
        <f t="shared" si="172"/>
        <v>1.5610655905890815E-7</v>
      </c>
      <c r="BV225" s="191">
        <f t="shared" si="172"/>
        <v>1.5610655905890815E-7</v>
      </c>
    </row>
    <row r="226" spans="1:74">
      <c r="A226" s="147" t="s">
        <v>12</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1">
        <f t="shared" ref="AS226:BV226" si="173">AR226</f>
        <v>1.5610655905890815E-7</v>
      </c>
      <c r="AT226" s="191">
        <f t="shared" si="173"/>
        <v>1.5610655905890815E-7</v>
      </c>
      <c r="AU226" s="191">
        <f t="shared" si="173"/>
        <v>1.5610655905890815E-7</v>
      </c>
      <c r="AV226" s="191">
        <f t="shared" si="173"/>
        <v>1.5610655905890815E-7</v>
      </c>
      <c r="AW226" s="191">
        <f t="shared" si="173"/>
        <v>1.5610655905890815E-7</v>
      </c>
      <c r="AX226" s="191">
        <f t="shared" si="173"/>
        <v>1.5610655905890815E-7</v>
      </c>
      <c r="AY226" s="191">
        <f t="shared" si="173"/>
        <v>1.5610655905890815E-7</v>
      </c>
      <c r="AZ226" s="191">
        <f t="shared" si="173"/>
        <v>1.5610655905890815E-7</v>
      </c>
      <c r="BA226" s="191">
        <f t="shared" si="173"/>
        <v>1.5610655905890815E-7</v>
      </c>
      <c r="BB226" s="191">
        <f t="shared" si="173"/>
        <v>1.5610655905890815E-7</v>
      </c>
      <c r="BC226" s="191">
        <f t="shared" si="173"/>
        <v>1.5610655905890815E-7</v>
      </c>
      <c r="BD226" s="191">
        <f t="shared" si="173"/>
        <v>1.5610655905890815E-7</v>
      </c>
      <c r="BE226" s="191">
        <f t="shared" si="173"/>
        <v>1.5610655905890815E-7</v>
      </c>
      <c r="BF226" s="191">
        <f t="shared" si="173"/>
        <v>1.5610655905890815E-7</v>
      </c>
      <c r="BG226" s="191">
        <f t="shared" si="173"/>
        <v>1.5610655905890815E-7</v>
      </c>
      <c r="BH226" s="191">
        <f t="shared" si="173"/>
        <v>1.5610655905890815E-7</v>
      </c>
      <c r="BI226" s="191">
        <f t="shared" si="173"/>
        <v>1.5610655905890815E-7</v>
      </c>
      <c r="BJ226" s="191">
        <f t="shared" si="173"/>
        <v>1.5610655905890815E-7</v>
      </c>
      <c r="BK226" s="191">
        <f t="shared" si="173"/>
        <v>1.5610655905890815E-7</v>
      </c>
      <c r="BL226" s="191">
        <f t="shared" si="173"/>
        <v>1.5610655905890815E-7</v>
      </c>
      <c r="BM226" s="191">
        <f t="shared" si="173"/>
        <v>1.5610655905890815E-7</v>
      </c>
      <c r="BN226" s="191">
        <f t="shared" si="173"/>
        <v>1.5610655905890815E-7</v>
      </c>
      <c r="BO226" s="191">
        <f t="shared" si="173"/>
        <v>1.5610655905890815E-7</v>
      </c>
      <c r="BP226" s="191">
        <f t="shared" si="173"/>
        <v>1.5610655905890815E-7</v>
      </c>
      <c r="BQ226" s="191">
        <f t="shared" si="173"/>
        <v>1.5610655905890815E-7</v>
      </c>
      <c r="BR226" s="191">
        <f t="shared" si="173"/>
        <v>1.5610655905890815E-7</v>
      </c>
      <c r="BS226" s="191">
        <f t="shared" si="173"/>
        <v>1.5610655905890815E-7</v>
      </c>
      <c r="BT226" s="191">
        <f t="shared" si="173"/>
        <v>1.5610655905890815E-7</v>
      </c>
      <c r="BU226" s="191">
        <f t="shared" si="173"/>
        <v>1.5610655905890815E-7</v>
      </c>
      <c r="BV226" s="191">
        <f t="shared" si="173"/>
        <v>1.5610655905890815E-7</v>
      </c>
    </row>
    <row r="227" spans="1:74">
      <c r="A227" s="147" t="s">
        <v>197</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1">
        <f t="shared" ref="AS227:BV227" si="174">AR227</f>
        <v>8.9552582730589518E-7</v>
      </c>
      <c r="AT227" s="191">
        <f t="shared" si="174"/>
        <v>8.9552582730589518E-7</v>
      </c>
      <c r="AU227" s="191">
        <f t="shared" si="174"/>
        <v>8.9552582730589518E-7</v>
      </c>
      <c r="AV227" s="191">
        <f t="shared" si="174"/>
        <v>8.9552582730589518E-7</v>
      </c>
      <c r="AW227" s="191">
        <f t="shared" si="174"/>
        <v>8.9552582730589518E-7</v>
      </c>
      <c r="AX227" s="191">
        <f t="shared" si="174"/>
        <v>8.9552582730589518E-7</v>
      </c>
      <c r="AY227" s="191">
        <f t="shared" si="174"/>
        <v>8.9552582730589518E-7</v>
      </c>
      <c r="AZ227" s="191">
        <f t="shared" si="174"/>
        <v>8.9552582730589518E-7</v>
      </c>
      <c r="BA227" s="191">
        <f t="shared" si="174"/>
        <v>8.9552582730589518E-7</v>
      </c>
      <c r="BB227" s="191">
        <f t="shared" si="174"/>
        <v>8.9552582730589518E-7</v>
      </c>
      <c r="BC227" s="191">
        <f t="shared" si="174"/>
        <v>8.9552582730589518E-7</v>
      </c>
      <c r="BD227" s="191">
        <f t="shared" si="174"/>
        <v>8.9552582730589518E-7</v>
      </c>
      <c r="BE227" s="191">
        <f t="shared" si="174"/>
        <v>8.9552582730589518E-7</v>
      </c>
      <c r="BF227" s="191">
        <f t="shared" si="174"/>
        <v>8.9552582730589518E-7</v>
      </c>
      <c r="BG227" s="191">
        <f t="shared" si="174"/>
        <v>8.9552582730589518E-7</v>
      </c>
      <c r="BH227" s="191">
        <f t="shared" si="174"/>
        <v>8.9552582730589518E-7</v>
      </c>
      <c r="BI227" s="191">
        <f t="shared" si="174"/>
        <v>8.9552582730589518E-7</v>
      </c>
      <c r="BJ227" s="191">
        <f t="shared" si="174"/>
        <v>8.9552582730589518E-7</v>
      </c>
      <c r="BK227" s="191">
        <f t="shared" si="174"/>
        <v>8.9552582730589518E-7</v>
      </c>
      <c r="BL227" s="191">
        <f t="shared" si="174"/>
        <v>8.9552582730589518E-7</v>
      </c>
      <c r="BM227" s="191">
        <f t="shared" si="174"/>
        <v>8.9552582730589518E-7</v>
      </c>
      <c r="BN227" s="191">
        <f t="shared" si="174"/>
        <v>8.9552582730589518E-7</v>
      </c>
      <c r="BO227" s="191">
        <f t="shared" si="174"/>
        <v>8.9552582730589518E-7</v>
      </c>
      <c r="BP227" s="191">
        <f t="shared" si="174"/>
        <v>8.9552582730589518E-7</v>
      </c>
      <c r="BQ227" s="191">
        <f t="shared" si="174"/>
        <v>8.9552582730589518E-7</v>
      </c>
      <c r="BR227" s="191">
        <f t="shared" si="174"/>
        <v>8.9552582730589518E-7</v>
      </c>
      <c r="BS227" s="191">
        <f t="shared" si="174"/>
        <v>8.9552582730589518E-7</v>
      </c>
      <c r="BT227" s="191">
        <f t="shared" si="174"/>
        <v>8.9552582730589518E-7</v>
      </c>
      <c r="BU227" s="191">
        <f t="shared" si="174"/>
        <v>8.9552582730589518E-7</v>
      </c>
      <c r="BV227" s="191">
        <f t="shared" si="174"/>
        <v>8.9552582730589518E-7</v>
      </c>
    </row>
    <row r="228" spans="1:74">
      <c r="A228" s="147" t="s">
        <v>195</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1">
        <f t="shared" ref="AS228:BV228" si="175">AR228</f>
        <v>1.5610655905890815E-7</v>
      </c>
      <c r="AT228" s="191">
        <f t="shared" si="175"/>
        <v>1.5610655905890815E-7</v>
      </c>
      <c r="AU228" s="191">
        <f t="shared" si="175"/>
        <v>1.5610655905890815E-7</v>
      </c>
      <c r="AV228" s="191">
        <f t="shared" si="175"/>
        <v>1.5610655905890815E-7</v>
      </c>
      <c r="AW228" s="191">
        <f t="shared" si="175"/>
        <v>1.5610655905890815E-7</v>
      </c>
      <c r="AX228" s="191">
        <f t="shared" si="175"/>
        <v>1.5610655905890815E-7</v>
      </c>
      <c r="AY228" s="191">
        <f t="shared" si="175"/>
        <v>1.5610655905890815E-7</v>
      </c>
      <c r="AZ228" s="191">
        <f t="shared" si="175"/>
        <v>1.5610655905890815E-7</v>
      </c>
      <c r="BA228" s="191">
        <f t="shared" si="175"/>
        <v>1.5610655905890815E-7</v>
      </c>
      <c r="BB228" s="191">
        <f t="shared" si="175"/>
        <v>1.5610655905890815E-7</v>
      </c>
      <c r="BC228" s="191">
        <f t="shared" si="175"/>
        <v>1.5610655905890815E-7</v>
      </c>
      <c r="BD228" s="191">
        <f t="shared" si="175"/>
        <v>1.5610655905890815E-7</v>
      </c>
      <c r="BE228" s="191">
        <f t="shared" si="175"/>
        <v>1.5610655905890815E-7</v>
      </c>
      <c r="BF228" s="191">
        <f t="shared" si="175"/>
        <v>1.5610655905890815E-7</v>
      </c>
      <c r="BG228" s="191">
        <f t="shared" si="175"/>
        <v>1.5610655905890815E-7</v>
      </c>
      <c r="BH228" s="191">
        <f t="shared" si="175"/>
        <v>1.5610655905890815E-7</v>
      </c>
      <c r="BI228" s="191">
        <f t="shared" si="175"/>
        <v>1.5610655905890815E-7</v>
      </c>
      <c r="BJ228" s="191">
        <f t="shared" si="175"/>
        <v>1.5610655905890815E-7</v>
      </c>
      <c r="BK228" s="191">
        <f t="shared" si="175"/>
        <v>1.5610655905890815E-7</v>
      </c>
      <c r="BL228" s="191">
        <f t="shared" si="175"/>
        <v>1.5610655905890815E-7</v>
      </c>
      <c r="BM228" s="191">
        <f t="shared" si="175"/>
        <v>1.5610655905890815E-7</v>
      </c>
      <c r="BN228" s="191">
        <f t="shared" si="175"/>
        <v>1.5610655905890815E-7</v>
      </c>
      <c r="BO228" s="191">
        <f t="shared" si="175"/>
        <v>1.5610655905890815E-7</v>
      </c>
      <c r="BP228" s="191">
        <f t="shared" si="175"/>
        <v>1.5610655905890815E-7</v>
      </c>
      <c r="BQ228" s="191">
        <f t="shared" si="175"/>
        <v>1.5610655905890815E-7</v>
      </c>
      <c r="BR228" s="191">
        <f t="shared" si="175"/>
        <v>1.5610655905890815E-7</v>
      </c>
      <c r="BS228" s="191">
        <f t="shared" si="175"/>
        <v>1.5610655905890815E-7</v>
      </c>
      <c r="BT228" s="191">
        <f t="shared" si="175"/>
        <v>1.5610655905890815E-7</v>
      </c>
      <c r="BU228" s="191">
        <f t="shared" si="175"/>
        <v>1.5610655905890815E-7</v>
      </c>
      <c r="BV228" s="191">
        <f t="shared" si="175"/>
        <v>1.5610655905890815E-7</v>
      </c>
    </row>
    <row r="229" spans="1:74">
      <c r="A229" s="141" t="s">
        <v>13</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1">
        <f t="shared" ref="AS229:BV229" si="176">AR229</f>
        <v>9.433964311112741E-7</v>
      </c>
      <c r="AT229" s="191">
        <f t="shared" si="176"/>
        <v>9.433964311112741E-7</v>
      </c>
      <c r="AU229" s="191">
        <f t="shared" si="176"/>
        <v>9.433964311112741E-7</v>
      </c>
      <c r="AV229" s="191">
        <f t="shared" si="176"/>
        <v>9.433964311112741E-7</v>
      </c>
      <c r="AW229" s="191">
        <f t="shared" si="176"/>
        <v>9.433964311112741E-7</v>
      </c>
      <c r="AX229" s="191">
        <f t="shared" si="176"/>
        <v>9.433964311112741E-7</v>
      </c>
      <c r="AY229" s="191">
        <f t="shared" si="176"/>
        <v>9.433964311112741E-7</v>
      </c>
      <c r="AZ229" s="191">
        <f t="shared" si="176"/>
        <v>9.433964311112741E-7</v>
      </c>
      <c r="BA229" s="191">
        <f t="shared" si="176"/>
        <v>9.433964311112741E-7</v>
      </c>
      <c r="BB229" s="191">
        <f t="shared" si="176"/>
        <v>9.433964311112741E-7</v>
      </c>
      <c r="BC229" s="191">
        <f t="shared" si="176"/>
        <v>9.433964311112741E-7</v>
      </c>
      <c r="BD229" s="191">
        <f t="shared" si="176"/>
        <v>9.433964311112741E-7</v>
      </c>
      <c r="BE229" s="191">
        <f t="shared" si="176"/>
        <v>9.433964311112741E-7</v>
      </c>
      <c r="BF229" s="191">
        <f t="shared" si="176"/>
        <v>9.433964311112741E-7</v>
      </c>
      <c r="BG229" s="191">
        <f t="shared" si="176"/>
        <v>9.433964311112741E-7</v>
      </c>
      <c r="BH229" s="191">
        <f t="shared" si="176"/>
        <v>9.433964311112741E-7</v>
      </c>
      <c r="BI229" s="191">
        <f t="shared" si="176"/>
        <v>9.433964311112741E-7</v>
      </c>
      <c r="BJ229" s="191">
        <f t="shared" si="176"/>
        <v>9.433964311112741E-7</v>
      </c>
      <c r="BK229" s="191">
        <f t="shared" si="176"/>
        <v>9.433964311112741E-7</v>
      </c>
      <c r="BL229" s="191">
        <f t="shared" si="176"/>
        <v>9.433964311112741E-7</v>
      </c>
      <c r="BM229" s="191">
        <f t="shared" si="176"/>
        <v>9.433964311112741E-7</v>
      </c>
      <c r="BN229" s="191">
        <f t="shared" si="176"/>
        <v>9.433964311112741E-7</v>
      </c>
      <c r="BO229" s="191">
        <f t="shared" si="176"/>
        <v>9.433964311112741E-7</v>
      </c>
      <c r="BP229" s="191">
        <f t="shared" si="176"/>
        <v>9.433964311112741E-7</v>
      </c>
      <c r="BQ229" s="191">
        <f t="shared" si="176"/>
        <v>9.433964311112741E-7</v>
      </c>
      <c r="BR229" s="191">
        <f t="shared" si="176"/>
        <v>9.433964311112741E-7</v>
      </c>
      <c r="BS229" s="191">
        <f t="shared" si="176"/>
        <v>9.433964311112741E-7</v>
      </c>
      <c r="BT229" s="191">
        <f t="shared" si="176"/>
        <v>9.433964311112741E-7</v>
      </c>
      <c r="BU229" s="191">
        <f t="shared" si="176"/>
        <v>9.433964311112741E-7</v>
      </c>
      <c r="BV229" s="191">
        <f t="shared" si="176"/>
        <v>9.433964311112741E-7</v>
      </c>
    </row>
    <row r="230" spans="1:74">
      <c r="A230" s="141" t="s">
        <v>186</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1">
        <f t="shared" ref="AS230:BV230" si="177">AR230</f>
        <v>2.5888327551652638E-6</v>
      </c>
      <c r="AT230" s="191">
        <f t="shared" si="177"/>
        <v>2.5888327551652638E-6</v>
      </c>
      <c r="AU230" s="191">
        <f t="shared" si="177"/>
        <v>2.5888327551652638E-6</v>
      </c>
      <c r="AV230" s="191">
        <f t="shared" si="177"/>
        <v>2.5888327551652638E-6</v>
      </c>
      <c r="AW230" s="191">
        <f t="shared" si="177"/>
        <v>2.5888327551652638E-6</v>
      </c>
      <c r="AX230" s="191">
        <f t="shared" si="177"/>
        <v>2.5888327551652638E-6</v>
      </c>
      <c r="AY230" s="191">
        <f t="shared" si="177"/>
        <v>2.5888327551652638E-6</v>
      </c>
      <c r="AZ230" s="191">
        <f t="shared" si="177"/>
        <v>2.5888327551652638E-6</v>
      </c>
      <c r="BA230" s="191">
        <f t="shared" si="177"/>
        <v>2.5888327551652638E-6</v>
      </c>
      <c r="BB230" s="191">
        <f t="shared" si="177"/>
        <v>2.5888327551652638E-6</v>
      </c>
      <c r="BC230" s="191">
        <f t="shared" si="177"/>
        <v>2.5888327551652638E-6</v>
      </c>
      <c r="BD230" s="191">
        <f t="shared" si="177"/>
        <v>2.5888327551652638E-6</v>
      </c>
      <c r="BE230" s="191">
        <f t="shared" si="177"/>
        <v>2.5888327551652638E-6</v>
      </c>
      <c r="BF230" s="191">
        <f t="shared" si="177"/>
        <v>2.5888327551652638E-6</v>
      </c>
      <c r="BG230" s="191">
        <f t="shared" si="177"/>
        <v>2.5888327551652638E-6</v>
      </c>
      <c r="BH230" s="191">
        <f t="shared" si="177"/>
        <v>2.5888327551652638E-6</v>
      </c>
      <c r="BI230" s="191">
        <f t="shared" si="177"/>
        <v>2.5888327551652638E-6</v>
      </c>
      <c r="BJ230" s="191">
        <f t="shared" si="177"/>
        <v>2.5888327551652638E-6</v>
      </c>
      <c r="BK230" s="191">
        <f t="shared" si="177"/>
        <v>2.5888327551652638E-6</v>
      </c>
      <c r="BL230" s="191">
        <f t="shared" si="177"/>
        <v>2.5888327551652638E-6</v>
      </c>
      <c r="BM230" s="191">
        <f t="shared" si="177"/>
        <v>2.5888327551652638E-6</v>
      </c>
      <c r="BN230" s="191">
        <f t="shared" si="177"/>
        <v>2.5888327551652638E-6</v>
      </c>
      <c r="BO230" s="191">
        <f t="shared" si="177"/>
        <v>2.5888327551652638E-6</v>
      </c>
      <c r="BP230" s="191">
        <f t="shared" si="177"/>
        <v>2.5888327551652638E-6</v>
      </c>
      <c r="BQ230" s="191">
        <f t="shared" si="177"/>
        <v>2.5888327551652638E-6</v>
      </c>
      <c r="BR230" s="191">
        <f t="shared" si="177"/>
        <v>2.5888327551652638E-6</v>
      </c>
      <c r="BS230" s="191">
        <f t="shared" si="177"/>
        <v>2.5888327551652638E-6</v>
      </c>
      <c r="BT230" s="191">
        <f t="shared" si="177"/>
        <v>2.5888327551652638E-6</v>
      </c>
      <c r="BU230" s="191">
        <f t="shared" si="177"/>
        <v>2.5888327551652638E-6</v>
      </c>
      <c r="BV230" s="191">
        <f t="shared" si="177"/>
        <v>2.5888327551652638E-6</v>
      </c>
    </row>
    <row r="231" spans="1:74">
      <c r="A231" s="147" t="s">
        <v>198</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1">
        <f t="shared" ref="AS231:BV231" si="178">AR231</f>
        <v>9.4824719802762522E-7</v>
      </c>
      <c r="AT231" s="191">
        <f t="shared" si="178"/>
        <v>9.4824719802762522E-7</v>
      </c>
      <c r="AU231" s="191">
        <f t="shared" si="178"/>
        <v>9.4824719802762522E-7</v>
      </c>
      <c r="AV231" s="191">
        <f t="shared" si="178"/>
        <v>9.4824719802762522E-7</v>
      </c>
      <c r="AW231" s="191">
        <f t="shared" si="178"/>
        <v>9.4824719802762522E-7</v>
      </c>
      <c r="AX231" s="191">
        <f t="shared" si="178"/>
        <v>9.4824719802762522E-7</v>
      </c>
      <c r="AY231" s="191">
        <f t="shared" si="178"/>
        <v>9.4824719802762522E-7</v>
      </c>
      <c r="AZ231" s="191">
        <f t="shared" si="178"/>
        <v>9.4824719802762522E-7</v>
      </c>
      <c r="BA231" s="191">
        <f t="shared" si="178"/>
        <v>9.4824719802762522E-7</v>
      </c>
      <c r="BB231" s="191">
        <f t="shared" si="178"/>
        <v>9.4824719802762522E-7</v>
      </c>
      <c r="BC231" s="191">
        <f t="shared" si="178"/>
        <v>9.4824719802762522E-7</v>
      </c>
      <c r="BD231" s="191">
        <f t="shared" si="178"/>
        <v>9.4824719802762522E-7</v>
      </c>
      <c r="BE231" s="191">
        <f t="shared" si="178"/>
        <v>9.4824719802762522E-7</v>
      </c>
      <c r="BF231" s="191">
        <f t="shared" si="178"/>
        <v>9.4824719802762522E-7</v>
      </c>
      <c r="BG231" s="191">
        <f t="shared" si="178"/>
        <v>9.4824719802762522E-7</v>
      </c>
      <c r="BH231" s="191">
        <f t="shared" si="178"/>
        <v>9.4824719802762522E-7</v>
      </c>
      <c r="BI231" s="191">
        <f t="shared" si="178"/>
        <v>9.4824719802762522E-7</v>
      </c>
      <c r="BJ231" s="191">
        <f t="shared" si="178"/>
        <v>9.4824719802762522E-7</v>
      </c>
      <c r="BK231" s="191">
        <f t="shared" si="178"/>
        <v>9.4824719802762522E-7</v>
      </c>
      <c r="BL231" s="191">
        <f t="shared" si="178"/>
        <v>9.4824719802762522E-7</v>
      </c>
      <c r="BM231" s="191">
        <f t="shared" si="178"/>
        <v>9.4824719802762522E-7</v>
      </c>
      <c r="BN231" s="191">
        <f t="shared" si="178"/>
        <v>9.4824719802762522E-7</v>
      </c>
      <c r="BO231" s="191">
        <f t="shared" si="178"/>
        <v>9.4824719802762522E-7</v>
      </c>
      <c r="BP231" s="191">
        <f t="shared" si="178"/>
        <v>9.4824719802762522E-7</v>
      </c>
      <c r="BQ231" s="191">
        <f t="shared" si="178"/>
        <v>9.4824719802762522E-7</v>
      </c>
      <c r="BR231" s="191">
        <f t="shared" si="178"/>
        <v>9.4824719802762522E-7</v>
      </c>
      <c r="BS231" s="191">
        <f t="shared" si="178"/>
        <v>9.4824719802762522E-7</v>
      </c>
      <c r="BT231" s="191">
        <f t="shared" si="178"/>
        <v>9.4824719802762522E-7</v>
      </c>
      <c r="BU231" s="191">
        <f t="shared" si="178"/>
        <v>9.4824719802762522E-7</v>
      </c>
      <c r="BV231" s="191">
        <f t="shared" si="178"/>
        <v>9.4824719802762522E-7</v>
      </c>
    </row>
    <row r="232" spans="1:74">
      <c r="A232" s="141" t="s">
        <v>192</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1">
        <f t="shared" ref="AS232:BV232" si="179">AR232</f>
        <v>8.5920178120384003E-7</v>
      </c>
      <c r="AT232" s="191">
        <f t="shared" si="179"/>
        <v>8.5920178120384003E-7</v>
      </c>
      <c r="AU232" s="191">
        <f t="shared" si="179"/>
        <v>8.5920178120384003E-7</v>
      </c>
      <c r="AV232" s="191">
        <f t="shared" si="179"/>
        <v>8.5920178120384003E-7</v>
      </c>
      <c r="AW232" s="191">
        <f t="shared" si="179"/>
        <v>8.5920178120384003E-7</v>
      </c>
      <c r="AX232" s="191">
        <f t="shared" si="179"/>
        <v>8.5920178120384003E-7</v>
      </c>
      <c r="AY232" s="191">
        <f t="shared" si="179"/>
        <v>8.5920178120384003E-7</v>
      </c>
      <c r="AZ232" s="191">
        <f t="shared" si="179"/>
        <v>8.5920178120384003E-7</v>
      </c>
      <c r="BA232" s="191">
        <f t="shared" si="179"/>
        <v>8.5920178120384003E-7</v>
      </c>
      <c r="BB232" s="191">
        <f t="shared" si="179"/>
        <v>8.5920178120384003E-7</v>
      </c>
      <c r="BC232" s="191">
        <f t="shared" si="179"/>
        <v>8.5920178120384003E-7</v>
      </c>
      <c r="BD232" s="191">
        <f t="shared" si="179"/>
        <v>8.5920178120384003E-7</v>
      </c>
      <c r="BE232" s="191">
        <f t="shared" si="179"/>
        <v>8.5920178120384003E-7</v>
      </c>
      <c r="BF232" s="191">
        <f t="shared" si="179"/>
        <v>8.5920178120384003E-7</v>
      </c>
      <c r="BG232" s="191">
        <f t="shared" si="179"/>
        <v>8.5920178120384003E-7</v>
      </c>
      <c r="BH232" s="191">
        <f t="shared" si="179"/>
        <v>8.5920178120384003E-7</v>
      </c>
      <c r="BI232" s="191">
        <f t="shared" si="179"/>
        <v>8.5920178120384003E-7</v>
      </c>
      <c r="BJ232" s="191">
        <f t="shared" si="179"/>
        <v>8.5920178120384003E-7</v>
      </c>
      <c r="BK232" s="191">
        <f t="shared" si="179"/>
        <v>8.5920178120384003E-7</v>
      </c>
      <c r="BL232" s="191">
        <f t="shared" si="179"/>
        <v>8.5920178120384003E-7</v>
      </c>
      <c r="BM232" s="191">
        <f t="shared" si="179"/>
        <v>8.5920178120384003E-7</v>
      </c>
      <c r="BN232" s="191">
        <f t="shared" si="179"/>
        <v>8.5920178120384003E-7</v>
      </c>
      <c r="BO232" s="191">
        <f t="shared" si="179"/>
        <v>8.5920178120384003E-7</v>
      </c>
      <c r="BP232" s="191">
        <f t="shared" si="179"/>
        <v>8.5920178120384003E-7</v>
      </c>
      <c r="BQ232" s="191">
        <f t="shared" si="179"/>
        <v>8.5920178120384003E-7</v>
      </c>
      <c r="BR232" s="191">
        <f t="shared" si="179"/>
        <v>8.5920178120384003E-7</v>
      </c>
      <c r="BS232" s="191">
        <f t="shared" si="179"/>
        <v>8.5920178120384003E-7</v>
      </c>
      <c r="BT232" s="191">
        <f t="shared" si="179"/>
        <v>8.5920178120384003E-7</v>
      </c>
      <c r="BU232" s="191">
        <f t="shared" si="179"/>
        <v>8.5920178120384003E-7</v>
      </c>
      <c r="BV232" s="191">
        <f t="shared" si="179"/>
        <v>8.5920178120384003E-7</v>
      </c>
    </row>
    <row r="233" spans="1:74">
      <c r="A233" s="147" t="s">
        <v>199</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1">
        <f t="shared" ref="AS233:BV233" si="180">AR233</f>
        <v>1.9102196192977084E-6</v>
      </c>
      <c r="AT233" s="191">
        <f t="shared" si="180"/>
        <v>1.9102196192977084E-6</v>
      </c>
      <c r="AU233" s="191">
        <f t="shared" si="180"/>
        <v>1.9102196192977084E-6</v>
      </c>
      <c r="AV233" s="191">
        <f t="shared" si="180"/>
        <v>1.9102196192977084E-6</v>
      </c>
      <c r="AW233" s="191">
        <f t="shared" si="180"/>
        <v>1.9102196192977084E-6</v>
      </c>
      <c r="AX233" s="191">
        <f t="shared" si="180"/>
        <v>1.9102196192977084E-6</v>
      </c>
      <c r="AY233" s="191">
        <f t="shared" si="180"/>
        <v>1.9102196192977084E-6</v>
      </c>
      <c r="AZ233" s="191">
        <f t="shared" si="180"/>
        <v>1.9102196192977084E-6</v>
      </c>
      <c r="BA233" s="191">
        <f t="shared" si="180"/>
        <v>1.9102196192977084E-6</v>
      </c>
      <c r="BB233" s="191">
        <f t="shared" si="180"/>
        <v>1.9102196192977084E-6</v>
      </c>
      <c r="BC233" s="191">
        <f t="shared" si="180"/>
        <v>1.9102196192977084E-6</v>
      </c>
      <c r="BD233" s="191">
        <f t="shared" si="180"/>
        <v>1.9102196192977084E-6</v>
      </c>
      <c r="BE233" s="191">
        <f t="shared" si="180"/>
        <v>1.9102196192977084E-6</v>
      </c>
      <c r="BF233" s="191">
        <f t="shared" si="180"/>
        <v>1.9102196192977084E-6</v>
      </c>
      <c r="BG233" s="191">
        <f t="shared" si="180"/>
        <v>1.9102196192977084E-6</v>
      </c>
      <c r="BH233" s="191">
        <f t="shared" si="180"/>
        <v>1.9102196192977084E-6</v>
      </c>
      <c r="BI233" s="191">
        <f t="shared" si="180"/>
        <v>1.9102196192977084E-6</v>
      </c>
      <c r="BJ233" s="191">
        <f t="shared" si="180"/>
        <v>1.9102196192977084E-6</v>
      </c>
      <c r="BK233" s="191">
        <f t="shared" si="180"/>
        <v>1.9102196192977084E-6</v>
      </c>
      <c r="BL233" s="191">
        <f t="shared" si="180"/>
        <v>1.9102196192977084E-6</v>
      </c>
      <c r="BM233" s="191">
        <f t="shared" si="180"/>
        <v>1.9102196192977084E-6</v>
      </c>
      <c r="BN233" s="191">
        <f t="shared" si="180"/>
        <v>1.9102196192977084E-6</v>
      </c>
      <c r="BO233" s="191">
        <f t="shared" si="180"/>
        <v>1.9102196192977084E-6</v>
      </c>
      <c r="BP233" s="191">
        <f t="shared" si="180"/>
        <v>1.9102196192977084E-6</v>
      </c>
      <c r="BQ233" s="191">
        <f t="shared" si="180"/>
        <v>1.9102196192977084E-6</v>
      </c>
      <c r="BR233" s="191">
        <f t="shared" si="180"/>
        <v>1.9102196192977084E-6</v>
      </c>
      <c r="BS233" s="191">
        <f t="shared" si="180"/>
        <v>1.9102196192977084E-6</v>
      </c>
      <c r="BT233" s="191">
        <f t="shared" si="180"/>
        <v>1.9102196192977084E-6</v>
      </c>
      <c r="BU233" s="191">
        <f t="shared" si="180"/>
        <v>1.9102196192977084E-6</v>
      </c>
      <c r="BV233" s="191">
        <f t="shared" si="180"/>
        <v>1.9102196192977084E-6</v>
      </c>
    </row>
    <row r="234" spans="1:74">
      <c r="A234" s="147" t="s">
        <v>200</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1">
        <f t="shared" ref="AS234:BV234" si="181">AR234</f>
        <v>0</v>
      </c>
      <c r="AT234" s="191">
        <f t="shared" si="181"/>
        <v>0</v>
      </c>
      <c r="AU234" s="191">
        <f t="shared" si="181"/>
        <v>0</v>
      </c>
      <c r="AV234" s="191">
        <f t="shared" si="181"/>
        <v>0</v>
      </c>
      <c r="AW234" s="191">
        <f t="shared" si="181"/>
        <v>0</v>
      </c>
      <c r="AX234" s="191">
        <f t="shared" si="181"/>
        <v>0</v>
      </c>
      <c r="AY234" s="191">
        <f t="shared" si="181"/>
        <v>0</v>
      </c>
      <c r="AZ234" s="191">
        <f t="shared" si="181"/>
        <v>0</v>
      </c>
      <c r="BA234" s="191">
        <f t="shared" si="181"/>
        <v>0</v>
      </c>
      <c r="BB234" s="191">
        <f t="shared" si="181"/>
        <v>0</v>
      </c>
      <c r="BC234" s="191">
        <f t="shared" si="181"/>
        <v>0</v>
      </c>
      <c r="BD234" s="191">
        <f t="shared" si="181"/>
        <v>0</v>
      </c>
      <c r="BE234" s="191">
        <f t="shared" si="181"/>
        <v>0</v>
      </c>
      <c r="BF234" s="191">
        <f t="shared" si="181"/>
        <v>0</v>
      </c>
      <c r="BG234" s="191">
        <f t="shared" si="181"/>
        <v>0</v>
      </c>
      <c r="BH234" s="191">
        <f t="shared" si="181"/>
        <v>0</v>
      </c>
      <c r="BI234" s="191">
        <f t="shared" si="181"/>
        <v>0</v>
      </c>
      <c r="BJ234" s="191">
        <f t="shared" si="181"/>
        <v>0</v>
      </c>
      <c r="BK234" s="191">
        <f t="shared" si="181"/>
        <v>0</v>
      </c>
      <c r="BL234" s="191">
        <f t="shared" si="181"/>
        <v>0</v>
      </c>
      <c r="BM234" s="191">
        <f t="shared" si="181"/>
        <v>0</v>
      </c>
      <c r="BN234" s="191">
        <f t="shared" si="181"/>
        <v>0</v>
      </c>
      <c r="BO234" s="191">
        <f t="shared" si="181"/>
        <v>0</v>
      </c>
      <c r="BP234" s="191">
        <f t="shared" si="181"/>
        <v>0</v>
      </c>
      <c r="BQ234" s="191">
        <f t="shared" si="181"/>
        <v>0</v>
      </c>
      <c r="BR234" s="191">
        <f t="shared" si="181"/>
        <v>0</v>
      </c>
      <c r="BS234" s="191">
        <f t="shared" si="181"/>
        <v>0</v>
      </c>
      <c r="BT234" s="191">
        <f t="shared" si="181"/>
        <v>0</v>
      </c>
      <c r="BU234" s="191">
        <f t="shared" si="181"/>
        <v>0</v>
      </c>
      <c r="BV234" s="191">
        <f t="shared" si="181"/>
        <v>0</v>
      </c>
    </row>
    <row r="235" spans="1:74">
      <c r="A235" s="147" t="s">
        <v>202</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1">
        <f>AR235</f>
        <v>8.5920177383592024E-7</v>
      </c>
      <c r="AT235" s="191">
        <f t="shared" ref="AT235:BV235" si="182">AS235</f>
        <v>8.5920177383592024E-7</v>
      </c>
      <c r="AU235" s="191">
        <f t="shared" si="182"/>
        <v>8.5920177383592024E-7</v>
      </c>
      <c r="AV235" s="191">
        <f t="shared" si="182"/>
        <v>8.5920177383592024E-7</v>
      </c>
      <c r="AW235" s="191">
        <f t="shared" si="182"/>
        <v>8.5920177383592024E-7</v>
      </c>
      <c r="AX235" s="191">
        <f t="shared" si="182"/>
        <v>8.5920177383592024E-7</v>
      </c>
      <c r="AY235" s="191">
        <f t="shared" si="182"/>
        <v>8.5920177383592024E-7</v>
      </c>
      <c r="AZ235" s="191">
        <f t="shared" si="182"/>
        <v>8.5920177383592024E-7</v>
      </c>
      <c r="BA235" s="191">
        <f t="shared" si="182"/>
        <v>8.5920177383592024E-7</v>
      </c>
      <c r="BB235" s="191">
        <f t="shared" si="182"/>
        <v>8.5920177383592024E-7</v>
      </c>
      <c r="BC235" s="191">
        <f t="shared" si="182"/>
        <v>8.5920177383592024E-7</v>
      </c>
      <c r="BD235" s="191">
        <f t="shared" si="182"/>
        <v>8.5920177383592024E-7</v>
      </c>
      <c r="BE235" s="191">
        <f t="shared" si="182"/>
        <v>8.5920177383592024E-7</v>
      </c>
      <c r="BF235" s="191">
        <f t="shared" si="182"/>
        <v>8.5920177383592024E-7</v>
      </c>
      <c r="BG235" s="191">
        <f t="shared" si="182"/>
        <v>8.5920177383592024E-7</v>
      </c>
      <c r="BH235" s="191">
        <f t="shared" si="182"/>
        <v>8.5920177383592024E-7</v>
      </c>
      <c r="BI235" s="191">
        <f t="shared" si="182"/>
        <v>8.5920177383592024E-7</v>
      </c>
      <c r="BJ235" s="191">
        <f t="shared" si="182"/>
        <v>8.5920177383592024E-7</v>
      </c>
      <c r="BK235" s="191">
        <f t="shared" si="182"/>
        <v>8.5920177383592024E-7</v>
      </c>
      <c r="BL235" s="191">
        <f t="shared" si="182"/>
        <v>8.5920177383592024E-7</v>
      </c>
      <c r="BM235" s="191">
        <f t="shared" si="182"/>
        <v>8.5920177383592024E-7</v>
      </c>
      <c r="BN235" s="191">
        <f t="shared" si="182"/>
        <v>8.5920177383592024E-7</v>
      </c>
      <c r="BO235" s="191">
        <f t="shared" si="182"/>
        <v>8.5920177383592024E-7</v>
      </c>
      <c r="BP235" s="191">
        <f t="shared" si="182"/>
        <v>8.5920177383592024E-7</v>
      </c>
      <c r="BQ235" s="191">
        <f t="shared" si="182"/>
        <v>8.5920177383592024E-7</v>
      </c>
      <c r="BR235" s="191">
        <f t="shared" si="182"/>
        <v>8.5920177383592024E-7</v>
      </c>
      <c r="BS235" s="191">
        <f t="shared" si="182"/>
        <v>8.5920177383592024E-7</v>
      </c>
      <c r="BT235" s="191">
        <f t="shared" si="182"/>
        <v>8.5920177383592024E-7</v>
      </c>
      <c r="BU235" s="191">
        <f t="shared" si="182"/>
        <v>8.5920177383592024E-7</v>
      </c>
      <c r="BV235" s="191">
        <f t="shared" si="182"/>
        <v>8.5920177383592024E-7</v>
      </c>
    </row>
    <row r="236" spans="1:74">
      <c r="A236" s="147" t="s">
        <v>203</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1">
        <f t="shared" ref="AS236:BV236" si="183">AR236</f>
        <v>0</v>
      </c>
      <c r="AT236" s="191">
        <f t="shared" si="183"/>
        <v>0</v>
      </c>
      <c r="AU236" s="191">
        <f t="shared" si="183"/>
        <v>0</v>
      </c>
      <c r="AV236" s="191">
        <f t="shared" si="183"/>
        <v>0</v>
      </c>
      <c r="AW236" s="191">
        <f t="shared" si="183"/>
        <v>0</v>
      </c>
      <c r="AX236" s="191">
        <f t="shared" si="183"/>
        <v>0</v>
      </c>
      <c r="AY236" s="191">
        <f t="shared" si="183"/>
        <v>0</v>
      </c>
      <c r="AZ236" s="191">
        <f t="shared" si="183"/>
        <v>0</v>
      </c>
      <c r="BA236" s="191">
        <f t="shared" si="183"/>
        <v>0</v>
      </c>
      <c r="BB236" s="191">
        <f t="shared" si="183"/>
        <v>0</v>
      </c>
      <c r="BC236" s="191">
        <f t="shared" si="183"/>
        <v>0</v>
      </c>
      <c r="BD236" s="191">
        <f t="shared" si="183"/>
        <v>0</v>
      </c>
      <c r="BE236" s="191">
        <f t="shared" si="183"/>
        <v>0</v>
      </c>
      <c r="BF236" s="191">
        <f t="shared" si="183"/>
        <v>0</v>
      </c>
      <c r="BG236" s="191">
        <f t="shared" si="183"/>
        <v>0</v>
      </c>
      <c r="BH236" s="191">
        <f t="shared" si="183"/>
        <v>0</v>
      </c>
      <c r="BI236" s="191">
        <f t="shared" si="183"/>
        <v>0</v>
      </c>
      <c r="BJ236" s="191">
        <f t="shared" si="183"/>
        <v>0</v>
      </c>
      <c r="BK236" s="191">
        <f t="shared" si="183"/>
        <v>0</v>
      </c>
      <c r="BL236" s="191">
        <f t="shared" si="183"/>
        <v>0</v>
      </c>
      <c r="BM236" s="191">
        <f t="shared" si="183"/>
        <v>0</v>
      </c>
      <c r="BN236" s="191">
        <f t="shared" si="183"/>
        <v>0</v>
      </c>
      <c r="BO236" s="191">
        <f t="shared" si="183"/>
        <v>0</v>
      </c>
      <c r="BP236" s="191">
        <f t="shared" si="183"/>
        <v>0</v>
      </c>
      <c r="BQ236" s="191">
        <f t="shared" si="183"/>
        <v>0</v>
      </c>
      <c r="BR236" s="191">
        <f t="shared" si="183"/>
        <v>0</v>
      </c>
      <c r="BS236" s="191">
        <f t="shared" si="183"/>
        <v>0</v>
      </c>
      <c r="BT236" s="191">
        <f t="shared" si="183"/>
        <v>0</v>
      </c>
      <c r="BU236" s="191">
        <f t="shared" si="183"/>
        <v>0</v>
      </c>
      <c r="BV236" s="191">
        <f t="shared" si="183"/>
        <v>0</v>
      </c>
    </row>
    <row r="237" spans="1:74">
      <c r="A237" s="147" t="s">
        <v>205</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1">
        <f>AR237</f>
        <v>3.0000000000000001E-5</v>
      </c>
      <c r="AT237" s="191">
        <f t="shared" ref="AT237:BV237" si="184">AS237</f>
        <v>3.0000000000000001E-5</v>
      </c>
      <c r="AU237" s="191">
        <f t="shared" si="184"/>
        <v>3.0000000000000001E-5</v>
      </c>
      <c r="AV237" s="191">
        <f t="shared" si="184"/>
        <v>3.0000000000000001E-5</v>
      </c>
      <c r="AW237" s="191">
        <f t="shared" si="184"/>
        <v>3.0000000000000001E-5</v>
      </c>
      <c r="AX237" s="191">
        <f t="shared" si="184"/>
        <v>3.0000000000000001E-5</v>
      </c>
      <c r="AY237" s="191">
        <f t="shared" si="184"/>
        <v>3.0000000000000001E-5</v>
      </c>
      <c r="AZ237" s="191">
        <f t="shared" si="184"/>
        <v>3.0000000000000001E-5</v>
      </c>
      <c r="BA237" s="191">
        <f t="shared" si="184"/>
        <v>3.0000000000000001E-5</v>
      </c>
      <c r="BB237" s="191">
        <f t="shared" si="184"/>
        <v>3.0000000000000001E-5</v>
      </c>
      <c r="BC237" s="191">
        <f t="shared" si="184"/>
        <v>3.0000000000000001E-5</v>
      </c>
      <c r="BD237" s="191">
        <f t="shared" si="184"/>
        <v>3.0000000000000001E-5</v>
      </c>
      <c r="BE237" s="191">
        <f t="shared" si="184"/>
        <v>3.0000000000000001E-5</v>
      </c>
      <c r="BF237" s="191">
        <f t="shared" si="184"/>
        <v>3.0000000000000001E-5</v>
      </c>
      <c r="BG237" s="191">
        <f t="shared" si="184"/>
        <v>3.0000000000000001E-5</v>
      </c>
      <c r="BH237" s="191">
        <f t="shared" si="184"/>
        <v>3.0000000000000001E-5</v>
      </c>
      <c r="BI237" s="191">
        <f t="shared" si="184"/>
        <v>3.0000000000000001E-5</v>
      </c>
      <c r="BJ237" s="191">
        <f t="shared" si="184"/>
        <v>3.0000000000000001E-5</v>
      </c>
      <c r="BK237" s="191">
        <f t="shared" si="184"/>
        <v>3.0000000000000001E-5</v>
      </c>
      <c r="BL237" s="191">
        <f t="shared" si="184"/>
        <v>3.0000000000000001E-5</v>
      </c>
      <c r="BM237" s="191">
        <f t="shared" si="184"/>
        <v>3.0000000000000001E-5</v>
      </c>
      <c r="BN237" s="191">
        <f t="shared" si="184"/>
        <v>3.0000000000000001E-5</v>
      </c>
      <c r="BO237" s="191">
        <f t="shared" si="184"/>
        <v>3.0000000000000001E-5</v>
      </c>
      <c r="BP237" s="191">
        <f t="shared" si="184"/>
        <v>3.0000000000000001E-5</v>
      </c>
      <c r="BQ237" s="191">
        <f t="shared" si="184"/>
        <v>3.0000000000000001E-5</v>
      </c>
      <c r="BR237" s="191">
        <f t="shared" si="184"/>
        <v>3.0000000000000001E-5</v>
      </c>
      <c r="BS237" s="191">
        <f t="shared" si="184"/>
        <v>3.0000000000000001E-5</v>
      </c>
      <c r="BT237" s="191">
        <f t="shared" si="184"/>
        <v>3.0000000000000001E-5</v>
      </c>
      <c r="BU237" s="191">
        <f t="shared" si="184"/>
        <v>3.0000000000000001E-5</v>
      </c>
      <c r="BV237" s="191">
        <f t="shared" si="184"/>
        <v>3.0000000000000001E-5</v>
      </c>
    </row>
    <row r="238" spans="1:74">
      <c r="A238" s="147" t="s">
        <v>14</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1">
        <f>AR238</f>
        <v>8.5959885386819455E-6</v>
      </c>
      <c r="AT238" s="191">
        <f t="shared" ref="AT238:BV238" si="185">AS238</f>
        <v>8.5959885386819455E-6</v>
      </c>
      <c r="AU238" s="191">
        <f t="shared" si="185"/>
        <v>8.5959885386819455E-6</v>
      </c>
      <c r="AV238" s="191">
        <f t="shared" si="185"/>
        <v>8.5959885386819455E-6</v>
      </c>
      <c r="AW238" s="191">
        <f t="shared" si="185"/>
        <v>8.5959885386819455E-6</v>
      </c>
      <c r="AX238" s="191">
        <f t="shared" si="185"/>
        <v>8.5959885386819455E-6</v>
      </c>
      <c r="AY238" s="191">
        <f t="shared" si="185"/>
        <v>8.5959885386819455E-6</v>
      </c>
      <c r="AZ238" s="191">
        <f t="shared" si="185"/>
        <v>8.5959885386819455E-6</v>
      </c>
      <c r="BA238" s="191">
        <f t="shared" si="185"/>
        <v>8.5959885386819455E-6</v>
      </c>
      <c r="BB238" s="191">
        <f t="shared" si="185"/>
        <v>8.5959885386819455E-6</v>
      </c>
      <c r="BC238" s="191">
        <f t="shared" si="185"/>
        <v>8.5959885386819455E-6</v>
      </c>
      <c r="BD238" s="191">
        <f t="shared" si="185"/>
        <v>8.5959885386819455E-6</v>
      </c>
      <c r="BE238" s="191">
        <f t="shared" si="185"/>
        <v>8.5959885386819455E-6</v>
      </c>
      <c r="BF238" s="191">
        <f t="shared" si="185"/>
        <v>8.5959885386819455E-6</v>
      </c>
      <c r="BG238" s="191">
        <f t="shared" si="185"/>
        <v>8.5959885386819455E-6</v>
      </c>
      <c r="BH238" s="191">
        <f t="shared" si="185"/>
        <v>8.5959885386819455E-6</v>
      </c>
      <c r="BI238" s="191">
        <f t="shared" si="185"/>
        <v>8.5959885386819455E-6</v>
      </c>
      <c r="BJ238" s="191">
        <f t="shared" si="185"/>
        <v>8.5959885386819455E-6</v>
      </c>
      <c r="BK238" s="191">
        <f t="shared" si="185"/>
        <v>8.5959885386819455E-6</v>
      </c>
      <c r="BL238" s="191">
        <f t="shared" si="185"/>
        <v>8.5959885386819455E-6</v>
      </c>
      <c r="BM238" s="191">
        <f t="shared" si="185"/>
        <v>8.5959885386819455E-6</v>
      </c>
      <c r="BN238" s="191">
        <f t="shared" si="185"/>
        <v>8.5959885386819455E-6</v>
      </c>
      <c r="BO238" s="191">
        <f t="shared" si="185"/>
        <v>8.5959885386819455E-6</v>
      </c>
      <c r="BP238" s="191">
        <f t="shared" si="185"/>
        <v>8.5959885386819455E-6</v>
      </c>
      <c r="BQ238" s="191">
        <f t="shared" si="185"/>
        <v>8.5959885386819455E-6</v>
      </c>
      <c r="BR238" s="191">
        <f t="shared" si="185"/>
        <v>8.5959885386819455E-6</v>
      </c>
      <c r="BS238" s="191">
        <f t="shared" si="185"/>
        <v>8.5959885386819455E-6</v>
      </c>
      <c r="BT238" s="191">
        <f t="shared" si="185"/>
        <v>8.5959885386819455E-6</v>
      </c>
      <c r="BU238" s="191">
        <f t="shared" si="185"/>
        <v>8.5959885386819455E-6</v>
      </c>
      <c r="BV238" s="191">
        <f t="shared" si="185"/>
        <v>8.5959885386819455E-6</v>
      </c>
    </row>
    <row r="239" spans="1:74">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c r="A241" s="180" t="s">
        <v>245</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c r="A242" s="180"/>
      <c r="B242" s="180" t="s">
        <v>246</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c r="A243" s="147" t="s">
        <v>176</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2">
        <f t="shared" ref="AS243:BV243" si="186">AR243</f>
        <v>6.860880941997383E-6</v>
      </c>
      <c r="AT243" s="192">
        <f t="shared" si="186"/>
        <v>6.860880941997383E-6</v>
      </c>
      <c r="AU243" s="192">
        <f t="shared" si="186"/>
        <v>6.860880941997383E-6</v>
      </c>
      <c r="AV243" s="192">
        <f t="shared" si="186"/>
        <v>6.860880941997383E-6</v>
      </c>
      <c r="AW243" s="192">
        <f t="shared" si="186"/>
        <v>6.860880941997383E-6</v>
      </c>
      <c r="AX243" s="192">
        <f t="shared" si="186"/>
        <v>6.860880941997383E-6</v>
      </c>
      <c r="AY243" s="192">
        <f t="shared" si="186"/>
        <v>6.860880941997383E-6</v>
      </c>
      <c r="AZ243" s="192">
        <f t="shared" si="186"/>
        <v>6.860880941997383E-6</v>
      </c>
      <c r="BA243" s="192">
        <f t="shared" si="186"/>
        <v>6.860880941997383E-6</v>
      </c>
      <c r="BB243" s="192">
        <f t="shared" si="186"/>
        <v>6.860880941997383E-6</v>
      </c>
      <c r="BC243" s="192">
        <f t="shared" si="186"/>
        <v>6.860880941997383E-6</v>
      </c>
      <c r="BD243" s="192">
        <f t="shared" si="186"/>
        <v>6.860880941997383E-6</v>
      </c>
      <c r="BE243" s="192">
        <f t="shared" si="186"/>
        <v>6.860880941997383E-6</v>
      </c>
      <c r="BF243" s="192">
        <f t="shared" si="186"/>
        <v>6.860880941997383E-6</v>
      </c>
      <c r="BG243" s="192">
        <f t="shared" si="186"/>
        <v>6.860880941997383E-6</v>
      </c>
      <c r="BH243" s="192">
        <f t="shared" si="186"/>
        <v>6.860880941997383E-6</v>
      </c>
      <c r="BI243" s="192">
        <f t="shared" si="186"/>
        <v>6.860880941997383E-6</v>
      </c>
      <c r="BJ243" s="192">
        <f t="shared" si="186"/>
        <v>6.860880941997383E-6</v>
      </c>
      <c r="BK243" s="192">
        <f t="shared" si="186"/>
        <v>6.860880941997383E-6</v>
      </c>
      <c r="BL243" s="192">
        <f t="shared" si="186"/>
        <v>6.860880941997383E-6</v>
      </c>
      <c r="BM243" s="192">
        <f t="shared" si="186"/>
        <v>6.860880941997383E-6</v>
      </c>
      <c r="BN243" s="192">
        <f t="shared" si="186"/>
        <v>6.860880941997383E-6</v>
      </c>
      <c r="BO243" s="192">
        <f t="shared" si="186"/>
        <v>6.860880941997383E-6</v>
      </c>
      <c r="BP243" s="192">
        <f t="shared" si="186"/>
        <v>6.860880941997383E-6</v>
      </c>
      <c r="BQ243" s="192">
        <f t="shared" si="186"/>
        <v>6.860880941997383E-6</v>
      </c>
      <c r="BR243" s="192">
        <f t="shared" si="186"/>
        <v>6.860880941997383E-6</v>
      </c>
      <c r="BS243" s="192">
        <f t="shared" si="186"/>
        <v>6.860880941997383E-6</v>
      </c>
      <c r="BT243" s="192">
        <f t="shared" si="186"/>
        <v>6.860880941997383E-6</v>
      </c>
      <c r="BU243" s="192">
        <f t="shared" si="186"/>
        <v>6.860880941997383E-6</v>
      </c>
      <c r="BV243" s="192">
        <f t="shared" si="186"/>
        <v>6.860880941997383E-6</v>
      </c>
    </row>
    <row r="244" spans="1:74">
      <c r="A244" s="147" t="s">
        <v>178</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2">
        <f t="shared" ref="AS244:BV244" si="187">AR244</f>
        <v>1.8983900308639875E-6</v>
      </c>
      <c r="AT244" s="192">
        <f t="shared" si="187"/>
        <v>1.8983900308639875E-6</v>
      </c>
      <c r="AU244" s="192">
        <f t="shared" si="187"/>
        <v>1.8983900308639875E-6</v>
      </c>
      <c r="AV244" s="192">
        <f t="shared" si="187"/>
        <v>1.8983900308639875E-6</v>
      </c>
      <c r="AW244" s="192">
        <f t="shared" si="187"/>
        <v>1.8983900308639875E-6</v>
      </c>
      <c r="AX244" s="192">
        <f t="shared" si="187"/>
        <v>1.8983900308639875E-6</v>
      </c>
      <c r="AY244" s="192">
        <f t="shared" si="187"/>
        <v>1.8983900308639875E-6</v>
      </c>
      <c r="AZ244" s="192">
        <f t="shared" si="187"/>
        <v>1.8983900308639875E-6</v>
      </c>
      <c r="BA244" s="192">
        <f t="shared" si="187"/>
        <v>1.8983900308639875E-6</v>
      </c>
      <c r="BB244" s="192">
        <f t="shared" si="187"/>
        <v>1.8983900308639875E-6</v>
      </c>
      <c r="BC244" s="192">
        <f t="shared" si="187"/>
        <v>1.8983900308639875E-6</v>
      </c>
      <c r="BD244" s="192">
        <f t="shared" si="187"/>
        <v>1.8983900308639875E-6</v>
      </c>
      <c r="BE244" s="192">
        <f t="shared" si="187"/>
        <v>1.8983900308639875E-6</v>
      </c>
      <c r="BF244" s="192">
        <f t="shared" si="187"/>
        <v>1.8983900308639875E-6</v>
      </c>
      <c r="BG244" s="192">
        <f t="shared" si="187"/>
        <v>1.8983900308639875E-6</v>
      </c>
      <c r="BH244" s="192">
        <f t="shared" si="187"/>
        <v>1.8983900308639875E-6</v>
      </c>
      <c r="BI244" s="192">
        <f t="shared" si="187"/>
        <v>1.8983900308639875E-6</v>
      </c>
      <c r="BJ244" s="192">
        <f t="shared" si="187"/>
        <v>1.8983900308639875E-6</v>
      </c>
      <c r="BK244" s="192">
        <f t="shared" si="187"/>
        <v>1.8983900308639875E-6</v>
      </c>
      <c r="BL244" s="192">
        <f t="shared" si="187"/>
        <v>1.8983900308639875E-6</v>
      </c>
      <c r="BM244" s="192">
        <f t="shared" si="187"/>
        <v>1.8983900308639875E-6</v>
      </c>
      <c r="BN244" s="192">
        <f t="shared" si="187"/>
        <v>1.8983900308639875E-6</v>
      </c>
      <c r="BO244" s="192">
        <f t="shared" si="187"/>
        <v>1.8983900308639875E-6</v>
      </c>
      <c r="BP244" s="192">
        <f t="shared" si="187"/>
        <v>1.8983900308639875E-6</v>
      </c>
      <c r="BQ244" s="192">
        <f t="shared" si="187"/>
        <v>1.8983900308639875E-6</v>
      </c>
      <c r="BR244" s="192">
        <f t="shared" si="187"/>
        <v>1.8983900308639875E-6</v>
      </c>
      <c r="BS244" s="192">
        <f t="shared" si="187"/>
        <v>1.8983900308639875E-6</v>
      </c>
      <c r="BT244" s="192">
        <f t="shared" si="187"/>
        <v>1.8983900308639875E-6</v>
      </c>
      <c r="BU244" s="192">
        <f t="shared" si="187"/>
        <v>1.8983900308639875E-6</v>
      </c>
      <c r="BV244" s="192">
        <f t="shared" si="187"/>
        <v>1.8983900308639875E-6</v>
      </c>
    </row>
    <row r="245" spans="1:74">
      <c r="A245" s="141" t="s">
        <v>179</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2">
        <f t="shared" ref="AS245:BV245" si="188">AR245</f>
        <v>1.2003940527372594E-5</v>
      </c>
      <c r="AT245" s="192">
        <f t="shared" si="188"/>
        <v>1.2003940527372594E-5</v>
      </c>
      <c r="AU245" s="192">
        <f t="shared" si="188"/>
        <v>1.2003940527372594E-5</v>
      </c>
      <c r="AV245" s="192">
        <f t="shared" si="188"/>
        <v>1.2003940527372594E-5</v>
      </c>
      <c r="AW245" s="192">
        <f t="shared" si="188"/>
        <v>1.2003940527372594E-5</v>
      </c>
      <c r="AX245" s="192">
        <f t="shared" si="188"/>
        <v>1.2003940527372594E-5</v>
      </c>
      <c r="AY245" s="192">
        <f t="shared" si="188"/>
        <v>1.2003940527372594E-5</v>
      </c>
      <c r="AZ245" s="192">
        <f t="shared" si="188"/>
        <v>1.2003940527372594E-5</v>
      </c>
      <c r="BA245" s="192">
        <f t="shared" si="188"/>
        <v>1.2003940527372594E-5</v>
      </c>
      <c r="BB245" s="192">
        <f t="shared" si="188"/>
        <v>1.2003940527372594E-5</v>
      </c>
      <c r="BC245" s="192">
        <f t="shared" si="188"/>
        <v>1.2003940527372594E-5</v>
      </c>
      <c r="BD245" s="192">
        <f t="shared" si="188"/>
        <v>1.2003940527372594E-5</v>
      </c>
      <c r="BE245" s="192">
        <f t="shared" si="188"/>
        <v>1.2003940527372594E-5</v>
      </c>
      <c r="BF245" s="192">
        <f t="shared" si="188"/>
        <v>1.2003940527372594E-5</v>
      </c>
      <c r="BG245" s="192">
        <f t="shared" si="188"/>
        <v>1.2003940527372594E-5</v>
      </c>
      <c r="BH245" s="192">
        <f t="shared" si="188"/>
        <v>1.2003940527372594E-5</v>
      </c>
      <c r="BI245" s="192">
        <f t="shared" si="188"/>
        <v>1.2003940527372594E-5</v>
      </c>
      <c r="BJ245" s="192">
        <f t="shared" si="188"/>
        <v>1.2003940527372594E-5</v>
      </c>
      <c r="BK245" s="192">
        <f t="shared" si="188"/>
        <v>1.2003940527372594E-5</v>
      </c>
      <c r="BL245" s="192">
        <f t="shared" si="188"/>
        <v>1.2003940527372594E-5</v>
      </c>
      <c r="BM245" s="192">
        <f t="shared" si="188"/>
        <v>1.2003940527372594E-5</v>
      </c>
      <c r="BN245" s="192">
        <f t="shared" si="188"/>
        <v>1.2003940527372594E-5</v>
      </c>
      <c r="BO245" s="192">
        <f t="shared" si="188"/>
        <v>1.2003940527372594E-5</v>
      </c>
      <c r="BP245" s="192">
        <f t="shared" si="188"/>
        <v>1.2003940527372594E-5</v>
      </c>
      <c r="BQ245" s="192">
        <f t="shared" si="188"/>
        <v>1.2003940527372594E-5</v>
      </c>
      <c r="BR245" s="192">
        <f t="shared" si="188"/>
        <v>1.2003940527372594E-5</v>
      </c>
      <c r="BS245" s="192">
        <f t="shared" si="188"/>
        <v>1.2003940527372594E-5</v>
      </c>
      <c r="BT245" s="192">
        <f t="shared" si="188"/>
        <v>1.2003940527372594E-5</v>
      </c>
      <c r="BU245" s="192">
        <f t="shared" si="188"/>
        <v>1.2003940527372594E-5</v>
      </c>
      <c r="BV245" s="192">
        <f t="shared" si="188"/>
        <v>1.2003940527372594E-5</v>
      </c>
    </row>
    <row r="246" spans="1:74">
      <c r="A246" s="141" t="s">
        <v>181</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2">
        <f t="shared" ref="AS246:BV246" si="189">AR246</f>
        <v>3.7973932184107038E-6</v>
      </c>
      <c r="AT246" s="192">
        <f t="shared" si="189"/>
        <v>3.7973932184107038E-6</v>
      </c>
      <c r="AU246" s="192">
        <f t="shared" si="189"/>
        <v>3.7973932184107038E-6</v>
      </c>
      <c r="AV246" s="192">
        <f t="shared" si="189"/>
        <v>3.7973932184107038E-6</v>
      </c>
      <c r="AW246" s="192">
        <f t="shared" si="189"/>
        <v>3.7973932184107038E-6</v>
      </c>
      <c r="AX246" s="192">
        <f t="shared" si="189"/>
        <v>3.7973932184107038E-6</v>
      </c>
      <c r="AY246" s="192">
        <f t="shared" si="189"/>
        <v>3.7973932184107038E-6</v>
      </c>
      <c r="AZ246" s="192">
        <f t="shared" si="189"/>
        <v>3.7973932184107038E-6</v>
      </c>
      <c r="BA246" s="192">
        <f t="shared" si="189"/>
        <v>3.7973932184107038E-6</v>
      </c>
      <c r="BB246" s="192">
        <f t="shared" si="189"/>
        <v>3.7973932184107038E-6</v>
      </c>
      <c r="BC246" s="192">
        <f t="shared" si="189"/>
        <v>3.7973932184107038E-6</v>
      </c>
      <c r="BD246" s="192">
        <f t="shared" si="189"/>
        <v>3.7973932184107038E-6</v>
      </c>
      <c r="BE246" s="192">
        <f t="shared" si="189"/>
        <v>3.7973932184107038E-6</v>
      </c>
      <c r="BF246" s="192">
        <f t="shared" si="189"/>
        <v>3.7973932184107038E-6</v>
      </c>
      <c r="BG246" s="192">
        <f t="shared" si="189"/>
        <v>3.7973932184107038E-6</v>
      </c>
      <c r="BH246" s="192">
        <f t="shared" si="189"/>
        <v>3.7973932184107038E-6</v>
      </c>
      <c r="BI246" s="192">
        <f t="shared" si="189"/>
        <v>3.7973932184107038E-6</v>
      </c>
      <c r="BJ246" s="192">
        <f t="shared" si="189"/>
        <v>3.7973932184107038E-6</v>
      </c>
      <c r="BK246" s="192">
        <f t="shared" si="189"/>
        <v>3.7973932184107038E-6</v>
      </c>
      <c r="BL246" s="192">
        <f t="shared" si="189"/>
        <v>3.7973932184107038E-6</v>
      </c>
      <c r="BM246" s="192">
        <f t="shared" si="189"/>
        <v>3.7973932184107038E-6</v>
      </c>
      <c r="BN246" s="192">
        <f t="shared" si="189"/>
        <v>3.7973932184107038E-6</v>
      </c>
      <c r="BO246" s="192">
        <f t="shared" si="189"/>
        <v>3.7973932184107038E-6</v>
      </c>
      <c r="BP246" s="192">
        <f t="shared" si="189"/>
        <v>3.7973932184107038E-6</v>
      </c>
      <c r="BQ246" s="192">
        <f t="shared" si="189"/>
        <v>3.7973932184107038E-6</v>
      </c>
      <c r="BR246" s="192">
        <f t="shared" si="189"/>
        <v>3.7973932184107038E-6</v>
      </c>
      <c r="BS246" s="192">
        <f t="shared" si="189"/>
        <v>3.7973932184107038E-6</v>
      </c>
      <c r="BT246" s="192">
        <f t="shared" si="189"/>
        <v>3.7973932184107038E-6</v>
      </c>
      <c r="BU246" s="192">
        <f t="shared" si="189"/>
        <v>3.7973932184107038E-6</v>
      </c>
      <c r="BV246" s="192">
        <f t="shared" si="189"/>
        <v>3.7973932184107038E-6</v>
      </c>
    </row>
    <row r="247" spans="1:74">
      <c r="A247" s="147" t="s">
        <v>182</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2">
        <f t="shared" ref="AS247:BV247" si="190">AR247</f>
        <v>7.4672471252151824E-7</v>
      </c>
      <c r="AT247" s="192">
        <f t="shared" si="190"/>
        <v>7.4672471252151824E-7</v>
      </c>
      <c r="AU247" s="192">
        <f t="shared" si="190"/>
        <v>7.4672471252151824E-7</v>
      </c>
      <c r="AV247" s="192">
        <f t="shared" si="190"/>
        <v>7.4672471252151824E-7</v>
      </c>
      <c r="AW247" s="192">
        <f t="shared" si="190"/>
        <v>7.4672471252151824E-7</v>
      </c>
      <c r="AX247" s="192">
        <f t="shared" si="190"/>
        <v>7.4672471252151824E-7</v>
      </c>
      <c r="AY247" s="192">
        <f t="shared" si="190"/>
        <v>7.4672471252151824E-7</v>
      </c>
      <c r="AZ247" s="192">
        <f t="shared" si="190"/>
        <v>7.4672471252151824E-7</v>
      </c>
      <c r="BA247" s="192">
        <f t="shared" si="190"/>
        <v>7.4672471252151824E-7</v>
      </c>
      <c r="BB247" s="192">
        <f t="shared" si="190"/>
        <v>7.4672471252151824E-7</v>
      </c>
      <c r="BC247" s="192">
        <f t="shared" si="190"/>
        <v>7.4672471252151824E-7</v>
      </c>
      <c r="BD247" s="192">
        <f t="shared" si="190"/>
        <v>7.4672471252151824E-7</v>
      </c>
      <c r="BE247" s="192">
        <f t="shared" si="190"/>
        <v>7.4672471252151824E-7</v>
      </c>
      <c r="BF247" s="192">
        <f t="shared" si="190"/>
        <v>7.4672471252151824E-7</v>
      </c>
      <c r="BG247" s="192">
        <f t="shared" si="190"/>
        <v>7.4672471252151824E-7</v>
      </c>
      <c r="BH247" s="192">
        <f t="shared" si="190"/>
        <v>7.4672471252151824E-7</v>
      </c>
      <c r="BI247" s="192">
        <f t="shared" si="190"/>
        <v>7.4672471252151824E-7</v>
      </c>
      <c r="BJ247" s="192">
        <f t="shared" si="190"/>
        <v>7.4672471252151824E-7</v>
      </c>
      <c r="BK247" s="192">
        <f t="shared" si="190"/>
        <v>7.4672471252151824E-7</v>
      </c>
      <c r="BL247" s="192">
        <f t="shared" si="190"/>
        <v>7.4672471252151824E-7</v>
      </c>
      <c r="BM247" s="192">
        <f t="shared" si="190"/>
        <v>7.4672471252151824E-7</v>
      </c>
      <c r="BN247" s="192">
        <f t="shared" si="190"/>
        <v>7.4672471252151824E-7</v>
      </c>
      <c r="BO247" s="192">
        <f t="shared" si="190"/>
        <v>7.4672471252151824E-7</v>
      </c>
      <c r="BP247" s="192">
        <f t="shared" si="190"/>
        <v>7.4672471252151824E-7</v>
      </c>
      <c r="BQ247" s="192">
        <f t="shared" si="190"/>
        <v>7.4672471252151824E-7</v>
      </c>
      <c r="BR247" s="192">
        <f t="shared" si="190"/>
        <v>7.4672471252151824E-7</v>
      </c>
      <c r="BS247" s="192">
        <f t="shared" si="190"/>
        <v>7.4672471252151824E-7</v>
      </c>
      <c r="BT247" s="192">
        <f t="shared" si="190"/>
        <v>7.4672471252151824E-7</v>
      </c>
      <c r="BU247" s="192">
        <f t="shared" si="190"/>
        <v>7.4672471252151824E-7</v>
      </c>
      <c r="BV247" s="192">
        <f t="shared" si="190"/>
        <v>7.4672471252151824E-7</v>
      </c>
    </row>
    <row r="248" spans="1:74">
      <c r="A248" s="147" t="s">
        <v>184</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2">
        <f t="shared" ref="AS248:BV248" si="191">AR248</f>
        <v>6.9372187567674965E-7</v>
      </c>
      <c r="AT248" s="192">
        <f t="shared" si="191"/>
        <v>6.9372187567674965E-7</v>
      </c>
      <c r="AU248" s="192">
        <f t="shared" si="191"/>
        <v>6.9372187567674965E-7</v>
      </c>
      <c r="AV248" s="192">
        <f t="shared" si="191"/>
        <v>6.9372187567674965E-7</v>
      </c>
      <c r="AW248" s="192">
        <f t="shared" si="191"/>
        <v>6.9372187567674965E-7</v>
      </c>
      <c r="AX248" s="192">
        <f t="shared" si="191"/>
        <v>6.9372187567674965E-7</v>
      </c>
      <c r="AY248" s="192">
        <f t="shared" si="191"/>
        <v>6.9372187567674965E-7</v>
      </c>
      <c r="AZ248" s="192">
        <f t="shared" si="191"/>
        <v>6.9372187567674965E-7</v>
      </c>
      <c r="BA248" s="192">
        <f t="shared" si="191"/>
        <v>6.9372187567674965E-7</v>
      </c>
      <c r="BB248" s="192">
        <f t="shared" si="191"/>
        <v>6.9372187567674965E-7</v>
      </c>
      <c r="BC248" s="192">
        <f t="shared" si="191"/>
        <v>6.9372187567674965E-7</v>
      </c>
      <c r="BD248" s="192">
        <f t="shared" si="191"/>
        <v>6.9372187567674965E-7</v>
      </c>
      <c r="BE248" s="192">
        <f t="shared" si="191"/>
        <v>6.9372187567674965E-7</v>
      </c>
      <c r="BF248" s="192">
        <f t="shared" si="191"/>
        <v>6.9372187567674965E-7</v>
      </c>
      <c r="BG248" s="192">
        <f t="shared" si="191"/>
        <v>6.9372187567674965E-7</v>
      </c>
      <c r="BH248" s="192">
        <f t="shared" si="191"/>
        <v>6.9372187567674965E-7</v>
      </c>
      <c r="BI248" s="192">
        <f t="shared" si="191"/>
        <v>6.9372187567674965E-7</v>
      </c>
      <c r="BJ248" s="192">
        <f t="shared" si="191"/>
        <v>6.9372187567674965E-7</v>
      </c>
      <c r="BK248" s="192">
        <f t="shared" si="191"/>
        <v>6.9372187567674965E-7</v>
      </c>
      <c r="BL248" s="192">
        <f t="shared" si="191"/>
        <v>6.9372187567674965E-7</v>
      </c>
      <c r="BM248" s="192">
        <f t="shared" si="191"/>
        <v>6.9372187567674965E-7</v>
      </c>
      <c r="BN248" s="192">
        <f t="shared" si="191"/>
        <v>6.9372187567674965E-7</v>
      </c>
      <c r="BO248" s="192">
        <f t="shared" si="191"/>
        <v>6.9372187567674965E-7</v>
      </c>
      <c r="BP248" s="192">
        <f t="shared" si="191"/>
        <v>6.9372187567674965E-7</v>
      </c>
      <c r="BQ248" s="192">
        <f t="shared" si="191"/>
        <v>6.9372187567674965E-7</v>
      </c>
      <c r="BR248" s="192">
        <f t="shared" si="191"/>
        <v>6.9372187567674965E-7</v>
      </c>
      <c r="BS248" s="192">
        <f t="shared" si="191"/>
        <v>6.9372187567674965E-7</v>
      </c>
      <c r="BT248" s="192">
        <f t="shared" si="191"/>
        <v>6.9372187567674965E-7</v>
      </c>
      <c r="BU248" s="192">
        <f t="shared" si="191"/>
        <v>6.9372187567674965E-7</v>
      </c>
      <c r="BV248" s="192">
        <f t="shared" si="191"/>
        <v>6.9372187567674965E-7</v>
      </c>
    </row>
    <row r="249" spans="1:74">
      <c r="A249" s="141" t="s">
        <v>185</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2">
        <f t="shared" ref="AS249:BV249" si="192">AR249</f>
        <v>5.9327417305870628E-7</v>
      </c>
      <c r="AT249" s="192">
        <f t="shared" si="192"/>
        <v>5.9327417305870628E-7</v>
      </c>
      <c r="AU249" s="192">
        <f t="shared" si="192"/>
        <v>5.9327417305870628E-7</v>
      </c>
      <c r="AV249" s="192">
        <f t="shared" si="192"/>
        <v>5.9327417305870628E-7</v>
      </c>
      <c r="AW249" s="192">
        <f t="shared" si="192"/>
        <v>5.9327417305870628E-7</v>
      </c>
      <c r="AX249" s="192">
        <f t="shared" si="192"/>
        <v>5.9327417305870628E-7</v>
      </c>
      <c r="AY249" s="192">
        <f t="shared" si="192"/>
        <v>5.9327417305870628E-7</v>
      </c>
      <c r="AZ249" s="192">
        <f t="shared" si="192"/>
        <v>5.9327417305870628E-7</v>
      </c>
      <c r="BA249" s="192">
        <f t="shared" si="192"/>
        <v>5.9327417305870628E-7</v>
      </c>
      <c r="BB249" s="192">
        <f t="shared" si="192"/>
        <v>5.9327417305870628E-7</v>
      </c>
      <c r="BC249" s="192">
        <f t="shared" si="192"/>
        <v>5.9327417305870628E-7</v>
      </c>
      <c r="BD249" s="192">
        <f t="shared" si="192"/>
        <v>5.9327417305870628E-7</v>
      </c>
      <c r="BE249" s="192">
        <f t="shared" si="192"/>
        <v>5.9327417305870628E-7</v>
      </c>
      <c r="BF249" s="192">
        <f t="shared" si="192"/>
        <v>5.9327417305870628E-7</v>
      </c>
      <c r="BG249" s="192">
        <f t="shared" si="192"/>
        <v>5.9327417305870628E-7</v>
      </c>
      <c r="BH249" s="192">
        <f t="shared" si="192"/>
        <v>5.9327417305870628E-7</v>
      </c>
      <c r="BI249" s="192">
        <f t="shared" si="192"/>
        <v>5.9327417305870628E-7</v>
      </c>
      <c r="BJ249" s="192">
        <f t="shared" si="192"/>
        <v>5.9327417305870628E-7</v>
      </c>
      <c r="BK249" s="192">
        <f t="shared" si="192"/>
        <v>5.9327417305870628E-7</v>
      </c>
      <c r="BL249" s="192">
        <f t="shared" si="192"/>
        <v>5.9327417305870628E-7</v>
      </c>
      <c r="BM249" s="192">
        <f t="shared" si="192"/>
        <v>5.9327417305870628E-7</v>
      </c>
      <c r="BN249" s="192">
        <f t="shared" si="192"/>
        <v>5.9327417305870628E-7</v>
      </c>
      <c r="BO249" s="192">
        <f t="shared" si="192"/>
        <v>5.9327417305870628E-7</v>
      </c>
      <c r="BP249" s="192">
        <f t="shared" si="192"/>
        <v>5.9327417305870628E-7</v>
      </c>
      <c r="BQ249" s="192">
        <f t="shared" si="192"/>
        <v>5.9327417305870628E-7</v>
      </c>
      <c r="BR249" s="192">
        <f t="shared" si="192"/>
        <v>5.9327417305870628E-7</v>
      </c>
      <c r="BS249" s="192">
        <f t="shared" si="192"/>
        <v>5.9327417305870628E-7</v>
      </c>
      <c r="BT249" s="192">
        <f t="shared" si="192"/>
        <v>5.9327417305870628E-7</v>
      </c>
      <c r="BU249" s="192">
        <f t="shared" si="192"/>
        <v>5.9327417305870628E-7</v>
      </c>
      <c r="BV249" s="192">
        <f t="shared" si="192"/>
        <v>5.9327417305870628E-7</v>
      </c>
    </row>
    <row r="250" spans="1:74">
      <c r="A250" s="147" t="s">
        <v>187</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2">
        <f t="shared" ref="AS250:BV250" si="193">AR250</f>
        <v>2.0898631426917697E-6</v>
      </c>
      <c r="AT250" s="192">
        <f t="shared" si="193"/>
        <v>2.0898631426917697E-6</v>
      </c>
      <c r="AU250" s="192">
        <f t="shared" si="193"/>
        <v>2.0898631426917697E-6</v>
      </c>
      <c r="AV250" s="192">
        <f t="shared" si="193"/>
        <v>2.0898631426917697E-6</v>
      </c>
      <c r="AW250" s="192">
        <f t="shared" si="193"/>
        <v>2.0898631426917697E-6</v>
      </c>
      <c r="AX250" s="192">
        <f t="shared" si="193"/>
        <v>2.0898631426917697E-6</v>
      </c>
      <c r="AY250" s="192">
        <f t="shared" si="193"/>
        <v>2.0898631426917697E-6</v>
      </c>
      <c r="AZ250" s="192">
        <f t="shared" si="193"/>
        <v>2.0898631426917697E-6</v>
      </c>
      <c r="BA250" s="192">
        <f t="shared" si="193"/>
        <v>2.0898631426917697E-6</v>
      </c>
      <c r="BB250" s="192">
        <f t="shared" si="193"/>
        <v>2.0898631426917697E-6</v>
      </c>
      <c r="BC250" s="192">
        <f t="shared" si="193"/>
        <v>2.0898631426917697E-6</v>
      </c>
      <c r="BD250" s="192">
        <f t="shared" si="193"/>
        <v>2.0898631426917697E-6</v>
      </c>
      <c r="BE250" s="192">
        <f t="shared" si="193"/>
        <v>2.0898631426917697E-6</v>
      </c>
      <c r="BF250" s="192">
        <f t="shared" si="193"/>
        <v>2.0898631426917697E-6</v>
      </c>
      <c r="BG250" s="192">
        <f t="shared" si="193"/>
        <v>2.0898631426917697E-6</v>
      </c>
      <c r="BH250" s="192">
        <f t="shared" si="193"/>
        <v>2.0898631426917697E-6</v>
      </c>
      <c r="BI250" s="192">
        <f t="shared" si="193"/>
        <v>2.0898631426917697E-6</v>
      </c>
      <c r="BJ250" s="192">
        <f t="shared" si="193"/>
        <v>2.0898631426917697E-6</v>
      </c>
      <c r="BK250" s="192">
        <f t="shared" si="193"/>
        <v>2.0898631426917697E-6</v>
      </c>
      <c r="BL250" s="192">
        <f t="shared" si="193"/>
        <v>2.0898631426917697E-6</v>
      </c>
      <c r="BM250" s="192">
        <f t="shared" si="193"/>
        <v>2.0898631426917697E-6</v>
      </c>
      <c r="BN250" s="192">
        <f t="shared" si="193"/>
        <v>2.0898631426917697E-6</v>
      </c>
      <c r="BO250" s="192">
        <f t="shared" si="193"/>
        <v>2.0898631426917697E-6</v>
      </c>
      <c r="BP250" s="192">
        <f t="shared" si="193"/>
        <v>2.0898631426917697E-6</v>
      </c>
      <c r="BQ250" s="192">
        <f t="shared" si="193"/>
        <v>2.0898631426917697E-6</v>
      </c>
      <c r="BR250" s="192">
        <f t="shared" si="193"/>
        <v>2.0898631426917697E-6</v>
      </c>
      <c r="BS250" s="192">
        <f t="shared" si="193"/>
        <v>2.0898631426917697E-6</v>
      </c>
      <c r="BT250" s="192">
        <f t="shared" si="193"/>
        <v>2.0898631426917697E-6</v>
      </c>
      <c r="BU250" s="192">
        <f t="shared" si="193"/>
        <v>2.0898631426917697E-6</v>
      </c>
      <c r="BV250" s="192">
        <f t="shared" si="193"/>
        <v>2.0898631426917697E-6</v>
      </c>
    </row>
    <row r="251" spans="1:74">
      <c r="A251" s="147" t="s">
        <v>11</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2">
        <f t="shared" ref="AS251:BV251" si="194">AR251</f>
        <v>1.0443869321055523E-5</v>
      </c>
      <c r="AT251" s="192">
        <f t="shared" si="194"/>
        <v>1.0443869321055523E-5</v>
      </c>
      <c r="AU251" s="192">
        <f t="shared" si="194"/>
        <v>1.0443869321055523E-5</v>
      </c>
      <c r="AV251" s="192">
        <f t="shared" si="194"/>
        <v>1.0443869321055523E-5</v>
      </c>
      <c r="AW251" s="192">
        <f t="shared" si="194"/>
        <v>1.0443869321055523E-5</v>
      </c>
      <c r="AX251" s="192">
        <f t="shared" si="194"/>
        <v>1.0443869321055523E-5</v>
      </c>
      <c r="AY251" s="192">
        <f t="shared" si="194"/>
        <v>1.0443869321055523E-5</v>
      </c>
      <c r="AZ251" s="192">
        <f t="shared" si="194"/>
        <v>1.0443869321055523E-5</v>
      </c>
      <c r="BA251" s="192">
        <f t="shared" si="194"/>
        <v>1.0443869321055523E-5</v>
      </c>
      <c r="BB251" s="192">
        <f t="shared" si="194"/>
        <v>1.0443869321055523E-5</v>
      </c>
      <c r="BC251" s="192">
        <f t="shared" si="194"/>
        <v>1.0443869321055523E-5</v>
      </c>
      <c r="BD251" s="192">
        <f t="shared" si="194"/>
        <v>1.0443869321055523E-5</v>
      </c>
      <c r="BE251" s="192">
        <f t="shared" si="194"/>
        <v>1.0443869321055523E-5</v>
      </c>
      <c r="BF251" s="192">
        <f t="shared" si="194"/>
        <v>1.0443869321055523E-5</v>
      </c>
      <c r="BG251" s="192">
        <f t="shared" si="194"/>
        <v>1.0443869321055523E-5</v>
      </c>
      <c r="BH251" s="192">
        <f t="shared" si="194"/>
        <v>1.0443869321055523E-5</v>
      </c>
      <c r="BI251" s="192">
        <f t="shared" si="194"/>
        <v>1.0443869321055523E-5</v>
      </c>
      <c r="BJ251" s="192">
        <f t="shared" si="194"/>
        <v>1.0443869321055523E-5</v>
      </c>
      <c r="BK251" s="192">
        <f t="shared" si="194"/>
        <v>1.0443869321055523E-5</v>
      </c>
      <c r="BL251" s="192">
        <f t="shared" si="194"/>
        <v>1.0443869321055523E-5</v>
      </c>
      <c r="BM251" s="192">
        <f t="shared" si="194"/>
        <v>1.0443869321055523E-5</v>
      </c>
      <c r="BN251" s="192">
        <f t="shared" si="194"/>
        <v>1.0443869321055523E-5</v>
      </c>
      <c r="BO251" s="192">
        <f t="shared" si="194"/>
        <v>1.0443869321055523E-5</v>
      </c>
      <c r="BP251" s="192">
        <f t="shared" si="194"/>
        <v>1.0443869321055523E-5</v>
      </c>
      <c r="BQ251" s="192">
        <f t="shared" si="194"/>
        <v>1.0443869321055523E-5</v>
      </c>
      <c r="BR251" s="192">
        <f t="shared" si="194"/>
        <v>1.0443869321055523E-5</v>
      </c>
      <c r="BS251" s="192">
        <f t="shared" si="194"/>
        <v>1.0443869321055523E-5</v>
      </c>
      <c r="BT251" s="192">
        <f t="shared" si="194"/>
        <v>1.0443869321055523E-5</v>
      </c>
      <c r="BU251" s="192">
        <f t="shared" si="194"/>
        <v>1.0443869321055523E-5</v>
      </c>
      <c r="BV251" s="192">
        <f t="shared" si="194"/>
        <v>1.0443869321055523E-5</v>
      </c>
    </row>
    <row r="252" spans="1:74">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2">
        <f t="shared" ref="AS252:BV252" si="195">AR252</f>
        <v>0</v>
      </c>
      <c r="AT252" s="192">
        <f t="shared" si="195"/>
        <v>0</v>
      </c>
      <c r="AU252" s="192">
        <f t="shared" si="195"/>
        <v>0</v>
      </c>
      <c r="AV252" s="192">
        <f t="shared" si="195"/>
        <v>0</v>
      </c>
      <c r="AW252" s="192">
        <f t="shared" si="195"/>
        <v>0</v>
      </c>
      <c r="AX252" s="192">
        <f t="shared" si="195"/>
        <v>0</v>
      </c>
      <c r="AY252" s="192">
        <f t="shared" si="195"/>
        <v>0</v>
      </c>
      <c r="AZ252" s="192">
        <f t="shared" si="195"/>
        <v>0</v>
      </c>
      <c r="BA252" s="192">
        <f t="shared" si="195"/>
        <v>0</v>
      </c>
      <c r="BB252" s="192">
        <f t="shared" si="195"/>
        <v>0</v>
      </c>
      <c r="BC252" s="192">
        <f t="shared" si="195"/>
        <v>0</v>
      </c>
      <c r="BD252" s="192">
        <f t="shared" si="195"/>
        <v>0</v>
      </c>
      <c r="BE252" s="192">
        <f t="shared" si="195"/>
        <v>0</v>
      </c>
      <c r="BF252" s="192">
        <f t="shared" si="195"/>
        <v>0</v>
      </c>
      <c r="BG252" s="192">
        <f t="shared" si="195"/>
        <v>0</v>
      </c>
      <c r="BH252" s="192">
        <f t="shared" si="195"/>
        <v>0</v>
      </c>
      <c r="BI252" s="192">
        <f t="shared" si="195"/>
        <v>0</v>
      </c>
      <c r="BJ252" s="192">
        <f t="shared" si="195"/>
        <v>0</v>
      </c>
      <c r="BK252" s="192">
        <f t="shared" si="195"/>
        <v>0</v>
      </c>
      <c r="BL252" s="192">
        <f t="shared" si="195"/>
        <v>0</v>
      </c>
      <c r="BM252" s="192">
        <f t="shared" si="195"/>
        <v>0</v>
      </c>
      <c r="BN252" s="192">
        <f t="shared" si="195"/>
        <v>0</v>
      </c>
      <c r="BO252" s="192">
        <f t="shared" si="195"/>
        <v>0</v>
      </c>
      <c r="BP252" s="192">
        <f t="shared" si="195"/>
        <v>0</v>
      </c>
      <c r="BQ252" s="192">
        <f t="shared" si="195"/>
        <v>0</v>
      </c>
      <c r="BR252" s="192">
        <f t="shared" si="195"/>
        <v>0</v>
      </c>
      <c r="BS252" s="192">
        <f t="shared" si="195"/>
        <v>0</v>
      </c>
      <c r="BT252" s="192">
        <f t="shared" si="195"/>
        <v>0</v>
      </c>
      <c r="BU252" s="192">
        <f t="shared" si="195"/>
        <v>0</v>
      </c>
      <c r="BV252" s="192">
        <f t="shared" si="195"/>
        <v>0</v>
      </c>
    </row>
    <row r="253" spans="1:74">
      <c r="A253" s="141" t="s">
        <v>190</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2">
        <f t="shared" ref="AS253:BV253" si="196">AR253</f>
        <v>9.4004394736498995E-7</v>
      </c>
      <c r="AT253" s="192">
        <f t="shared" si="196"/>
        <v>9.4004394736498995E-7</v>
      </c>
      <c r="AU253" s="192">
        <f t="shared" si="196"/>
        <v>9.4004394736498995E-7</v>
      </c>
      <c r="AV253" s="192">
        <f t="shared" si="196"/>
        <v>9.4004394736498995E-7</v>
      </c>
      <c r="AW253" s="192">
        <f t="shared" si="196"/>
        <v>9.4004394736498995E-7</v>
      </c>
      <c r="AX253" s="192">
        <f t="shared" si="196"/>
        <v>9.4004394736498995E-7</v>
      </c>
      <c r="AY253" s="192">
        <f t="shared" si="196"/>
        <v>9.4004394736498995E-7</v>
      </c>
      <c r="AZ253" s="192">
        <f t="shared" si="196"/>
        <v>9.4004394736498995E-7</v>
      </c>
      <c r="BA253" s="192">
        <f t="shared" si="196"/>
        <v>9.4004394736498995E-7</v>
      </c>
      <c r="BB253" s="192">
        <f t="shared" si="196"/>
        <v>9.4004394736498995E-7</v>
      </c>
      <c r="BC253" s="192">
        <f t="shared" si="196"/>
        <v>9.4004394736498995E-7</v>
      </c>
      <c r="BD253" s="192">
        <f t="shared" si="196"/>
        <v>9.4004394736498995E-7</v>
      </c>
      <c r="BE253" s="192">
        <f t="shared" si="196"/>
        <v>9.4004394736498995E-7</v>
      </c>
      <c r="BF253" s="192">
        <f t="shared" si="196"/>
        <v>9.4004394736498995E-7</v>
      </c>
      <c r="BG253" s="192">
        <f t="shared" si="196"/>
        <v>9.4004394736498995E-7</v>
      </c>
      <c r="BH253" s="192">
        <f t="shared" si="196"/>
        <v>9.4004394736498995E-7</v>
      </c>
      <c r="BI253" s="192">
        <f t="shared" si="196"/>
        <v>9.4004394736498995E-7</v>
      </c>
      <c r="BJ253" s="192">
        <f t="shared" si="196"/>
        <v>9.4004394736498995E-7</v>
      </c>
      <c r="BK253" s="192">
        <f t="shared" si="196"/>
        <v>9.4004394736498995E-7</v>
      </c>
      <c r="BL253" s="192">
        <f t="shared" si="196"/>
        <v>9.4004394736498995E-7</v>
      </c>
      <c r="BM253" s="192">
        <f t="shared" si="196"/>
        <v>9.4004394736498995E-7</v>
      </c>
      <c r="BN253" s="192">
        <f t="shared" si="196"/>
        <v>9.4004394736498995E-7</v>
      </c>
      <c r="BO253" s="192">
        <f t="shared" si="196"/>
        <v>9.4004394736498995E-7</v>
      </c>
      <c r="BP253" s="192">
        <f t="shared" si="196"/>
        <v>9.4004394736498995E-7</v>
      </c>
      <c r="BQ253" s="192">
        <f t="shared" si="196"/>
        <v>9.4004394736498995E-7</v>
      </c>
      <c r="BR253" s="192">
        <f t="shared" si="196"/>
        <v>9.4004394736498995E-7</v>
      </c>
      <c r="BS253" s="192">
        <f t="shared" si="196"/>
        <v>9.4004394736498995E-7</v>
      </c>
      <c r="BT253" s="192">
        <f t="shared" si="196"/>
        <v>9.4004394736498995E-7</v>
      </c>
      <c r="BU253" s="192">
        <f t="shared" si="196"/>
        <v>9.4004394736498995E-7</v>
      </c>
      <c r="BV253" s="192">
        <f t="shared" si="196"/>
        <v>9.4004394736498995E-7</v>
      </c>
    </row>
    <row r="254" spans="1:74">
      <c r="A254" s="141" t="s">
        <v>191</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2">
        <f t="shared" ref="AS254:BV254" si="197">AR254</f>
        <v>5.5432372980892911E-10</v>
      </c>
      <c r="AT254" s="192">
        <f t="shared" si="197"/>
        <v>5.5432372980892911E-10</v>
      </c>
      <c r="AU254" s="192">
        <f t="shared" si="197"/>
        <v>5.5432372980892911E-10</v>
      </c>
      <c r="AV254" s="192">
        <f t="shared" si="197"/>
        <v>5.5432372980892911E-10</v>
      </c>
      <c r="AW254" s="192">
        <f t="shared" si="197"/>
        <v>5.5432372980892911E-10</v>
      </c>
      <c r="AX254" s="192">
        <f t="shared" si="197"/>
        <v>5.5432372980892911E-10</v>
      </c>
      <c r="AY254" s="192">
        <f t="shared" si="197"/>
        <v>5.5432372980892911E-10</v>
      </c>
      <c r="AZ254" s="192">
        <f t="shared" si="197"/>
        <v>5.5432372980892911E-10</v>
      </c>
      <c r="BA254" s="192">
        <f t="shared" si="197"/>
        <v>5.5432372980892911E-10</v>
      </c>
      <c r="BB254" s="192">
        <f t="shared" si="197"/>
        <v>5.5432372980892911E-10</v>
      </c>
      <c r="BC254" s="192">
        <f t="shared" si="197"/>
        <v>5.5432372980892911E-10</v>
      </c>
      <c r="BD254" s="192">
        <f t="shared" si="197"/>
        <v>5.5432372980892911E-10</v>
      </c>
      <c r="BE254" s="192">
        <f t="shared" si="197"/>
        <v>5.5432372980892911E-10</v>
      </c>
      <c r="BF254" s="192">
        <f t="shared" si="197"/>
        <v>5.5432372980892911E-10</v>
      </c>
      <c r="BG254" s="192">
        <f t="shared" si="197"/>
        <v>5.5432372980892911E-10</v>
      </c>
      <c r="BH254" s="192">
        <f t="shared" si="197"/>
        <v>5.5432372980892911E-10</v>
      </c>
      <c r="BI254" s="192">
        <f t="shared" si="197"/>
        <v>5.5432372980892911E-10</v>
      </c>
      <c r="BJ254" s="192">
        <f t="shared" si="197"/>
        <v>5.5432372980892911E-10</v>
      </c>
      <c r="BK254" s="192">
        <f t="shared" si="197"/>
        <v>5.5432372980892911E-10</v>
      </c>
      <c r="BL254" s="192">
        <f t="shared" si="197"/>
        <v>5.5432372980892911E-10</v>
      </c>
      <c r="BM254" s="192">
        <f t="shared" si="197"/>
        <v>5.5432372980892911E-10</v>
      </c>
      <c r="BN254" s="192">
        <f t="shared" si="197"/>
        <v>5.5432372980892911E-10</v>
      </c>
      <c r="BO254" s="192">
        <f t="shared" si="197"/>
        <v>5.5432372980892911E-10</v>
      </c>
      <c r="BP254" s="192">
        <f t="shared" si="197"/>
        <v>5.5432372980892911E-10</v>
      </c>
      <c r="BQ254" s="192">
        <f t="shared" si="197"/>
        <v>5.5432372980892911E-10</v>
      </c>
      <c r="BR254" s="192">
        <f t="shared" si="197"/>
        <v>5.5432372980892911E-10</v>
      </c>
      <c r="BS254" s="192">
        <f t="shared" si="197"/>
        <v>5.5432372980892911E-10</v>
      </c>
      <c r="BT254" s="192">
        <f t="shared" si="197"/>
        <v>5.5432372980892911E-10</v>
      </c>
      <c r="BU254" s="192">
        <f t="shared" si="197"/>
        <v>5.5432372980892911E-10</v>
      </c>
      <c r="BV254" s="192">
        <f t="shared" si="197"/>
        <v>5.5432372980892911E-10</v>
      </c>
    </row>
    <row r="255" spans="1:74">
      <c r="A255" s="141" t="s">
        <v>193</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2">
        <f t="shared" ref="AS255:BV255" si="198">AR255</f>
        <v>5.714283940453885E-7</v>
      </c>
      <c r="AT255" s="192">
        <f t="shared" si="198"/>
        <v>5.714283940453885E-7</v>
      </c>
      <c r="AU255" s="192">
        <f t="shared" si="198"/>
        <v>5.714283940453885E-7</v>
      </c>
      <c r="AV255" s="192">
        <f t="shared" si="198"/>
        <v>5.714283940453885E-7</v>
      </c>
      <c r="AW255" s="192">
        <f t="shared" si="198"/>
        <v>5.714283940453885E-7</v>
      </c>
      <c r="AX255" s="192">
        <f t="shared" si="198"/>
        <v>5.714283940453885E-7</v>
      </c>
      <c r="AY255" s="192">
        <f t="shared" si="198"/>
        <v>5.714283940453885E-7</v>
      </c>
      <c r="AZ255" s="192">
        <f t="shared" si="198"/>
        <v>5.714283940453885E-7</v>
      </c>
      <c r="BA255" s="192">
        <f t="shared" si="198"/>
        <v>5.714283940453885E-7</v>
      </c>
      <c r="BB255" s="192">
        <f t="shared" si="198"/>
        <v>5.714283940453885E-7</v>
      </c>
      <c r="BC255" s="192">
        <f t="shared" si="198"/>
        <v>5.714283940453885E-7</v>
      </c>
      <c r="BD255" s="192">
        <f t="shared" si="198"/>
        <v>5.714283940453885E-7</v>
      </c>
      <c r="BE255" s="192">
        <f t="shared" si="198"/>
        <v>5.714283940453885E-7</v>
      </c>
      <c r="BF255" s="192">
        <f t="shared" si="198"/>
        <v>5.714283940453885E-7</v>
      </c>
      <c r="BG255" s="192">
        <f t="shared" si="198"/>
        <v>5.714283940453885E-7</v>
      </c>
      <c r="BH255" s="192">
        <f t="shared" si="198"/>
        <v>5.714283940453885E-7</v>
      </c>
      <c r="BI255" s="192">
        <f t="shared" si="198"/>
        <v>5.714283940453885E-7</v>
      </c>
      <c r="BJ255" s="192">
        <f t="shared" si="198"/>
        <v>5.714283940453885E-7</v>
      </c>
      <c r="BK255" s="192">
        <f t="shared" si="198"/>
        <v>5.714283940453885E-7</v>
      </c>
      <c r="BL255" s="192">
        <f t="shared" si="198"/>
        <v>5.714283940453885E-7</v>
      </c>
      <c r="BM255" s="192">
        <f t="shared" si="198"/>
        <v>5.714283940453885E-7</v>
      </c>
      <c r="BN255" s="192">
        <f t="shared" si="198"/>
        <v>5.714283940453885E-7</v>
      </c>
      <c r="BO255" s="192">
        <f t="shared" si="198"/>
        <v>5.714283940453885E-7</v>
      </c>
      <c r="BP255" s="192">
        <f t="shared" si="198"/>
        <v>5.714283940453885E-7</v>
      </c>
      <c r="BQ255" s="192">
        <f t="shared" si="198"/>
        <v>5.714283940453885E-7</v>
      </c>
      <c r="BR255" s="192">
        <f t="shared" si="198"/>
        <v>5.714283940453885E-7</v>
      </c>
      <c r="BS255" s="192">
        <f t="shared" si="198"/>
        <v>5.714283940453885E-7</v>
      </c>
      <c r="BT255" s="192">
        <f t="shared" si="198"/>
        <v>5.714283940453885E-7</v>
      </c>
      <c r="BU255" s="192">
        <f t="shared" si="198"/>
        <v>5.714283940453885E-7</v>
      </c>
      <c r="BV255" s="192">
        <f t="shared" si="198"/>
        <v>5.714283940453885E-7</v>
      </c>
    </row>
    <row r="256" spans="1:74">
      <c r="A256" s="141" t="s">
        <v>249</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2">
        <f t="shared" ref="AS256:BV256" si="199">AR256</f>
        <v>1.5058815924993217E-6</v>
      </c>
      <c r="AT256" s="192">
        <f t="shared" si="199"/>
        <v>1.5058815924993217E-6</v>
      </c>
      <c r="AU256" s="192">
        <f t="shared" si="199"/>
        <v>1.5058815924993217E-6</v>
      </c>
      <c r="AV256" s="192">
        <f t="shared" si="199"/>
        <v>1.5058815924993217E-6</v>
      </c>
      <c r="AW256" s="192">
        <f t="shared" si="199"/>
        <v>1.5058815924993217E-6</v>
      </c>
      <c r="AX256" s="192">
        <f t="shared" si="199"/>
        <v>1.5058815924993217E-6</v>
      </c>
      <c r="AY256" s="192">
        <f t="shared" si="199"/>
        <v>1.5058815924993217E-6</v>
      </c>
      <c r="AZ256" s="192">
        <f t="shared" si="199"/>
        <v>1.5058815924993217E-6</v>
      </c>
      <c r="BA256" s="192">
        <f t="shared" si="199"/>
        <v>1.5058815924993217E-6</v>
      </c>
      <c r="BB256" s="192">
        <f t="shared" si="199"/>
        <v>1.5058815924993217E-6</v>
      </c>
      <c r="BC256" s="192">
        <f t="shared" si="199"/>
        <v>1.5058815924993217E-6</v>
      </c>
      <c r="BD256" s="192">
        <f t="shared" si="199"/>
        <v>1.5058815924993217E-6</v>
      </c>
      <c r="BE256" s="192">
        <f t="shared" si="199"/>
        <v>1.5058815924993217E-6</v>
      </c>
      <c r="BF256" s="192">
        <f t="shared" si="199"/>
        <v>1.5058815924993217E-6</v>
      </c>
      <c r="BG256" s="192">
        <f t="shared" si="199"/>
        <v>1.5058815924993217E-6</v>
      </c>
      <c r="BH256" s="192">
        <f t="shared" si="199"/>
        <v>1.5058815924993217E-6</v>
      </c>
      <c r="BI256" s="192">
        <f t="shared" si="199"/>
        <v>1.5058815924993217E-6</v>
      </c>
      <c r="BJ256" s="192">
        <f t="shared" si="199"/>
        <v>1.5058815924993217E-6</v>
      </c>
      <c r="BK256" s="192">
        <f t="shared" si="199"/>
        <v>1.5058815924993217E-6</v>
      </c>
      <c r="BL256" s="192">
        <f t="shared" si="199"/>
        <v>1.5058815924993217E-6</v>
      </c>
      <c r="BM256" s="192">
        <f t="shared" si="199"/>
        <v>1.5058815924993217E-6</v>
      </c>
      <c r="BN256" s="192">
        <f t="shared" si="199"/>
        <v>1.5058815924993217E-6</v>
      </c>
      <c r="BO256" s="192">
        <f t="shared" si="199"/>
        <v>1.5058815924993217E-6</v>
      </c>
      <c r="BP256" s="192">
        <f t="shared" si="199"/>
        <v>1.5058815924993217E-6</v>
      </c>
      <c r="BQ256" s="192">
        <f t="shared" si="199"/>
        <v>1.5058815924993217E-6</v>
      </c>
      <c r="BR256" s="192">
        <f t="shared" si="199"/>
        <v>1.5058815924993217E-6</v>
      </c>
      <c r="BS256" s="192">
        <f t="shared" si="199"/>
        <v>1.5058815924993217E-6</v>
      </c>
      <c r="BT256" s="192">
        <f t="shared" si="199"/>
        <v>1.5058815924993217E-6</v>
      </c>
      <c r="BU256" s="192">
        <f t="shared" si="199"/>
        <v>1.5058815924993217E-6</v>
      </c>
      <c r="BV256" s="192">
        <f t="shared" si="199"/>
        <v>1.5058815924993217E-6</v>
      </c>
    </row>
    <row r="257" spans="1:74">
      <c r="A257" s="141" t="s">
        <v>194</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2">
        <f t="shared" ref="AS257:BV257" si="200">AR257</f>
        <v>8.0655055513769212E-7</v>
      </c>
      <c r="AT257" s="192">
        <f t="shared" si="200"/>
        <v>8.0655055513769212E-7</v>
      </c>
      <c r="AU257" s="192">
        <f t="shared" si="200"/>
        <v>8.0655055513769212E-7</v>
      </c>
      <c r="AV257" s="192">
        <f t="shared" si="200"/>
        <v>8.0655055513769212E-7</v>
      </c>
      <c r="AW257" s="192">
        <f t="shared" si="200"/>
        <v>8.0655055513769212E-7</v>
      </c>
      <c r="AX257" s="192">
        <f t="shared" si="200"/>
        <v>8.0655055513769212E-7</v>
      </c>
      <c r="AY257" s="192">
        <f t="shared" si="200"/>
        <v>8.0655055513769212E-7</v>
      </c>
      <c r="AZ257" s="192">
        <f t="shared" si="200"/>
        <v>8.0655055513769212E-7</v>
      </c>
      <c r="BA257" s="192">
        <f t="shared" si="200"/>
        <v>8.0655055513769212E-7</v>
      </c>
      <c r="BB257" s="192">
        <f t="shared" si="200"/>
        <v>8.0655055513769212E-7</v>
      </c>
      <c r="BC257" s="192">
        <f t="shared" si="200"/>
        <v>8.0655055513769212E-7</v>
      </c>
      <c r="BD257" s="192">
        <f t="shared" si="200"/>
        <v>8.0655055513769212E-7</v>
      </c>
      <c r="BE257" s="192">
        <f t="shared" si="200"/>
        <v>8.0655055513769212E-7</v>
      </c>
      <c r="BF257" s="192">
        <f t="shared" si="200"/>
        <v>8.0655055513769212E-7</v>
      </c>
      <c r="BG257" s="192">
        <f t="shared" si="200"/>
        <v>8.0655055513769212E-7</v>
      </c>
      <c r="BH257" s="192">
        <f t="shared" si="200"/>
        <v>8.0655055513769212E-7</v>
      </c>
      <c r="BI257" s="192">
        <f t="shared" si="200"/>
        <v>8.0655055513769212E-7</v>
      </c>
      <c r="BJ257" s="192">
        <f t="shared" si="200"/>
        <v>8.0655055513769212E-7</v>
      </c>
      <c r="BK257" s="192">
        <f t="shared" si="200"/>
        <v>8.0655055513769212E-7</v>
      </c>
      <c r="BL257" s="192">
        <f t="shared" si="200"/>
        <v>8.0655055513769212E-7</v>
      </c>
      <c r="BM257" s="192">
        <f t="shared" si="200"/>
        <v>8.0655055513769212E-7</v>
      </c>
      <c r="BN257" s="192">
        <f t="shared" si="200"/>
        <v>8.0655055513769212E-7</v>
      </c>
      <c r="BO257" s="192">
        <f t="shared" si="200"/>
        <v>8.0655055513769212E-7</v>
      </c>
      <c r="BP257" s="192">
        <f t="shared" si="200"/>
        <v>8.0655055513769212E-7</v>
      </c>
      <c r="BQ257" s="192">
        <f t="shared" si="200"/>
        <v>8.0655055513769212E-7</v>
      </c>
      <c r="BR257" s="192">
        <f t="shared" si="200"/>
        <v>8.0655055513769212E-7</v>
      </c>
      <c r="BS257" s="192">
        <f t="shared" si="200"/>
        <v>8.0655055513769212E-7</v>
      </c>
      <c r="BT257" s="192">
        <f t="shared" si="200"/>
        <v>8.0655055513769212E-7</v>
      </c>
      <c r="BU257" s="192">
        <f t="shared" si="200"/>
        <v>8.0655055513769212E-7</v>
      </c>
      <c r="BV257" s="192">
        <f t="shared" si="200"/>
        <v>8.0655055513769212E-7</v>
      </c>
    </row>
    <row r="258" spans="1:74">
      <c r="A258" s="147" t="s">
        <v>12</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2">
        <f t="shared" ref="AS258:BV258" si="201">AR258</f>
        <v>8.0655055513769212E-7</v>
      </c>
      <c r="AT258" s="192">
        <f t="shared" si="201"/>
        <v>8.0655055513769212E-7</v>
      </c>
      <c r="AU258" s="192">
        <f t="shared" si="201"/>
        <v>8.0655055513769212E-7</v>
      </c>
      <c r="AV258" s="192">
        <f t="shared" si="201"/>
        <v>8.0655055513769212E-7</v>
      </c>
      <c r="AW258" s="192">
        <f t="shared" si="201"/>
        <v>8.0655055513769212E-7</v>
      </c>
      <c r="AX258" s="192">
        <f t="shared" si="201"/>
        <v>8.0655055513769212E-7</v>
      </c>
      <c r="AY258" s="192">
        <f t="shared" si="201"/>
        <v>8.0655055513769212E-7</v>
      </c>
      <c r="AZ258" s="192">
        <f t="shared" si="201"/>
        <v>8.0655055513769212E-7</v>
      </c>
      <c r="BA258" s="192">
        <f t="shared" si="201"/>
        <v>8.0655055513769212E-7</v>
      </c>
      <c r="BB258" s="192">
        <f t="shared" si="201"/>
        <v>8.0655055513769212E-7</v>
      </c>
      <c r="BC258" s="192">
        <f t="shared" si="201"/>
        <v>8.0655055513769212E-7</v>
      </c>
      <c r="BD258" s="192">
        <f t="shared" si="201"/>
        <v>8.0655055513769212E-7</v>
      </c>
      <c r="BE258" s="192">
        <f t="shared" si="201"/>
        <v>8.0655055513769212E-7</v>
      </c>
      <c r="BF258" s="192">
        <f t="shared" si="201"/>
        <v>8.0655055513769212E-7</v>
      </c>
      <c r="BG258" s="192">
        <f t="shared" si="201"/>
        <v>8.0655055513769212E-7</v>
      </c>
      <c r="BH258" s="192">
        <f t="shared" si="201"/>
        <v>8.0655055513769212E-7</v>
      </c>
      <c r="BI258" s="192">
        <f t="shared" si="201"/>
        <v>8.0655055513769212E-7</v>
      </c>
      <c r="BJ258" s="192">
        <f t="shared" si="201"/>
        <v>8.0655055513769212E-7</v>
      </c>
      <c r="BK258" s="192">
        <f t="shared" si="201"/>
        <v>8.0655055513769212E-7</v>
      </c>
      <c r="BL258" s="192">
        <f t="shared" si="201"/>
        <v>8.0655055513769212E-7</v>
      </c>
      <c r="BM258" s="192">
        <f t="shared" si="201"/>
        <v>8.0655055513769212E-7</v>
      </c>
      <c r="BN258" s="192">
        <f t="shared" si="201"/>
        <v>8.0655055513769212E-7</v>
      </c>
      <c r="BO258" s="192">
        <f t="shared" si="201"/>
        <v>8.0655055513769212E-7</v>
      </c>
      <c r="BP258" s="192">
        <f t="shared" si="201"/>
        <v>8.0655055513769212E-7</v>
      </c>
      <c r="BQ258" s="192">
        <f t="shared" si="201"/>
        <v>8.0655055513769212E-7</v>
      </c>
      <c r="BR258" s="192">
        <f t="shared" si="201"/>
        <v>8.0655055513769212E-7</v>
      </c>
      <c r="BS258" s="192">
        <f t="shared" si="201"/>
        <v>8.0655055513769212E-7</v>
      </c>
      <c r="BT258" s="192">
        <f t="shared" si="201"/>
        <v>8.0655055513769212E-7</v>
      </c>
      <c r="BU258" s="192">
        <f t="shared" si="201"/>
        <v>8.0655055513769212E-7</v>
      </c>
      <c r="BV258" s="192">
        <f t="shared" si="201"/>
        <v>8.0655055513769212E-7</v>
      </c>
    </row>
    <row r="259" spans="1:74">
      <c r="A259" s="147" t="s">
        <v>197</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2">
        <f t="shared" ref="AS259:BV259" si="202">AR259</f>
        <v>4.0298662228765281E-6</v>
      </c>
      <c r="AT259" s="192">
        <f t="shared" si="202"/>
        <v>4.0298662228765281E-6</v>
      </c>
      <c r="AU259" s="192">
        <f t="shared" si="202"/>
        <v>4.0298662228765281E-6</v>
      </c>
      <c r="AV259" s="192">
        <f t="shared" si="202"/>
        <v>4.0298662228765281E-6</v>
      </c>
      <c r="AW259" s="192">
        <f t="shared" si="202"/>
        <v>4.0298662228765281E-6</v>
      </c>
      <c r="AX259" s="192">
        <f t="shared" si="202"/>
        <v>4.0298662228765281E-6</v>
      </c>
      <c r="AY259" s="192">
        <f t="shared" si="202"/>
        <v>4.0298662228765281E-6</v>
      </c>
      <c r="AZ259" s="192">
        <f t="shared" si="202"/>
        <v>4.0298662228765281E-6</v>
      </c>
      <c r="BA259" s="192">
        <f t="shared" si="202"/>
        <v>4.0298662228765281E-6</v>
      </c>
      <c r="BB259" s="192">
        <f t="shared" si="202"/>
        <v>4.0298662228765281E-6</v>
      </c>
      <c r="BC259" s="192">
        <f t="shared" si="202"/>
        <v>4.0298662228765281E-6</v>
      </c>
      <c r="BD259" s="192">
        <f t="shared" si="202"/>
        <v>4.0298662228765281E-6</v>
      </c>
      <c r="BE259" s="192">
        <f t="shared" si="202"/>
        <v>4.0298662228765281E-6</v>
      </c>
      <c r="BF259" s="192">
        <f t="shared" si="202"/>
        <v>4.0298662228765281E-6</v>
      </c>
      <c r="BG259" s="192">
        <f t="shared" si="202"/>
        <v>4.0298662228765281E-6</v>
      </c>
      <c r="BH259" s="192">
        <f t="shared" si="202"/>
        <v>4.0298662228765281E-6</v>
      </c>
      <c r="BI259" s="192">
        <f t="shared" si="202"/>
        <v>4.0298662228765281E-6</v>
      </c>
      <c r="BJ259" s="192">
        <f t="shared" si="202"/>
        <v>4.0298662228765281E-6</v>
      </c>
      <c r="BK259" s="192">
        <f t="shared" si="202"/>
        <v>4.0298662228765281E-6</v>
      </c>
      <c r="BL259" s="192">
        <f t="shared" si="202"/>
        <v>4.0298662228765281E-6</v>
      </c>
      <c r="BM259" s="192">
        <f t="shared" si="202"/>
        <v>4.0298662228765281E-6</v>
      </c>
      <c r="BN259" s="192">
        <f t="shared" si="202"/>
        <v>4.0298662228765281E-6</v>
      </c>
      <c r="BO259" s="192">
        <f t="shared" si="202"/>
        <v>4.0298662228765281E-6</v>
      </c>
      <c r="BP259" s="192">
        <f t="shared" si="202"/>
        <v>4.0298662228765281E-6</v>
      </c>
      <c r="BQ259" s="192">
        <f t="shared" si="202"/>
        <v>4.0298662228765281E-6</v>
      </c>
      <c r="BR259" s="192">
        <f t="shared" si="202"/>
        <v>4.0298662228765281E-6</v>
      </c>
      <c r="BS259" s="192">
        <f t="shared" si="202"/>
        <v>4.0298662228765281E-6</v>
      </c>
      <c r="BT259" s="192">
        <f t="shared" si="202"/>
        <v>4.0298662228765281E-6</v>
      </c>
      <c r="BU259" s="192">
        <f t="shared" si="202"/>
        <v>4.0298662228765281E-6</v>
      </c>
      <c r="BV259" s="192">
        <f t="shared" si="202"/>
        <v>4.0298662228765281E-6</v>
      </c>
    </row>
    <row r="260" spans="1:74">
      <c r="A260" s="147" t="s">
        <v>195</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2">
        <f t="shared" ref="AS260:BV260" si="203">AR260</f>
        <v>8.0655055513769212E-7</v>
      </c>
      <c r="AT260" s="192">
        <f t="shared" si="203"/>
        <v>8.0655055513769212E-7</v>
      </c>
      <c r="AU260" s="192">
        <f t="shared" si="203"/>
        <v>8.0655055513769212E-7</v>
      </c>
      <c r="AV260" s="192">
        <f t="shared" si="203"/>
        <v>8.0655055513769212E-7</v>
      </c>
      <c r="AW260" s="192">
        <f t="shared" si="203"/>
        <v>8.0655055513769212E-7</v>
      </c>
      <c r="AX260" s="192">
        <f t="shared" si="203"/>
        <v>8.0655055513769212E-7</v>
      </c>
      <c r="AY260" s="192">
        <f t="shared" si="203"/>
        <v>8.0655055513769212E-7</v>
      </c>
      <c r="AZ260" s="192">
        <f t="shared" si="203"/>
        <v>8.0655055513769212E-7</v>
      </c>
      <c r="BA260" s="192">
        <f t="shared" si="203"/>
        <v>8.0655055513769212E-7</v>
      </c>
      <c r="BB260" s="192">
        <f t="shared" si="203"/>
        <v>8.0655055513769212E-7</v>
      </c>
      <c r="BC260" s="192">
        <f t="shared" si="203"/>
        <v>8.0655055513769212E-7</v>
      </c>
      <c r="BD260" s="192">
        <f t="shared" si="203"/>
        <v>8.0655055513769212E-7</v>
      </c>
      <c r="BE260" s="192">
        <f t="shared" si="203"/>
        <v>8.0655055513769212E-7</v>
      </c>
      <c r="BF260" s="192">
        <f t="shared" si="203"/>
        <v>8.0655055513769212E-7</v>
      </c>
      <c r="BG260" s="192">
        <f t="shared" si="203"/>
        <v>8.0655055513769212E-7</v>
      </c>
      <c r="BH260" s="192">
        <f t="shared" si="203"/>
        <v>8.0655055513769212E-7</v>
      </c>
      <c r="BI260" s="192">
        <f t="shared" si="203"/>
        <v>8.0655055513769212E-7</v>
      </c>
      <c r="BJ260" s="192">
        <f t="shared" si="203"/>
        <v>8.0655055513769212E-7</v>
      </c>
      <c r="BK260" s="192">
        <f t="shared" si="203"/>
        <v>8.0655055513769212E-7</v>
      </c>
      <c r="BL260" s="192">
        <f t="shared" si="203"/>
        <v>8.0655055513769212E-7</v>
      </c>
      <c r="BM260" s="192">
        <f t="shared" si="203"/>
        <v>8.0655055513769212E-7</v>
      </c>
      <c r="BN260" s="192">
        <f t="shared" si="203"/>
        <v>8.0655055513769212E-7</v>
      </c>
      <c r="BO260" s="192">
        <f t="shared" si="203"/>
        <v>8.0655055513769212E-7</v>
      </c>
      <c r="BP260" s="192">
        <f t="shared" si="203"/>
        <v>8.0655055513769212E-7</v>
      </c>
      <c r="BQ260" s="192">
        <f t="shared" si="203"/>
        <v>8.0655055513769212E-7</v>
      </c>
      <c r="BR260" s="192">
        <f t="shared" si="203"/>
        <v>8.0655055513769212E-7</v>
      </c>
      <c r="BS260" s="192">
        <f t="shared" si="203"/>
        <v>8.0655055513769212E-7</v>
      </c>
      <c r="BT260" s="192">
        <f t="shared" si="203"/>
        <v>8.0655055513769212E-7</v>
      </c>
      <c r="BU260" s="192">
        <f t="shared" si="203"/>
        <v>8.0655055513769212E-7</v>
      </c>
      <c r="BV260" s="192">
        <f t="shared" si="203"/>
        <v>8.0655055513769212E-7</v>
      </c>
    </row>
    <row r="261" spans="1:74">
      <c r="A261" s="141" t="s">
        <v>13</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2">
        <f t="shared" ref="AS261:BV261" si="204">AR261</f>
        <v>8.4140762774789318E-7</v>
      </c>
      <c r="AT261" s="192">
        <f t="shared" si="204"/>
        <v>8.4140762774789318E-7</v>
      </c>
      <c r="AU261" s="192">
        <f t="shared" si="204"/>
        <v>8.4140762774789318E-7</v>
      </c>
      <c r="AV261" s="192">
        <f t="shared" si="204"/>
        <v>8.4140762774789318E-7</v>
      </c>
      <c r="AW261" s="192">
        <f t="shared" si="204"/>
        <v>8.4140762774789318E-7</v>
      </c>
      <c r="AX261" s="192">
        <f t="shared" si="204"/>
        <v>8.4140762774789318E-7</v>
      </c>
      <c r="AY261" s="192">
        <f t="shared" si="204"/>
        <v>8.4140762774789318E-7</v>
      </c>
      <c r="AZ261" s="192">
        <f t="shared" si="204"/>
        <v>8.4140762774789318E-7</v>
      </c>
      <c r="BA261" s="192">
        <f t="shared" si="204"/>
        <v>8.4140762774789318E-7</v>
      </c>
      <c r="BB261" s="192">
        <f t="shared" si="204"/>
        <v>8.4140762774789318E-7</v>
      </c>
      <c r="BC261" s="192">
        <f t="shared" si="204"/>
        <v>8.4140762774789318E-7</v>
      </c>
      <c r="BD261" s="192">
        <f t="shared" si="204"/>
        <v>8.4140762774789318E-7</v>
      </c>
      <c r="BE261" s="192">
        <f t="shared" si="204"/>
        <v>8.4140762774789318E-7</v>
      </c>
      <c r="BF261" s="192">
        <f t="shared" si="204"/>
        <v>8.4140762774789318E-7</v>
      </c>
      <c r="BG261" s="192">
        <f t="shared" si="204"/>
        <v>8.4140762774789318E-7</v>
      </c>
      <c r="BH261" s="192">
        <f t="shared" si="204"/>
        <v>8.4140762774789318E-7</v>
      </c>
      <c r="BI261" s="192">
        <f t="shared" si="204"/>
        <v>8.4140762774789318E-7</v>
      </c>
      <c r="BJ261" s="192">
        <f t="shared" si="204"/>
        <v>8.4140762774789318E-7</v>
      </c>
      <c r="BK261" s="192">
        <f t="shared" si="204"/>
        <v>8.4140762774789318E-7</v>
      </c>
      <c r="BL261" s="192">
        <f t="shared" si="204"/>
        <v>8.4140762774789318E-7</v>
      </c>
      <c r="BM261" s="192">
        <f t="shared" si="204"/>
        <v>8.4140762774789318E-7</v>
      </c>
      <c r="BN261" s="192">
        <f t="shared" si="204"/>
        <v>8.4140762774789318E-7</v>
      </c>
      <c r="BO261" s="192">
        <f t="shared" si="204"/>
        <v>8.4140762774789318E-7</v>
      </c>
      <c r="BP261" s="192">
        <f t="shared" si="204"/>
        <v>8.4140762774789318E-7</v>
      </c>
      <c r="BQ261" s="192">
        <f t="shared" si="204"/>
        <v>8.4140762774789318E-7</v>
      </c>
      <c r="BR261" s="192">
        <f t="shared" si="204"/>
        <v>8.4140762774789318E-7</v>
      </c>
      <c r="BS261" s="192">
        <f t="shared" si="204"/>
        <v>8.4140762774789318E-7</v>
      </c>
      <c r="BT261" s="192">
        <f t="shared" si="204"/>
        <v>8.4140762774789318E-7</v>
      </c>
      <c r="BU261" s="192">
        <f t="shared" si="204"/>
        <v>8.4140762774789318E-7</v>
      </c>
      <c r="BV261" s="192">
        <f t="shared" si="204"/>
        <v>8.4140762774789318E-7</v>
      </c>
    </row>
    <row r="262" spans="1:74">
      <c r="A262" s="141" t="s">
        <v>186</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2">
        <f t="shared" ref="AS262:BV262" si="205">AR262</f>
        <v>5.9327417305870628E-7</v>
      </c>
      <c r="AT262" s="192">
        <f t="shared" si="205"/>
        <v>5.9327417305870628E-7</v>
      </c>
      <c r="AU262" s="192">
        <f t="shared" si="205"/>
        <v>5.9327417305870628E-7</v>
      </c>
      <c r="AV262" s="192">
        <f t="shared" si="205"/>
        <v>5.9327417305870628E-7</v>
      </c>
      <c r="AW262" s="192">
        <f t="shared" si="205"/>
        <v>5.9327417305870628E-7</v>
      </c>
      <c r="AX262" s="192">
        <f t="shared" si="205"/>
        <v>5.9327417305870628E-7</v>
      </c>
      <c r="AY262" s="192">
        <f t="shared" si="205"/>
        <v>5.9327417305870628E-7</v>
      </c>
      <c r="AZ262" s="192">
        <f t="shared" si="205"/>
        <v>5.9327417305870628E-7</v>
      </c>
      <c r="BA262" s="192">
        <f t="shared" si="205"/>
        <v>5.9327417305870628E-7</v>
      </c>
      <c r="BB262" s="192">
        <f t="shared" si="205"/>
        <v>5.9327417305870628E-7</v>
      </c>
      <c r="BC262" s="192">
        <f t="shared" si="205"/>
        <v>5.9327417305870628E-7</v>
      </c>
      <c r="BD262" s="192">
        <f t="shared" si="205"/>
        <v>5.9327417305870628E-7</v>
      </c>
      <c r="BE262" s="192">
        <f t="shared" si="205"/>
        <v>5.9327417305870628E-7</v>
      </c>
      <c r="BF262" s="192">
        <f t="shared" si="205"/>
        <v>5.9327417305870628E-7</v>
      </c>
      <c r="BG262" s="192">
        <f t="shared" si="205"/>
        <v>5.9327417305870628E-7</v>
      </c>
      <c r="BH262" s="192">
        <f t="shared" si="205"/>
        <v>5.9327417305870628E-7</v>
      </c>
      <c r="BI262" s="192">
        <f t="shared" si="205"/>
        <v>5.9327417305870628E-7</v>
      </c>
      <c r="BJ262" s="192">
        <f t="shared" si="205"/>
        <v>5.9327417305870628E-7</v>
      </c>
      <c r="BK262" s="192">
        <f t="shared" si="205"/>
        <v>5.9327417305870628E-7</v>
      </c>
      <c r="BL262" s="192">
        <f t="shared" si="205"/>
        <v>5.9327417305870628E-7</v>
      </c>
      <c r="BM262" s="192">
        <f t="shared" si="205"/>
        <v>5.9327417305870628E-7</v>
      </c>
      <c r="BN262" s="192">
        <f t="shared" si="205"/>
        <v>5.9327417305870628E-7</v>
      </c>
      <c r="BO262" s="192">
        <f t="shared" si="205"/>
        <v>5.9327417305870628E-7</v>
      </c>
      <c r="BP262" s="192">
        <f t="shared" si="205"/>
        <v>5.9327417305870628E-7</v>
      </c>
      <c r="BQ262" s="192">
        <f t="shared" si="205"/>
        <v>5.9327417305870628E-7</v>
      </c>
      <c r="BR262" s="192">
        <f t="shared" si="205"/>
        <v>5.9327417305870628E-7</v>
      </c>
      <c r="BS262" s="192">
        <f t="shared" si="205"/>
        <v>5.9327417305870628E-7</v>
      </c>
      <c r="BT262" s="192">
        <f t="shared" si="205"/>
        <v>5.9327417305870628E-7</v>
      </c>
      <c r="BU262" s="192">
        <f t="shared" si="205"/>
        <v>5.9327417305870628E-7</v>
      </c>
      <c r="BV262" s="192">
        <f t="shared" si="205"/>
        <v>5.9327417305870628E-7</v>
      </c>
    </row>
    <row r="263" spans="1:74">
      <c r="A263" s="147" t="s">
        <v>198</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2">
        <f t="shared" ref="AS263:BV263" si="206">AR263</f>
        <v>4.267112391124313E-6</v>
      </c>
      <c r="AT263" s="192">
        <f t="shared" si="206"/>
        <v>4.267112391124313E-6</v>
      </c>
      <c r="AU263" s="192">
        <f t="shared" si="206"/>
        <v>4.267112391124313E-6</v>
      </c>
      <c r="AV263" s="192">
        <f t="shared" si="206"/>
        <v>4.267112391124313E-6</v>
      </c>
      <c r="AW263" s="192">
        <f t="shared" si="206"/>
        <v>4.267112391124313E-6</v>
      </c>
      <c r="AX263" s="192">
        <f t="shared" si="206"/>
        <v>4.267112391124313E-6</v>
      </c>
      <c r="AY263" s="192">
        <f t="shared" si="206"/>
        <v>4.267112391124313E-6</v>
      </c>
      <c r="AZ263" s="192">
        <f t="shared" si="206"/>
        <v>4.267112391124313E-6</v>
      </c>
      <c r="BA263" s="192">
        <f t="shared" si="206"/>
        <v>4.267112391124313E-6</v>
      </c>
      <c r="BB263" s="192">
        <f t="shared" si="206"/>
        <v>4.267112391124313E-6</v>
      </c>
      <c r="BC263" s="192">
        <f t="shared" si="206"/>
        <v>4.267112391124313E-6</v>
      </c>
      <c r="BD263" s="192">
        <f t="shared" si="206"/>
        <v>4.267112391124313E-6</v>
      </c>
      <c r="BE263" s="192">
        <f t="shared" si="206"/>
        <v>4.267112391124313E-6</v>
      </c>
      <c r="BF263" s="192">
        <f t="shared" si="206"/>
        <v>4.267112391124313E-6</v>
      </c>
      <c r="BG263" s="192">
        <f t="shared" si="206"/>
        <v>4.267112391124313E-6</v>
      </c>
      <c r="BH263" s="192">
        <f t="shared" si="206"/>
        <v>4.267112391124313E-6</v>
      </c>
      <c r="BI263" s="192">
        <f t="shared" si="206"/>
        <v>4.267112391124313E-6</v>
      </c>
      <c r="BJ263" s="192">
        <f t="shared" si="206"/>
        <v>4.267112391124313E-6</v>
      </c>
      <c r="BK263" s="192">
        <f t="shared" si="206"/>
        <v>4.267112391124313E-6</v>
      </c>
      <c r="BL263" s="192">
        <f t="shared" si="206"/>
        <v>4.267112391124313E-6</v>
      </c>
      <c r="BM263" s="192">
        <f t="shared" si="206"/>
        <v>4.267112391124313E-6</v>
      </c>
      <c r="BN263" s="192">
        <f t="shared" si="206"/>
        <v>4.267112391124313E-6</v>
      </c>
      <c r="BO263" s="192">
        <f t="shared" si="206"/>
        <v>4.267112391124313E-6</v>
      </c>
      <c r="BP263" s="192">
        <f t="shared" si="206"/>
        <v>4.267112391124313E-6</v>
      </c>
      <c r="BQ263" s="192">
        <f t="shared" si="206"/>
        <v>4.267112391124313E-6</v>
      </c>
      <c r="BR263" s="192">
        <f t="shared" si="206"/>
        <v>4.267112391124313E-6</v>
      </c>
      <c r="BS263" s="192">
        <f t="shared" si="206"/>
        <v>4.267112391124313E-6</v>
      </c>
      <c r="BT263" s="192">
        <f t="shared" si="206"/>
        <v>4.267112391124313E-6</v>
      </c>
      <c r="BU263" s="192">
        <f t="shared" si="206"/>
        <v>4.267112391124313E-6</v>
      </c>
      <c r="BV263" s="192">
        <f t="shared" si="206"/>
        <v>4.267112391124313E-6</v>
      </c>
    </row>
    <row r="264" spans="1:74">
      <c r="A264" s="141" t="s">
        <v>192</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2">
        <f t="shared" ref="AS264:BV264" si="207">AR264</f>
        <v>5.5432372980892911E-10</v>
      </c>
      <c r="AT264" s="192">
        <f t="shared" si="207"/>
        <v>5.5432372980892911E-10</v>
      </c>
      <c r="AU264" s="192">
        <f t="shared" si="207"/>
        <v>5.5432372980892911E-10</v>
      </c>
      <c r="AV264" s="192">
        <f t="shared" si="207"/>
        <v>5.5432372980892911E-10</v>
      </c>
      <c r="AW264" s="192">
        <f t="shared" si="207"/>
        <v>5.5432372980892911E-10</v>
      </c>
      <c r="AX264" s="192">
        <f t="shared" si="207"/>
        <v>5.5432372980892911E-10</v>
      </c>
      <c r="AY264" s="192">
        <f t="shared" si="207"/>
        <v>5.5432372980892911E-10</v>
      </c>
      <c r="AZ264" s="192">
        <f t="shared" si="207"/>
        <v>5.5432372980892911E-10</v>
      </c>
      <c r="BA264" s="192">
        <f t="shared" si="207"/>
        <v>5.5432372980892911E-10</v>
      </c>
      <c r="BB264" s="192">
        <f t="shared" si="207"/>
        <v>5.5432372980892911E-10</v>
      </c>
      <c r="BC264" s="192">
        <f t="shared" si="207"/>
        <v>5.5432372980892911E-10</v>
      </c>
      <c r="BD264" s="192">
        <f t="shared" si="207"/>
        <v>5.5432372980892911E-10</v>
      </c>
      <c r="BE264" s="192">
        <f t="shared" si="207"/>
        <v>5.5432372980892911E-10</v>
      </c>
      <c r="BF264" s="192">
        <f t="shared" si="207"/>
        <v>5.5432372980892911E-10</v>
      </c>
      <c r="BG264" s="192">
        <f t="shared" si="207"/>
        <v>5.5432372980892911E-10</v>
      </c>
      <c r="BH264" s="192">
        <f t="shared" si="207"/>
        <v>5.5432372980892911E-10</v>
      </c>
      <c r="BI264" s="192">
        <f t="shared" si="207"/>
        <v>5.5432372980892911E-10</v>
      </c>
      <c r="BJ264" s="192">
        <f t="shared" si="207"/>
        <v>5.5432372980892911E-10</v>
      </c>
      <c r="BK264" s="192">
        <f t="shared" si="207"/>
        <v>5.5432372980892911E-10</v>
      </c>
      <c r="BL264" s="192">
        <f t="shared" si="207"/>
        <v>5.5432372980892911E-10</v>
      </c>
      <c r="BM264" s="192">
        <f t="shared" si="207"/>
        <v>5.5432372980892911E-10</v>
      </c>
      <c r="BN264" s="192">
        <f t="shared" si="207"/>
        <v>5.5432372980892911E-10</v>
      </c>
      <c r="BO264" s="192">
        <f t="shared" si="207"/>
        <v>5.5432372980892911E-10</v>
      </c>
      <c r="BP264" s="192">
        <f t="shared" si="207"/>
        <v>5.5432372980892911E-10</v>
      </c>
      <c r="BQ264" s="192">
        <f t="shared" si="207"/>
        <v>5.5432372980892911E-10</v>
      </c>
      <c r="BR264" s="192">
        <f t="shared" si="207"/>
        <v>5.5432372980892911E-10</v>
      </c>
      <c r="BS264" s="192">
        <f t="shared" si="207"/>
        <v>5.5432372980892911E-10</v>
      </c>
      <c r="BT264" s="192">
        <f t="shared" si="207"/>
        <v>5.5432372980892911E-10</v>
      </c>
      <c r="BU264" s="192">
        <f t="shared" si="207"/>
        <v>5.5432372980892911E-10</v>
      </c>
      <c r="BV264" s="192">
        <f t="shared" si="207"/>
        <v>5.5432372980892911E-10</v>
      </c>
    </row>
    <row r="265" spans="1:74">
      <c r="A265" s="147" t="s">
        <v>199</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2">
        <f t="shared" ref="AS265:BV265" si="208">AR265</f>
        <v>1.9102196192977084E-6</v>
      </c>
      <c r="AT265" s="192">
        <f t="shared" si="208"/>
        <v>1.9102196192977084E-6</v>
      </c>
      <c r="AU265" s="192">
        <f t="shared" si="208"/>
        <v>1.9102196192977084E-6</v>
      </c>
      <c r="AV265" s="192">
        <f t="shared" si="208"/>
        <v>1.9102196192977084E-6</v>
      </c>
      <c r="AW265" s="192">
        <f t="shared" si="208"/>
        <v>1.9102196192977084E-6</v>
      </c>
      <c r="AX265" s="192">
        <f t="shared" si="208"/>
        <v>1.9102196192977084E-6</v>
      </c>
      <c r="AY265" s="192">
        <f t="shared" si="208"/>
        <v>1.9102196192977084E-6</v>
      </c>
      <c r="AZ265" s="192">
        <f t="shared" si="208"/>
        <v>1.9102196192977084E-6</v>
      </c>
      <c r="BA265" s="192">
        <f t="shared" si="208"/>
        <v>1.9102196192977084E-6</v>
      </c>
      <c r="BB265" s="192">
        <f t="shared" si="208"/>
        <v>1.9102196192977084E-6</v>
      </c>
      <c r="BC265" s="192">
        <f t="shared" si="208"/>
        <v>1.9102196192977084E-6</v>
      </c>
      <c r="BD265" s="192">
        <f t="shared" si="208"/>
        <v>1.9102196192977084E-6</v>
      </c>
      <c r="BE265" s="192">
        <f t="shared" si="208"/>
        <v>1.9102196192977084E-6</v>
      </c>
      <c r="BF265" s="192">
        <f t="shared" si="208"/>
        <v>1.9102196192977084E-6</v>
      </c>
      <c r="BG265" s="192">
        <f t="shared" si="208"/>
        <v>1.9102196192977084E-6</v>
      </c>
      <c r="BH265" s="192">
        <f t="shared" si="208"/>
        <v>1.9102196192977084E-6</v>
      </c>
      <c r="BI265" s="192">
        <f t="shared" si="208"/>
        <v>1.9102196192977084E-6</v>
      </c>
      <c r="BJ265" s="192">
        <f t="shared" si="208"/>
        <v>1.9102196192977084E-6</v>
      </c>
      <c r="BK265" s="192">
        <f t="shared" si="208"/>
        <v>1.9102196192977084E-6</v>
      </c>
      <c r="BL265" s="192">
        <f t="shared" si="208"/>
        <v>1.9102196192977084E-6</v>
      </c>
      <c r="BM265" s="192">
        <f t="shared" si="208"/>
        <v>1.9102196192977084E-6</v>
      </c>
      <c r="BN265" s="192">
        <f t="shared" si="208"/>
        <v>1.9102196192977084E-6</v>
      </c>
      <c r="BO265" s="192">
        <f t="shared" si="208"/>
        <v>1.9102196192977084E-6</v>
      </c>
      <c r="BP265" s="192">
        <f t="shared" si="208"/>
        <v>1.9102196192977084E-6</v>
      </c>
      <c r="BQ265" s="192">
        <f t="shared" si="208"/>
        <v>1.9102196192977084E-6</v>
      </c>
      <c r="BR265" s="192">
        <f t="shared" si="208"/>
        <v>1.9102196192977084E-6</v>
      </c>
      <c r="BS265" s="192">
        <f t="shared" si="208"/>
        <v>1.9102196192977084E-6</v>
      </c>
      <c r="BT265" s="192">
        <f t="shared" si="208"/>
        <v>1.9102196192977084E-6</v>
      </c>
      <c r="BU265" s="192">
        <f t="shared" si="208"/>
        <v>1.9102196192977084E-6</v>
      </c>
      <c r="BV265" s="192">
        <f t="shared" si="208"/>
        <v>1.9102196192977084E-6</v>
      </c>
    </row>
    <row r="266" spans="1:74">
      <c r="A266" s="147" t="s">
        <v>200</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2">
        <f t="shared" ref="AS266:BV266" si="209">AR266</f>
        <v>0</v>
      </c>
      <c r="AT266" s="192">
        <f t="shared" si="209"/>
        <v>0</v>
      </c>
      <c r="AU266" s="192">
        <f t="shared" si="209"/>
        <v>0</v>
      </c>
      <c r="AV266" s="192">
        <f t="shared" si="209"/>
        <v>0</v>
      </c>
      <c r="AW266" s="192">
        <f t="shared" si="209"/>
        <v>0</v>
      </c>
      <c r="AX266" s="192">
        <f t="shared" si="209"/>
        <v>0</v>
      </c>
      <c r="AY266" s="192">
        <f t="shared" si="209"/>
        <v>0</v>
      </c>
      <c r="AZ266" s="192">
        <f t="shared" si="209"/>
        <v>0</v>
      </c>
      <c r="BA266" s="192">
        <f t="shared" si="209"/>
        <v>0</v>
      </c>
      <c r="BB266" s="192">
        <f t="shared" si="209"/>
        <v>0</v>
      </c>
      <c r="BC266" s="192">
        <f t="shared" si="209"/>
        <v>0</v>
      </c>
      <c r="BD266" s="192">
        <f t="shared" si="209"/>
        <v>0</v>
      </c>
      <c r="BE266" s="192">
        <f t="shared" si="209"/>
        <v>0</v>
      </c>
      <c r="BF266" s="192">
        <f t="shared" si="209"/>
        <v>0</v>
      </c>
      <c r="BG266" s="192">
        <f t="shared" si="209"/>
        <v>0</v>
      </c>
      <c r="BH266" s="192">
        <f t="shared" si="209"/>
        <v>0</v>
      </c>
      <c r="BI266" s="192">
        <f t="shared" si="209"/>
        <v>0</v>
      </c>
      <c r="BJ266" s="192">
        <f t="shared" si="209"/>
        <v>0</v>
      </c>
      <c r="BK266" s="192">
        <f t="shared" si="209"/>
        <v>0</v>
      </c>
      <c r="BL266" s="192">
        <f t="shared" si="209"/>
        <v>0</v>
      </c>
      <c r="BM266" s="192">
        <f t="shared" si="209"/>
        <v>0</v>
      </c>
      <c r="BN266" s="192">
        <f t="shared" si="209"/>
        <v>0</v>
      </c>
      <c r="BO266" s="192">
        <f t="shared" si="209"/>
        <v>0</v>
      </c>
      <c r="BP266" s="192">
        <f t="shared" si="209"/>
        <v>0</v>
      </c>
      <c r="BQ266" s="192">
        <f t="shared" si="209"/>
        <v>0</v>
      </c>
      <c r="BR266" s="192">
        <f t="shared" si="209"/>
        <v>0</v>
      </c>
      <c r="BS266" s="192">
        <f t="shared" si="209"/>
        <v>0</v>
      </c>
      <c r="BT266" s="192">
        <f t="shared" si="209"/>
        <v>0</v>
      </c>
      <c r="BU266" s="192">
        <f t="shared" si="209"/>
        <v>0</v>
      </c>
      <c r="BV266" s="192">
        <f t="shared" si="209"/>
        <v>0</v>
      </c>
    </row>
    <row r="267" spans="1:74">
      <c r="A267" s="147" t="s">
        <v>202</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2">
        <f>AR267</f>
        <v>5.5432372505543243E-10</v>
      </c>
      <c r="AT267" s="192">
        <f t="shared" ref="AT267:BV267" si="210">AS267</f>
        <v>5.5432372505543243E-10</v>
      </c>
      <c r="AU267" s="192">
        <f t="shared" si="210"/>
        <v>5.5432372505543243E-10</v>
      </c>
      <c r="AV267" s="192">
        <f t="shared" si="210"/>
        <v>5.5432372505543243E-10</v>
      </c>
      <c r="AW267" s="192">
        <f t="shared" si="210"/>
        <v>5.5432372505543243E-10</v>
      </c>
      <c r="AX267" s="192">
        <f t="shared" si="210"/>
        <v>5.5432372505543243E-10</v>
      </c>
      <c r="AY267" s="192">
        <f t="shared" si="210"/>
        <v>5.5432372505543243E-10</v>
      </c>
      <c r="AZ267" s="192">
        <f t="shared" si="210"/>
        <v>5.5432372505543243E-10</v>
      </c>
      <c r="BA267" s="192">
        <f t="shared" si="210"/>
        <v>5.5432372505543243E-10</v>
      </c>
      <c r="BB267" s="192">
        <f t="shared" si="210"/>
        <v>5.5432372505543243E-10</v>
      </c>
      <c r="BC267" s="192">
        <f t="shared" si="210"/>
        <v>5.5432372505543243E-10</v>
      </c>
      <c r="BD267" s="192">
        <f t="shared" si="210"/>
        <v>5.5432372505543243E-10</v>
      </c>
      <c r="BE267" s="192">
        <f t="shared" si="210"/>
        <v>5.5432372505543243E-10</v>
      </c>
      <c r="BF267" s="192">
        <f t="shared" si="210"/>
        <v>5.5432372505543243E-10</v>
      </c>
      <c r="BG267" s="192">
        <f t="shared" si="210"/>
        <v>5.5432372505543243E-10</v>
      </c>
      <c r="BH267" s="192">
        <f t="shared" si="210"/>
        <v>5.5432372505543243E-10</v>
      </c>
      <c r="BI267" s="192">
        <f t="shared" si="210"/>
        <v>5.5432372505543243E-10</v>
      </c>
      <c r="BJ267" s="192">
        <f t="shared" si="210"/>
        <v>5.5432372505543243E-10</v>
      </c>
      <c r="BK267" s="192">
        <f t="shared" si="210"/>
        <v>5.5432372505543243E-10</v>
      </c>
      <c r="BL267" s="192">
        <f t="shared" si="210"/>
        <v>5.5432372505543243E-10</v>
      </c>
      <c r="BM267" s="192">
        <f t="shared" si="210"/>
        <v>5.5432372505543243E-10</v>
      </c>
      <c r="BN267" s="192">
        <f t="shared" si="210"/>
        <v>5.5432372505543243E-10</v>
      </c>
      <c r="BO267" s="192">
        <f t="shared" si="210"/>
        <v>5.5432372505543243E-10</v>
      </c>
      <c r="BP267" s="192">
        <f t="shared" si="210"/>
        <v>5.5432372505543243E-10</v>
      </c>
      <c r="BQ267" s="192">
        <f t="shared" si="210"/>
        <v>5.5432372505543243E-10</v>
      </c>
      <c r="BR267" s="192">
        <f t="shared" si="210"/>
        <v>5.5432372505543243E-10</v>
      </c>
      <c r="BS267" s="192">
        <f t="shared" si="210"/>
        <v>5.5432372505543243E-10</v>
      </c>
      <c r="BT267" s="192">
        <f t="shared" si="210"/>
        <v>5.5432372505543243E-10</v>
      </c>
      <c r="BU267" s="192">
        <f t="shared" si="210"/>
        <v>5.5432372505543243E-10</v>
      </c>
      <c r="BV267" s="192">
        <f t="shared" si="210"/>
        <v>5.5432372505543243E-10</v>
      </c>
    </row>
    <row r="268" spans="1:74">
      <c r="A268" s="147" t="s">
        <v>203</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2">
        <f t="shared" ref="AS268:BV268" si="211">AR268</f>
        <v>0</v>
      </c>
      <c r="AT268" s="192">
        <f t="shared" si="211"/>
        <v>0</v>
      </c>
      <c r="AU268" s="192">
        <f t="shared" si="211"/>
        <v>0</v>
      </c>
      <c r="AV268" s="192">
        <f t="shared" si="211"/>
        <v>0</v>
      </c>
      <c r="AW268" s="192">
        <f t="shared" si="211"/>
        <v>0</v>
      </c>
      <c r="AX268" s="192">
        <f t="shared" si="211"/>
        <v>0</v>
      </c>
      <c r="AY268" s="192">
        <f t="shared" si="211"/>
        <v>0</v>
      </c>
      <c r="AZ268" s="192">
        <f t="shared" si="211"/>
        <v>0</v>
      </c>
      <c r="BA268" s="192">
        <f t="shared" si="211"/>
        <v>0</v>
      </c>
      <c r="BB268" s="192">
        <f t="shared" si="211"/>
        <v>0</v>
      </c>
      <c r="BC268" s="192">
        <f t="shared" si="211"/>
        <v>0</v>
      </c>
      <c r="BD268" s="192">
        <f t="shared" si="211"/>
        <v>0</v>
      </c>
      <c r="BE268" s="192">
        <f t="shared" si="211"/>
        <v>0</v>
      </c>
      <c r="BF268" s="192">
        <f t="shared" si="211"/>
        <v>0</v>
      </c>
      <c r="BG268" s="192">
        <f t="shared" si="211"/>
        <v>0</v>
      </c>
      <c r="BH268" s="192">
        <f t="shared" si="211"/>
        <v>0</v>
      </c>
      <c r="BI268" s="192">
        <f t="shared" si="211"/>
        <v>0</v>
      </c>
      <c r="BJ268" s="192">
        <f t="shared" si="211"/>
        <v>0</v>
      </c>
      <c r="BK268" s="192">
        <f t="shared" si="211"/>
        <v>0</v>
      </c>
      <c r="BL268" s="192">
        <f t="shared" si="211"/>
        <v>0</v>
      </c>
      <c r="BM268" s="192">
        <f t="shared" si="211"/>
        <v>0</v>
      </c>
      <c r="BN268" s="192">
        <f t="shared" si="211"/>
        <v>0</v>
      </c>
      <c r="BO268" s="192">
        <f t="shared" si="211"/>
        <v>0</v>
      </c>
      <c r="BP268" s="192">
        <f t="shared" si="211"/>
        <v>0</v>
      </c>
      <c r="BQ268" s="192">
        <f t="shared" si="211"/>
        <v>0</v>
      </c>
      <c r="BR268" s="192">
        <f t="shared" si="211"/>
        <v>0</v>
      </c>
      <c r="BS268" s="192">
        <f t="shared" si="211"/>
        <v>0</v>
      </c>
      <c r="BT268" s="192">
        <f t="shared" si="211"/>
        <v>0</v>
      </c>
      <c r="BU268" s="192">
        <f t="shared" si="211"/>
        <v>0</v>
      </c>
      <c r="BV268" s="192">
        <f t="shared" si="211"/>
        <v>0</v>
      </c>
    </row>
    <row r="269" spans="1:74">
      <c r="A269" s="147" t="s">
        <v>205</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2">
        <f>AR269</f>
        <v>3.9999999999999998E-6</v>
      </c>
      <c r="AT269" s="192">
        <f t="shared" ref="AT269:BV269" si="212">AS269</f>
        <v>3.9999999999999998E-6</v>
      </c>
      <c r="AU269" s="192">
        <f t="shared" si="212"/>
        <v>3.9999999999999998E-6</v>
      </c>
      <c r="AV269" s="192">
        <f t="shared" si="212"/>
        <v>3.9999999999999998E-6</v>
      </c>
      <c r="AW269" s="192">
        <f t="shared" si="212"/>
        <v>3.9999999999999998E-6</v>
      </c>
      <c r="AX269" s="192">
        <f t="shared" si="212"/>
        <v>3.9999999999999998E-6</v>
      </c>
      <c r="AY269" s="192">
        <f t="shared" si="212"/>
        <v>3.9999999999999998E-6</v>
      </c>
      <c r="AZ269" s="192">
        <f t="shared" si="212"/>
        <v>3.9999999999999998E-6</v>
      </c>
      <c r="BA269" s="192">
        <f t="shared" si="212"/>
        <v>3.9999999999999998E-6</v>
      </c>
      <c r="BB269" s="192">
        <f t="shared" si="212"/>
        <v>3.9999999999999998E-6</v>
      </c>
      <c r="BC269" s="192">
        <f t="shared" si="212"/>
        <v>3.9999999999999998E-6</v>
      </c>
      <c r="BD269" s="192">
        <f t="shared" si="212"/>
        <v>3.9999999999999998E-6</v>
      </c>
      <c r="BE269" s="192">
        <f t="shared" si="212"/>
        <v>3.9999999999999998E-6</v>
      </c>
      <c r="BF269" s="192">
        <f t="shared" si="212"/>
        <v>3.9999999999999998E-6</v>
      </c>
      <c r="BG269" s="192">
        <f t="shared" si="212"/>
        <v>3.9999999999999998E-6</v>
      </c>
      <c r="BH269" s="192">
        <f t="shared" si="212"/>
        <v>3.9999999999999998E-6</v>
      </c>
      <c r="BI269" s="192">
        <f t="shared" si="212"/>
        <v>3.9999999999999998E-6</v>
      </c>
      <c r="BJ269" s="192">
        <f t="shared" si="212"/>
        <v>3.9999999999999998E-6</v>
      </c>
      <c r="BK269" s="192">
        <f t="shared" si="212"/>
        <v>3.9999999999999998E-6</v>
      </c>
      <c r="BL269" s="192">
        <f t="shared" si="212"/>
        <v>3.9999999999999998E-6</v>
      </c>
      <c r="BM269" s="192">
        <f t="shared" si="212"/>
        <v>3.9999999999999998E-6</v>
      </c>
      <c r="BN269" s="192">
        <f t="shared" si="212"/>
        <v>3.9999999999999998E-6</v>
      </c>
      <c r="BO269" s="192">
        <f t="shared" si="212"/>
        <v>3.9999999999999998E-6</v>
      </c>
      <c r="BP269" s="192">
        <f t="shared" si="212"/>
        <v>3.9999999999999998E-6</v>
      </c>
      <c r="BQ269" s="192">
        <f t="shared" si="212"/>
        <v>3.9999999999999998E-6</v>
      </c>
      <c r="BR269" s="192">
        <f t="shared" si="212"/>
        <v>3.9999999999999998E-6</v>
      </c>
      <c r="BS269" s="192">
        <f t="shared" si="212"/>
        <v>3.9999999999999998E-6</v>
      </c>
      <c r="BT269" s="192">
        <f t="shared" si="212"/>
        <v>3.9999999999999998E-6</v>
      </c>
      <c r="BU269" s="192">
        <f t="shared" si="212"/>
        <v>3.9999999999999998E-6</v>
      </c>
      <c r="BV269" s="192">
        <f t="shared" si="212"/>
        <v>3.9999999999999998E-6</v>
      </c>
    </row>
    <row r="270" spans="1:74">
      <c r="A270" s="147" t="s">
        <v>14</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2">
        <f>AR270</f>
        <v>5.7306590257879659E-6</v>
      </c>
      <c r="AT270" s="192">
        <f t="shared" ref="AT270:BV270" si="213">AS270</f>
        <v>5.7306590257879659E-6</v>
      </c>
      <c r="AU270" s="192">
        <f t="shared" si="213"/>
        <v>5.7306590257879659E-6</v>
      </c>
      <c r="AV270" s="192">
        <f t="shared" si="213"/>
        <v>5.7306590257879659E-6</v>
      </c>
      <c r="AW270" s="192">
        <f t="shared" si="213"/>
        <v>5.7306590257879659E-6</v>
      </c>
      <c r="AX270" s="192">
        <f t="shared" si="213"/>
        <v>5.7306590257879659E-6</v>
      </c>
      <c r="AY270" s="192">
        <f t="shared" si="213"/>
        <v>5.7306590257879659E-6</v>
      </c>
      <c r="AZ270" s="192">
        <f t="shared" si="213"/>
        <v>5.7306590257879659E-6</v>
      </c>
      <c r="BA270" s="192">
        <f t="shared" si="213"/>
        <v>5.7306590257879659E-6</v>
      </c>
      <c r="BB270" s="192">
        <f t="shared" si="213"/>
        <v>5.7306590257879659E-6</v>
      </c>
      <c r="BC270" s="192">
        <f t="shared" si="213"/>
        <v>5.7306590257879659E-6</v>
      </c>
      <c r="BD270" s="192">
        <f t="shared" si="213"/>
        <v>5.7306590257879659E-6</v>
      </c>
      <c r="BE270" s="192">
        <f t="shared" si="213"/>
        <v>5.7306590257879659E-6</v>
      </c>
      <c r="BF270" s="192">
        <f t="shared" si="213"/>
        <v>5.7306590257879659E-6</v>
      </c>
      <c r="BG270" s="192">
        <f t="shared" si="213"/>
        <v>5.7306590257879659E-6</v>
      </c>
      <c r="BH270" s="192">
        <f t="shared" si="213"/>
        <v>5.7306590257879659E-6</v>
      </c>
      <c r="BI270" s="192">
        <f t="shared" si="213"/>
        <v>5.7306590257879659E-6</v>
      </c>
      <c r="BJ270" s="192">
        <f t="shared" si="213"/>
        <v>5.7306590257879659E-6</v>
      </c>
      <c r="BK270" s="192">
        <f t="shared" si="213"/>
        <v>5.7306590257879659E-6</v>
      </c>
      <c r="BL270" s="192">
        <f t="shared" si="213"/>
        <v>5.7306590257879659E-6</v>
      </c>
      <c r="BM270" s="192">
        <f t="shared" si="213"/>
        <v>5.7306590257879659E-6</v>
      </c>
      <c r="BN270" s="192">
        <f t="shared" si="213"/>
        <v>5.7306590257879659E-6</v>
      </c>
      <c r="BO270" s="192">
        <f t="shared" si="213"/>
        <v>5.7306590257879659E-6</v>
      </c>
      <c r="BP270" s="192">
        <f t="shared" si="213"/>
        <v>5.7306590257879659E-6</v>
      </c>
      <c r="BQ270" s="192">
        <f t="shared" si="213"/>
        <v>5.7306590257879659E-6</v>
      </c>
      <c r="BR270" s="192">
        <f t="shared" si="213"/>
        <v>5.7306590257879659E-6</v>
      </c>
      <c r="BS270" s="192">
        <f t="shared" si="213"/>
        <v>5.7306590257879659E-6</v>
      </c>
      <c r="BT270" s="192">
        <f t="shared" si="213"/>
        <v>5.7306590257879659E-6</v>
      </c>
      <c r="BU270" s="192">
        <f t="shared" si="213"/>
        <v>5.7306590257879659E-6</v>
      </c>
      <c r="BV270" s="192">
        <f t="shared" si="213"/>
        <v>5.7306590257879659E-6</v>
      </c>
    </row>
    <row r="271" spans="1:74">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c r="A273" s="185" t="s">
        <v>243</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c r="A274" s="185"/>
      <c r="B274" s="185" t="s">
        <v>248</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c r="A275" s="147" t="s">
        <v>176</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1">
        <f t="shared" ref="AS275:BV275" si="215">AR275</f>
        <v>1.8375228957697341E-3</v>
      </c>
      <c r="AT275" s="191">
        <f t="shared" si="215"/>
        <v>1.8375228957697341E-3</v>
      </c>
      <c r="AU275" s="191">
        <f t="shared" si="215"/>
        <v>1.8375228957697341E-3</v>
      </c>
      <c r="AV275" s="191">
        <f t="shared" si="215"/>
        <v>1.8375228957697341E-3</v>
      </c>
      <c r="AW275" s="191">
        <f t="shared" si="215"/>
        <v>1.8375228957697341E-3</v>
      </c>
      <c r="AX275" s="191">
        <f t="shared" si="215"/>
        <v>1.8375228957697341E-3</v>
      </c>
      <c r="AY275" s="191">
        <f t="shared" si="215"/>
        <v>1.8375228957697341E-3</v>
      </c>
      <c r="AZ275" s="191">
        <f t="shared" si="215"/>
        <v>1.8375228957697341E-3</v>
      </c>
      <c r="BA275" s="191">
        <f t="shared" si="215"/>
        <v>1.8375228957697341E-3</v>
      </c>
      <c r="BB275" s="191">
        <f t="shared" si="215"/>
        <v>1.8375228957697341E-3</v>
      </c>
      <c r="BC275" s="191">
        <f t="shared" si="215"/>
        <v>1.8375228957697341E-3</v>
      </c>
      <c r="BD275" s="191">
        <f t="shared" si="215"/>
        <v>1.8375228957697341E-3</v>
      </c>
      <c r="BE275" s="191">
        <f t="shared" si="215"/>
        <v>1.8375228957697341E-3</v>
      </c>
      <c r="BF275" s="191">
        <f t="shared" si="215"/>
        <v>1.8375228957697341E-3</v>
      </c>
      <c r="BG275" s="191">
        <f t="shared" si="215"/>
        <v>1.8375228957697341E-3</v>
      </c>
      <c r="BH275" s="191">
        <f t="shared" si="215"/>
        <v>1.8375228957697341E-3</v>
      </c>
      <c r="BI275" s="191">
        <f t="shared" si="215"/>
        <v>1.8375228957697341E-3</v>
      </c>
      <c r="BJ275" s="191">
        <f t="shared" si="215"/>
        <v>1.8375228957697341E-3</v>
      </c>
      <c r="BK275" s="191">
        <f t="shared" si="215"/>
        <v>1.8375228957697341E-3</v>
      </c>
      <c r="BL275" s="191">
        <f t="shared" si="215"/>
        <v>1.8375228957697341E-3</v>
      </c>
      <c r="BM275" s="191">
        <f t="shared" si="215"/>
        <v>1.8375228957697341E-3</v>
      </c>
      <c r="BN275" s="191">
        <f t="shared" si="215"/>
        <v>1.8375228957697341E-3</v>
      </c>
      <c r="BO275" s="191">
        <f t="shared" si="215"/>
        <v>1.8375228957697341E-3</v>
      </c>
      <c r="BP275" s="191">
        <f t="shared" si="215"/>
        <v>1.8375228957697341E-3</v>
      </c>
      <c r="BQ275" s="191">
        <f t="shared" si="215"/>
        <v>1.8375228957697341E-3</v>
      </c>
      <c r="BR275" s="191">
        <f t="shared" si="215"/>
        <v>1.8375228957697341E-3</v>
      </c>
      <c r="BS275" s="191">
        <f t="shared" si="215"/>
        <v>1.8375228957697341E-3</v>
      </c>
      <c r="BT275" s="191">
        <f t="shared" si="215"/>
        <v>1.8375228957697341E-3</v>
      </c>
      <c r="BU275" s="191">
        <f t="shared" si="215"/>
        <v>1.8375228957697341E-3</v>
      </c>
      <c r="BV275" s="191">
        <f t="shared" si="215"/>
        <v>1.8375228957697341E-3</v>
      </c>
    </row>
    <row r="276" spans="1:74">
      <c r="A276" s="147" t="s">
        <v>178</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1">
        <f t="shared" ref="AS276:BV276" si="217">AR276</f>
        <v>2.1711164860021941E-5</v>
      </c>
      <c r="AT276" s="191">
        <f t="shared" si="217"/>
        <v>2.1711164860021941E-5</v>
      </c>
      <c r="AU276" s="191">
        <f t="shared" si="217"/>
        <v>2.1711164860021941E-5</v>
      </c>
      <c r="AV276" s="191">
        <f t="shared" si="217"/>
        <v>2.1711164860021941E-5</v>
      </c>
      <c r="AW276" s="191">
        <f t="shared" si="217"/>
        <v>2.1711164860021941E-5</v>
      </c>
      <c r="AX276" s="191">
        <f t="shared" si="217"/>
        <v>2.1711164860021941E-5</v>
      </c>
      <c r="AY276" s="191">
        <f t="shared" si="217"/>
        <v>2.1711164860021941E-5</v>
      </c>
      <c r="AZ276" s="191">
        <f t="shared" si="217"/>
        <v>2.1711164860021941E-5</v>
      </c>
      <c r="BA276" s="191">
        <f t="shared" si="217"/>
        <v>2.1711164860021941E-5</v>
      </c>
      <c r="BB276" s="191">
        <f t="shared" si="217"/>
        <v>2.1711164860021941E-5</v>
      </c>
      <c r="BC276" s="191">
        <f t="shared" si="217"/>
        <v>2.1711164860021941E-5</v>
      </c>
      <c r="BD276" s="191">
        <f t="shared" si="217"/>
        <v>2.1711164860021941E-5</v>
      </c>
      <c r="BE276" s="191">
        <f t="shared" si="217"/>
        <v>2.1711164860021941E-5</v>
      </c>
      <c r="BF276" s="191">
        <f t="shared" si="217"/>
        <v>2.1711164860021941E-5</v>
      </c>
      <c r="BG276" s="191">
        <f t="shared" si="217"/>
        <v>2.1711164860021941E-5</v>
      </c>
      <c r="BH276" s="191">
        <f t="shared" si="217"/>
        <v>2.1711164860021941E-5</v>
      </c>
      <c r="BI276" s="191">
        <f t="shared" si="217"/>
        <v>2.1711164860021941E-5</v>
      </c>
      <c r="BJ276" s="191">
        <f t="shared" si="217"/>
        <v>2.1711164860021941E-5</v>
      </c>
      <c r="BK276" s="191">
        <f t="shared" si="217"/>
        <v>2.1711164860021941E-5</v>
      </c>
      <c r="BL276" s="191">
        <f t="shared" si="217"/>
        <v>2.1711164860021941E-5</v>
      </c>
      <c r="BM276" s="191">
        <f t="shared" si="217"/>
        <v>2.1711164860021941E-5</v>
      </c>
      <c r="BN276" s="191">
        <f t="shared" si="217"/>
        <v>2.1711164860021941E-5</v>
      </c>
      <c r="BO276" s="191">
        <f t="shared" si="217"/>
        <v>2.1711164860021941E-5</v>
      </c>
      <c r="BP276" s="191">
        <f t="shared" si="217"/>
        <v>2.1711164860021941E-5</v>
      </c>
      <c r="BQ276" s="191">
        <f t="shared" si="217"/>
        <v>2.1711164860021941E-5</v>
      </c>
      <c r="BR276" s="191">
        <f t="shared" si="217"/>
        <v>2.1711164860021941E-5</v>
      </c>
      <c r="BS276" s="191">
        <f t="shared" si="217"/>
        <v>2.1711164860021941E-5</v>
      </c>
      <c r="BT276" s="191">
        <f t="shared" si="217"/>
        <v>2.1711164860021941E-5</v>
      </c>
      <c r="BU276" s="191">
        <f t="shared" si="217"/>
        <v>2.1711164860021941E-5</v>
      </c>
      <c r="BV276" s="191">
        <f t="shared" si="217"/>
        <v>2.1711164860021941E-5</v>
      </c>
    </row>
    <row r="277" spans="1:74">
      <c r="A277" s="141" t="s">
        <v>179</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1">
        <f t="shared" ref="AS277:BV277" si="219">AR277</f>
        <v>1.1175668630983885E-4</v>
      </c>
      <c r="AT277" s="191">
        <f t="shared" si="219"/>
        <v>1.1175668630983885E-4</v>
      </c>
      <c r="AU277" s="191">
        <f t="shared" si="219"/>
        <v>1.1175668630983885E-4</v>
      </c>
      <c r="AV277" s="191">
        <f t="shared" si="219"/>
        <v>1.1175668630983885E-4</v>
      </c>
      <c r="AW277" s="191">
        <f t="shared" si="219"/>
        <v>1.1175668630983885E-4</v>
      </c>
      <c r="AX277" s="191">
        <f t="shared" si="219"/>
        <v>1.1175668630983885E-4</v>
      </c>
      <c r="AY277" s="191">
        <f t="shared" si="219"/>
        <v>1.1175668630983885E-4</v>
      </c>
      <c r="AZ277" s="191">
        <f t="shared" si="219"/>
        <v>1.1175668630983885E-4</v>
      </c>
      <c r="BA277" s="191">
        <f t="shared" si="219"/>
        <v>1.1175668630983885E-4</v>
      </c>
      <c r="BB277" s="191">
        <f t="shared" si="219"/>
        <v>1.1175668630983885E-4</v>
      </c>
      <c r="BC277" s="191">
        <f t="shared" si="219"/>
        <v>1.1175668630983885E-4</v>
      </c>
      <c r="BD277" s="191">
        <f t="shared" si="219"/>
        <v>1.1175668630983885E-4</v>
      </c>
      <c r="BE277" s="191">
        <f t="shared" si="219"/>
        <v>1.1175668630983885E-4</v>
      </c>
      <c r="BF277" s="191">
        <f t="shared" si="219"/>
        <v>1.1175668630983885E-4</v>
      </c>
      <c r="BG277" s="191">
        <f t="shared" si="219"/>
        <v>1.1175668630983885E-4</v>
      </c>
      <c r="BH277" s="191">
        <f t="shared" si="219"/>
        <v>1.1175668630983885E-4</v>
      </c>
      <c r="BI277" s="191">
        <f t="shared" si="219"/>
        <v>1.1175668630983885E-4</v>
      </c>
      <c r="BJ277" s="191">
        <f t="shared" si="219"/>
        <v>1.1175668630983885E-4</v>
      </c>
      <c r="BK277" s="191">
        <f t="shared" si="219"/>
        <v>1.1175668630983885E-4</v>
      </c>
      <c r="BL277" s="191">
        <f t="shared" si="219"/>
        <v>1.1175668630983885E-4</v>
      </c>
      <c r="BM277" s="191">
        <f t="shared" si="219"/>
        <v>1.1175668630983885E-4</v>
      </c>
      <c r="BN277" s="191">
        <f t="shared" si="219"/>
        <v>1.1175668630983885E-4</v>
      </c>
      <c r="BO277" s="191">
        <f t="shared" si="219"/>
        <v>1.1175668630983885E-4</v>
      </c>
      <c r="BP277" s="191">
        <f t="shared" si="219"/>
        <v>1.1175668630983885E-4</v>
      </c>
      <c r="BQ277" s="191">
        <f t="shared" si="219"/>
        <v>1.1175668630983885E-4</v>
      </c>
      <c r="BR277" s="191">
        <f t="shared" si="219"/>
        <v>1.1175668630983885E-4</v>
      </c>
      <c r="BS277" s="191">
        <f t="shared" si="219"/>
        <v>1.1175668630983885E-4</v>
      </c>
      <c r="BT277" s="191">
        <f t="shared" si="219"/>
        <v>1.1175668630983885E-4</v>
      </c>
      <c r="BU277" s="191">
        <f t="shared" si="219"/>
        <v>1.1175668630983885E-4</v>
      </c>
      <c r="BV277" s="191">
        <f t="shared" si="219"/>
        <v>1.1175668630983885E-4</v>
      </c>
    </row>
    <row r="278" spans="1:74">
      <c r="A278" s="141" t="s">
        <v>181</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1">
        <f t="shared" ref="AS278:BV278" si="221">AR278</f>
        <v>2.3628224470111049E-5</v>
      </c>
      <c r="AT278" s="191">
        <f t="shared" si="221"/>
        <v>2.3628224470111049E-5</v>
      </c>
      <c r="AU278" s="191">
        <f t="shared" si="221"/>
        <v>2.3628224470111049E-5</v>
      </c>
      <c r="AV278" s="191">
        <f t="shared" si="221"/>
        <v>2.3628224470111049E-5</v>
      </c>
      <c r="AW278" s="191">
        <f t="shared" si="221"/>
        <v>2.3628224470111049E-5</v>
      </c>
      <c r="AX278" s="191">
        <f t="shared" si="221"/>
        <v>2.3628224470111049E-5</v>
      </c>
      <c r="AY278" s="191">
        <f t="shared" si="221"/>
        <v>2.3628224470111049E-5</v>
      </c>
      <c r="AZ278" s="191">
        <f t="shared" si="221"/>
        <v>2.3628224470111049E-5</v>
      </c>
      <c r="BA278" s="191">
        <f t="shared" si="221"/>
        <v>2.3628224470111049E-5</v>
      </c>
      <c r="BB278" s="191">
        <f t="shared" si="221"/>
        <v>2.3628224470111049E-5</v>
      </c>
      <c r="BC278" s="191">
        <f t="shared" si="221"/>
        <v>2.3628224470111049E-5</v>
      </c>
      <c r="BD278" s="191">
        <f t="shared" si="221"/>
        <v>2.3628224470111049E-5</v>
      </c>
      <c r="BE278" s="191">
        <f t="shared" si="221"/>
        <v>2.3628224470111049E-5</v>
      </c>
      <c r="BF278" s="191">
        <f t="shared" si="221"/>
        <v>2.3628224470111049E-5</v>
      </c>
      <c r="BG278" s="191">
        <f t="shared" si="221"/>
        <v>2.3628224470111049E-5</v>
      </c>
      <c r="BH278" s="191">
        <f t="shared" si="221"/>
        <v>2.3628224470111049E-5</v>
      </c>
      <c r="BI278" s="191">
        <f t="shared" si="221"/>
        <v>2.3628224470111049E-5</v>
      </c>
      <c r="BJ278" s="191">
        <f t="shared" si="221"/>
        <v>2.3628224470111049E-5</v>
      </c>
      <c r="BK278" s="191">
        <f t="shared" si="221"/>
        <v>2.3628224470111049E-5</v>
      </c>
      <c r="BL278" s="191">
        <f t="shared" si="221"/>
        <v>2.3628224470111049E-5</v>
      </c>
      <c r="BM278" s="191">
        <f t="shared" si="221"/>
        <v>2.3628224470111049E-5</v>
      </c>
      <c r="BN278" s="191">
        <f t="shared" si="221"/>
        <v>2.3628224470111049E-5</v>
      </c>
      <c r="BO278" s="191">
        <f t="shared" si="221"/>
        <v>2.3628224470111049E-5</v>
      </c>
      <c r="BP278" s="191">
        <f t="shared" si="221"/>
        <v>2.3628224470111049E-5</v>
      </c>
      <c r="BQ278" s="191">
        <f t="shared" si="221"/>
        <v>2.3628224470111049E-5</v>
      </c>
      <c r="BR278" s="191">
        <f t="shared" si="221"/>
        <v>2.3628224470111049E-5</v>
      </c>
      <c r="BS278" s="191">
        <f t="shared" si="221"/>
        <v>2.3628224470111049E-5</v>
      </c>
      <c r="BT278" s="191">
        <f t="shared" si="221"/>
        <v>2.3628224470111049E-5</v>
      </c>
      <c r="BU278" s="191">
        <f t="shared" si="221"/>
        <v>2.3628224470111049E-5</v>
      </c>
      <c r="BV278" s="191">
        <f t="shared" si="221"/>
        <v>2.3628224470111049E-5</v>
      </c>
    </row>
    <row r="279" spans="1:74">
      <c r="A279" s="147" t="s">
        <v>182</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1">
        <f t="shared" ref="AS279:BV279" si="223">AR279</f>
        <v>3.1362437925903767E-5</v>
      </c>
      <c r="AT279" s="191">
        <f t="shared" si="223"/>
        <v>3.1362437925903767E-5</v>
      </c>
      <c r="AU279" s="191">
        <f t="shared" si="223"/>
        <v>3.1362437925903767E-5</v>
      </c>
      <c r="AV279" s="191">
        <f t="shared" si="223"/>
        <v>3.1362437925903767E-5</v>
      </c>
      <c r="AW279" s="191">
        <f t="shared" si="223"/>
        <v>3.1362437925903767E-5</v>
      </c>
      <c r="AX279" s="191">
        <f t="shared" si="223"/>
        <v>3.1362437925903767E-5</v>
      </c>
      <c r="AY279" s="191">
        <f t="shared" si="223"/>
        <v>3.1362437925903767E-5</v>
      </c>
      <c r="AZ279" s="191">
        <f t="shared" si="223"/>
        <v>3.1362437925903767E-5</v>
      </c>
      <c r="BA279" s="191">
        <f t="shared" si="223"/>
        <v>3.1362437925903767E-5</v>
      </c>
      <c r="BB279" s="191">
        <f t="shared" si="223"/>
        <v>3.1362437925903767E-5</v>
      </c>
      <c r="BC279" s="191">
        <f t="shared" si="223"/>
        <v>3.1362437925903767E-5</v>
      </c>
      <c r="BD279" s="191">
        <f t="shared" si="223"/>
        <v>3.1362437925903767E-5</v>
      </c>
      <c r="BE279" s="191">
        <f t="shared" si="223"/>
        <v>3.1362437925903767E-5</v>
      </c>
      <c r="BF279" s="191">
        <f t="shared" si="223"/>
        <v>3.1362437925903767E-5</v>
      </c>
      <c r="BG279" s="191">
        <f t="shared" si="223"/>
        <v>3.1362437925903767E-5</v>
      </c>
      <c r="BH279" s="191">
        <f t="shared" si="223"/>
        <v>3.1362437925903767E-5</v>
      </c>
      <c r="BI279" s="191">
        <f t="shared" si="223"/>
        <v>3.1362437925903767E-5</v>
      </c>
      <c r="BJ279" s="191">
        <f t="shared" si="223"/>
        <v>3.1362437925903767E-5</v>
      </c>
      <c r="BK279" s="191">
        <f t="shared" si="223"/>
        <v>3.1362437925903767E-5</v>
      </c>
      <c r="BL279" s="191">
        <f t="shared" si="223"/>
        <v>3.1362437925903767E-5</v>
      </c>
      <c r="BM279" s="191">
        <f t="shared" si="223"/>
        <v>3.1362437925903767E-5</v>
      </c>
      <c r="BN279" s="191">
        <f t="shared" si="223"/>
        <v>3.1362437925903767E-5</v>
      </c>
      <c r="BO279" s="191">
        <f t="shared" si="223"/>
        <v>3.1362437925903767E-5</v>
      </c>
      <c r="BP279" s="191">
        <f t="shared" si="223"/>
        <v>3.1362437925903767E-5</v>
      </c>
      <c r="BQ279" s="191">
        <f t="shared" si="223"/>
        <v>3.1362437925903767E-5</v>
      </c>
      <c r="BR279" s="191">
        <f t="shared" si="223"/>
        <v>3.1362437925903767E-5</v>
      </c>
      <c r="BS279" s="191">
        <f t="shared" si="223"/>
        <v>3.1362437925903767E-5</v>
      </c>
      <c r="BT279" s="191">
        <f t="shared" si="223"/>
        <v>3.1362437925903767E-5</v>
      </c>
      <c r="BU279" s="191">
        <f t="shared" si="223"/>
        <v>3.1362437925903767E-5</v>
      </c>
      <c r="BV279" s="191">
        <f t="shared" si="223"/>
        <v>3.1362437925903767E-5</v>
      </c>
    </row>
    <row r="280" spans="1:74">
      <c r="A280" s="147" t="s">
        <v>184</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1">
        <f t="shared" ref="AS280:BV280" si="225">AR280</f>
        <v>2.9136318778423485E-5</v>
      </c>
      <c r="AT280" s="191">
        <f t="shared" si="225"/>
        <v>2.9136318778423485E-5</v>
      </c>
      <c r="AU280" s="191">
        <f t="shared" si="225"/>
        <v>2.9136318778423485E-5</v>
      </c>
      <c r="AV280" s="191">
        <f t="shared" si="225"/>
        <v>2.9136318778423485E-5</v>
      </c>
      <c r="AW280" s="191">
        <f t="shared" si="225"/>
        <v>2.9136318778423485E-5</v>
      </c>
      <c r="AX280" s="191">
        <f t="shared" si="225"/>
        <v>2.9136318778423485E-5</v>
      </c>
      <c r="AY280" s="191">
        <f t="shared" si="225"/>
        <v>2.9136318778423485E-5</v>
      </c>
      <c r="AZ280" s="191">
        <f t="shared" si="225"/>
        <v>2.9136318778423485E-5</v>
      </c>
      <c r="BA280" s="191">
        <f t="shared" si="225"/>
        <v>2.9136318778423485E-5</v>
      </c>
      <c r="BB280" s="191">
        <f t="shared" si="225"/>
        <v>2.9136318778423485E-5</v>
      </c>
      <c r="BC280" s="191">
        <f t="shared" si="225"/>
        <v>2.9136318778423485E-5</v>
      </c>
      <c r="BD280" s="191">
        <f t="shared" si="225"/>
        <v>2.9136318778423485E-5</v>
      </c>
      <c r="BE280" s="191">
        <f t="shared" si="225"/>
        <v>2.9136318778423485E-5</v>
      </c>
      <c r="BF280" s="191">
        <f t="shared" si="225"/>
        <v>2.9136318778423485E-5</v>
      </c>
      <c r="BG280" s="191">
        <f t="shared" si="225"/>
        <v>2.9136318778423485E-5</v>
      </c>
      <c r="BH280" s="191">
        <f t="shared" si="225"/>
        <v>2.9136318778423485E-5</v>
      </c>
      <c r="BI280" s="191">
        <f t="shared" si="225"/>
        <v>2.9136318778423485E-5</v>
      </c>
      <c r="BJ280" s="191">
        <f t="shared" si="225"/>
        <v>2.9136318778423485E-5</v>
      </c>
      <c r="BK280" s="191">
        <f t="shared" si="225"/>
        <v>2.9136318778423485E-5</v>
      </c>
      <c r="BL280" s="191">
        <f t="shared" si="225"/>
        <v>2.9136318778423485E-5</v>
      </c>
      <c r="BM280" s="191">
        <f t="shared" si="225"/>
        <v>2.9136318778423485E-5</v>
      </c>
      <c r="BN280" s="191">
        <f t="shared" si="225"/>
        <v>2.9136318778423485E-5</v>
      </c>
      <c r="BO280" s="191">
        <f t="shared" si="225"/>
        <v>2.9136318778423485E-5</v>
      </c>
      <c r="BP280" s="191">
        <f t="shared" si="225"/>
        <v>2.9136318778423485E-5</v>
      </c>
      <c r="BQ280" s="191">
        <f t="shared" si="225"/>
        <v>2.9136318778423485E-5</v>
      </c>
      <c r="BR280" s="191">
        <f t="shared" si="225"/>
        <v>2.9136318778423485E-5</v>
      </c>
      <c r="BS280" s="191">
        <f t="shared" si="225"/>
        <v>2.9136318778423485E-5</v>
      </c>
      <c r="BT280" s="191">
        <f t="shared" si="225"/>
        <v>2.9136318778423485E-5</v>
      </c>
      <c r="BU280" s="191">
        <f t="shared" si="225"/>
        <v>2.9136318778423485E-5</v>
      </c>
      <c r="BV280" s="191">
        <f t="shared" si="225"/>
        <v>2.9136318778423485E-5</v>
      </c>
    </row>
    <row r="281" spans="1:74">
      <c r="A281" s="141" t="s">
        <v>185</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1">
        <f t="shared" ref="AS281:BV281" si="227">AR281</f>
        <v>7.2487317144627385E-5</v>
      </c>
      <c r="AT281" s="191">
        <f t="shared" si="227"/>
        <v>7.2487317144627385E-5</v>
      </c>
      <c r="AU281" s="191">
        <f t="shared" si="227"/>
        <v>7.2487317144627385E-5</v>
      </c>
      <c r="AV281" s="191">
        <f t="shared" si="227"/>
        <v>7.2487317144627385E-5</v>
      </c>
      <c r="AW281" s="191">
        <f t="shared" si="227"/>
        <v>7.2487317144627385E-5</v>
      </c>
      <c r="AX281" s="191">
        <f t="shared" si="227"/>
        <v>7.2487317144627385E-5</v>
      </c>
      <c r="AY281" s="191">
        <f t="shared" si="227"/>
        <v>7.2487317144627385E-5</v>
      </c>
      <c r="AZ281" s="191">
        <f t="shared" si="227"/>
        <v>7.2487317144627385E-5</v>
      </c>
      <c r="BA281" s="191">
        <f t="shared" si="227"/>
        <v>7.2487317144627385E-5</v>
      </c>
      <c r="BB281" s="191">
        <f t="shared" si="227"/>
        <v>7.2487317144627385E-5</v>
      </c>
      <c r="BC281" s="191">
        <f t="shared" si="227"/>
        <v>7.2487317144627385E-5</v>
      </c>
      <c r="BD281" s="191">
        <f t="shared" si="227"/>
        <v>7.2487317144627385E-5</v>
      </c>
      <c r="BE281" s="191">
        <f t="shared" si="227"/>
        <v>7.2487317144627385E-5</v>
      </c>
      <c r="BF281" s="191">
        <f t="shared" si="227"/>
        <v>7.2487317144627385E-5</v>
      </c>
      <c r="BG281" s="191">
        <f t="shared" si="227"/>
        <v>7.2487317144627385E-5</v>
      </c>
      <c r="BH281" s="191">
        <f t="shared" si="227"/>
        <v>7.2487317144627385E-5</v>
      </c>
      <c r="BI281" s="191">
        <f t="shared" si="227"/>
        <v>7.2487317144627385E-5</v>
      </c>
      <c r="BJ281" s="191">
        <f t="shared" si="227"/>
        <v>7.2487317144627385E-5</v>
      </c>
      <c r="BK281" s="191">
        <f t="shared" si="227"/>
        <v>7.2487317144627385E-5</v>
      </c>
      <c r="BL281" s="191">
        <f t="shared" si="227"/>
        <v>7.2487317144627385E-5</v>
      </c>
      <c r="BM281" s="191">
        <f t="shared" si="227"/>
        <v>7.2487317144627385E-5</v>
      </c>
      <c r="BN281" s="191">
        <f t="shared" si="227"/>
        <v>7.2487317144627385E-5</v>
      </c>
      <c r="BO281" s="191">
        <f t="shared" si="227"/>
        <v>7.2487317144627385E-5</v>
      </c>
      <c r="BP281" s="191">
        <f t="shared" si="227"/>
        <v>7.2487317144627385E-5</v>
      </c>
      <c r="BQ281" s="191">
        <f t="shared" si="227"/>
        <v>7.2487317144627385E-5</v>
      </c>
      <c r="BR281" s="191">
        <f t="shared" si="227"/>
        <v>7.2487317144627385E-5</v>
      </c>
      <c r="BS281" s="191">
        <f t="shared" si="227"/>
        <v>7.2487317144627385E-5</v>
      </c>
      <c r="BT281" s="191">
        <f t="shared" si="227"/>
        <v>7.2487317144627385E-5</v>
      </c>
      <c r="BU281" s="191">
        <f t="shared" si="227"/>
        <v>7.2487317144627385E-5</v>
      </c>
      <c r="BV281" s="191">
        <f t="shared" si="227"/>
        <v>7.2487317144627385E-5</v>
      </c>
    </row>
    <row r="282" spans="1:74">
      <c r="A282" s="147" t="s">
        <v>187</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1">
        <f t="shared" ref="AS282:BV282" si="229">AR282</f>
        <v>5.8516167995369548E-5</v>
      </c>
      <c r="AT282" s="191">
        <f t="shared" si="229"/>
        <v>5.8516167995369548E-5</v>
      </c>
      <c r="AU282" s="191">
        <f t="shared" si="229"/>
        <v>5.8516167995369548E-5</v>
      </c>
      <c r="AV282" s="191">
        <f t="shared" si="229"/>
        <v>5.8516167995369548E-5</v>
      </c>
      <c r="AW282" s="191">
        <f t="shared" si="229"/>
        <v>5.8516167995369548E-5</v>
      </c>
      <c r="AX282" s="191">
        <f t="shared" si="229"/>
        <v>5.8516167995369548E-5</v>
      </c>
      <c r="AY282" s="191">
        <f t="shared" si="229"/>
        <v>5.8516167995369548E-5</v>
      </c>
      <c r="AZ282" s="191">
        <f t="shared" si="229"/>
        <v>5.8516167995369548E-5</v>
      </c>
      <c r="BA282" s="191">
        <f t="shared" si="229"/>
        <v>5.8516167995369548E-5</v>
      </c>
      <c r="BB282" s="191">
        <f t="shared" si="229"/>
        <v>5.8516167995369548E-5</v>
      </c>
      <c r="BC282" s="191">
        <f t="shared" si="229"/>
        <v>5.8516167995369548E-5</v>
      </c>
      <c r="BD282" s="191">
        <f t="shared" si="229"/>
        <v>5.8516167995369548E-5</v>
      </c>
      <c r="BE282" s="191">
        <f t="shared" si="229"/>
        <v>5.8516167995369548E-5</v>
      </c>
      <c r="BF282" s="191">
        <f t="shared" si="229"/>
        <v>5.8516167995369548E-5</v>
      </c>
      <c r="BG282" s="191">
        <f t="shared" si="229"/>
        <v>5.8516167995369548E-5</v>
      </c>
      <c r="BH282" s="191">
        <f t="shared" si="229"/>
        <v>5.8516167995369548E-5</v>
      </c>
      <c r="BI282" s="191">
        <f t="shared" si="229"/>
        <v>5.8516167995369548E-5</v>
      </c>
      <c r="BJ282" s="191">
        <f t="shared" si="229"/>
        <v>5.8516167995369548E-5</v>
      </c>
      <c r="BK282" s="191">
        <f t="shared" si="229"/>
        <v>5.8516167995369548E-5</v>
      </c>
      <c r="BL282" s="191">
        <f t="shared" si="229"/>
        <v>5.8516167995369548E-5</v>
      </c>
      <c r="BM282" s="191">
        <f t="shared" si="229"/>
        <v>5.8516167995369548E-5</v>
      </c>
      <c r="BN282" s="191">
        <f t="shared" si="229"/>
        <v>5.8516167995369548E-5</v>
      </c>
      <c r="BO282" s="191">
        <f t="shared" si="229"/>
        <v>5.8516167995369548E-5</v>
      </c>
      <c r="BP282" s="191">
        <f t="shared" si="229"/>
        <v>5.8516167995369548E-5</v>
      </c>
      <c r="BQ282" s="191">
        <f t="shared" si="229"/>
        <v>5.8516167995369548E-5</v>
      </c>
      <c r="BR282" s="191">
        <f t="shared" si="229"/>
        <v>5.8516167995369548E-5</v>
      </c>
      <c r="BS282" s="191">
        <f t="shared" si="229"/>
        <v>5.8516167995369548E-5</v>
      </c>
      <c r="BT282" s="191">
        <f t="shared" si="229"/>
        <v>5.8516167995369548E-5</v>
      </c>
      <c r="BU282" s="191">
        <f t="shared" si="229"/>
        <v>5.8516167995369548E-5</v>
      </c>
      <c r="BV282" s="191">
        <f t="shared" si="229"/>
        <v>5.8516167995369548E-5</v>
      </c>
    </row>
    <row r="283" spans="1:74">
      <c r="A283" s="147" t="s">
        <v>11</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1">
        <f t="shared" ref="AS283:BV283" si="231">AR283</f>
        <v>9.7232423379026912E-5</v>
      </c>
      <c r="AT283" s="191">
        <f t="shared" si="231"/>
        <v>9.7232423379026912E-5</v>
      </c>
      <c r="AU283" s="191">
        <f t="shared" si="231"/>
        <v>9.7232423379026912E-5</v>
      </c>
      <c r="AV283" s="191">
        <f t="shared" si="231"/>
        <v>9.7232423379026912E-5</v>
      </c>
      <c r="AW283" s="191">
        <f t="shared" si="231"/>
        <v>9.7232423379026912E-5</v>
      </c>
      <c r="AX283" s="191">
        <f t="shared" si="231"/>
        <v>9.7232423379026912E-5</v>
      </c>
      <c r="AY283" s="191">
        <f t="shared" si="231"/>
        <v>9.7232423379026912E-5</v>
      </c>
      <c r="AZ283" s="191">
        <f t="shared" si="231"/>
        <v>9.7232423379026912E-5</v>
      </c>
      <c r="BA283" s="191">
        <f t="shared" si="231"/>
        <v>9.7232423379026912E-5</v>
      </c>
      <c r="BB283" s="191">
        <f t="shared" si="231"/>
        <v>9.7232423379026912E-5</v>
      </c>
      <c r="BC283" s="191">
        <f t="shared" si="231"/>
        <v>9.7232423379026912E-5</v>
      </c>
      <c r="BD283" s="191">
        <f t="shared" si="231"/>
        <v>9.7232423379026912E-5</v>
      </c>
      <c r="BE283" s="191">
        <f t="shared" si="231"/>
        <v>9.7232423379026912E-5</v>
      </c>
      <c r="BF283" s="191">
        <f t="shared" si="231"/>
        <v>9.7232423379026912E-5</v>
      </c>
      <c r="BG283" s="191">
        <f t="shared" si="231"/>
        <v>9.7232423379026912E-5</v>
      </c>
      <c r="BH283" s="191">
        <f t="shared" si="231"/>
        <v>9.7232423379026912E-5</v>
      </c>
      <c r="BI283" s="191">
        <f t="shared" si="231"/>
        <v>9.7232423379026912E-5</v>
      </c>
      <c r="BJ283" s="191">
        <f t="shared" si="231"/>
        <v>9.7232423379026912E-5</v>
      </c>
      <c r="BK283" s="191">
        <f t="shared" si="231"/>
        <v>9.7232423379026912E-5</v>
      </c>
      <c r="BL283" s="191">
        <f t="shared" si="231"/>
        <v>9.7232423379026912E-5</v>
      </c>
      <c r="BM283" s="191">
        <f t="shared" si="231"/>
        <v>9.7232423379026912E-5</v>
      </c>
      <c r="BN283" s="191">
        <f t="shared" si="231"/>
        <v>9.7232423379026912E-5</v>
      </c>
      <c r="BO283" s="191">
        <f t="shared" si="231"/>
        <v>9.7232423379026912E-5</v>
      </c>
      <c r="BP283" s="191">
        <f t="shared" si="231"/>
        <v>9.7232423379026912E-5</v>
      </c>
      <c r="BQ283" s="191">
        <f t="shared" si="231"/>
        <v>9.7232423379026912E-5</v>
      </c>
      <c r="BR283" s="191">
        <f t="shared" si="231"/>
        <v>9.7232423379026912E-5</v>
      </c>
      <c r="BS283" s="191">
        <f t="shared" si="231"/>
        <v>9.7232423379026912E-5</v>
      </c>
      <c r="BT283" s="191">
        <f t="shared" si="231"/>
        <v>9.7232423379026912E-5</v>
      </c>
      <c r="BU283" s="191">
        <f t="shared" si="231"/>
        <v>9.7232423379026912E-5</v>
      </c>
      <c r="BV283" s="191">
        <f t="shared" si="231"/>
        <v>9.7232423379026912E-5</v>
      </c>
    </row>
    <row r="284" spans="1:74">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1">
        <f t="shared" ref="AS284:BV284" si="233">AR284</f>
        <v>0</v>
      </c>
      <c r="AT284" s="191">
        <f t="shared" si="233"/>
        <v>0</v>
      </c>
      <c r="AU284" s="191">
        <f t="shared" si="233"/>
        <v>0</v>
      </c>
      <c r="AV284" s="191">
        <f t="shared" si="233"/>
        <v>0</v>
      </c>
      <c r="AW284" s="191">
        <f t="shared" si="233"/>
        <v>0</v>
      </c>
      <c r="AX284" s="191">
        <f t="shared" si="233"/>
        <v>0</v>
      </c>
      <c r="AY284" s="191">
        <f t="shared" si="233"/>
        <v>0</v>
      </c>
      <c r="AZ284" s="191">
        <f t="shared" si="233"/>
        <v>0</v>
      </c>
      <c r="BA284" s="191">
        <f t="shared" si="233"/>
        <v>0</v>
      </c>
      <c r="BB284" s="191">
        <f t="shared" si="233"/>
        <v>0</v>
      </c>
      <c r="BC284" s="191">
        <f t="shared" si="233"/>
        <v>0</v>
      </c>
      <c r="BD284" s="191">
        <f t="shared" si="233"/>
        <v>0</v>
      </c>
      <c r="BE284" s="191">
        <f t="shared" si="233"/>
        <v>0</v>
      </c>
      <c r="BF284" s="191">
        <f t="shared" si="233"/>
        <v>0</v>
      </c>
      <c r="BG284" s="191">
        <f t="shared" si="233"/>
        <v>0</v>
      </c>
      <c r="BH284" s="191">
        <f t="shared" si="233"/>
        <v>0</v>
      </c>
      <c r="BI284" s="191">
        <f t="shared" si="233"/>
        <v>0</v>
      </c>
      <c r="BJ284" s="191">
        <f t="shared" si="233"/>
        <v>0</v>
      </c>
      <c r="BK284" s="191">
        <f t="shared" si="233"/>
        <v>0</v>
      </c>
      <c r="BL284" s="191">
        <f t="shared" si="233"/>
        <v>0</v>
      </c>
      <c r="BM284" s="191">
        <f t="shared" si="233"/>
        <v>0</v>
      </c>
      <c r="BN284" s="191">
        <f t="shared" si="233"/>
        <v>0</v>
      </c>
      <c r="BO284" s="191">
        <f t="shared" si="233"/>
        <v>0</v>
      </c>
      <c r="BP284" s="191">
        <f t="shared" si="233"/>
        <v>0</v>
      </c>
      <c r="BQ284" s="191">
        <f t="shared" si="233"/>
        <v>0</v>
      </c>
      <c r="BR284" s="191">
        <f t="shared" si="233"/>
        <v>0</v>
      </c>
      <c r="BS284" s="191">
        <f t="shared" si="233"/>
        <v>0</v>
      </c>
      <c r="BT284" s="191">
        <f t="shared" si="233"/>
        <v>0</v>
      </c>
      <c r="BU284" s="191">
        <f t="shared" si="233"/>
        <v>0</v>
      </c>
      <c r="BV284" s="191">
        <f t="shared" si="233"/>
        <v>0</v>
      </c>
    </row>
    <row r="285" spans="1:74">
      <c r="A285" s="141" t="s">
        <v>190</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1">
        <f t="shared" ref="AS285:BV285" si="235">AR285</f>
        <v>1.3160615263109861E-4</v>
      </c>
      <c r="AT285" s="191">
        <f t="shared" si="235"/>
        <v>1.3160615263109861E-4</v>
      </c>
      <c r="AU285" s="191">
        <f t="shared" si="235"/>
        <v>1.3160615263109861E-4</v>
      </c>
      <c r="AV285" s="191">
        <f t="shared" si="235"/>
        <v>1.3160615263109861E-4</v>
      </c>
      <c r="AW285" s="191">
        <f t="shared" si="235"/>
        <v>1.3160615263109861E-4</v>
      </c>
      <c r="AX285" s="191">
        <f t="shared" si="235"/>
        <v>1.3160615263109861E-4</v>
      </c>
      <c r="AY285" s="191">
        <f t="shared" si="235"/>
        <v>1.3160615263109861E-4</v>
      </c>
      <c r="AZ285" s="191">
        <f t="shared" si="235"/>
        <v>1.3160615263109861E-4</v>
      </c>
      <c r="BA285" s="191">
        <f t="shared" si="235"/>
        <v>1.3160615263109861E-4</v>
      </c>
      <c r="BB285" s="191">
        <f t="shared" si="235"/>
        <v>1.3160615263109861E-4</v>
      </c>
      <c r="BC285" s="191">
        <f t="shared" si="235"/>
        <v>1.3160615263109861E-4</v>
      </c>
      <c r="BD285" s="191">
        <f t="shared" si="235"/>
        <v>1.3160615263109861E-4</v>
      </c>
      <c r="BE285" s="191">
        <f t="shared" si="235"/>
        <v>1.3160615263109861E-4</v>
      </c>
      <c r="BF285" s="191">
        <f t="shared" si="235"/>
        <v>1.3160615263109861E-4</v>
      </c>
      <c r="BG285" s="191">
        <f t="shared" si="235"/>
        <v>1.3160615263109861E-4</v>
      </c>
      <c r="BH285" s="191">
        <f t="shared" si="235"/>
        <v>1.3160615263109861E-4</v>
      </c>
      <c r="BI285" s="191">
        <f t="shared" si="235"/>
        <v>1.3160615263109861E-4</v>
      </c>
      <c r="BJ285" s="191">
        <f t="shared" si="235"/>
        <v>1.3160615263109861E-4</v>
      </c>
      <c r="BK285" s="191">
        <f t="shared" si="235"/>
        <v>1.3160615263109861E-4</v>
      </c>
      <c r="BL285" s="191">
        <f t="shared" si="235"/>
        <v>1.3160615263109861E-4</v>
      </c>
      <c r="BM285" s="191">
        <f t="shared" si="235"/>
        <v>1.3160615263109861E-4</v>
      </c>
      <c r="BN285" s="191">
        <f t="shared" si="235"/>
        <v>1.3160615263109861E-4</v>
      </c>
      <c r="BO285" s="191">
        <f t="shared" si="235"/>
        <v>1.3160615263109861E-4</v>
      </c>
      <c r="BP285" s="191">
        <f t="shared" si="235"/>
        <v>1.3160615263109861E-4</v>
      </c>
      <c r="BQ285" s="191">
        <f t="shared" si="235"/>
        <v>1.3160615263109861E-4</v>
      </c>
      <c r="BR285" s="191">
        <f t="shared" si="235"/>
        <v>1.3160615263109861E-4</v>
      </c>
      <c r="BS285" s="191">
        <f t="shared" si="235"/>
        <v>1.3160615263109861E-4</v>
      </c>
      <c r="BT285" s="191">
        <f t="shared" si="235"/>
        <v>1.3160615263109861E-4</v>
      </c>
      <c r="BU285" s="191">
        <f t="shared" si="235"/>
        <v>1.3160615263109861E-4</v>
      </c>
      <c r="BV285" s="191">
        <f t="shared" si="235"/>
        <v>1.3160615263109861E-4</v>
      </c>
    </row>
    <row r="286" spans="1:74">
      <c r="A286" s="141" t="s">
        <v>191</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1">
        <f t="shared" ref="AS286:BV286" si="237">AR286</f>
        <v>2.4057649873707521E-5</v>
      </c>
      <c r="AT286" s="191">
        <f t="shared" si="237"/>
        <v>2.4057649873707521E-5</v>
      </c>
      <c r="AU286" s="191">
        <f t="shared" si="237"/>
        <v>2.4057649873707521E-5</v>
      </c>
      <c r="AV286" s="191">
        <f t="shared" si="237"/>
        <v>2.4057649873707521E-5</v>
      </c>
      <c r="AW286" s="191">
        <f t="shared" si="237"/>
        <v>2.4057649873707521E-5</v>
      </c>
      <c r="AX286" s="191">
        <f t="shared" si="237"/>
        <v>2.4057649873707521E-5</v>
      </c>
      <c r="AY286" s="191">
        <f t="shared" si="237"/>
        <v>2.4057649873707521E-5</v>
      </c>
      <c r="AZ286" s="191">
        <f t="shared" si="237"/>
        <v>2.4057649873707521E-5</v>
      </c>
      <c r="BA286" s="191">
        <f t="shared" si="237"/>
        <v>2.4057649873707521E-5</v>
      </c>
      <c r="BB286" s="191">
        <f t="shared" si="237"/>
        <v>2.4057649873707521E-5</v>
      </c>
      <c r="BC286" s="191">
        <f t="shared" si="237"/>
        <v>2.4057649873707521E-5</v>
      </c>
      <c r="BD286" s="191">
        <f t="shared" si="237"/>
        <v>2.4057649873707521E-5</v>
      </c>
      <c r="BE286" s="191">
        <f t="shared" si="237"/>
        <v>2.4057649873707521E-5</v>
      </c>
      <c r="BF286" s="191">
        <f t="shared" si="237"/>
        <v>2.4057649873707521E-5</v>
      </c>
      <c r="BG286" s="191">
        <f t="shared" si="237"/>
        <v>2.4057649873707521E-5</v>
      </c>
      <c r="BH286" s="191">
        <f t="shared" si="237"/>
        <v>2.4057649873707521E-5</v>
      </c>
      <c r="BI286" s="191">
        <f t="shared" si="237"/>
        <v>2.4057649873707521E-5</v>
      </c>
      <c r="BJ286" s="191">
        <f t="shared" si="237"/>
        <v>2.4057649873707521E-5</v>
      </c>
      <c r="BK286" s="191">
        <f t="shared" si="237"/>
        <v>2.4057649873707521E-5</v>
      </c>
      <c r="BL286" s="191">
        <f t="shared" si="237"/>
        <v>2.4057649873707521E-5</v>
      </c>
      <c r="BM286" s="191">
        <f t="shared" si="237"/>
        <v>2.4057649873707521E-5</v>
      </c>
      <c r="BN286" s="191">
        <f t="shared" si="237"/>
        <v>2.4057649873707521E-5</v>
      </c>
      <c r="BO286" s="191">
        <f t="shared" si="237"/>
        <v>2.4057649873707521E-5</v>
      </c>
      <c r="BP286" s="191">
        <f t="shared" si="237"/>
        <v>2.4057649873707521E-5</v>
      </c>
      <c r="BQ286" s="191">
        <f t="shared" si="237"/>
        <v>2.4057649873707521E-5</v>
      </c>
      <c r="BR286" s="191">
        <f t="shared" si="237"/>
        <v>2.4057649873707521E-5</v>
      </c>
      <c r="BS286" s="191">
        <f t="shared" si="237"/>
        <v>2.4057649873707521E-5</v>
      </c>
      <c r="BT286" s="191">
        <f t="shared" si="237"/>
        <v>2.4057649873707521E-5</v>
      </c>
      <c r="BU286" s="191">
        <f t="shared" si="237"/>
        <v>2.4057649873707521E-5</v>
      </c>
      <c r="BV286" s="191">
        <f t="shared" si="237"/>
        <v>2.4057649873707521E-5</v>
      </c>
    </row>
    <row r="287" spans="1:74">
      <c r="A287" s="141" t="s">
        <v>193</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1">
        <f t="shared" ref="AS287:BV287" si="239">AR287</f>
        <v>7.9999975166354382E-5</v>
      </c>
      <c r="AT287" s="191">
        <f t="shared" si="239"/>
        <v>7.9999975166354382E-5</v>
      </c>
      <c r="AU287" s="191">
        <f t="shared" si="239"/>
        <v>7.9999975166354382E-5</v>
      </c>
      <c r="AV287" s="191">
        <f t="shared" si="239"/>
        <v>7.9999975166354382E-5</v>
      </c>
      <c r="AW287" s="191">
        <f t="shared" si="239"/>
        <v>7.9999975166354382E-5</v>
      </c>
      <c r="AX287" s="191">
        <f t="shared" si="239"/>
        <v>7.9999975166354382E-5</v>
      </c>
      <c r="AY287" s="191">
        <f t="shared" si="239"/>
        <v>7.9999975166354382E-5</v>
      </c>
      <c r="AZ287" s="191">
        <f t="shared" si="239"/>
        <v>7.9999975166354382E-5</v>
      </c>
      <c r="BA287" s="191">
        <f t="shared" si="239"/>
        <v>7.9999975166354382E-5</v>
      </c>
      <c r="BB287" s="191">
        <f t="shared" si="239"/>
        <v>7.9999975166354382E-5</v>
      </c>
      <c r="BC287" s="191">
        <f t="shared" si="239"/>
        <v>7.9999975166354382E-5</v>
      </c>
      <c r="BD287" s="191">
        <f t="shared" si="239"/>
        <v>7.9999975166354382E-5</v>
      </c>
      <c r="BE287" s="191">
        <f t="shared" si="239"/>
        <v>7.9999975166354382E-5</v>
      </c>
      <c r="BF287" s="191">
        <f t="shared" si="239"/>
        <v>7.9999975166354382E-5</v>
      </c>
      <c r="BG287" s="191">
        <f t="shared" si="239"/>
        <v>7.9999975166354382E-5</v>
      </c>
      <c r="BH287" s="191">
        <f t="shared" si="239"/>
        <v>7.9999975166354382E-5</v>
      </c>
      <c r="BI287" s="191">
        <f t="shared" si="239"/>
        <v>7.9999975166354382E-5</v>
      </c>
      <c r="BJ287" s="191">
        <f t="shared" si="239"/>
        <v>7.9999975166354382E-5</v>
      </c>
      <c r="BK287" s="191">
        <f t="shared" si="239"/>
        <v>7.9999975166354382E-5</v>
      </c>
      <c r="BL287" s="191">
        <f t="shared" si="239"/>
        <v>7.9999975166354382E-5</v>
      </c>
      <c r="BM287" s="191">
        <f t="shared" si="239"/>
        <v>7.9999975166354382E-5</v>
      </c>
      <c r="BN287" s="191">
        <f t="shared" si="239"/>
        <v>7.9999975166354382E-5</v>
      </c>
      <c r="BO287" s="191">
        <f t="shared" si="239"/>
        <v>7.9999975166354382E-5</v>
      </c>
      <c r="BP287" s="191">
        <f t="shared" si="239"/>
        <v>7.9999975166354382E-5</v>
      </c>
      <c r="BQ287" s="191">
        <f t="shared" si="239"/>
        <v>7.9999975166354382E-5</v>
      </c>
      <c r="BR287" s="191">
        <f t="shared" si="239"/>
        <v>7.9999975166354382E-5</v>
      </c>
      <c r="BS287" s="191">
        <f t="shared" si="239"/>
        <v>7.9999975166354382E-5</v>
      </c>
      <c r="BT287" s="191">
        <f t="shared" si="239"/>
        <v>7.9999975166354382E-5</v>
      </c>
      <c r="BU287" s="191">
        <f t="shared" si="239"/>
        <v>7.9999975166354382E-5</v>
      </c>
      <c r="BV287" s="191">
        <f t="shared" si="239"/>
        <v>7.9999975166354382E-5</v>
      </c>
    </row>
    <row r="288" spans="1:74">
      <c r="A288" s="141" t="s">
        <v>249</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1">
        <f t="shared" ref="AS288:BV288" si="241">AR288</f>
        <v>7.9058783606214395E-5</v>
      </c>
      <c r="AT288" s="191">
        <f t="shared" si="241"/>
        <v>7.9058783606214395E-5</v>
      </c>
      <c r="AU288" s="191">
        <f t="shared" si="241"/>
        <v>7.9058783606214395E-5</v>
      </c>
      <c r="AV288" s="191">
        <f t="shared" si="241"/>
        <v>7.9058783606214395E-5</v>
      </c>
      <c r="AW288" s="191">
        <f t="shared" si="241"/>
        <v>7.9058783606214395E-5</v>
      </c>
      <c r="AX288" s="191">
        <f t="shared" si="241"/>
        <v>7.9058783606214395E-5</v>
      </c>
      <c r="AY288" s="191">
        <f t="shared" si="241"/>
        <v>7.9058783606214395E-5</v>
      </c>
      <c r="AZ288" s="191">
        <f t="shared" si="241"/>
        <v>7.9058783606214395E-5</v>
      </c>
      <c r="BA288" s="191">
        <f t="shared" si="241"/>
        <v>7.9058783606214395E-5</v>
      </c>
      <c r="BB288" s="191">
        <f t="shared" si="241"/>
        <v>7.9058783606214395E-5</v>
      </c>
      <c r="BC288" s="191">
        <f t="shared" si="241"/>
        <v>7.9058783606214395E-5</v>
      </c>
      <c r="BD288" s="191">
        <f t="shared" si="241"/>
        <v>7.9058783606214395E-5</v>
      </c>
      <c r="BE288" s="191">
        <f t="shared" si="241"/>
        <v>7.9058783606214395E-5</v>
      </c>
      <c r="BF288" s="191">
        <f t="shared" si="241"/>
        <v>7.9058783606214395E-5</v>
      </c>
      <c r="BG288" s="191">
        <f t="shared" si="241"/>
        <v>7.9058783606214395E-5</v>
      </c>
      <c r="BH288" s="191">
        <f t="shared" si="241"/>
        <v>7.9058783606214395E-5</v>
      </c>
      <c r="BI288" s="191">
        <f t="shared" si="241"/>
        <v>7.9058783606214395E-5</v>
      </c>
      <c r="BJ288" s="191">
        <f t="shared" si="241"/>
        <v>7.9058783606214395E-5</v>
      </c>
      <c r="BK288" s="191">
        <f t="shared" si="241"/>
        <v>7.9058783606214395E-5</v>
      </c>
      <c r="BL288" s="191">
        <f t="shared" si="241"/>
        <v>7.9058783606214395E-5</v>
      </c>
      <c r="BM288" s="191">
        <f t="shared" si="241"/>
        <v>7.9058783606214395E-5</v>
      </c>
      <c r="BN288" s="191">
        <f t="shared" si="241"/>
        <v>7.9058783606214395E-5</v>
      </c>
      <c r="BO288" s="191">
        <f t="shared" si="241"/>
        <v>7.9058783606214395E-5</v>
      </c>
      <c r="BP288" s="191">
        <f t="shared" si="241"/>
        <v>7.9058783606214395E-5</v>
      </c>
      <c r="BQ288" s="191">
        <f t="shared" si="241"/>
        <v>7.9058783606214395E-5</v>
      </c>
      <c r="BR288" s="191">
        <f t="shared" si="241"/>
        <v>7.9058783606214395E-5</v>
      </c>
      <c r="BS288" s="191">
        <f t="shared" si="241"/>
        <v>7.9058783606214395E-5</v>
      </c>
      <c r="BT288" s="191">
        <f t="shared" si="241"/>
        <v>7.9058783606214395E-5</v>
      </c>
      <c r="BU288" s="191">
        <f t="shared" si="241"/>
        <v>7.9058783606214395E-5</v>
      </c>
      <c r="BV288" s="191">
        <f t="shared" si="241"/>
        <v>7.9058783606214395E-5</v>
      </c>
    </row>
    <row r="289" spans="1:74">
      <c r="A289" s="141" t="s">
        <v>194</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1">
        <f t="shared" ref="AS289:BV289" si="243">AR289</f>
        <v>4.3709836536494278E-6</v>
      </c>
      <c r="AT289" s="191">
        <f t="shared" si="243"/>
        <v>4.3709836536494278E-6</v>
      </c>
      <c r="AU289" s="191">
        <f t="shared" si="243"/>
        <v>4.3709836536494278E-6</v>
      </c>
      <c r="AV289" s="191">
        <f t="shared" si="243"/>
        <v>4.3709836536494278E-6</v>
      </c>
      <c r="AW289" s="191">
        <f t="shared" si="243"/>
        <v>4.3709836536494278E-6</v>
      </c>
      <c r="AX289" s="191">
        <f t="shared" si="243"/>
        <v>4.3709836536494278E-6</v>
      </c>
      <c r="AY289" s="191">
        <f t="shared" si="243"/>
        <v>4.3709836536494278E-6</v>
      </c>
      <c r="AZ289" s="191">
        <f t="shared" si="243"/>
        <v>4.3709836536494278E-6</v>
      </c>
      <c r="BA289" s="191">
        <f t="shared" si="243"/>
        <v>4.3709836536494278E-6</v>
      </c>
      <c r="BB289" s="191">
        <f t="shared" si="243"/>
        <v>4.3709836536494278E-6</v>
      </c>
      <c r="BC289" s="191">
        <f t="shared" si="243"/>
        <v>4.3709836536494278E-6</v>
      </c>
      <c r="BD289" s="191">
        <f t="shared" si="243"/>
        <v>4.3709836536494278E-6</v>
      </c>
      <c r="BE289" s="191">
        <f t="shared" si="243"/>
        <v>4.3709836536494278E-6</v>
      </c>
      <c r="BF289" s="191">
        <f t="shared" si="243"/>
        <v>4.3709836536494278E-6</v>
      </c>
      <c r="BG289" s="191">
        <f t="shared" si="243"/>
        <v>4.3709836536494278E-6</v>
      </c>
      <c r="BH289" s="191">
        <f t="shared" si="243"/>
        <v>4.3709836536494278E-6</v>
      </c>
      <c r="BI289" s="191">
        <f t="shared" si="243"/>
        <v>4.3709836536494278E-6</v>
      </c>
      <c r="BJ289" s="191">
        <f t="shared" si="243"/>
        <v>4.3709836536494278E-6</v>
      </c>
      <c r="BK289" s="191">
        <f t="shared" si="243"/>
        <v>4.3709836536494278E-6</v>
      </c>
      <c r="BL289" s="191">
        <f t="shared" si="243"/>
        <v>4.3709836536494278E-6</v>
      </c>
      <c r="BM289" s="191">
        <f t="shared" si="243"/>
        <v>4.3709836536494278E-6</v>
      </c>
      <c r="BN289" s="191">
        <f t="shared" si="243"/>
        <v>4.3709836536494278E-6</v>
      </c>
      <c r="BO289" s="191">
        <f t="shared" si="243"/>
        <v>4.3709836536494278E-6</v>
      </c>
      <c r="BP289" s="191">
        <f t="shared" si="243"/>
        <v>4.3709836536494278E-6</v>
      </c>
      <c r="BQ289" s="191">
        <f t="shared" si="243"/>
        <v>4.3709836536494278E-6</v>
      </c>
      <c r="BR289" s="191">
        <f t="shared" si="243"/>
        <v>4.3709836536494278E-6</v>
      </c>
      <c r="BS289" s="191">
        <f t="shared" si="243"/>
        <v>4.3709836536494278E-6</v>
      </c>
      <c r="BT289" s="191">
        <f t="shared" si="243"/>
        <v>4.3709836536494278E-6</v>
      </c>
      <c r="BU289" s="191">
        <f t="shared" si="243"/>
        <v>4.3709836536494278E-6</v>
      </c>
      <c r="BV289" s="191">
        <f t="shared" si="243"/>
        <v>4.3709836536494278E-6</v>
      </c>
    </row>
    <row r="290" spans="1:74">
      <c r="A290" s="147" t="s">
        <v>12</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1">
        <f t="shared" ref="AS290:BV290" si="245">AR290</f>
        <v>4.3709836536494278E-6</v>
      </c>
      <c r="AT290" s="191">
        <f t="shared" si="245"/>
        <v>4.3709836536494278E-6</v>
      </c>
      <c r="AU290" s="191">
        <f t="shared" si="245"/>
        <v>4.3709836536494278E-6</v>
      </c>
      <c r="AV290" s="191">
        <f t="shared" si="245"/>
        <v>4.3709836536494278E-6</v>
      </c>
      <c r="AW290" s="191">
        <f t="shared" si="245"/>
        <v>4.3709836536494278E-6</v>
      </c>
      <c r="AX290" s="191">
        <f t="shared" si="245"/>
        <v>4.3709836536494278E-6</v>
      </c>
      <c r="AY290" s="191">
        <f t="shared" si="245"/>
        <v>4.3709836536494278E-6</v>
      </c>
      <c r="AZ290" s="191">
        <f t="shared" si="245"/>
        <v>4.3709836536494278E-6</v>
      </c>
      <c r="BA290" s="191">
        <f t="shared" si="245"/>
        <v>4.3709836536494278E-6</v>
      </c>
      <c r="BB290" s="191">
        <f t="shared" si="245"/>
        <v>4.3709836536494278E-6</v>
      </c>
      <c r="BC290" s="191">
        <f t="shared" si="245"/>
        <v>4.3709836536494278E-6</v>
      </c>
      <c r="BD290" s="191">
        <f t="shared" si="245"/>
        <v>4.3709836536494278E-6</v>
      </c>
      <c r="BE290" s="191">
        <f t="shared" si="245"/>
        <v>4.3709836536494278E-6</v>
      </c>
      <c r="BF290" s="191">
        <f t="shared" si="245"/>
        <v>4.3709836536494278E-6</v>
      </c>
      <c r="BG290" s="191">
        <f t="shared" si="245"/>
        <v>4.3709836536494278E-6</v>
      </c>
      <c r="BH290" s="191">
        <f t="shared" si="245"/>
        <v>4.3709836536494278E-6</v>
      </c>
      <c r="BI290" s="191">
        <f t="shared" si="245"/>
        <v>4.3709836536494278E-6</v>
      </c>
      <c r="BJ290" s="191">
        <f t="shared" si="245"/>
        <v>4.3709836536494278E-6</v>
      </c>
      <c r="BK290" s="191">
        <f t="shared" si="245"/>
        <v>4.3709836536494278E-6</v>
      </c>
      <c r="BL290" s="191">
        <f t="shared" si="245"/>
        <v>4.3709836536494278E-6</v>
      </c>
      <c r="BM290" s="191">
        <f t="shared" si="245"/>
        <v>4.3709836536494278E-6</v>
      </c>
      <c r="BN290" s="191">
        <f t="shared" si="245"/>
        <v>4.3709836536494278E-6</v>
      </c>
      <c r="BO290" s="191">
        <f t="shared" si="245"/>
        <v>4.3709836536494278E-6</v>
      </c>
      <c r="BP290" s="191">
        <f t="shared" si="245"/>
        <v>4.3709836536494278E-6</v>
      </c>
      <c r="BQ290" s="191">
        <f t="shared" si="245"/>
        <v>4.3709836536494278E-6</v>
      </c>
      <c r="BR290" s="191">
        <f t="shared" si="245"/>
        <v>4.3709836536494278E-6</v>
      </c>
      <c r="BS290" s="191">
        <f t="shared" si="245"/>
        <v>4.3709836536494278E-6</v>
      </c>
      <c r="BT290" s="191">
        <f t="shared" si="245"/>
        <v>4.3709836536494278E-6</v>
      </c>
      <c r="BU290" s="191">
        <f t="shared" si="245"/>
        <v>4.3709836536494278E-6</v>
      </c>
      <c r="BV290" s="191">
        <f t="shared" si="245"/>
        <v>4.3709836536494278E-6</v>
      </c>
    </row>
    <row r="291" spans="1:74">
      <c r="A291" s="147" t="s">
        <v>197</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1">
        <f t="shared" ref="AS291:BV291" si="247">AR291</f>
        <v>2.5074723164565066E-5</v>
      </c>
      <c r="AT291" s="191">
        <f t="shared" si="247"/>
        <v>2.5074723164565066E-5</v>
      </c>
      <c r="AU291" s="191">
        <f t="shared" si="247"/>
        <v>2.5074723164565066E-5</v>
      </c>
      <c r="AV291" s="191">
        <f t="shared" si="247"/>
        <v>2.5074723164565066E-5</v>
      </c>
      <c r="AW291" s="191">
        <f t="shared" si="247"/>
        <v>2.5074723164565066E-5</v>
      </c>
      <c r="AX291" s="191">
        <f t="shared" si="247"/>
        <v>2.5074723164565066E-5</v>
      </c>
      <c r="AY291" s="191">
        <f t="shared" si="247"/>
        <v>2.5074723164565066E-5</v>
      </c>
      <c r="AZ291" s="191">
        <f t="shared" si="247"/>
        <v>2.5074723164565066E-5</v>
      </c>
      <c r="BA291" s="191">
        <f t="shared" si="247"/>
        <v>2.5074723164565066E-5</v>
      </c>
      <c r="BB291" s="191">
        <f t="shared" si="247"/>
        <v>2.5074723164565066E-5</v>
      </c>
      <c r="BC291" s="191">
        <f t="shared" si="247"/>
        <v>2.5074723164565066E-5</v>
      </c>
      <c r="BD291" s="191">
        <f t="shared" si="247"/>
        <v>2.5074723164565066E-5</v>
      </c>
      <c r="BE291" s="191">
        <f t="shared" si="247"/>
        <v>2.5074723164565066E-5</v>
      </c>
      <c r="BF291" s="191">
        <f t="shared" si="247"/>
        <v>2.5074723164565066E-5</v>
      </c>
      <c r="BG291" s="191">
        <f t="shared" si="247"/>
        <v>2.5074723164565066E-5</v>
      </c>
      <c r="BH291" s="191">
        <f t="shared" si="247"/>
        <v>2.5074723164565066E-5</v>
      </c>
      <c r="BI291" s="191">
        <f t="shared" si="247"/>
        <v>2.5074723164565066E-5</v>
      </c>
      <c r="BJ291" s="191">
        <f t="shared" si="247"/>
        <v>2.5074723164565066E-5</v>
      </c>
      <c r="BK291" s="191">
        <f t="shared" si="247"/>
        <v>2.5074723164565066E-5</v>
      </c>
      <c r="BL291" s="191">
        <f t="shared" si="247"/>
        <v>2.5074723164565066E-5</v>
      </c>
      <c r="BM291" s="191">
        <f t="shared" si="247"/>
        <v>2.5074723164565066E-5</v>
      </c>
      <c r="BN291" s="191">
        <f t="shared" si="247"/>
        <v>2.5074723164565066E-5</v>
      </c>
      <c r="BO291" s="191">
        <f t="shared" si="247"/>
        <v>2.5074723164565066E-5</v>
      </c>
      <c r="BP291" s="191">
        <f t="shared" si="247"/>
        <v>2.5074723164565066E-5</v>
      </c>
      <c r="BQ291" s="191">
        <f t="shared" si="247"/>
        <v>2.5074723164565066E-5</v>
      </c>
      <c r="BR291" s="191">
        <f t="shared" si="247"/>
        <v>2.5074723164565066E-5</v>
      </c>
      <c r="BS291" s="191">
        <f t="shared" si="247"/>
        <v>2.5074723164565066E-5</v>
      </c>
      <c r="BT291" s="191">
        <f t="shared" si="247"/>
        <v>2.5074723164565066E-5</v>
      </c>
      <c r="BU291" s="191">
        <f t="shared" si="247"/>
        <v>2.5074723164565066E-5</v>
      </c>
      <c r="BV291" s="191">
        <f t="shared" si="247"/>
        <v>2.5074723164565066E-5</v>
      </c>
    </row>
    <row r="292" spans="1:74">
      <c r="A292" s="147" t="s">
        <v>195</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1">
        <f t="shared" ref="AS292:BV292" si="249">AR292</f>
        <v>4.3709836536494278E-6</v>
      </c>
      <c r="AT292" s="191">
        <f t="shared" si="249"/>
        <v>4.3709836536494278E-6</v>
      </c>
      <c r="AU292" s="191">
        <f t="shared" si="249"/>
        <v>4.3709836536494278E-6</v>
      </c>
      <c r="AV292" s="191">
        <f t="shared" si="249"/>
        <v>4.3709836536494278E-6</v>
      </c>
      <c r="AW292" s="191">
        <f t="shared" si="249"/>
        <v>4.3709836536494278E-6</v>
      </c>
      <c r="AX292" s="191">
        <f t="shared" si="249"/>
        <v>4.3709836536494278E-6</v>
      </c>
      <c r="AY292" s="191">
        <f t="shared" si="249"/>
        <v>4.3709836536494278E-6</v>
      </c>
      <c r="AZ292" s="191">
        <f t="shared" si="249"/>
        <v>4.3709836536494278E-6</v>
      </c>
      <c r="BA292" s="191">
        <f t="shared" si="249"/>
        <v>4.3709836536494278E-6</v>
      </c>
      <c r="BB292" s="191">
        <f t="shared" si="249"/>
        <v>4.3709836536494278E-6</v>
      </c>
      <c r="BC292" s="191">
        <f t="shared" si="249"/>
        <v>4.3709836536494278E-6</v>
      </c>
      <c r="BD292" s="191">
        <f t="shared" si="249"/>
        <v>4.3709836536494278E-6</v>
      </c>
      <c r="BE292" s="191">
        <f t="shared" si="249"/>
        <v>4.3709836536494278E-6</v>
      </c>
      <c r="BF292" s="191">
        <f t="shared" si="249"/>
        <v>4.3709836536494278E-6</v>
      </c>
      <c r="BG292" s="191">
        <f t="shared" si="249"/>
        <v>4.3709836536494278E-6</v>
      </c>
      <c r="BH292" s="191">
        <f t="shared" si="249"/>
        <v>4.3709836536494278E-6</v>
      </c>
      <c r="BI292" s="191">
        <f t="shared" si="249"/>
        <v>4.3709836536494278E-6</v>
      </c>
      <c r="BJ292" s="191">
        <f t="shared" si="249"/>
        <v>4.3709836536494278E-6</v>
      </c>
      <c r="BK292" s="191">
        <f t="shared" si="249"/>
        <v>4.3709836536494278E-6</v>
      </c>
      <c r="BL292" s="191">
        <f t="shared" si="249"/>
        <v>4.3709836536494278E-6</v>
      </c>
      <c r="BM292" s="191">
        <f t="shared" si="249"/>
        <v>4.3709836536494278E-6</v>
      </c>
      <c r="BN292" s="191">
        <f t="shared" si="249"/>
        <v>4.3709836536494278E-6</v>
      </c>
      <c r="BO292" s="191">
        <f t="shared" si="249"/>
        <v>4.3709836536494278E-6</v>
      </c>
      <c r="BP292" s="191">
        <f t="shared" si="249"/>
        <v>4.3709836536494278E-6</v>
      </c>
      <c r="BQ292" s="191">
        <f t="shared" si="249"/>
        <v>4.3709836536494278E-6</v>
      </c>
      <c r="BR292" s="191">
        <f t="shared" si="249"/>
        <v>4.3709836536494278E-6</v>
      </c>
      <c r="BS292" s="191">
        <f t="shared" si="249"/>
        <v>4.3709836536494278E-6</v>
      </c>
      <c r="BT292" s="191">
        <f t="shared" si="249"/>
        <v>4.3709836536494278E-6</v>
      </c>
      <c r="BU292" s="191">
        <f t="shared" si="249"/>
        <v>4.3709836536494278E-6</v>
      </c>
      <c r="BV292" s="191">
        <f t="shared" si="249"/>
        <v>4.3709836536494278E-6</v>
      </c>
    </row>
    <row r="293" spans="1:74">
      <c r="A293" s="141" t="s">
        <v>13</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1">
        <f t="shared" ref="AS293:BV293" si="251">AR293</f>
        <v>2.6415100071115674E-5</v>
      </c>
      <c r="AT293" s="191">
        <f t="shared" si="251"/>
        <v>2.6415100071115674E-5</v>
      </c>
      <c r="AU293" s="191">
        <f t="shared" si="251"/>
        <v>2.6415100071115674E-5</v>
      </c>
      <c r="AV293" s="191">
        <f t="shared" si="251"/>
        <v>2.6415100071115674E-5</v>
      </c>
      <c r="AW293" s="191">
        <f t="shared" si="251"/>
        <v>2.6415100071115674E-5</v>
      </c>
      <c r="AX293" s="191">
        <f t="shared" si="251"/>
        <v>2.6415100071115674E-5</v>
      </c>
      <c r="AY293" s="191">
        <f t="shared" si="251"/>
        <v>2.6415100071115674E-5</v>
      </c>
      <c r="AZ293" s="191">
        <f t="shared" si="251"/>
        <v>2.6415100071115674E-5</v>
      </c>
      <c r="BA293" s="191">
        <f t="shared" si="251"/>
        <v>2.6415100071115674E-5</v>
      </c>
      <c r="BB293" s="191">
        <f t="shared" si="251"/>
        <v>2.6415100071115674E-5</v>
      </c>
      <c r="BC293" s="191">
        <f t="shared" si="251"/>
        <v>2.6415100071115674E-5</v>
      </c>
      <c r="BD293" s="191">
        <f t="shared" si="251"/>
        <v>2.6415100071115674E-5</v>
      </c>
      <c r="BE293" s="191">
        <f t="shared" si="251"/>
        <v>2.6415100071115674E-5</v>
      </c>
      <c r="BF293" s="191">
        <f t="shared" si="251"/>
        <v>2.6415100071115674E-5</v>
      </c>
      <c r="BG293" s="191">
        <f t="shared" si="251"/>
        <v>2.6415100071115674E-5</v>
      </c>
      <c r="BH293" s="191">
        <f t="shared" si="251"/>
        <v>2.6415100071115674E-5</v>
      </c>
      <c r="BI293" s="191">
        <f t="shared" si="251"/>
        <v>2.6415100071115674E-5</v>
      </c>
      <c r="BJ293" s="191">
        <f t="shared" si="251"/>
        <v>2.6415100071115674E-5</v>
      </c>
      <c r="BK293" s="191">
        <f t="shared" si="251"/>
        <v>2.6415100071115674E-5</v>
      </c>
      <c r="BL293" s="191">
        <f t="shared" si="251"/>
        <v>2.6415100071115674E-5</v>
      </c>
      <c r="BM293" s="191">
        <f t="shared" si="251"/>
        <v>2.6415100071115674E-5</v>
      </c>
      <c r="BN293" s="191">
        <f t="shared" si="251"/>
        <v>2.6415100071115674E-5</v>
      </c>
      <c r="BO293" s="191">
        <f t="shared" si="251"/>
        <v>2.6415100071115674E-5</v>
      </c>
      <c r="BP293" s="191">
        <f t="shared" si="251"/>
        <v>2.6415100071115674E-5</v>
      </c>
      <c r="BQ293" s="191">
        <f t="shared" si="251"/>
        <v>2.6415100071115674E-5</v>
      </c>
      <c r="BR293" s="191">
        <f t="shared" si="251"/>
        <v>2.6415100071115674E-5</v>
      </c>
      <c r="BS293" s="191">
        <f t="shared" si="251"/>
        <v>2.6415100071115674E-5</v>
      </c>
      <c r="BT293" s="191">
        <f t="shared" si="251"/>
        <v>2.6415100071115674E-5</v>
      </c>
      <c r="BU293" s="191">
        <f t="shared" si="251"/>
        <v>2.6415100071115674E-5</v>
      </c>
      <c r="BV293" s="191">
        <f t="shared" si="251"/>
        <v>2.6415100071115674E-5</v>
      </c>
    </row>
    <row r="294" spans="1:74">
      <c r="A294" s="141" t="s">
        <v>186</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1">
        <f t="shared" ref="AS294:BV294" si="253">AR294</f>
        <v>7.2487317144627385E-5</v>
      </c>
      <c r="AT294" s="191">
        <f t="shared" si="253"/>
        <v>7.2487317144627385E-5</v>
      </c>
      <c r="AU294" s="191">
        <f t="shared" si="253"/>
        <v>7.2487317144627385E-5</v>
      </c>
      <c r="AV294" s="191">
        <f t="shared" si="253"/>
        <v>7.2487317144627385E-5</v>
      </c>
      <c r="AW294" s="191">
        <f t="shared" si="253"/>
        <v>7.2487317144627385E-5</v>
      </c>
      <c r="AX294" s="191">
        <f t="shared" si="253"/>
        <v>7.2487317144627385E-5</v>
      </c>
      <c r="AY294" s="191">
        <f t="shared" si="253"/>
        <v>7.2487317144627385E-5</v>
      </c>
      <c r="AZ294" s="191">
        <f t="shared" si="253"/>
        <v>7.2487317144627385E-5</v>
      </c>
      <c r="BA294" s="191">
        <f t="shared" si="253"/>
        <v>7.2487317144627385E-5</v>
      </c>
      <c r="BB294" s="191">
        <f t="shared" si="253"/>
        <v>7.2487317144627385E-5</v>
      </c>
      <c r="BC294" s="191">
        <f t="shared" si="253"/>
        <v>7.2487317144627385E-5</v>
      </c>
      <c r="BD294" s="191">
        <f t="shared" si="253"/>
        <v>7.2487317144627385E-5</v>
      </c>
      <c r="BE294" s="191">
        <f t="shared" si="253"/>
        <v>7.2487317144627385E-5</v>
      </c>
      <c r="BF294" s="191">
        <f t="shared" si="253"/>
        <v>7.2487317144627385E-5</v>
      </c>
      <c r="BG294" s="191">
        <f t="shared" si="253"/>
        <v>7.2487317144627385E-5</v>
      </c>
      <c r="BH294" s="191">
        <f t="shared" si="253"/>
        <v>7.2487317144627385E-5</v>
      </c>
      <c r="BI294" s="191">
        <f t="shared" si="253"/>
        <v>7.2487317144627385E-5</v>
      </c>
      <c r="BJ294" s="191">
        <f t="shared" si="253"/>
        <v>7.2487317144627385E-5</v>
      </c>
      <c r="BK294" s="191">
        <f t="shared" si="253"/>
        <v>7.2487317144627385E-5</v>
      </c>
      <c r="BL294" s="191">
        <f t="shared" si="253"/>
        <v>7.2487317144627385E-5</v>
      </c>
      <c r="BM294" s="191">
        <f t="shared" si="253"/>
        <v>7.2487317144627385E-5</v>
      </c>
      <c r="BN294" s="191">
        <f t="shared" si="253"/>
        <v>7.2487317144627385E-5</v>
      </c>
      <c r="BO294" s="191">
        <f t="shared" si="253"/>
        <v>7.2487317144627385E-5</v>
      </c>
      <c r="BP294" s="191">
        <f t="shared" si="253"/>
        <v>7.2487317144627385E-5</v>
      </c>
      <c r="BQ294" s="191">
        <f t="shared" si="253"/>
        <v>7.2487317144627385E-5</v>
      </c>
      <c r="BR294" s="191">
        <f t="shared" si="253"/>
        <v>7.2487317144627385E-5</v>
      </c>
      <c r="BS294" s="191">
        <f t="shared" si="253"/>
        <v>7.2487317144627385E-5</v>
      </c>
      <c r="BT294" s="191">
        <f t="shared" si="253"/>
        <v>7.2487317144627385E-5</v>
      </c>
      <c r="BU294" s="191">
        <f t="shared" si="253"/>
        <v>7.2487317144627385E-5</v>
      </c>
      <c r="BV294" s="191">
        <f t="shared" si="253"/>
        <v>7.2487317144627385E-5</v>
      </c>
    </row>
    <row r="295" spans="1:74">
      <c r="A295" s="147" t="s">
        <v>198</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1">
        <f t="shared" ref="AS295:BV295" si="255">AR295</f>
        <v>2.6550921544773507E-5</v>
      </c>
      <c r="AT295" s="191">
        <f t="shared" si="255"/>
        <v>2.6550921544773507E-5</v>
      </c>
      <c r="AU295" s="191">
        <f t="shared" si="255"/>
        <v>2.6550921544773507E-5</v>
      </c>
      <c r="AV295" s="191">
        <f t="shared" si="255"/>
        <v>2.6550921544773507E-5</v>
      </c>
      <c r="AW295" s="191">
        <f t="shared" si="255"/>
        <v>2.6550921544773507E-5</v>
      </c>
      <c r="AX295" s="191">
        <f t="shared" si="255"/>
        <v>2.6550921544773507E-5</v>
      </c>
      <c r="AY295" s="191">
        <f t="shared" si="255"/>
        <v>2.6550921544773507E-5</v>
      </c>
      <c r="AZ295" s="191">
        <f t="shared" si="255"/>
        <v>2.6550921544773507E-5</v>
      </c>
      <c r="BA295" s="191">
        <f t="shared" si="255"/>
        <v>2.6550921544773507E-5</v>
      </c>
      <c r="BB295" s="191">
        <f t="shared" si="255"/>
        <v>2.6550921544773507E-5</v>
      </c>
      <c r="BC295" s="191">
        <f t="shared" si="255"/>
        <v>2.6550921544773507E-5</v>
      </c>
      <c r="BD295" s="191">
        <f t="shared" si="255"/>
        <v>2.6550921544773507E-5</v>
      </c>
      <c r="BE295" s="191">
        <f t="shared" si="255"/>
        <v>2.6550921544773507E-5</v>
      </c>
      <c r="BF295" s="191">
        <f t="shared" si="255"/>
        <v>2.6550921544773507E-5</v>
      </c>
      <c r="BG295" s="191">
        <f t="shared" si="255"/>
        <v>2.6550921544773507E-5</v>
      </c>
      <c r="BH295" s="191">
        <f t="shared" si="255"/>
        <v>2.6550921544773507E-5</v>
      </c>
      <c r="BI295" s="191">
        <f t="shared" si="255"/>
        <v>2.6550921544773507E-5</v>
      </c>
      <c r="BJ295" s="191">
        <f t="shared" si="255"/>
        <v>2.6550921544773507E-5</v>
      </c>
      <c r="BK295" s="191">
        <f t="shared" si="255"/>
        <v>2.6550921544773507E-5</v>
      </c>
      <c r="BL295" s="191">
        <f t="shared" si="255"/>
        <v>2.6550921544773507E-5</v>
      </c>
      <c r="BM295" s="191">
        <f t="shared" si="255"/>
        <v>2.6550921544773507E-5</v>
      </c>
      <c r="BN295" s="191">
        <f t="shared" si="255"/>
        <v>2.6550921544773507E-5</v>
      </c>
      <c r="BO295" s="191">
        <f t="shared" si="255"/>
        <v>2.6550921544773507E-5</v>
      </c>
      <c r="BP295" s="191">
        <f t="shared" si="255"/>
        <v>2.6550921544773507E-5</v>
      </c>
      <c r="BQ295" s="191">
        <f t="shared" si="255"/>
        <v>2.6550921544773507E-5</v>
      </c>
      <c r="BR295" s="191">
        <f t="shared" si="255"/>
        <v>2.6550921544773507E-5</v>
      </c>
      <c r="BS295" s="191">
        <f t="shared" si="255"/>
        <v>2.6550921544773507E-5</v>
      </c>
      <c r="BT295" s="191">
        <f t="shared" si="255"/>
        <v>2.6550921544773507E-5</v>
      </c>
      <c r="BU295" s="191">
        <f t="shared" si="255"/>
        <v>2.6550921544773507E-5</v>
      </c>
      <c r="BV295" s="191">
        <f t="shared" si="255"/>
        <v>2.6550921544773507E-5</v>
      </c>
    </row>
    <row r="296" spans="1:74">
      <c r="A296" s="141" t="s">
        <v>192</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1">
        <f t="shared" ref="AS296:BV296" si="257">AR296</f>
        <v>2.4057649873707521E-5</v>
      </c>
      <c r="AT296" s="191">
        <f t="shared" si="257"/>
        <v>2.4057649873707521E-5</v>
      </c>
      <c r="AU296" s="191">
        <f t="shared" si="257"/>
        <v>2.4057649873707521E-5</v>
      </c>
      <c r="AV296" s="191">
        <f t="shared" si="257"/>
        <v>2.4057649873707521E-5</v>
      </c>
      <c r="AW296" s="191">
        <f t="shared" si="257"/>
        <v>2.4057649873707521E-5</v>
      </c>
      <c r="AX296" s="191">
        <f t="shared" si="257"/>
        <v>2.4057649873707521E-5</v>
      </c>
      <c r="AY296" s="191">
        <f t="shared" si="257"/>
        <v>2.4057649873707521E-5</v>
      </c>
      <c r="AZ296" s="191">
        <f t="shared" si="257"/>
        <v>2.4057649873707521E-5</v>
      </c>
      <c r="BA296" s="191">
        <f t="shared" si="257"/>
        <v>2.4057649873707521E-5</v>
      </c>
      <c r="BB296" s="191">
        <f t="shared" si="257"/>
        <v>2.4057649873707521E-5</v>
      </c>
      <c r="BC296" s="191">
        <f t="shared" si="257"/>
        <v>2.4057649873707521E-5</v>
      </c>
      <c r="BD296" s="191">
        <f t="shared" si="257"/>
        <v>2.4057649873707521E-5</v>
      </c>
      <c r="BE296" s="191">
        <f t="shared" si="257"/>
        <v>2.4057649873707521E-5</v>
      </c>
      <c r="BF296" s="191">
        <f t="shared" si="257"/>
        <v>2.4057649873707521E-5</v>
      </c>
      <c r="BG296" s="191">
        <f t="shared" si="257"/>
        <v>2.4057649873707521E-5</v>
      </c>
      <c r="BH296" s="191">
        <f t="shared" si="257"/>
        <v>2.4057649873707521E-5</v>
      </c>
      <c r="BI296" s="191">
        <f t="shared" si="257"/>
        <v>2.4057649873707521E-5</v>
      </c>
      <c r="BJ296" s="191">
        <f t="shared" si="257"/>
        <v>2.4057649873707521E-5</v>
      </c>
      <c r="BK296" s="191">
        <f t="shared" si="257"/>
        <v>2.4057649873707521E-5</v>
      </c>
      <c r="BL296" s="191">
        <f t="shared" si="257"/>
        <v>2.4057649873707521E-5</v>
      </c>
      <c r="BM296" s="191">
        <f t="shared" si="257"/>
        <v>2.4057649873707521E-5</v>
      </c>
      <c r="BN296" s="191">
        <f t="shared" si="257"/>
        <v>2.4057649873707521E-5</v>
      </c>
      <c r="BO296" s="191">
        <f t="shared" si="257"/>
        <v>2.4057649873707521E-5</v>
      </c>
      <c r="BP296" s="191">
        <f t="shared" si="257"/>
        <v>2.4057649873707521E-5</v>
      </c>
      <c r="BQ296" s="191">
        <f t="shared" si="257"/>
        <v>2.4057649873707521E-5</v>
      </c>
      <c r="BR296" s="191">
        <f t="shared" si="257"/>
        <v>2.4057649873707521E-5</v>
      </c>
      <c r="BS296" s="191">
        <f t="shared" si="257"/>
        <v>2.4057649873707521E-5</v>
      </c>
      <c r="BT296" s="191">
        <f t="shared" si="257"/>
        <v>2.4057649873707521E-5</v>
      </c>
      <c r="BU296" s="191">
        <f t="shared" si="257"/>
        <v>2.4057649873707521E-5</v>
      </c>
      <c r="BV296" s="191">
        <f t="shared" si="257"/>
        <v>2.4057649873707521E-5</v>
      </c>
    </row>
    <row r="297" spans="1:74">
      <c r="A297" s="147" t="s">
        <v>199</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1">
        <f t="shared" ref="AS297:BV297" si="259">AR297</f>
        <v>5.3486149340335836E-5</v>
      </c>
      <c r="AT297" s="191">
        <f t="shared" si="259"/>
        <v>5.3486149340335836E-5</v>
      </c>
      <c r="AU297" s="191">
        <f t="shared" si="259"/>
        <v>5.3486149340335836E-5</v>
      </c>
      <c r="AV297" s="191">
        <f t="shared" si="259"/>
        <v>5.3486149340335836E-5</v>
      </c>
      <c r="AW297" s="191">
        <f t="shared" si="259"/>
        <v>5.3486149340335836E-5</v>
      </c>
      <c r="AX297" s="191">
        <f t="shared" si="259"/>
        <v>5.3486149340335836E-5</v>
      </c>
      <c r="AY297" s="191">
        <f t="shared" si="259"/>
        <v>5.3486149340335836E-5</v>
      </c>
      <c r="AZ297" s="191">
        <f t="shared" si="259"/>
        <v>5.3486149340335836E-5</v>
      </c>
      <c r="BA297" s="191">
        <f t="shared" si="259"/>
        <v>5.3486149340335836E-5</v>
      </c>
      <c r="BB297" s="191">
        <f t="shared" si="259"/>
        <v>5.3486149340335836E-5</v>
      </c>
      <c r="BC297" s="191">
        <f t="shared" si="259"/>
        <v>5.3486149340335836E-5</v>
      </c>
      <c r="BD297" s="191">
        <f t="shared" si="259"/>
        <v>5.3486149340335836E-5</v>
      </c>
      <c r="BE297" s="191">
        <f t="shared" si="259"/>
        <v>5.3486149340335836E-5</v>
      </c>
      <c r="BF297" s="191">
        <f t="shared" si="259"/>
        <v>5.3486149340335836E-5</v>
      </c>
      <c r="BG297" s="191">
        <f t="shared" si="259"/>
        <v>5.3486149340335836E-5</v>
      </c>
      <c r="BH297" s="191">
        <f t="shared" si="259"/>
        <v>5.3486149340335836E-5</v>
      </c>
      <c r="BI297" s="191">
        <f t="shared" si="259"/>
        <v>5.3486149340335836E-5</v>
      </c>
      <c r="BJ297" s="191">
        <f t="shared" si="259"/>
        <v>5.3486149340335836E-5</v>
      </c>
      <c r="BK297" s="191">
        <f t="shared" si="259"/>
        <v>5.3486149340335836E-5</v>
      </c>
      <c r="BL297" s="191">
        <f t="shared" si="259"/>
        <v>5.3486149340335836E-5</v>
      </c>
      <c r="BM297" s="191">
        <f t="shared" si="259"/>
        <v>5.3486149340335836E-5</v>
      </c>
      <c r="BN297" s="191">
        <f t="shared" si="259"/>
        <v>5.3486149340335836E-5</v>
      </c>
      <c r="BO297" s="191">
        <f t="shared" si="259"/>
        <v>5.3486149340335836E-5</v>
      </c>
      <c r="BP297" s="191">
        <f t="shared" si="259"/>
        <v>5.3486149340335836E-5</v>
      </c>
      <c r="BQ297" s="191">
        <f t="shared" si="259"/>
        <v>5.3486149340335836E-5</v>
      </c>
      <c r="BR297" s="191">
        <f t="shared" si="259"/>
        <v>5.3486149340335836E-5</v>
      </c>
      <c r="BS297" s="191">
        <f t="shared" si="259"/>
        <v>5.3486149340335836E-5</v>
      </c>
      <c r="BT297" s="191">
        <f t="shared" si="259"/>
        <v>5.3486149340335836E-5</v>
      </c>
      <c r="BU297" s="191">
        <f t="shared" si="259"/>
        <v>5.3486149340335836E-5</v>
      </c>
      <c r="BV297" s="191">
        <f t="shared" si="259"/>
        <v>5.3486149340335836E-5</v>
      </c>
    </row>
    <row r="298" spans="1:74">
      <c r="A298" s="147" t="s">
        <v>200</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1">
        <f t="shared" ref="AS298:BV298" si="261">AR298</f>
        <v>0</v>
      </c>
      <c r="AT298" s="191">
        <f t="shared" si="261"/>
        <v>0</v>
      </c>
      <c r="AU298" s="191">
        <f t="shared" si="261"/>
        <v>0</v>
      </c>
      <c r="AV298" s="191">
        <f t="shared" si="261"/>
        <v>0</v>
      </c>
      <c r="AW298" s="191">
        <f t="shared" si="261"/>
        <v>0</v>
      </c>
      <c r="AX298" s="191">
        <f t="shared" si="261"/>
        <v>0</v>
      </c>
      <c r="AY298" s="191">
        <f t="shared" si="261"/>
        <v>0</v>
      </c>
      <c r="AZ298" s="191">
        <f t="shared" si="261"/>
        <v>0</v>
      </c>
      <c r="BA298" s="191">
        <f t="shared" si="261"/>
        <v>0</v>
      </c>
      <c r="BB298" s="191">
        <f t="shared" si="261"/>
        <v>0</v>
      </c>
      <c r="BC298" s="191">
        <f t="shared" si="261"/>
        <v>0</v>
      </c>
      <c r="BD298" s="191">
        <f t="shared" si="261"/>
        <v>0</v>
      </c>
      <c r="BE298" s="191">
        <f t="shared" si="261"/>
        <v>0</v>
      </c>
      <c r="BF298" s="191">
        <f t="shared" si="261"/>
        <v>0</v>
      </c>
      <c r="BG298" s="191">
        <f t="shared" si="261"/>
        <v>0</v>
      </c>
      <c r="BH298" s="191">
        <f t="shared" si="261"/>
        <v>0</v>
      </c>
      <c r="BI298" s="191">
        <f t="shared" si="261"/>
        <v>0</v>
      </c>
      <c r="BJ298" s="191">
        <f t="shared" si="261"/>
        <v>0</v>
      </c>
      <c r="BK298" s="191">
        <f t="shared" si="261"/>
        <v>0</v>
      </c>
      <c r="BL298" s="191">
        <f t="shared" si="261"/>
        <v>0</v>
      </c>
      <c r="BM298" s="191">
        <f t="shared" si="261"/>
        <v>0</v>
      </c>
      <c r="BN298" s="191">
        <f t="shared" si="261"/>
        <v>0</v>
      </c>
      <c r="BO298" s="191">
        <f t="shared" si="261"/>
        <v>0</v>
      </c>
      <c r="BP298" s="191">
        <f t="shared" si="261"/>
        <v>0</v>
      </c>
      <c r="BQ298" s="191">
        <f t="shared" si="261"/>
        <v>0</v>
      </c>
      <c r="BR298" s="191">
        <f t="shared" si="261"/>
        <v>0</v>
      </c>
      <c r="BS298" s="191">
        <f t="shared" si="261"/>
        <v>0</v>
      </c>
      <c r="BT298" s="191">
        <f t="shared" si="261"/>
        <v>0</v>
      </c>
      <c r="BU298" s="191">
        <f t="shared" si="261"/>
        <v>0</v>
      </c>
      <c r="BV298" s="191">
        <f t="shared" si="261"/>
        <v>0</v>
      </c>
    </row>
    <row r="299" spans="1:74">
      <c r="A299" s="147" t="s">
        <v>202</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1">
        <f>AR299</f>
        <v>2.4057649667405766E-5</v>
      </c>
      <c r="AT299" s="191">
        <f t="shared" ref="AT299:BV299" si="263">AS299</f>
        <v>2.4057649667405766E-5</v>
      </c>
      <c r="AU299" s="191">
        <f t="shared" si="263"/>
        <v>2.4057649667405766E-5</v>
      </c>
      <c r="AV299" s="191">
        <f t="shared" si="263"/>
        <v>2.4057649667405766E-5</v>
      </c>
      <c r="AW299" s="191">
        <f t="shared" si="263"/>
        <v>2.4057649667405766E-5</v>
      </c>
      <c r="AX299" s="191">
        <f t="shared" si="263"/>
        <v>2.4057649667405766E-5</v>
      </c>
      <c r="AY299" s="191">
        <f t="shared" si="263"/>
        <v>2.4057649667405766E-5</v>
      </c>
      <c r="AZ299" s="191">
        <f t="shared" si="263"/>
        <v>2.4057649667405766E-5</v>
      </c>
      <c r="BA299" s="191">
        <f t="shared" si="263"/>
        <v>2.4057649667405766E-5</v>
      </c>
      <c r="BB299" s="191">
        <f t="shared" si="263"/>
        <v>2.4057649667405766E-5</v>
      </c>
      <c r="BC299" s="191">
        <f t="shared" si="263"/>
        <v>2.4057649667405766E-5</v>
      </c>
      <c r="BD299" s="191">
        <f t="shared" si="263"/>
        <v>2.4057649667405766E-5</v>
      </c>
      <c r="BE299" s="191">
        <f t="shared" si="263"/>
        <v>2.4057649667405766E-5</v>
      </c>
      <c r="BF299" s="191">
        <f t="shared" si="263"/>
        <v>2.4057649667405766E-5</v>
      </c>
      <c r="BG299" s="191">
        <f t="shared" si="263"/>
        <v>2.4057649667405766E-5</v>
      </c>
      <c r="BH299" s="191">
        <f t="shared" si="263"/>
        <v>2.4057649667405766E-5</v>
      </c>
      <c r="BI299" s="191">
        <f t="shared" si="263"/>
        <v>2.4057649667405766E-5</v>
      </c>
      <c r="BJ299" s="191">
        <f t="shared" si="263"/>
        <v>2.4057649667405766E-5</v>
      </c>
      <c r="BK299" s="191">
        <f t="shared" si="263"/>
        <v>2.4057649667405766E-5</v>
      </c>
      <c r="BL299" s="191">
        <f t="shared" si="263"/>
        <v>2.4057649667405766E-5</v>
      </c>
      <c r="BM299" s="191">
        <f t="shared" si="263"/>
        <v>2.4057649667405766E-5</v>
      </c>
      <c r="BN299" s="191">
        <f t="shared" si="263"/>
        <v>2.4057649667405766E-5</v>
      </c>
      <c r="BO299" s="191">
        <f t="shared" si="263"/>
        <v>2.4057649667405766E-5</v>
      </c>
      <c r="BP299" s="191">
        <f t="shared" si="263"/>
        <v>2.4057649667405766E-5</v>
      </c>
      <c r="BQ299" s="191">
        <f t="shared" si="263"/>
        <v>2.4057649667405766E-5</v>
      </c>
      <c r="BR299" s="191">
        <f t="shared" si="263"/>
        <v>2.4057649667405766E-5</v>
      </c>
      <c r="BS299" s="191">
        <f t="shared" si="263"/>
        <v>2.4057649667405766E-5</v>
      </c>
      <c r="BT299" s="191">
        <f t="shared" si="263"/>
        <v>2.4057649667405766E-5</v>
      </c>
      <c r="BU299" s="191">
        <f t="shared" si="263"/>
        <v>2.4057649667405766E-5</v>
      </c>
      <c r="BV299" s="191">
        <f t="shared" si="263"/>
        <v>2.4057649667405766E-5</v>
      </c>
    </row>
    <row r="300" spans="1:74">
      <c r="A300" s="147" t="s">
        <v>203</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1">
        <f t="shared" ref="AS300:BV300" si="265">AR300</f>
        <v>0</v>
      </c>
      <c r="AT300" s="191">
        <f t="shared" si="265"/>
        <v>0</v>
      </c>
      <c r="AU300" s="191">
        <f t="shared" si="265"/>
        <v>0</v>
      </c>
      <c r="AV300" s="191">
        <f t="shared" si="265"/>
        <v>0</v>
      </c>
      <c r="AW300" s="191">
        <f t="shared" si="265"/>
        <v>0</v>
      </c>
      <c r="AX300" s="191">
        <f t="shared" si="265"/>
        <v>0</v>
      </c>
      <c r="AY300" s="191">
        <f t="shared" si="265"/>
        <v>0</v>
      </c>
      <c r="AZ300" s="191">
        <f t="shared" si="265"/>
        <v>0</v>
      </c>
      <c r="BA300" s="191">
        <f t="shared" si="265"/>
        <v>0</v>
      </c>
      <c r="BB300" s="191">
        <f t="shared" si="265"/>
        <v>0</v>
      </c>
      <c r="BC300" s="191">
        <f t="shared" si="265"/>
        <v>0</v>
      </c>
      <c r="BD300" s="191">
        <f t="shared" si="265"/>
        <v>0</v>
      </c>
      <c r="BE300" s="191">
        <f t="shared" si="265"/>
        <v>0</v>
      </c>
      <c r="BF300" s="191">
        <f t="shared" si="265"/>
        <v>0</v>
      </c>
      <c r="BG300" s="191">
        <f t="shared" si="265"/>
        <v>0</v>
      </c>
      <c r="BH300" s="191">
        <f t="shared" si="265"/>
        <v>0</v>
      </c>
      <c r="BI300" s="191">
        <f t="shared" si="265"/>
        <v>0</v>
      </c>
      <c r="BJ300" s="191">
        <f t="shared" si="265"/>
        <v>0</v>
      </c>
      <c r="BK300" s="191">
        <f t="shared" si="265"/>
        <v>0</v>
      </c>
      <c r="BL300" s="191">
        <f t="shared" si="265"/>
        <v>0</v>
      </c>
      <c r="BM300" s="191">
        <f t="shared" si="265"/>
        <v>0</v>
      </c>
      <c r="BN300" s="191">
        <f t="shared" si="265"/>
        <v>0</v>
      </c>
      <c r="BO300" s="191">
        <f t="shared" si="265"/>
        <v>0</v>
      </c>
      <c r="BP300" s="191">
        <f t="shared" si="265"/>
        <v>0</v>
      </c>
      <c r="BQ300" s="191">
        <f t="shared" si="265"/>
        <v>0</v>
      </c>
      <c r="BR300" s="191">
        <f t="shared" si="265"/>
        <v>0</v>
      </c>
      <c r="BS300" s="191">
        <f t="shared" si="265"/>
        <v>0</v>
      </c>
      <c r="BT300" s="191">
        <f t="shared" si="265"/>
        <v>0</v>
      </c>
      <c r="BU300" s="191">
        <f t="shared" si="265"/>
        <v>0</v>
      </c>
      <c r="BV300" s="191">
        <f t="shared" si="265"/>
        <v>0</v>
      </c>
    </row>
    <row r="301" spans="1:74">
      <c r="A301" s="147" t="s">
        <v>205</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1">
        <f>AR301</f>
        <v>8.4000000000000003E-4</v>
      </c>
      <c r="AT301" s="191">
        <f t="shared" ref="AT301:BV301" si="267">AS301</f>
        <v>8.4000000000000003E-4</v>
      </c>
      <c r="AU301" s="191">
        <f t="shared" si="267"/>
        <v>8.4000000000000003E-4</v>
      </c>
      <c r="AV301" s="191">
        <f t="shared" si="267"/>
        <v>8.4000000000000003E-4</v>
      </c>
      <c r="AW301" s="191">
        <f t="shared" si="267"/>
        <v>8.4000000000000003E-4</v>
      </c>
      <c r="AX301" s="191">
        <f t="shared" si="267"/>
        <v>8.4000000000000003E-4</v>
      </c>
      <c r="AY301" s="191">
        <f t="shared" si="267"/>
        <v>8.4000000000000003E-4</v>
      </c>
      <c r="AZ301" s="191">
        <f t="shared" si="267"/>
        <v>8.4000000000000003E-4</v>
      </c>
      <c r="BA301" s="191">
        <f t="shared" si="267"/>
        <v>8.4000000000000003E-4</v>
      </c>
      <c r="BB301" s="191">
        <f t="shared" si="267"/>
        <v>8.4000000000000003E-4</v>
      </c>
      <c r="BC301" s="191">
        <f t="shared" si="267"/>
        <v>8.4000000000000003E-4</v>
      </c>
      <c r="BD301" s="191">
        <f t="shared" si="267"/>
        <v>8.4000000000000003E-4</v>
      </c>
      <c r="BE301" s="191">
        <f t="shared" si="267"/>
        <v>8.4000000000000003E-4</v>
      </c>
      <c r="BF301" s="191">
        <f t="shared" si="267"/>
        <v>8.4000000000000003E-4</v>
      </c>
      <c r="BG301" s="191">
        <f t="shared" si="267"/>
        <v>8.4000000000000003E-4</v>
      </c>
      <c r="BH301" s="191">
        <f t="shared" si="267"/>
        <v>8.4000000000000003E-4</v>
      </c>
      <c r="BI301" s="191">
        <f t="shared" si="267"/>
        <v>8.4000000000000003E-4</v>
      </c>
      <c r="BJ301" s="191">
        <f t="shared" si="267"/>
        <v>8.4000000000000003E-4</v>
      </c>
      <c r="BK301" s="191">
        <f t="shared" si="267"/>
        <v>8.4000000000000003E-4</v>
      </c>
      <c r="BL301" s="191">
        <f t="shared" si="267"/>
        <v>8.4000000000000003E-4</v>
      </c>
      <c r="BM301" s="191">
        <f t="shared" si="267"/>
        <v>8.4000000000000003E-4</v>
      </c>
      <c r="BN301" s="191">
        <f t="shared" si="267"/>
        <v>8.4000000000000003E-4</v>
      </c>
      <c r="BO301" s="191">
        <f t="shared" si="267"/>
        <v>8.4000000000000003E-4</v>
      </c>
      <c r="BP301" s="191">
        <f t="shared" si="267"/>
        <v>8.4000000000000003E-4</v>
      </c>
      <c r="BQ301" s="191">
        <f t="shared" si="267"/>
        <v>8.4000000000000003E-4</v>
      </c>
      <c r="BR301" s="191">
        <f t="shared" si="267"/>
        <v>8.4000000000000003E-4</v>
      </c>
      <c r="BS301" s="191">
        <f t="shared" si="267"/>
        <v>8.4000000000000003E-4</v>
      </c>
      <c r="BT301" s="191">
        <f t="shared" si="267"/>
        <v>8.4000000000000003E-4</v>
      </c>
      <c r="BU301" s="191">
        <f t="shared" si="267"/>
        <v>8.4000000000000003E-4</v>
      </c>
      <c r="BV301" s="191">
        <f t="shared" si="267"/>
        <v>8.4000000000000003E-4</v>
      </c>
    </row>
    <row r="302" spans="1:74">
      <c r="A302" s="147" t="s">
        <v>14</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1">
        <f>AR302</f>
        <v>2.4068767908309448E-4</v>
      </c>
      <c r="AT302" s="191">
        <f t="shared" ref="AT302:BV302" si="269">AS302</f>
        <v>2.4068767908309448E-4</v>
      </c>
      <c r="AU302" s="191">
        <f t="shared" si="269"/>
        <v>2.4068767908309448E-4</v>
      </c>
      <c r="AV302" s="191">
        <f t="shared" si="269"/>
        <v>2.4068767908309448E-4</v>
      </c>
      <c r="AW302" s="191">
        <f t="shared" si="269"/>
        <v>2.4068767908309448E-4</v>
      </c>
      <c r="AX302" s="191">
        <f t="shared" si="269"/>
        <v>2.4068767908309448E-4</v>
      </c>
      <c r="AY302" s="191">
        <f t="shared" si="269"/>
        <v>2.4068767908309448E-4</v>
      </c>
      <c r="AZ302" s="191">
        <f t="shared" si="269"/>
        <v>2.4068767908309448E-4</v>
      </c>
      <c r="BA302" s="191">
        <f t="shared" si="269"/>
        <v>2.4068767908309448E-4</v>
      </c>
      <c r="BB302" s="191">
        <f t="shared" si="269"/>
        <v>2.4068767908309448E-4</v>
      </c>
      <c r="BC302" s="191">
        <f t="shared" si="269"/>
        <v>2.4068767908309448E-4</v>
      </c>
      <c r="BD302" s="191">
        <f t="shared" si="269"/>
        <v>2.4068767908309448E-4</v>
      </c>
      <c r="BE302" s="191">
        <f t="shared" si="269"/>
        <v>2.4068767908309448E-4</v>
      </c>
      <c r="BF302" s="191">
        <f t="shared" si="269"/>
        <v>2.4068767908309448E-4</v>
      </c>
      <c r="BG302" s="191">
        <f t="shared" si="269"/>
        <v>2.4068767908309448E-4</v>
      </c>
      <c r="BH302" s="191">
        <f t="shared" si="269"/>
        <v>2.4068767908309448E-4</v>
      </c>
      <c r="BI302" s="191">
        <f t="shared" si="269"/>
        <v>2.4068767908309448E-4</v>
      </c>
      <c r="BJ302" s="191">
        <f t="shared" si="269"/>
        <v>2.4068767908309448E-4</v>
      </c>
      <c r="BK302" s="191">
        <f t="shared" si="269"/>
        <v>2.4068767908309448E-4</v>
      </c>
      <c r="BL302" s="191">
        <f t="shared" si="269"/>
        <v>2.4068767908309448E-4</v>
      </c>
      <c r="BM302" s="191">
        <f t="shared" si="269"/>
        <v>2.4068767908309448E-4</v>
      </c>
      <c r="BN302" s="191">
        <f t="shared" si="269"/>
        <v>2.4068767908309448E-4</v>
      </c>
      <c r="BO302" s="191">
        <f t="shared" si="269"/>
        <v>2.4068767908309448E-4</v>
      </c>
      <c r="BP302" s="191">
        <f t="shared" si="269"/>
        <v>2.4068767908309448E-4</v>
      </c>
      <c r="BQ302" s="191">
        <f t="shared" si="269"/>
        <v>2.4068767908309448E-4</v>
      </c>
      <c r="BR302" s="191">
        <f t="shared" si="269"/>
        <v>2.4068767908309448E-4</v>
      </c>
      <c r="BS302" s="191">
        <f t="shared" si="269"/>
        <v>2.4068767908309448E-4</v>
      </c>
      <c r="BT302" s="191">
        <f t="shared" si="269"/>
        <v>2.4068767908309448E-4</v>
      </c>
      <c r="BU302" s="191">
        <f t="shared" si="269"/>
        <v>2.4068767908309448E-4</v>
      </c>
      <c r="BV302" s="191">
        <f t="shared" si="269"/>
        <v>2.4068767908309448E-4</v>
      </c>
    </row>
    <row r="303" spans="1:74">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c r="A305" s="185" t="s">
        <v>245</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c r="A306" s="185"/>
      <c r="B306" s="185" t="s">
        <v>248</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c r="A307" s="147" t="s">
        <v>176</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2">
        <f t="shared" ref="AS307:BV307" si="271">AR307</f>
        <v>1.8181334496293064E-3</v>
      </c>
      <c r="AT307" s="192">
        <f t="shared" si="271"/>
        <v>1.8181334496293064E-3</v>
      </c>
      <c r="AU307" s="192">
        <f t="shared" si="271"/>
        <v>1.8181334496293064E-3</v>
      </c>
      <c r="AV307" s="192">
        <f t="shared" si="271"/>
        <v>1.8181334496293064E-3</v>
      </c>
      <c r="AW307" s="192">
        <f t="shared" si="271"/>
        <v>1.8181334496293064E-3</v>
      </c>
      <c r="AX307" s="192">
        <f t="shared" si="271"/>
        <v>1.8181334496293064E-3</v>
      </c>
      <c r="AY307" s="192">
        <f t="shared" si="271"/>
        <v>1.8181334496293064E-3</v>
      </c>
      <c r="AZ307" s="192">
        <f t="shared" si="271"/>
        <v>1.8181334496293064E-3</v>
      </c>
      <c r="BA307" s="192">
        <f t="shared" si="271"/>
        <v>1.8181334496293064E-3</v>
      </c>
      <c r="BB307" s="192">
        <f t="shared" si="271"/>
        <v>1.8181334496293064E-3</v>
      </c>
      <c r="BC307" s="192">
        <f t="shared" si="271"/>
        <v>1.8181334496293064E-3</v>
      </c>
      <c r="BD307" s="192">
        <f t="shared" si="271"/>
        <v>1.8181334496293064E-3</v>
      </c>
      <c r="BE307" s="192">
        <f t="shared" si="271"/>
        <v>1.8181334496293064E-3</v>
      </c>
      <c r="BF307" s="192">
        <f t="shared" si="271"/>
        <v>1.8181334496293064E-3</v>
      </c>
      <c r="BG307" s="192">
        <f t="shared" si="271"/>
        <v>1.8181334496293064E-3</v>
      </c>
      <c r="BH307" s="192">
        <f t="shared" si="271"/>
        <v>1.8181334496293064E-3</v>
      </c>
      <c r="BI307" s="192">
        <f t="shared" si="271"/>
        <v>1.8181334496293064E-3</v>
      </c>
      <c r="BJ307" s="192">
        <f t="shared" si="271"/>
        <v>1.8181334496293064E-3</v>
      </c>
      <c r="BK307" s="192">
        <f t="shared" si="271"/>
        <v>1.8181334496293064E-3</v>
      </c>
      <c r="BL307" s="192">
        <f t="shared" si="271"/>
        <v>1.8181334496293064E-3</v>
      </c>
      <c r="BM307" s="192">
        <f t="shared" si="271"/>
        <v>1.8181334496293064E-3</v>
      </c>
      <c r="BN307" s="192">
        <f t="shared" si="271"/>
        <v>1.8181334496293064E-3</v>
      </c>
      <c r="BO307" s="192">
        <f t="shared" si="271"/>
        <v>1.8181334496293064E-3</v>
      </c>
      <c r="BP307" s="192">
        <f t="shared" si="271"/>
        <v>1.8181334496293064E-3</v>
      </c>
      <c r="BQ307" s="192">
        <f t="shared" si="271"/>
        <v>1.8181334496293064E-3</v>
      </c>
      <c r="BR307" s="192">
        <f t="shared" si="271"/>
        <v>1.8181334496293064E-3</v>
      </c>
      <c r="BS307" s="192">
        <f t="shared" si="271"/>
        <v>1.8181334496293064E-3</v>
      </c>
      <c r="BT307" s="192">
        <f t="shared" si="271"/>
        <v>1.8181334496293064E-3</v>
      </c>
      <c r="BU307" s="192">
        <f t="shared" si="271"/>
        <v>1.8181334496293064E-3</v>
      </c>
      <c r="BV307" s="192">
        <f t="shared" si="271"/>
        <v>1.8181334496293064E-3</v>
      </c>
    </row>
    <row r="308" spans="1:74">
      <c r="A308" s="147" t="s">
        <v>178</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2">
        <f t="shared" ref="AS308:BV308" si="273">AR308</f>
        <v>5.0307335817895669E-4</v>
      </c>
      <c r="AT308" s="192">
        <f t="shared" si="273"/>
        <v>5.0307335817895669E-4</v>
      </c>
      <c r="AU308" s="192">
        <f t="shared" si="273"/>
        <v>5.0307335817895669E-4</v>
      </c>
      <c r="AV308" s="192">
        <f t="shared" si="273"/>
        <v>5.0307335817895669E-4</v>
      </c>
      <c r="AW308" s="192">
        <f t="shared" si="273"/>
        <v>5.0307335817895669E-4</v>
      </c>
      <c r="AX308" s="192">
        <f t="shared" si="273"/>
        <v>5.0307335817895669E-4</v>
      </c>
      <c r="AY308" s="192">
        <f t="shared" si="273"/>
        <v>5.0307335817895669E-4</v>
      </c>
      <c r="AZ308" s="192">
        <f t="shared" si="273"/>
        <v>5.0307335817895669E-4</v>
      </c>
      <c r="BA308" s="192">
        <f t="shared" si="273"/>
        <v>5.0307335817895669E-4</v>
      </c>
      <c r="BB308" s="192">
        <f t="shared" si="273"/>
        <v>5.0307335817895669E-4</v>
      </c>
      <c r="BC308" s="192">
        <f t="shared" si="273"/>
        <v>5.0307335817895669E-4</v>
      </c>
      <c r="BD308" s="192">
        <f t="shared" si="273"/>
        <v>5.0307335817895669E-4</v>
      </c>
      <c r="BE308" s="192">
        <f t="shared" si="273"/>
        <v>5.0307335817895669E-4</v>
      </c>
      <c r="BF308" s="192">
        <f t="shared" si="273"/>
        <v>5.0307335817895669E-4</v>
      </c>
      <c r="BG308" s="192">
        <f t="shared" si="273"/>
        <v>5.0307335817895669E-4</v>
      </c>
      <c r="BH308" s="192">
        <f t="shared" si="273"/>
        <v>5.0307335817895669E-4</v>
      </c>
      <c r="BI308" s="192">
        <f t="shared" si="273"/>
        <v>5.0307335817895669E-4</v>
      </c>
      <c r="BJ308" s="192">
        <f t="shared" si="273"/>
        <v>5.0307335817895669E-4</v>
      </c>
      <c r="BK308" s="192">
        <f t="shared" si="273"/>
        <v>5.0307335817895669E-4</v>
      </c>
      <c r="BL308" s="192">
        <f t="shared" si="273"/>
        <v>5.0307335817895669E-4</v>
      </c>
      <c r="BM308" s="192">
        <f t="shared" si="273"/>
        <v>5.0307335817895669E-4</v>
      </c>
      <c r="BN308" s="192">
        <f t="shared" si="273"/>
        <v>5.0307335817895669E-4</v>
      </c>
      <c r="BO308" s="192">
        <f t="shared" si="273"/>
        <v>5.0307335817895669E-4</v>
      </c>
      <c r="BP308" s="192">
        <f t="shared" si="273"/>
        <v>5.0307335817895669E-4</v>
      </c>
      <c r="BQ308" s="192">
        <f t="shared" si="273"/>
        <v>5.0307335817895669E-4</v>
      </c>
      <c r="BR308" s="192">
        <f t="shared" si="273"/>
        <v>5.0307335817895669E-4</v>
      </c>
      <c r="BS308" s="192">
        <f t="shared" si="273"/>
        <v>5.0307335817895669E-4</v>
      </c>
      <c r="BT308" s="192">
        <f t="shared" si="273"/>
        <v>5.0307335817895669E-4</v>
      </c>
      <c r="BU308" s="192">
        <f t="shared" si="273"/>
        <v>5.0307335817895669E-4</v>
      </c>
      <c r="BV308" s="192">
        <f t="shared" si="273"/>
        <v>5.0307335817895669E-4</v>
      </c>
    </row>
    <row r="309" spans="1:74">
      <c r="A309" s="141" t="s">
        <v>179</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2">
        <f t="shared" ref="AS309:BV309" si="275">AR309</f>
        <v>3.1810442397537373E-3</v>
      </c>
      <c r="AT309" s="192">
        <f t="shared" si="275"/>
        <v>3.1810442397537373E-3</v>
      </c>
      <c r="AU309" s="192">
        <f t="shared" si="275"/>
        <v>3.1810442397537373E-3</v>
      </c>
      <c r="AV309" s="192">
        <f t="shared" si="275"/>
        <v>3.1810442397537373E-3</v>
      </c>
      <c r="AW309" s="192">
        <f t="shared" si="275"/>
        <v>3.1810442397537373E-3</v>
      </c>
      <c r="AX309" s="192">
        <f t="shared" si="275"/>
        <v>3.1810442397537373E-3</v>
      </c>
      <c r="AY309" s="192">
        <f t="shared" si="275"/>
        <v>3.1810442397537373E-3</v>
      </c>
      <c r="AZ309" s="192">
        <f t="shared" si="275"/>
        <v>3.1810442397537373E-3</v>
      </c>
      <c r="BA309" s="192">
        <f t="shared" si="275"/>
        <v>3.1810442397537373E-3</v>
      </c>
      <c r="BB309" s="192">
        <f t="shared" si="275"/>
        <v>3.1810442397537373E-3</v>
      </c>
      <c r="BC309" s="192">
        <f t="shared" si="275"/>
        <v>3.1810442397537373E-3</v>
      </c>
      <c r="BD309" s="192">
        <f t="shared" si="275"/>
        <v>3.1810442397537373E-3</v>
      </c>
      <c r="BE309" s="192">
        <f t="shared" si="275"/>
        <v>3.1810442397537373E-3</v>
      </c>
      <c r="BF309" s="192">
        <f t="shared" si="275"/>
        <v>3.1810442397537373E-3</v>
      </c>
      <c r="BG309" s="192">
        <f t="shared" si="275"/>
        <v>3.1810442397537373E-3</v>
      </c>
      <c r="BH309" s="192">
        <f t="shared" si="275"/>
        <v>3.1810442397537373E-3</v>
      </c>
      <c r="BI309" s="192">
        <f t="shared" si="275"/>
        <v>3.1810442397537373E-3</v>
      </c>
      <c r="BJ309" s="192">
        <f t="shared" si="275"/>
        <v>3.1810442397537373E-3</v>
      </c>
      <c r="BK309" s="192">
        <f t="shared" si="275"/>
        <v>3.1810442397537373E-3</v>
      </c>
      <c r="BL309" s="192">
        <f t="shared" si="275"/>
        <v>3.1810442397537373E-3</v>
      </c>
      <c r="BM309" s="192">
        <f t="shared" si="275"/>
        <v>3.1810442397537373E-3</v>
      </c>
      <c r="BN309" s="192">
        <f t="shared" si="275"/>
        <v>3.1810442397537373E-3</v>
      </c>
      <c r="BO309" s="192">
        <f t="shared" si="275"/>
        <v>3.1810442397537373E-3</v>
      </c>
      <c r="BP309" s="192">
        <f t="shared" si="275"/>
        <v>3.1810442397537373E-3</v>
      </c>
      <c r="BQ309" s="192">
        <f t="shared" si="275"/>
        <v>3.1810442397537373E-3</v>
      </c>
      <c r="BR309" s="192">
        <f t="shared" si="275"/>
        <v>3.1810442397537373E-3</v>
      </c>
      <c r="BS309" s="192">
        <f t="shared" si="275"/>
        <v>3.1810442397537373E-3</v>
      </c>
      <c r="BT309" s="192">
        <f t="shared" si="275"/>
        <v>3.1810442397537373E-3</v>
      </c>
      <c r="BU309" s="192">
        <f t="shared" si="275"/>
        <v>3.1810442397537373E-3</v>
      </c>
      <c r="BV309" s="192">
        <f t="shared" si="275"/>
        <v>3.1810442397537373E-3</v>
      </c>
    </row>
    <row r="310" spans="1:74">
      <c r="A310" s="141" t="s">
        <v>181</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2">
        <f t="shared" ref="AS310:BV310" si="277">AR310</f>
        <v>1.0063092028788365E-3</v>
      </c>
      <c r="AT310" s="192">
        <f t="shared" si="277"/>
        <v>1.0063092028788365E-3</v>
      </c>
      <c r="AU310" s="192">
        <f t="shared" si="277"/>
        <v>1.0063092028788365E-3</v>
      </c>
      <c r="AV310" s="192">
        <f t="shared" si="277"/>
        <v>1.0063092028788365E-3</v>
      </c>
      <c r="AW310" s="192">
        <f t="shared" si="277"/>
        <v>1.0063092028788365E-3</v>
      </c>
      <c r="AX310" s="192">
        <f t="shared" si="277"/>
        <v>1.0063092028788365E-3</v>
      </c>
      <c r="AY310" s="192">
        <f t="shared" si="277"/>
        <v>1.0063092028788365E-3</v>
      </c>
      <c r="AZ310" s="192">
        <f t="shared" si="277"/>
        <v>1.0063092028788365E-3</v>
      </c>
      <c r="BA310" s="192">
        <f t="shared" si="277"/>
        <v>1.0063092028788365E-3</v>
      </c>
      <c r="BB310" s="192">
        <f t="shared" si="277"/>
        <v>1.0063092028788365E-3</v>
      </c>
      <c r="BC310" s="192">
        <f t="shared" si="277"/>
        <v>1.0063092028788365E-3</v>
      </c>
      <c r="BD310" s="192">
        <f t="shared" si="277"/>
        <v>1.0063092028788365E-3</v>
      </c>
      <c r="BE310" s="192">
        <f t="shared" si="277"/>
        <v>1.0063092028788365E-3</v>
      </c>
      <c r="BF310" s="192">
        <f t="shared" si="277"/>
        <v>1.0063092028788365E-3</v>
      </c>
      <c r="BG310" s="192">
        <f t="shared" si="277"/>
        <v>1.0063092028788365E-3</v>
      </c>
      <c r="BH310" s="192">
        <f t="shared" si="277"/>
        <v>1.0063092028788365E-3</v>
      </c>
      <c r="BI310" s="192">
        <f t="shared" si="277"/>
        <v>1.0063092028788365E-3</v>
      </c>
      <c r="BJ310" s="192">
        <f t="shared" si="277"/>
        <v>1.0063092028788365E-3</v>
      </c>
      <c r="BK310" s="192">
        <f t="shared" si="277"/>
        <v>1.0063092028788365E-3</v>
      </c>
      <c r="BL310" s="192">
        <f t="shared" si="277"/>
        <v>1.0063092028788365E-3</v>
      </c>
      <c r="BM310" s="192">
        <f t="shared" si="277"/>
        <v>1.0063092028788365E-3</v>
      </c>
      <c r="BN310" s="192">
        <f t="shared" si="277"/>
        <v>1.0063092028788365E-3</v>
      </c>
      <c r="BO310" s="192">
        <f t="shared" si="277"/>
        <v>1.0063092028788365E-3</v>
      </c>
      <c r="BP310" s="192">
        <f t="shared" si="277"/>
        <v>1.0063092028788365E-3</v>
      </c>
      <c r="BQ310" s="192">
        <f t="shared" si="277"/>
        <v>1.0063092028788365E-3</v>
      </c>
      <c r="BR310" s="192">
        <f t="shared" si="277"/>
        <v>1.0063092028788365E-3</v>
      </c>
      <c r="BS310" s="192">
        <f t="shared" si="277"/>
        <v>1.0063092028788365E-3</v>
      </c>
      <c r="BT310" s="192">
        <f t="shared" si="277"/>
        <v>1.0063092028788365E-3</v>
      </c>
      <c r="BU310" s="192">
        <f t="shared" si="277"/>
        <v>1.0063092028788365E-3</v>
      </c>
      <c r="BV310" s="192">
        <f t="shared" si="277"/>
        <v>1.0063092028788365E-3</v>
      </c>
    </row>
    <row r="311" spans="1:74">
      <c r="A311" s="147" t="s">
        <v>182</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2">
        <f t="shared" ref="AS311:BV311" si="279">AR311</f>
        <v>1.9788204881820233E-4</v>
      </c>
      <c r="AT311" s="192">
        <f t="shared" si="279"/>
        <v>1.9788204881820233E-4</v>
      </c>
      <c r="AU311" s="192">
        <f t="shared" si="279"/>
        <v>1.9788204881820233E-4</v>
      </c>
      <c r="AV311" s="192">
        <f t="shared" si="279"/>
        <v>1.9788204881820233E-4</v>
      </c>
      <c r="AW311" s="192">
        <f t="shared" si="279"/>
        <v>1.9788204881820233E-4</v>
      </c>
      <c r="AX311" s="192">
        <f t="shared" si="279"/>
        <v>1.9788204881820233E-4</v>
      </c>
      <c r="AY311" s="192">
        <f t="shared" si="279"/>
        <v>1.9788204881820233E-4</v>
      </c>
      <c r="AZ311" s="192">
        <f t="shared" si="279"/>
        <v>1.9788204881820233E-4</v>
      </c>
      <c r="BA311" s="192">
        <f t="shared" si="279"/>
        <v>1.9788204881820233E-4</v>
      </c>
      <c r="BB311" s="192">
        <f t="shared" si="279"/>
        <v>1.9788204881820233E-4</v>
      </c>
      <c r="BC311" s="192">
        <f t="shared" si="279"/>
        <v>1.9788204881820233E-4</v>
      </c>
      <c r="BD311" s="192">
        <f t="shared" si="279"/>
        <v>1.9788204881820233E-4</v>
      </c>
      <c r="BE311" s="192">
        <f t="shared" si="279"/>
        <v>1.9788204881820233E-4</v>
      </c>
      <c r="BF311" s="192">
        <f t="shared" si="279"/>
        <v>1.9788204881820233E-4</v>
      </c>
      <c r="BG311" s="192">
        <f t="shared" si="279"/>
        <v>1.9788204881820233E-4</v>
      </c>
      <c r="BH311" s="192">
        <f t="shared" si="279"/>
        <v>1.9788204881820233E-4</v>
      </c>
      <c r="BI311" s="192">
        <f t="shared" si="279"/>
        <v>1.9788204881820233E-4</v>
      </c>
      <c r="BJ311" s="192">
        <f t="shared" si="279"/>
        <v>1.9788204881820233E-4</v>
      </c>
      <c r="BK311" s="192">
        <f t="shared" si="279"/>
        <v>1.9788204881820233E-4</v>
      </c>
      <c r="BL311" s="192">
        <f t="shared" si="279"/>
        <v>1.9788204881820233E-4</v>
      </c>
      <c r="BM311" s="192">
        <f t="shared" si="279"/>
        <v>1.9788204881820233E-4</v>
      </c>
      <c r="BN311" s="192">
        <f t="shared" si="279"/>
        <v>1.9788204881820233E-4</v>
      </c>
      <c r="BO311" s="192">
        <f t="shared" si="279"/>
        <v>1.9788204881820233E-4</v>
      </c>
      <c r="BP311" s="192">
        <f t="shared" si="279"/>
        <v>1.9788204881820233E-4</v>
      </c>
      <c r="BQ311" s="192">
        <f t="shared" si="279"/>
        <v>1.9788204881820233E-4</v>
      </c>
      <c r="BR311" s="192">
        <f t="shared" si="279"/>
        <v>1.9788204881820233E-4</v>
      </c>
      <c r="BS311" s="192">
        <f t="shared" si="279"/>
        <v>1.9788204881820233E-4</v>
      </c>
      <c r="BT311" s="192">
        <f t="shared" si="279"/>
        <v>1.9788204881820233E-4</v>
      </c>
      <c r="BU311" s="192">
        <f t="shared" si="279"/>
        <v>1.9788204881820233E-4</v>
      </c>
      <c r="BV311" s="192">
        <f t="shared" si="279"/>
        <v>1.9788204881820233E-4</v>
      </c>
    </row>
    <row r="312" spans="1:74">
      <c r="A312" s="147" t="s">
        <v>184</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2">
        <f t="shared" ref="AS312:BV312" si="281">AR312</f>
        <v>1.8383629705433867E-4</v>
      </c>
      <c r="AT312" s="192">
        <f t="shared" si="281"/>
        <v>1.8383629705433867E-4</v>
      </c>
      <c r="AU312" s="192">
        <f t="shared" si="281"/>
        <v>1.8383629705433867E-4</v>
      </c>
      <c r="AV312" s="192">
        <f t="shared" si="281"/>
        <v>1.8383629705433867E-4</v>
      </c>
      <c r="AW312" s="192">
        <f t="shared" si="281"/>
        <v>1.8383629705433867E-4</v>
      </c>
      <c r="AX312" s="192">
        <f t="shared" si="281"/>
        <v>1.8383629705433867E-4</v>
      </c>
      <c r="AY312" s="192">
        <f t="shared" si="281"/>
        <v>1.8383629705433867E-4</v>
      </c>
      <c r="AZ312" s="192">
        <f t="shared" si="281"/>
        <v>1.8383629705433867E-4</v>
      </c>
      <c r="BA312" s="192">
        <f t="shared" si="281"/>
        <v>1.8383629705433867E-4</v>
      </c>
      <c r="BB312" s="192">
        <f t="shared" si="281"/>
        <v>1.8383629705433867E-4</v>
      </c>
      <c r="BC312" s="192">
        <f t="shared" si="281"/>
        <v>1.8383629705433867E-4</v>
      </c>
      <c r="BD312" s="192">
        <f t="shared" si="281"/>
        <v>1.8383629705433867E-4</v>
      </c>
      <c r="BE312" s="192">
        <f t="shared" si="281"/>
        <v>1.8383629705433867E-4</v>
      </c>
      <c r="BF312" s="192">
        <f t="shared" si="281"/>
        <v>1.8383629705433867E-4</v>
      </c>
      <c r="BG312" s="192">
        <f t="shared" si="281"/>
        <v>1.8383629705433867E-4</v>
      </c>
      <c r="BH312" s="192">
        <f t="shared" si="281"/>
        <v>1.8383629705433867E-4</v>
      </c>
      <c r="BI312" s="192">
        <f t="shared" si="281"/>
        <v>1.8383629705433867E-4</v>
      </c>
      <c r="BJ312" s="192">
        <f t="shared" si="281"/>
        <v>1.8383629705433867E-4</v>
      </c>
      <c r="BK312" s="192">
        <f t="shared" si="281"/>
        <v>1.8383629705433867E-4</v>
      </c>
      <c r="BL312" s="192">
        <f t="shared" si="281"/>
        <v>1.8383629705433867E-4</v>
      </c>
      <c r="BM312" s="192">
        <f t="shared" si="281"/>
        <v>1.8383629705433867E-4</v>
      </c>
      <c r="BN312" s="192">
        <f t="shared" si="281"/>
        <v>1.8383629705433867E-4</v>
      </c>
      <c r="BO312" s="192">
        <f t="shared" si="281"/>
        <v>1.8383629705433867E-4</v>
      </c>
      <c r="BP312" s="192">
        <f t="shared" si="281"/>
        <v>1.8383629705433867E-4</v>
      </c>
      <c r="BQ312" s="192">
        <f t="shared" si="281"/>
        <v>1.8383629705433867E-4</v>
      </c>
      <c r="BR312" s="192">
        <f t="shared" si="281"/>
        <v>1.8383629705433867E-4</v>
      </c>
      <c r="BS312" s="192">
        <f t="shared" si="281"/>
        <v>1.8383629705433867E-4</v>
      </c>
      <c r="BT312" s="192">
        <f t="shared" si="281"/>
        <v>1.8383629705433867E-4</v>
      </c>
      <c r="BU312" s="192">
        <f t="shared" si="281"/>
        <v>1.8383629705433867E-4</v>
      </c>
      <c r="BV312" s="192">
        <f t="shared" si="281"/>
        <v>1.8383629705433867E-4</v>
      </c>
    </row>
    <row r="313" spans="1:74">
      <c r="A313" s="141" t="s">
        <v>185</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2">
        <f t="shared" ref="AS313:BV313" si="283">AR313</f>
        <v>1.5721765586055716E-4</v>
      </c>
      <c r="AT313" s="192">
        <f t="shared" si="283"/>
        <v>1.5721765586055716E-4</v>
      </c>
      <c r="AU313" s="192">
        <f t="shared" si="283"/>
        <v>1.5721765586055716E-4</v>
      </c>
      <c r="AV313" s="192">
        <f t="shared" si="283"/>
        <v>1.5721765586055716E-4</v>
      </c>
      <c r="AW313" s="192">
        <f t="shared" si="283"/>
        <v>1.5721765586055716E-4</v>
      </c>
      <c r="AX313" s="192">
        <f t="shared" si="283"/>
        <v>1.5721765586055716E-4</v>
      </c>
      <c r="AY313" s="192">
        <f t="shared" si="283"/>
        <v>1.5721765586055716E-4</v>
      </c>
      <c r="AZ313" s="192">
        <f t="shared" si="283"/>
        <v>1.5721765586055716E-4</v>
      </c>
      <c r="BA313" s="192">
        <f t="shared" si="283"/>
        <v>1.5721765586055716E-4</v>
      </c>
      <c r="BB313" s="192">
        <f t="shared" si="283"/>
        <v>1.5721765586055716E-4</v>
      </c>
      <c r="BC313" s="192">
        <f t="shared" si="283"/>
        <v>1.5721765586055716E-4</v>
      </c>
      <c r="BD313" s="192">
        <f t="shared" si="283"/>
        <v>1.5721765586055716E-4</v>
      </c>
      <c r="BE313" s="192">
        <f t="shared" si="283"/>
        <v>1.5721765586055716E-4</v>
      </c>
      <c r="BF313" s="192">
        <f t="shared" si="283"/>
        <v>1.5721765586055716E-4</v>
      </c>
      <c r="BG313" s="192">
        <f t="shared" si="283"/>
        <v>1.5721765586055716E-4</v>
      </c>
      <c r="BH313" s="192">
        <f t="shared" si="283"/>
        <v>1.5721765586055716E-4</v>
      </c>
      <c r="BI313" s="192">
        <f t="shared" si="283"/>
        <v>1.5721765586055716E-4</v>
      </c>
      <c r="BJ313" s="192">
        <f t="shared" si="283"/>
        <v>1.5721765586055716E-4</v>
      </c>
      <c r="BK313" s="192">
        <f t="shared" si="283"/>
        <v>1.5721765586055716E-4</v>
      </c>
      <c r="BL313" s="192">
        <f t="shared" si="283"/>
        <v>1.5721765586055716E-4</v>
      </c>
      <c r="BM313" s="192">
        <f t="shared" si="283"/>
        <v>1.5721765586055716E-4</v>
      </c>
      <c r="BN313" s="192">
        <f t="shared" si="283"/>
        <v>1.5721765586055716E-4</v>
      </c>
      <c r="BO313" s="192">
        <f t="shared" si="283"/>
        <v>1.5721765586055716E-4</v>
      </c>
      <c r="BP313" s="192">
        <f t="shared" si="283"/>
        <v>1.5721765586055716E-4</v>
      </c>
      <c r="BQ313" s="192">
        <f t="shared" si="283"/>
        <v>1.5721765586055716E-4</v>
      </c>
      <c r="BR313" s="192">
        <f t="shared" si="283"/>
        <v>1.5721765586055716E-4</v>
      </c>
      <c r="BS313" s="192">
        <f t="shared" si="283"/>
        <v>1.5721765586055716E-4</v>
      </c>
      <c r="BT313" s="192">
        <f t="shared" si="283"/>
        <v>1.5721765586055716E-4</v>
      </c>
      <c r="BU313" s="192">
        <f t="shared" si="283"/>
        <v>1.5721765586055716E-4</v>
      </c>
      <c r="BV313" s="192">
        <f t="shared" si="283"/>
        <v>1.5721765586055716E-4</v>
      </c>
    </row>
    <row r="314" spans="1:74">
      <c r="A314" s="147" t="s">
        <v>187</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2">
        <f t="shared" ref="AS314:BV314" si="285">AR314</f>
        <v>5.5381373281331893E-4</v>
      </c>
      <c r="AT314" s="192">
        <f t="shared" si="285"/>
        <v>5.5381373281331893E-4</v>
      </c>
      <c r="AU314" s="192">
        <f t="shared" si="285"/>
        <v>5.5381373281331893E-4</v>
      </c>
      <c r="AV314" s="192">
        <f t="shared" si="285"/>
        <v>5.5381373281331893E-4</v>
      </c>
      <c r="AW314" s="192">
        <f t="shared" si="285"/>
        <v>5.5381373281331893E-4</v>
      </c>
      <c r="AX314" s="192">
        <f t="shared" si="285"/>
        <v>5.5381373281331893E-4</v>
      </c>
      <c r="AY314" s="192">
        <f t="shared" si="285"/>
        <v>5.5381373281331893E-4</v>
      </c>
      <c r="AZ314" s="192">
        <f t="shared" si="285"/>
        <v>5.5381373281331893E-4</v>
      </c>
      <c r="BA314" s="192">
        <f t="shared" si="285"/>
        <v>5.5381373281331893E-4</v>
      </c>
      <c r="BB314" s="192">
        <f t="shared" si="285"/>
        <v>5.5381373281331893E-4</v>
      </c>
      <c r="BC314" s="192">
        <f t="shared" si="285"/>
        <v>5.5381373281331893E-4</v>
      </c>
      <c r="BD314" s="192">
        <f t="shared" si="285"/>
        <v>5.5381373281331893E-4</v>
      </c>
      <c r="BE314" s="192">
        <f t="shared" si="285"/>
        <v>5.5381373281331893E-4</v>
      </c>
      <c r="BF314" s="192">
        <f t="shared" si="285"/>
        <v>5.5381373281331893E-4</v>
      </c>
      <c r="BG314" s="192">
        <f t="shared" si="285"/>
        <v>5.5381373281331893E-4</v>
      </c>
      <c r="BH314" s="192">
        <f t="shared" si="285"/>
        <v>5.5381373281331893E-4</v>
      </c>
      <c r="BI314" s="192">
        <f t="shared" si="285"/>
        <v>5.5381373281331893E-4</v>
      </c>
      <c r="BJ314" s="192">
        <f t="shared" si="285"/>
        <v>5.5381373281331893E-4</v>
      </c>
      <c r="BK314" s="192">
        <f t="shared" si="285"/>
        <v>5.5381373281331893E-4</v>
      </c>
      <c r="BL314" s="192">
        <f t="shared" si="285"/>
        <v>5.5381373281331893E-4</v>
      </c>
      <c r="BM314" s="192">
        <f t="shared" si="285"/>
        <v>5.5381373281331893E-4</v>
      </c>
      <c r="BN314" s="192">
        <f t="shared" si="285"/>
        <v>5.5381373281331893E-4</v>
      </c>
      <c r="BO314" s="192">
        <f t="shared" si="285"/>
        <v>5.5381373281331893E-4</v>
      </c>
      <c r="BP314" s="192">
        <f t="shared" si="285"/>
        <v>5.5381373281331893E-4</v>
      </c>
      <c r="BQ314" s="192">
        <f t="shared" si="285"/>
        <v>5.5381373281331893E-4</v>
      </c>
      <c r="BR314" s="192">
        <f t="shared" si="285"/>
        <v>5.5381373281331893E-4</v>
      </c>
      <c r="BS314" s="192">
        <f t="shared" si="285"/>
        <v>5.5381373281331893E-4</v>
      </c>
      <c r="BT314" s="192">
        <f t="shared" si="285"/>
        <v>5.5381373281331893E-4</v>
      </c>
      <c r="BU314" s="192">
        <f t="shared" si="285"/>
        <v>5.5381373281331893E-4</v>
      </c>
      <c r="BV314" s="192">
        <f t="shared" si="285"/>
        <v>5.5381373281331893E-4</v>
      </c>
    </row>
    <row r="315" spans="1:74">
      <c r="A315" s="147" t="s">
        <v>11</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2">
        <f t="shared" ref="AS315:BV315" si="287">AR315</f>
        <v>2.7676253700797135E-3</v>
      </c>
      <c r="AT315" s="192">
        <f t="shared" si="287"/>
        <v>2.7676253700797135E-3</v>
      </c>
      <c r="AU315" s="192">
        <f t="shared" si="287"/>
        <v>2.7676253700797135E-3</v>
      </c>
      <c r="AV315" s="192">
        <f t="shared" si="287"/>
        <v>2.7676253700797135E-3</v>
      </c>
      <c r="AW315" s="192">
        <f t="shared" si="287"/>
        <v>2.7676253700797135E-3</v>
      </c>
      <c r="AX315" s="192">
        <f t="shared" si="287"/>
        <v>2.7676253700797135E-3</v>
      </c>
      <c r="AY315" s="192">
        <f t="shared" si="287"/>
        <v>2.7676253700797135E-3</v>
      </c>
      <c r="AZ315" s="192">
        <f t="shared" si="287"/>
        <v>2.7676253700797135E-3</v>
      </c>
      <c r="BA315" s="192">
        <f t="shared" si="287"/>
        <v>2.7676253700797135E-3</v>
      </c>
      <c r="BB315" s="192">
        <f t="shared" si="287"/>
        <v>2.7676253700797135E-3</v>
      </c>
      <c r="BC315" s="192">
        <f t="shared" si="287"/>
        <v>2.7676253700797135E-3</v>
      </c>
      <c r="BD315" s="192">
        <f t="shared" si="287"/>
        <v>2.7676253700797135E-3</v>
      </c>
      <c r="BE315" s="192">
        <f t="shared" si="287"/>
        <v>2.7676253700797135E-3</v>
      </c>
      <c r="BF315" s="192">
        <f t="shared" si="287"/>
        <v>2.7676253700797135E-3</v>
      </c>
      <c r="BG315" s="192">
        <f t="shared" si="287"/>
        <v>2.7676253700797135E-3</v>
      </c>
      <c r="BH315" s="192">
        <f t="shared" si="287"/>
        <v>2.7676253700797135E-3</v>
      </c>
      <c r="BI315" s="192">
        <f t="shared" si="287"/>
        <v>2.7676253700797135E-3</v>
      </c>
      <c r="BJ315" s="192">
        <f t="shared" si="287"/>
        <v>2.7676253700797135E-3</v>
      </c>
      <c r="BK315" s="192">
        <f t="shared" si="287"/>
        <v>2.7676253700797135E-3</v>
      </c>
      <c r="BL315" s="192">
        <f t="shared" si="287"/>
        <v>2.7676253700797135E-3</v>
      </c>
      <c r="BM315" s="192">
        <f t="shared" si="287"/>
        <v>2.7676253700797135E-3</v>
      </c>
      <c r="BN315" s="192">
        <f t="shared" si="287"/>
        <v>2.7676253700797135E-3</v>
      </c>
      <c r="BO315" s="192">
        <f t="shared" si="287"/>
        <v>2.7676253700797135E-3</v>
      </c>
      <c r="BP315" s="192">
        <f t="shared" si="287"/>
        <v>2.7676253700797135E-3</v>
      </c>
      <c r="BQ315" s="192">
        <f t="shared" si="287"/>
        <v>2.7676253700797135E-3</v>
      </c>
      <c r="BR315" s="192">
        <f t="shared" si="287"/>
        <v>2.7676253700797135E-3</v>
      </c>
      <c r="BS315" s="192">
        <f t="shared" si="287"/>
        <v>2.7676253700797135E-3</v>
      </c>
      <c r="BT315" s="192">
        <f t="shared" si="287"/>
        <v>2.7676253700797135E-3</v>
      </c>
      <c r="BU315" s="192">
        <f t="shared" si="287"/>
        <v>2.7676253700797135E-3</v>
      </c>
      <c r="BV315" s="192">
        <f t="shared" si="287"/>
        <v>2.7676253700797135E-3</v>
      </c>
    </row>
    <row r="316" spans="1:74">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2">
        <f t="shared" ref="AS316:BV316" si="289">AR316</f>
        <v>0</v>
      </c>
      <c r="AT316" s="192">
        <f t="shared" si="289"/>
        <v>0</v>
      </c>
      <c r="AU316" s="192">
        <f t="shared" si="289"/>
        <v>0</v>
      </c>
      <c r="AV316" s="192">
        <f t="shared" si="289"/>
        <v>0</v>
      </c>
      <c r="AW316" s="192">
        <f t="shared" si="289"/>
        <v>0</v>
      </c>
      <c r="AX316" s="192">
        <f t="shared" si="289"/>
        <v>0</v>
      </c>
      <c r="AY316" s="192">
        <f t="shared" si="289"/>
        <v>0</v>
      </c>
      <c r="AZ316" s="192">
        <f t="shared" si="289"/>
        <v>0</v>
      </c>
      <c r="BA316" s="192">
        <f t="shared" si="289"/>
        <v>0</v>
      </c>
      <c r="BB316" s="192">
        <f t="shared" si="289"/>
        <v>0</v>
      </c>
      <c r="BC316" s="192">
        <f t="shared" si="289"/>
        <v>0</v>
      </c>
      <c r="BD316" s="192">
        <f t="shared" si="289"/>
        <v>0</v>
      </c>
      <c r="BE316" s="192">
        <f t="shared" si="289"/>
        <v>0</v>
      </c>
      <c r="BF316" s="192">
        <f t="shared" si="289"/>
        <v>0</v>
      </c>
      <c r="BG316" s="192">
        <f t="shared" si="289"/>
        <v>0</v>
      </c>
      <c r="BH316" s="192">
        <f t="shared" si="289"/>
        <v>0</v>
      </c>
      <c r="BI316" s="192">
        <f t="shared" si="289"/>
        <v>0</v>
      </c>
      <c r="BJ316" s="192">
        <f t="shared" si="289"/>
        <v>0</v>
      </c>
      <c r="BK316" s="192">
        <f t="shared" si="289"/>
        <v>0</v>
      </c>
      <c r="BL316" s="192">
        <f t="shared" si="289"/>
        <v>0</v>
      </c>
      <c r="BM316" s="192">
        <f t="shared" si="289"/>
        <v>0</v>
      </c>
      <c r="BN316" s="192">
        <f t="shared" si="289"/>
        <v>0</v>
      </c>
      <c r="BO316" s="192">
        <f t="shared" si="289"/>
        <v>0</v>
      </c>
      <c r="BP316" s="192">
        <f t="shared" si="289"/>
        <v>0</v>
      </c>
      <c r="BQ316" s="192">
        <f t="shared" si="289"/>
        <v>0</v>
      </c>
      <c r="BR316" s="192">
        <f t="shared" si="289"/>
        <v>0</v>
      </c>
      <c r="BS316" s="192">
        <f t="shared" si="289"/>
        <v>0</v>
      </c>
      <c r="BT316" s="192">
        <f t="shared" si="289"/>
        <v>0</v>
      </c>
      <c r="BU316" s="192">
        <f t="shared" si="289"/>
        <v>0</v>
      </c>
      <c r="BV316" s="192">
        <f t="shared" si="289"/>
        <v>0</v>
      </c>
    </row>
    <row r="317" spans="1:74">
      <c r="A317" s="141" t="s">
        <v>190</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2">
        <f t="shared" ref="AS317:BV317" si="291">AR317</f>
        <v>2.4911164605172231E-4</v>
      </c>
      <c r="AT317" s="192">
        <f t="shared" si="291"/>
        <v>2.4911164605172231E-4</v>
      </c>
      <c r="AU317" s="192">
        <f t="shared" si="291"/>
        <v>2.4911164605172231E-4</v>
      </c>
      <c r="AV317" s="192">
        <f t="shared" si="291"/>
        <v>2.4911164605172231E-4</v>
      </c>
      <c r="AW317" s="192">
        <f t="shared" si="291"/>
        <v>2.4911164605172231E-4</v>
      </c>
      <c r="AX317" s="192">
        <f t="shared" si="291"/>
        <v>2.4911164605172231E-4</v>
      </c>
      <c r="AY317" s="192">
        <f t="shared" si="291"/>
        <v>2.4911164605172231E-4</v>
      </c>
      <c r="AZ317" s="192">
        <f t="shared" si="291"/>
        <v>2.4911164605172231E-4</v>
      </c>
      <c r="BA317" s="192">
        <f t="shared" si="291"/>
        <v>2.4911164605172231E-4</v>
      </c>
      <c r="BB317" s="192">
        <f t="shared" si="291"/>
        <v>2.4911164605172231E-4</v>
      </c>
      <c r="BC317" s="192">
        <f t="shared" si="291"/>
        <v>2.4911164605172231E-4</v>
      </c>
      <c r="BD317" s="192">
        <f t="shared" si="291"/>
        <v>2.4911164605172231E-4</v>
      </c>
      <c r="BE317" s="192">
        <f t="shared" si="291"/>
        <v>2.4911164605172231E-4</v>
      </c>
      <c r="BF317" s="192">
        <f t="shared" si="291"/>
        <v>2.4911164605172231E-4</v>
      </c>
      <c r="BG317" s="192">
        <f t="shared" si="291"/>
        <v>2.4911164605172231E-4</v>
      </c>
      <c r="BH317" s="192">
        <f t="shared" si="291"/>
        <v>2.4911164605172231E-4</v>
      </c>
      <c r="BI317" s="192">
        <f t="shared" si="291"/>
        <v>2.4911164605172231E-4</v>
      </c>
      <c r="BJ317" s="192">
        <f t="shared" si="291"/>
        <v>2.4911164605172231E-4</v>
      </c>
      <c r="BK317" s="192">
        <f t="shared" si="291"/>
        <v>2.4911164605172231E-4</v>
      </c>
      <c r="BL317" s="192">
        <f t="shared" si="291"/>
        <v>2.4911164605172231E-4</v>
      </c>
      <c r="BM317" s="192">
        <f t="shared" si="291"/>
        <v>2.4911164605172231E-4</v>
      </c>
      <c r="BN317" s="192">
        <f t="shared" si="291"/>
        <v>2.4911164605172231E-4</v>
      </c>
      <c r="BO317" s="192">
        <f t="shared" si="291"/>
        <v>2.4911164605172231E-4</v>
      </c>
      <c r="BP317" s="192">
        <f t="shared" si="291"/>
        <v>2.4911164605172231E-4</v>
      </c>
      <c r="BQ317" s="192">
        <f t="shared" si="291"/>
        <v>2.4911164605172231E-4</v>
      </c>
      <c r="BR317" s="192">
        <f t="shared" si="291"/>
        <v>2.4911164605172231E-4</v>
      </c>
      <c r="BS317" s="192">
        <f t="shared" si="291"/>
        <v>2.4911164605172231E-4</v>
      </c>
      <c r="BT317" s="192">
        <f t="shared" si="291"/>
        <v>2.4911164605172231E-4</v>
      </c>
      <c r="BU317" s="192">
        <f t="shared" si="291"/>
        <v>2.4911164605172231E-4</v>
      </c>
      <c r="BV317" s="192">
        <f t="shared" si="291"/>
        <v>2.4911164605172231E-4</v>
      </c>
    </row>
    <row r="318" spans="1:74">
      <c r="A318" s="141" t="s">
        <v>191</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2">
        <f t="shared" ref="AS318:BV318" si="293">AR318</f>
        <v>1.4689578839936621E-7</v>
      </c>
      <c r="AT318" s="192">
        <f t="shared" si="293"/>
        <v>1.4689578839936621E-7</v>
      </c>
      <c r="AU318" s="192">
        <f t="shared" si="293"/>
        <v>1.4689578839936621E-7</v>
      </c>
      <c r="AV318" s="192">
        <f t="shared" si="293"/>
        <v>1.4689578839936621E-7</v>
      </c>
      <c r="AW318" s="192">
        <f t="shared" si="293"/>
        <v>1.4689578839936621E-7</v>
      </c>
      <c r="AX318" s="192">
        <f t="shared" si="293"/>
        <v>1.4689578839936621E-7</v>
      </c>
      <c r="AY318" s="192">
        <f t="shared" si="293"/>
        <v>1.4689578839936621E-7</v>
      </c>
      <c r="AZ318" s="192">
        <f t="shared" si="293"/>
        <v>1.4689578839936621E-7</v>
      </c>
      <c r="BA318" s="192">
        <f t="shared" si="293"/>
        <v>1.4689578839936621E-7</v>
      </c>
      <c r="BB318" s="192">
        <f t="shared" si="293"/>
        <v>1.4689578839936621E-7</v>
      </c>
      <c r="BC318" s="192">
        <f t="shared" si="293"/>
        <v>1.4689578839936621E-7</v>
      </c>
      <c r="BD318" s="192">
        <f t="shared" si="293"/>
        <v>1.4689578839936621E-7</v>
      </c>
      <c r="BE318" s="192">
        <f t="shared" si="293"/>
        <v>1.4689578839936621E-7</v>
      </c>
      <c r="BF318" s="192">
        <f t="shared" si="293"/>
        <v>1.4689578839936621E-7</v>
      </c>
      <c r="BG318" s="192">
        <f t="shared" si="293"/>
        <v>1.4689578839936621E-7</v>
      </c>
      <c r="BH318" s="192">
        <f t="shared" si="293"/>
        <v>1.4689578839936621E-7</v>
      </c>
      <c r="BI318" s="192">
        <f t="shared" si="293"/>
        <v>1.4689578839936621E-7</v>
      </c>
      <c r="BJ318" s="192">
        <f t="shared" si="293"/>
        <v>1.4689578839936621E-7</v>
      </c>
      <c r="BK318" s="192">
        <f t="shared" si="293"/>
        <v>1.4689578839936621E-7</v>
      </c>
      <c r="BL318" s="192">
        <f t="shared" si="293"/>
        <v>1.4689578839936621E-7</v>
      </c>
      <c r="BM318" s="192">
        <f t="shared" si="293"/>
        <v>1.4689578839936621E-7</v>
      </c>
      <c r="BN318" s="192">
        <f t="shared" si="293"/>
        <v>1.4689578839936621E-7</v>
      </c>
      <c r="BO318" s="192">
        <f t="shared" si="293"/>
        <v>1.4689578839936621E-7</v>
      </c>
      <c r="BP318" s="192">
        <f t="shared" si="293"/>
        <v>1.4689578839936621E-7</v>
      </c>
      <c r="BQ318" s="192">
        <f t="shared" si="293"/>
        <v>1.4689578839936621E-7</v>
      </c>
      <c r="BR318" s="192">
        <f t="shared" si="293"/>
        <v>1.4689578839936621E-7</v>
      </c>
      <c r="BS318" s="192">
        <f t="shared" si="293"/>
        <v>1.4689578839936621E-7</v>
      </c>
      <c r="BT318" s="192">
        <f t="shared" si="293"/>
        <v>1.4689578839936621E-7</v>
      </c>
      <c r="BU318" s="192">
        <f t="shared" si="293"/>
        <v>1.4689578839936621E-7</v>
      </c>
      <c r="BV318" s="192">
        <f t="shared" si="293"/>
        <v>1.4689578839936621E-7</v>
      </c>
    </row>
    <row r="319" spans="1:74">
      <c r="A319" s="141" t="s">
        <v>193</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2">
        <f t="shared" ref="AS319:BV319" si="295">AR319</f>
        <v>1.5142852442202794E-4</v>
      </c>
      <c r="AT319" s="192">
        <f t="shared" si="295"/>
        <v>1.5142852442202794E-4</v>
      </c>
      <c r="AU319" s="192">
        <f t="shared" si="295"/>
        <v>1.5142852442202794E-4</v>
      </c>
      <c r="AV319" s="192">
        <f t="shared" si="295"/>
        <v>1.5142852442202794E-4</v>
      </c>
      <c r="AW319" s="192">
        <f t="shared" si="295"/>
        <v>1.5142852442202794E-4</v>
      </c>
      <c r="AX319" s="192">
        <f t="shared" si="295"/>
        <v>1.5142852442202794E-4</v>
      </c>
      <c r="AY319" s="192">
        <f t="shared" si="295"/>
        <v>1.5142852442202794E-4</v>
      </c>
      <c r="AZ319" s="192">
        <f t="shared" si="295"/>
        <v>1.5142852442202794E-4</v>
      </c>
      <c r="BA319" s="192">
        <f t="shared" si="295"/>
        <v>1.5142852442202794E-4</v>
      </c>
      <c r="BB319" s="192">
        <f t="shared" si="295"/>
        <v>1.5142852442202794E-4</v>
      </c>
      <c r="BC319" s="192">
        <f t="shared" si="295"/>
        <v>1.5142852442202794E-4</v>
      </c>
      <c r="BD319" s="192">
        <f t="shared" si="295"/>
        <v>1.5142852442202794E-4</v>
      </c>
      <c r="BE319" s="192">
        <f t="shared" si="295"/>
        <v>1.5142852442202794E-4</v>
      </c>
      <c r="BF319" s="192">
        <f t="shared" si="295"/>
        <v>1.5142852442202794E-4</v>
      </c>
      <c r="BG319" s="192">
        <f t="shared" si="295"/>
        <v>1.5142852442202794E-4</v>
      </c>
      <c r="BH319" s="192">
        <f t="shared" si="295"/>
        <v>1.5142852442202794E-4</v>
      </c>
      <c r="BI319" s="192">
        <f t="shared" si="295"/>
        <v>1.5142852442202794E-4</v>
      </c>
      <c r="BJ319" s="192">
        <f t="shared" si="295"/>
        <v>1.5142852442202794E-4</v>
      </c>
      <c r="BK319" s="192">
        <f t="shared" si="295"/>
        <v>1.5142852442202794E-4</v>
      </c>
      <c r="BL319" s="192">
        <f t="shared" si="295"/>
        <v>1.5142852442202794E-4</v>
      </c>
      <c r="BM319" s="192">
        <f t="shared" si="295"/>
        <v>1.5142852442202794E-4</v>
      </c>
      <c r="BN319" s="192">
        <f t="shared" si="295"/>
        <v>1.5142852442202794E-4</v>
      </c>
      <c r="BO319" s="192">
        <f t="shared" si="295"/>
        <v>1.5142852442202794E-4</v>
      </c>
      <c r="BP319" s="192">
        <f t="shared" si="295"/>
        <v>1.5142852442202794E-4</v>
      </c>
      <c r="BQ319" s="192">
        <f t="shared" si="295"/>
        <v>1.5142852442202794E-4</v>
      </c>
      <c r="BR319" s="192">
        <f t="shared" si="295"/>
        <v>1.5142852442202794E-4</v>
      </c>
      <c r="BS319" s="192">
        <f t="shared" si="295"/>
        <v>1.5142852442202794E-4</v>
      </c>
      <c r="BT319" s="192">
        <f t="shared" si="295"/>
        <v>1.5142852442202794E-4</v>
      </c>
      <c r="BU319" s="192">
        <f t="shared" si="295"/>
        <v>1.5142852442202794E-4</v>
      </c>
      <c r="BV319" s="192">
        <f t="shared" si="295"/>
        <v>1.5142852442202794E-4</v>
      </c>
    </row>
    <row r="320" spans="1:74">
      <c r="A320" s="141" t="s">
        <v>249</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2">
        <f t="shared" ref="AS320:BV320" si="297">AR320</f>
        <v>3.9905862201232022E-4</v>
      </c>
      <c r="AT320" s="192">
        <f t="shared" si="297"/>
        <v>3.9905862201232022E-4</v>
      </c>
      <c r="AU320" s="192">
        <f t="shared" si="297"/>
        <v>3.9905862201232022E-4</v>
      </c>
      <c r="AV320" s="192">
        <f t="shared" si="297"/>
        <v>3.9905862201232022E-4</v>
      </c>
      <c r="AW320" s="192">
        <f t="shared" si="297"/>
        <v>3.9905862201232022E-4</v>
      </c>
      <c r="AX320" s="192">
        <f t="shared" si="297"/>
        <v>3.9905862201232022E-4</v>
      </c>
      <c r="AY320" s="192">
        <f t="shared" si="297"/>
        <v>3.9905862201232022E-4</v>
      </c>
      <c r="AZ320" s="192">
        <f t="shared" si="297"/>
        <v>3.9905862201232022E-4</v>
      </c>
      <c r="BA320" s="192">
        <f t="shared" si="297"/>
        <v>3.9905862201232022E-4</v>
      </c>
      <c r="BB320" s="192">
        <f t="shared" si="297"/>
        <v>3.9905862201232022E-4</v>
      </c>
      <c r="BC320" s="192">
        <f t="shared" si="297"/>
        <v>3.9905862201232022E-4</v>
      </c>
      <c r="BD320" s="192">
        <f t="shared" si="297"/>
        <v>3.9905862201232022E-4</v>
      </c>
      <c r="BE320" s="192">
        <f t="shared" si="297"/>
        <v>3.9905862201232022E-4</v>
      </c>
      <c r="BF320" s="192">
        <f t="shared" si="297"/>
        <v>3.9905862201232022E-4</v>
      </c>
      <c r="BG320" s="192">
        <f t="shared" si="297"/>
        <v>3.9905862201232022E-4</v>
      </c>
      <c r="BH320" s="192">
        <f t="shared" si="297"/>
        <v>3.9905862201232022E-4</v>
      </c>
      <c r="BI320" s="192">
        <f t="shared" si="297"/>
        <v>3.9905862201232022E-4</v>
      </c>
      <c r="BJ320" s="192">
        <f t="shared" si="297"/>
        <v>3.9905862201232022E-4</v>
      </c>
      <c r="BK320" s="192">
        <f t="shared" si="297"/>
        <v>3.9905862201232022E-4</v>
      </c>
      <c r="BL320" s="192">
        <f t="shared" si="297"/>
        <v>3.9905862201232022E-4</v>
      </c>
      <c r="BM320" s="192">
        <f t="shared" si="297"/>
        <v>3.9905862201232022E-4</v>
      </c>
      <c r="BN320" s="192">
        <f t="shared" si="297"/>
        <v>3.9905862201232022E-4</v>
      </c>
      <c r="BO320" s="192">
        <f t="shared" si="297"/>
        <v>3.9905862201232022E-4</v>
      </c>
      <c r="BP320" s="192">
        <f t="shared" si="297"/>
        <v>3.9905862201232022E-4</v>
      </c>
      <c r="BQ320" s="192">
        <f t="shared" si="297"/>
        <v>3.9905862201232022E-4</v>
      </c>
      <c r="BR320" s="192">
        <f t="shared" si="297"/>
        <v>3.9905862201232022E-4</v>
      </c>
      <c r="BS320" s="192">
        <f t="shared" si="297"/>
        <v>3.9905862201232022E-4</v>
      </c>
      <c r="BT320" s="192">
        <f t="shared" si="297"/>
        <v>3.9905862201232022E-4</v>
      </c>
      <c r="BU320" s="192">
        <f t="shared" si="297"/>
        <v>3.9905862201232022E-4</v>
      </c>
      <c r="BV320" s="192">
        <f t="shared" si="297"/>
        <v>3.9905862201232022E-4</v>
      </c>
    </row>
    <row r="321" spans="1:74">
      <c r="A321" s="141" t="s">
        <v>194</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2">
        <f t="shared" ref="AS321:BV321" si="299">AR321</f>
        <v>2.1373589711148842E-4</v>
      </c>
      <c r="AT321" s="192">
        <f t="shared" si="299"/>
        <v>2.1373589711148842E-4</v>
      </c>
      <c r="AU321" s="192">
        <f t="shared" si="299"/>
        <v>2.1373589711148842E-4</v>
      </c>
      <c r="AV321" s="192">
        <f t="shared" si="299"/>
        <v>2.1373589711148842E-4</v>
      </c>
      <c r="AW321" s="192">
        <f t="shared" si="299"/>
        <v>2.1373589711148842E-4</v>
      </c>
      <c r="AX321" s="192">
        <f t="shared" si="299"/>
        <v>2.1373589711148842E-4</v>
      </c>
      <c r="AY321" s="192">
        <f t="shared" si="299"/>
        <v>2.1373589711148842E-4</v>
      </c>
      <c r="AZ321" s="192">
        <f t="shared" si="299"/>
        <v>2.1373589711148842E-4</v>
      </c>
      <c r="BA321" s="192">
        <f t="shared" si="299"/>
        <v>2.1373589711148842E-4</v>
      </c>
      <c r="BB321" s="192">
        <f t="shared" si="299"/>
        <v>2.1373589711148842E-4</v>
      </c>
      <c r="BC321" s="192">
        <f t="shared" si="299"/>
        <v>2.1373589711148842E-4</v>
      </c>
      <c r="BD321" s="192">
        <f t="shared" si="299"/>
        <v>2.1373589711148842E-4</v>
      </c>
      <c r="BE321" s="192">
        <f t="shared" si="299"/>
        <v>2.1373589711148842E-4</v>
      </c>
      <c r="BF321" s="192">
        <f t="shared" si="299"/>
        <v>2.1373589711148842E-4</v>
      </c>
      <c r="BG321" s="192">
        <f t="shared" si="299"/>
        <v>2.1373589711148842E-4</v>
      </c>
      <c r="BH321" s="192">
        <f t="shared" si="299"/>
        <v>2.1373589711148842E-4</v>
      </c>
      <c r="BI321" s="192">
        <f t="shared" si="299"/>
        <v>2.1373589711148842E-4</v>
      </c>
      <c r="BJ321" s="192">
        <f t="shared" si="299"/>
        <v>2.1373589711148842E-4</v>
      </c>
      <c r="BK321" s="192">
        <f t="shared" si="299"/>
        <v>2.1373589711148842E-4</v>
      </c>
      <c r="BL321" s="192">
        <f t="shared" si="299"/>
        <v>2.1373589711148842E-4</v>
      </c>
      <c r="BM321" s="192">
        <f t="shared" si="299"/>
        <v>2.1373589711148842E-4</v>
      </c>
      <c r="BN321" s="192">
        <f t="shared" si="299"/>
        <v>2.1373589711148842E-4</v>
      </c>
      <c r="BO321" s="192">
        <f t="shared" si="299"/>
        <v>2.1373589711148842E-4</v>
      </c>
      <c r="BP321" s="192">
        <f t="shared" si="299"/>
        <v>2.1373589711148842E-4</v>
      </c>
      <c r="BQ321" s="192">
        <f t="shared" si="299"/>
        <v>2.1373589711148842E-4</v>
      </c>
      <c r="BR321" s="192">
        <f t="shared" si="299"/>
        <v>2.1373589711148842E-4</v>
      </c>
      <c r="BS321" s="192">
        <f t="shared" si="299"/>
        <v>2.1373589711148842E-4</v>
      </c>
      <c r="BT321" s="192">
        <f t="shared" si="299"/>
        <v>2.1373589711148842E-4</v>
      </c>
      <c r="BU321" s="192">
        <f t="shared" si="299"/>
        <v>2.1373589711148842E-4</v>
      </c>
      <c r="BV321" s="192">
        <f t="shared" si="299"/>
        <v>2.1373589711148842E-4</v>
      </c>
    </row>
    <row r="322" spans="1:74">
      <c r="A322" s="147" t="s">
        <v>12</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2">
        <f t="shared" ref="AS322:BV322" si="301">AR322</f>
        <v>2.1373589711148842E-4</v>
      </c>
      <c r="AT322" s="192">
        <f t="shared" si="301"/>
        <v>2.1373589711148842E-4</v>
      </c>
      <c r="AU322" s="192">
        <f t="shared" si="301"/>
        <v>2.1373589711148842E-4</v>
      </c>
      <c r="AV322" s="192">
        <f t="shared" si="301"/>
        <v>2.1373589711148842E-4</v>
      </c>
      <c r="AW322" s="192">
        <f t="shared" si="301"/>
        <v>2.1373589711148842E-4</v>
      </c>
      <c r="AX322" s="192">
        <f t="shared" si="301"/>
        <v>2.1373589711148842E-4</v>
      </c>
      <c r="AY322" s="192">
        <f t="shared" si="301"/>
        <v>2.1373589711148842E-4</v>
      </c>
      <c r="AZ322" s="192">
        <f t="shared" si="301"/>
        <v>2.1373589711148842E-4</v>
      </c>
      <c r="BA322" s="192">
        <f t="shared" si="301"/>
        <v>2.1373589711148842E-4</v>
      </c>
      <c r="BB322" s="192">
        <f t="shared" si="301"/>
        <v>2.1373589711148842E-4</v>
      </c>
      <c r="BC322" s="192">
        <f t="shared" si="301"/>
        <v>2.1373589711148842E-4</v>
      </c>
      <c r="BD322" s="192">
        <f t="shared" si="301"/>
        <v>2.1373589711148842E-4</v>
      </c>
      <c r="BE322" s="192">
        <f t="shared" si="301"/>
        <v>2.1373589711148842E-4</v>
      </c>
      <c r="BF322" s="192">
        <f t="shared" si="301"/>
        <v>2.1373589711148842E-4</v>
      </c>
      <c r="BG322" s="192">
        <f t="shared" si="301"/>
        <v>2.1373589711148842E-4</v>
      </c>
      <c r="BH322" s="192">
        <f t="shared" si="301"/>
        <v>2.1373589711148842E-4</v>
      </c>
      <c r="BI322" s="192">
        <f t="shared" si="301"/>
        <v>2.1373589711148842E-4</v>
      </c>
      <c r="BJ322" s="192">
        <f t="shared" si="301"/>
        <v>2.1373589711148842E-4</v>
      </c>
      <c r="BK322" s="192">
        <f t="shared" si="301"/>
        <v>2.1373589711148842E-4</v>
      </c>
      <c r="BL322" s="192">
        <f t="shared" si="301"/>
        <v>2.1373589711148842E-4</v>
      </c>
      <c r="BM322" s="192">
        <f t="shared" si="301"/>
        <v>2.1373589711148842E-4</v>
      </c>
      <c r="BN322" s="192">
        <f t="shared" si="301"/>
        <v>2.1373589711148842E-4</v>
      </c>
      <c r="BO322" s="192">
        <f t="shared" si="301"/>
        <v>2.1373589711148842E-4</v>
      </c>
      <c r="BP322" s="192">
        <f t="shared" si="301"/>
        <v>2.1373589711148842E-4</v>
      </c>
      <c r="BQ322" s="192">
        <f t="shared" si="301"/>
        <v>2.1373589711148842E-4</v>
      </c>
      <c r="BR322" s="192">
        <f t="shared" si="301"/>
        <v>2.1373589711148842E-4</v>
      </c>
      <c r="BS322" s="192">
        <f t="shared" si="301"/>
        <v>2.1373589711148842E-4</v>
      </c>
      <c r="BT322" s="192">
        <f t="shared" si="301"/>
        <v>2.1373589711148842E-4</v>
      </c>
      <c r="BU322" s="192">
        <f t="shared" si="301"/>
        <v>2.1373589711148842E-4</v>
      </c>
      <c r="BV322" s="192">
        <f t="shared" si="301"/>
        <v>2.1373589711148842E-4</v>
      </c>
    </row>
    <row r="323" spans="1:74">
      <c r="A323" s="147" t="s">
        <v>197</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2">
        <f t="shared" ref="AS323:BV323" si="303">AR323</f>
        <v>1.0679145490622799E-3</v>
      </c>
      <c r="AT323" s="192">
        <f t="shared" si="303"/>
        <v>1.0679145490622799E-3</v>
      </c>
      <c r="AU323" s="192">
        <f t="shared" si="303"/>
        <v>1.0679145490622799E-3</v>
      </c>
      <c r="AV323" s="192">
        <f t="shared" si="303"/>
        <v>1.0679145490622799E-3</v>
      </c>
      <c r="AW323" s="192">
        <f t="shared" si="303"/>
        <v>1.0679145490622799E-3</v>
      </c>
      <c r="AX323" s="192">
        <f t="shared" si="303"/>
        <v>1.0679145490622799E-3</v>
      </c>
      <c r="AY323" s="192">
        <f t="shared" si="303"/>
        <v>1.0679145490622799E-3</v>
      </c>
      <c r="AZ323" s="192">
        <f t="shared" si="303"/>
        <v>1.0679145490622799E-3</v>
      </c>
      <c r="BA323" s="192">
        <f t="shared" si="303"/>
        <v>1.0679145490622799E-3</v>
      </c>
      <c r="BB323" s="192">
        <f t="shared" si="303"/>
        <v>1.0679145490622799E-3</v>
      </c>
      <c r="BC323" s="192">
        <f t="shared" si="303"/>
        <v>1.0679145490622799E-3</v>
      </c>
      <c r="BD323" s="192">
        <f t="shared" si="303"/>
        <v>1.0679145490622799E-3</v>
      </c>
      <c r="BE323" s="192">
        <f t="shared" si="303"/>
        <v>1.0679145490622799E-3</v>
      </c>
      <c r="BF323" s="192">
        <f t="shared" si="303"/>
        <v>1.0679145490622799E-3</v>
      </c>
      <c r="BG323" s="192">
        <f t="shared" si="303"/>
        <v>1.0679145490622799E-3</v>
      </c>
      <c r="BH323" s="192">
        <f t="shared" si="303"/>
        <v>1.0679145490622799E-3</v>
      </c>
      <c r="BI323" s="192">
        <f t="shared" si="303"/>
        <v>1.0679145490622799E-3</v>
      </c>
      <c r="BJ323" s="192">
        <f t="shared" si="303"/>
        <v>1.0679145490622799E-3</v>
      </c>
      <c r="BK323" s="192">
        <f t="shared" si="303"/>
        <v>1.0679145490622799E-3</v>
      </c>
      <c r="BL323" s="192">
        <f t="shared" si="303"/>
        <v>1.0679145490622799E-3</v>
      </c>
      <c r="BM323" s="192">
        <f t="shared" si="303"/>
        <v>1.0679145490622799E-3</v>
      </c>
      <c r="BN323" s="192">
        <f t="shared" si="303"/>
        <v>1.0679145490622799E-3</v>
      </c>
      <c r="BO323" s="192">
        <f t="shared" si="303"/>
        <v>1.0679145490622799E-3</v>
      </c>
      <c r="BP323" s="192">
        <f t="shared" si="303"/>
        <v>1.0679145490622799E-3</v>
      </c>
      <c r="BQ323" s="192">
        <f t="shared" si="303"/>
        <v>1.0679145490622799E-3</v>
      </c>
      <c r="BR323" s="192">
        <f t="shared" si="303"/>
        <v>1.0679145490622799E-3</v>
      </c>
      <c r="BS323" s="192">
        <f t="shared" si="303"/>
        <v>1.0679145490622799E-3</v>
      </c>
      <c r="BT323" s="192">
        <f t="shared" si="303"/>
        <v>1.0679145490622799E-3</v>
      </c>
      <c r="BU323" s="192">
        <f t="shared" si="303"/>
        <v>1.0679145490622799E-3</v>
      </c>
      <c r="BV323" s="192">
        <f t="shared" si="303"/>
        <v>1.0679145490622799E-3</v>
      </c>
    </row>
    <row r="324" spans="1:74">
      <c r="A324" s="147" t="s">
        <v>195</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2">
        <f t="shared" ref="AS324:BV324" si="305">AR324</f>
        <v>2.1373589711148842E-4</v>
      </c>
      <c r="AT324" s="192">
        <f t="shared" si="305"/>
        <v>2.1373589711148842E-4</v>
      </c>
      <c r="AU324" s="192">
        <f t="shared" si="305"/>
        <v>2.1373589711148842E-4</v>
      </c>
      <c r="AV324" s="192">
        <f t="shared" si="305"/>
        <v>2.1373589711148842E-4</v>
      </c>
      <c r="AW324" s="192">
        <f t="shared" si="305"/>
        <v>2.1373589711148842E-4</v>
      </c>
      <c r="AX324" s="192">
        <f t="shared" si="305"/>
        <v>2.1373589711148842E-4</v>
      </c>
      <c r="AY324" s="192">
        <f t="shared" si="305"/>
        <v>2.1373589711148842E-4</v>
      </c>
      <c r="AZ324" s="192">
        <f t="shared" si="305"/>
        <v>2.1373589711148842E-4</v>
      </c>
      <c r="BA324" s="192">
        <f t="shared" si="305"/>
        <v>2.1373589711148842E-4</v>
      </c>
      <c r="BB324" s="192">
        <f t="shared" si="305"/>
        <v>2.1373589711148842E-4</v>
      </c>
      <c r="BC324" s="192">
        <f t="shared" si="305"/>
        <v>2.1373589711148842E-4</v>
      </c>
      <c r="BD324" s="192">
        <f t="shared" si="305"/>
        <v>2.1373589711148842E-4</v>
      </c>
      <c r="BE324" s="192">
        <f t="shared" si="305"/>
        <v>2.1373589711148842E-4</v>
      </c>
      <c r="BF324" s="192">
        <f t="shared" si="305"/>
        <v>2.1373589711148842E-4</v>
      </c>
      <c r="BG324" s="192">
        <f t="shared" si="305"/>
        <v>2.1373589711148842E-4</v>
      </c>
      <c r="BH324" s="192">
        <f t="shared" si="305"/>
        <v>2.1373589711148842E-4</v>
      </c>
      <c r="BI324" s="192">
        <f t="shared" si="305"/>
        <v>2.1373589711148842E-4</v>
      </c>
      <c r="BJ324" s="192">
        <f t="shared" si="305"/>
        <v>2.1373589711148842E-4</v>
      </c>
      <c r="BK324" s="192">
        <f t="shared" si="305"/>
        <v>2.1373589711148842E-4</v>
      </c>
      <c r="BL324" s="192">
        <f t="shared" si="305"/>
        <v>2.1373589711148842E-4</v>
      </c>
      <c r="BM324" s="192">
        <f t="shared" si="305"/>
        <v>2.1373589711148842E-4</v>
      </c>
      <c r="BN324" s="192">
        <f t="shared" si="305"/>
        <v>2.1373589711148842E-4</v>
      </c>
      <c r="BO324" s="192">
        <f t="shared" si="305"/>
        <v>2.1373589711148842E-4</v>
      </c>
      <c r="BP324" s="192">
        <f t="shared" si="305"/>
        <v>2.1373589711148842E-4</v>
      </c>
      <c r="BQ324" s="192">
        <f t="shared" si="305"/>
        <v>2.1373589711148842E-4</v>
      </c>
      <c r="BR324" s="192">
        <f t="shared" si="305"/>
        <v>2.1373589711148842E-4</v>
      </c>
      <c r="BS324" s="192">
        <f t="shared" si="305"/>
        <v>2.1373589711148842E-4</v>
      </c>
      <c r="BT324" s="192">
        <f t="shared" si="305"/>
        <v>2.1373589711148842E-4</v>
      </c>
      <c r="BU324" s="192">
        <f t="shared" si="305"/>
        <v>2.1373589711148842E-4</v>
      </c>
      <c r="BV324" s="192">
        <f t="shared" si="305"/>
        <v>2.1373589711148842E-4</v>
      </c>
    </row>
    <row r="325" spans="1:74">
      <c r="A325" s="141" t="s">
        <v>13</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2">
        <f t="shared" ref="AS325:BV325" si="307">AR325</f>
        <v>2.2297302135319168E-4</v>
      </c>
      <c r="AT325" s="192">
        <f t="shared" si="307"/>
        <v>2.2297302135319168E-4</v>
      </c>
      <c r="AU325" s="192">
        <f t="shared" si="307"/>
        <v>2.2297302135319168E-4</v>
      </c>
      <c r="AV325" s="192">
        <f t="shared" si="307"/>
        <v>2.2297302135319168E-4</v>
      </c>
      <c r="AW325" s="192">
        <f t="shared" si="307"/>
        <v>2.2297302135319168E-4</v>
      </c>
      <c r="AX325" s="192">
        <f t="shared" si="307"/>
        <v>2.2297302135319168E-4</v>
      </c>
      <c r="AY325" s="192">
        <f t="shared" si="307"/>
        <v>2.2297302135319168E-4</v>
      </c>
      <c r="AZ325" s="192">
        <f t="shared" si="307"/>
        <v>2.2297302135319168E-4</v>
      </c>
      <c r="BA325" s="192">
        <f t="shared" si="307"/>
        <v>2.2297302135319168E-4</v>
      </c>
      <c r="BB325" s="192">
        <f t="shared" si="307"/>
        <v>2.2297302135319168E-4</v>
      </c>
      <c r="BC325" s="192">
        <f t="shared" si="307"/>
        <v>2.2297302135319168E-4</v>
      </c>
      <c r="BD325" s="192">
        <f t="shared" si="307"/>
        <v>2.2297302135319168E-4</v>
      </c>
      <c r="BE325" s="192">
        <f t="shared" si="307"/>
        <v>2.2297302135319168E-4</v>
      </c>
      <c r="BF325" s="192">
        <f t="shared" si="307"/>
        <v>2.2297302135319168E-4</v>
      </c>
      <c r="BG325" s="192">
        <f t="shared" si="307"/>
        <v>2.2297302135319168E-4</v>
      </c>
      <c r="BH325" s="192">
        <f t="shared" si="307"/>
        <v>2.2297302135319168E-4</v>
      </c>
      <c r="BI325" s="192">
        <f t="shared" si="307"/>
        <v>2.2297302135319168E-4</v>
      </c>
      <c r="BJ325" s="192">
        <f t="shared" si="307"/>
        <v>2.2297302135319168E-4</v>
      </c>
      <c r="BK325" s="192">
        <f t="shared" si="307"/>
        <v>2.2297302135319168E-4</v>
      </c>
      <c r="BL325" s="192">
        <f t="shared" si="307"/>
        <v>2.2297302135319168E-4</v>
      </c>
      <c r="BM325" s="192">
        <f t="shared" si="307"/>
        <v>2.2297302135319168E-4</v>
      </c>
      <c r="BN325" s="192">
        <f t="shared" si="307"/>
        <v>2.2297302135319168E-4</v>
      </c>
      <c r="BO325" s="192">
        <f t="shared" si="307"/>
        <v>2.2297302135319168E-4</v>
      </c>
      <c r="BP325" s="192">
        <f t="shared" si="307"/>
        <v>2.2297302135319168E-4</v>
      </c>
      <c r="BQ325" s="192">
        <f t="shared" si="307"/>
        <v>2.2297302135319168E-4</v>
      </c>
      <c r="BR325" s="192">
        <f t="shared" si="307"/>
        <v>2.2297302135319168E-4</v>
      </c>
      <c r="BS325" s="192">
        <f t="shared" si="307"/>
        <v>2.2297302135319168E-4</v>
      </c>
      <c r="BT325" s="192">
        <f t="shared" si="307"/>
        <v>2.2297302135319168E-4</v>
      </c>
      <c r="BU325" s="192">
        <f t="shared" si="307"/>
        <v>2.2297302135319168E-4</v>
      </c>
      <c r="BV325" s="192">
        <f t="shared" si="307"/>
        <v>2.2297302135319168E-4</v>
      </c>
    </row>
    <row r="326" spans="1:74">
      <c r="A326" s="141" t="s">
        <v>186</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2">
        <f t="shared" ref="AS326:BV326" si="309">AR326</f>
        <v>1.5721765586055716E-4</v>
      </c>
      <c r="AT326" s="192">
        <f t="shared" si="309"/>
        <v>1.5721765586055716E-4</v>
      </c>
      <c r="AU326" s="192">
        <f t="shared" si="309"/>
        <v>1.5721765586055716E-4</v>
      </c>
      <c r="AV326" s="192">
        <f t="shared" si="309"/>
        <v>1.5721765586055716E-4</v>
      </c>
      <c r="AW326" s="192">
        <f t="shared" si="309"/>
        <v>1.5721765586055716E-4</v>
      </c>
      <c r="AX326" s="192">
        <f t="shared" si="309"/>
        <v>1.5721765586055716E-4</v>
      </c>
      <c r="AY326" s="192">
        <f t="shared" si="309"/>
        <v>1.5721765586055716E-4</v>
      </c>
      <c r="AZ326" s="192">
        <f t="shared" si="309"/>
        <v>1.5721765586055716E-4</v>
      </c>
      <c r="BA326" s="192">
        <f t="shared" si="309"/>
        <v>1.5721765586055716E-4</v>
      </c>
      <c r="BB326" s="192">
        <f t="shared" si="309"/>
        <v>1.5721765586055716E-4</v>
      </c>
      <c r="BC326" s="192">
        <f t="shared" si="309"/>
        <v>1.5721765586055716E-4</v>
      </c>
      <c r="BD326" s="192">
        <f t="shared" si="309"/>
        <v>1.5721765586055716E-4</v>
      </c>
      <c r="BE326" s="192">
        <f t="shared" si="309"/>
        <v>1.5721765586055716E-4</v>
      </c>
      <c r="BF326" s="192">
        <f t="shared" si="309"/>
        <v>1.5721765586055716E-4</v>
      </c>
      <c r="BG326" s="192">
        <f t="shared" si="309"/>
        <v>1.5721765586055716E-4</v>
      </c>
      <c r="BH326" s="192">
        <f t="shared" si="309"/>
        <v>1.5721765586055716E-4</v>
      </c>
      <c r="BI326" s="192">
        <f t="shared" si="309"/>
        <v>1.5721765586055716E-4</v>
      </c>
      <c r="BJ326" s="192">
        <f t="shared" si="309"/>
        <v>1.5721765586055716E-4</v>
      </c>
      <c r="BK326" s="192">
        <f t="shared" si="309"/>
        <v>1.5721765586055716E-4</v>
      </c>
      <c r="BL326" s="192">
        <f t="shared" si="309"/>
        <v>1.5721765586055716E-4</v>
      </c>
      <c r="BM326" s="192">
        <f t="shared" si="309"/>
        <v>1.5721765586055716E-4</v>
      </c>
      <c r="BN326" s="192">
        <f t="shared" si="309"/>
        <v>1.5721765586055716E-4</v>
      </c>
      <c r="BO326" s="192">
        <f t="shared" si="309"/>
        <v>1.5721765586055716E-4</v>
      </c>
      <c r="BP326" s="192">
        <f t="shared" si="309"/>
        <v>1.5721765586055716E-4</v>
      </c>
      <c r="BQ326" s="192">
        <f t="shared" si="309"/>
        <v>1.5721765586055716E-4</v>
      </c>
      <c r="BR326" s="192">
        <f t="shared" si="309"/>
        <v>1.5721765586055716E-4</v>
      </c>
      <c r="BS326" s="192">
        <f t="shared" si="309"/>
        <v>1.5721765586055716E-4</v>
      </c>
      <c r="BT326" s="192">
        <f t="shared" si="309"/>
        <v>1.5721765586055716E-4</v>
      </c>
      <c r="BU326" s="192">
        <f t="shared" si="309"/>
        <v>1.5721765586055716E-4</v>
      </c>
      <c r="BV326" s="192">
        <f t="shared" si="309"/>
        <v>1.5721765586055716E-4</v>
      </c>
    </row>
    <row r="327" spans="1:74">
      <c r="A327" s="147" t="s">
        <v>198</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2">
        <f t="shared" ref="AS327:BV327" si="311">AR327</f>
        <v>1.1307847836479429E-3</v>
      </c>
      <c r="AT327" s="192">
        <f t="shared" si="311"/>
        <v>1.1307847836479429E-3</v>
      </c>
      <c r="AU327" s="192">
        <f t="shared" si="311"/>
        <v>1.1307847836479429E-3</v>
      </c>
      <c r="AV327" s="192">
        <f t="shared" si="311"/>
        <v>1.1307847836479429E-3</v>
      </c>
      <c r="AW327" s="192">
        <f t="shared" si="311"/>
        <v>1.1307847836479429E-3</v>
      </c>
      <c r="AX327" s="192">
        <f t="shared" si="311"/>
        <v>1.1307847836479429E-3</v>
      </c>
      <c r="AY327" s="192">
        <f t="shared" si="311"/>
        <v>1.1307847836479429E-3</v>
      </c>
      <c r="AZ327" s="192">
        <f t="shared" si="311"/>
        <v>1.1307847836479429E-3</v>
      </c>
      <c r="BA327" s="192">
        <f t="shared" si="311"/>
        <v>1.1307847836479429E-3</v>
      </c>
      <c r="BB327" s="192">
        <f t="shared" si="311"/>
        <v>1.1307847836479429E-3</v>
      </c>
      <c r="BC327" s="192">
        <f t="shared" si="311"/>
        <v>1.1307847836479429E-3</v>
      </c>
      <c r="BD327" s="192">
        <f t="shared" si="311"/>
        <v>1.1307847836479429E-3</v>
      </c>
      <c r="BE327" s="192">
        <f t="shared" si="311"/>
        <v>1.1307847836479429E-3</v>
      </c>
      <c r="BF327" s="192">
        <f t="shared" si="311"/>
        <v>1.1307847836479429E-3</v>
      </c>
      <c r="BG327" s="192">
        <f t="shared" si="311"/>
        <v>1.1307847836479429E-3</v>
      </c>
      <c r="BH327" s="192">
        <f t="shared" si="311"/>
        <v>1.1307847836479429E-3</v>
      </c>
      <c r="BI327" s="192">
        <f t="shared" si="311"/>
        <v>1.1307847836479429E-3</v>
      </c>
      <c r="BJ327" s="192">
        <f t="shared" si="311"/>
        <v>1.1307847836479429E-3</v>
      </c>
      <c r="BK327" s="192">
        <f t="shared" si="311"/>
        <v>1.1307847836479429E-3</v>
      </c>
      <c r="BL327" s="192">
        <f t="shared" si="311"/>
        <v>1.1307847836479429E-3</v>
      </c>
      <c r="BM327" s="192">
        <f t="shared" si="311"/>
        <v>1.1307847836479429E-3</v>
      </c>
      <c r="BN327" s="192">
        <f t="shared" si="311"/>
        <v>1.1307847836479429E-3</v>
      </c>
      <c r="BO327" s="192">
        <f t="shared" si="311"/>
        <v>1.1307847836479429E-3</v>
      </c>
      <c r="BP327" s="192">
        <f t="shared" si="311"/>
        <v>1.1307847836479429E-3</v>
      </c>
      <c r="BQ327" s="192">
        <f t="shared" si="311"/>
        <v>1.1307847836479429E-3</v>
      </c>
      <c r="BR327" s="192">
        <f t="shared" si="311"/>
        <v>1.1307847836479429E-3</v>
      </c>
      <c r="BS327" s="192">
        <f t="shared" si="311"/>
        <v>1.1307847836479429E-3</v>
      </c>
      <c r="BT327" s="192">
        <f t="shared" si="311"/>
        <v>1.1307847836479429E-3</v>
      </c>
      <c r="BU327" s="192">
        <f t="shared" si="311"/>
        <v>1.1307847836479429E-3</v>
      </c>
      <c r="BV327" s="192">
        <f t="shared" si="311"/>
        <v>1.1307847836479429E-3</v>
      </c>
    </row>
    <row r="328" spans="1:74">
      <c r="A328" s="141" t="s">
        <v>192</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2">
        <f t="shared" ref="AS328:BV328" si="313">AR328</f>
        <v>1.4689578839936621E-7</v>
      </c>
      <c r="AT328" s="192">
        <f t="shared" si="313"/>
        <v>1.4689578839936621E-7</v>
      </c>
      <c r="AU328" s="192">
        <f t="shared" si="313"/>
        <v>1.4689578839936621E-7</v>
      </c>
      <c r="AV328" s="192">
        <f t="shared" si="313"/>
        <v>1.4689578839936621E-7</v>
      </c>
      <c r="AW328" s="192">
        <f t="shared" si="313"/>
        <v>1.4689578839936621E-7</v>
      </c>
      <c r="AX328" s="192">
        <f t="shared" si="313"/>
        <v>1.4689578839936621E-7</v>
      </c>
      <c r="AY328" s="192">
        <f t="shared" si="313"/>
        <v>1.4689578839936621E-7</v>
      </c>
      <c r="AZ328" s="192">
        <f t="shared" si="313"/>
        <v>1.4689578839936621E-7</v>
      </c>
      <c r="BA328" s="192">
        <f t="shared" si="313"/>
        <v>1.4689578839936621E-7</v>
      </c>
      <c r="BB328" s="192">
        <f t="shared" si="313"/>
        <v>1.4689578839936621E-7</v>
      </c>
      <c r="BC328" s="192">
        <f t="shared" si="313"/>
        <v>1.4689578839936621E-7</v>
      </c>
      <c r="BD328" s="192">
        <f t="shared" si="313"/>
        <v>1.4689578839936621E-7</v>
      </c>
      <c r="BE328" s="192">
        <f t="shared" si="313"/>
        <v>1.4689578839936621E-7</v>
      </c>
      <c r="BF328" s="192">
        <f t="shared" si="313"/>
        <v>1.4689578839936621E-7</v>
      </c>
      <c r="BG328" s="192">
        <f t="shared" si="313"/>
        <v>1.4689578839936621E-7</v>
      </c>
      <c r="BH328" s="192">
        <f t="shared" si="313"/>
        <v>1.4689578839936621E-7</v>
      </c>
      <c r="BI328" s="192">
        <f t="shared" si="313"/>
        <v>1.4689578839936621E-7</v>
      </c>
      <c r="BJ328" s="192">
        <f t="shared" si="313"/>
        <v>1.4689578839936621E-7</v>
      </c>
      <c r="BK328" s="192">
        <f t="shared" si="313"/>
        <v>1.4689578839936621E-7</v>
      </c>
      <c r="BL328" s="192">
        <f t="shared" si="313"/>
        <v>1.4689578839936621E-7</v>
      </c>
      <c r="BM328" s="192">
        <f t="shared" si="313"/>
        <v>1.4689578839936621E-7</v>
      </c>
      <c r="BN328" s="192">
        <f t="shared" si="313"/>
        <v>1.4689578839936621E-7</v>
      </c>
      <c r="BO328" s="192">
        <f t="shared" si="313"/>
        <v>1.4689578839936621E-7</v>
      </c>
      <c r="BP328" s="192">
        <f t="shared" si="313"/>
        <v>1.4689578839936621E-7</v>
      </c>
      <c r="BQ328" s="192">
        <f t="shared" si="313"/>
        <v>1.4689578839936621E-7</v>
      </c>
      <c r="BR328" s="192">
        <f t="shared" si="313"/>
        <v>1.4689578839936621E-7</v>
      </c>
      <c r="BS328" s="192">
        <f t="shared" si="313"/>
        <v>1.4689578839936621E-7</v>
      </c>
      <c r="BT328" s="192">
        <f t="shared" si="313"/>
        <v>1.4689578839936621E-7</v>
      </c>
      <c r="BU328" s="192">
        <f t="shared" si="313"/>
        <v>1.4689578839936621E-7</v>
      </c>
      <c r="BV328" s="192">
        <f t="shared" si="313"/>
        <v>1.4689578839936621E-7</v>
      </c>
    </row>
    <row r="329" spans="1:74">
      <c r="A329" s="147" t="s">
        <v>199</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2">
        <f t="shared" ref="AS329:BV329" si="315">AR329</f>
        <v>5.0620819911389276E-4</v>
      </c>
      <c r="AT329" s="192">
        <f t="shared" si="315"/>
        <v>5.0620819911389276E-4</v>
      </c>
      <c r="AU329" s="192">
        <f t="shared" si="315"/>
        <v>5.0620819911389276E-4</v>
      </c>
      <c r="AV329" s="192">
        <f t="shared" si="315"/>
        <v>5.0620819911389276E-4</v>
      </c>
      <c r="AW329" s="192">
        <f t="shared" si="315"/>
        <v>5.0620819911389276E-4</v>
      </c>
      <c r="AX329" s="192">
        <f t="shared" si="315"/>
        <v>5.0620819911389276E-4</v>
      </c>
      <c r="AY329" s="192">
        <f t="shared" si="315"/>
        <v>5.0620819911389276E-4</v>
      </c>
      <c r="AZ329" s="192">
        <f t="shared" si="315"/>
        <v>5.0620819911389276E-4</v>
      </c>
      <c r="BA329" s="192">
        <f t="shared" si="315"/>
        <v>5.0620819911389276E-4</v>
      </c>
      <c r="BB329" s="192">
        <f t="shared" si="315"/>
        <v>5.0620819911389276E-4</v>
      </c>
      <c r="BC329" s="192">
        <f t="shared" si="315"/>
        <v>5.0620819911389276E-4</v>
      </c>
      <c r="BD329" s="192">
        <f t="shared" si="315"/>
        <v>5.0620819911389276E-4</v>
      </c>
      <c r="BE329" s="192">
        <f t="shared" si="315"/>
        <v>5.0620819911389276E-4</v>
      </c>
      <c r="BF329" s="192">
        <f t="shared" si="315"/>
        <v>5.0620819911389276E-4</v>
      </c>
      <c r="BG329" s="192">
        <f t="shared" si="315"/>
        <v>5.0620819911389276E-4</v>
      </c>
      <c r="BH329" s="192">
        <f t="shared" si="315"/>
        <v>5.0620819911389276E-4</v>
      </c>
      <c r="BI329" s="192">
        <f t="shared" si="315"/>
        <v>5.0620819911389276E-4</v>
      </c>
      <c r="BJ329" s="192">
        <f t="shared" si="315"/>
        <v>5.0620819911389276E-4</v>
      </c>
      <c r="BK329" s="192">
        <f t="shared" si="315"/>
        <v>5.0620819911389276E-4</v>
      </c>
      <c r="BL329" s="192">
        <f t="shared" si="315"/>
        <v>5.0620819911389276E-4</v>
      </c>
      <c r="BM329" s="192">
        <f t="shared" si="315"/>
        <v>5.0620819911389276E-4</v>
      </c>
      <c r="BN329" s="192">
        <f t="shared" si="315"/>
        <v>5.0620819911389276E-4</v>
      </c>
      <c r="BO329" s="192">
        <f t="shared" si="315"/>
        <v>5.0620819911389276E-4</v>
      </c>
      <c r="BP329" s="192">
        <f t="shared" si="315"/>
        <v>5.0620819911389276E-4</v>
      </c>
      <c r="BQ329" s="192">
        <f t="shared" si="315"/>
        <v>5.0620819911389276E-4</v>
      </c>
      <c r="BR329" s="192">
        <f t="shared" si="315"/>
        <v>5.0620819911389276E-4</v>
      </c>
      <c r="BS329" s="192">
        <f t="shared" si="315"/>
        <v>5.0620819911389276E-4</v>
      </c>
      <c r="BT329" s="192">
        <f t="shared" si="315"/>
        <v>5.0620819911389276E-4</v>
      </c>
      <c r="BU329" s="192">
        <f t="shared" si="315"/>
        <v>5.0620819911389276E-4</v>
      </c>
      <c r="BV329" s="192">
        <f t="shared" si="315"/>
        <v>5.0620819911389276E-4</v>
      </c>
    </row>
    <row r="330" spans="1:74">
      <c r="A330" s="147" t="s">
        <v>200</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2">
        <f t="shared" ref="AS330:BV330" si="317">AR330</f>
        <v>0</v>
      </c>
      <c r="AT330" s="192">
        <f t="shared" si="317"/>
        <v>0</v>
      </c>
      <c r="AU330" s="192">
        <f t="shared" si="317"/>
        <v>0</v>
      </c>
      <c r="AV330" s="192">
        <f t="shared" si="317"/>
        <v>0</v>
      </c>
      <c r="AW330" s="192">
        <f t="shared" si="317"/>
        <v>0</v>
      </c>
      <c r="AX330" s="192">
        <f t="shared" si="317"/>
        <v>0</v>
      </c>
      <c r="AY330" s="192">
        <f t="shared" si="317"/>
        <v>0</v>
      </c>
      <c r="AZ330" s="192">
        <f t="shared" si="317"/>
        <v>0</v>
      </c>
      <c r="BA330" s="192">
        <f t="shared" si="317"/>
        <v>0</v>
      </c>
      <c r="BB330" s="192">
        <f t="shared" si="317"/>
        <v>0</v>
      </c>
      <c r="BC330" s="192">
        <f t="shared" si="317"/>
        <v>0</v>
      </c>
      <c r="BD330" s="192">
        <f t="shared" si="317"/>
        <v>0</v>
      </c>
      <c r="BE330" s="192">
        <f t="shared" si="317"/>
        <v>0</v>
      </c>
      <c r="BF330" s="192">
        <f t="shared" si="317"/>
        <v>0</v>
      </c>
      <c r="BG330" s="192">
        <f t="shared" si="317"/>
        <v>0</v>
      </c>
      <c r="BH330" s="192">
        <f t="shared" si="317"/>
        <v>0</v>
      </c>
      <c r="BI330" s="192">
        <f t="shared" si="317"/>
        <v>0</v>
      </c>
      <c r="BJ330" s="192">
        <f t="shared" si="317"/>
        <v>0</v>
      </c>
      <c r="BK330" s="192">
        <f t="shared" si="317"/>
        <v>0</v>
      </c>
      <c r="BL330" s="192">
        <f t="shared" si="317"/>
        <v>0</v>
      </c>
      <c r="BM330" s="192">
        <f t="shared" si="317"/>
        <v>0</v>
      </c>
      <c r="BN330" s="192">
        <f t="shared" si="317"/>
        <v>0</v>
      </c>
      <c r="BO330" s="192">
        <f t="shared" si="317"/>
        <v>0</v>
      </c>
      <c r="BP330" s="192">
        <f t="shared" si="317"/>
        <v>0</v>
      </c>
      <c r="BQ330" s="192">
        <f t="shared" si="317"/>
        <v>0</v>
      </c>
      <c r="BR330" s="192">
        <f t="shared" si="317"/>
        <v>0</v>
      </c>
      <c r="BS330" s="192">
        <f t="shared" si="317"/>
        <v>0</v>
      </c>
      <c r="BT330" s="192">
        <f t="shared" si="317"/>
        <v>0</v>
      </c>
      <c r="BU330" s="192">
        <f t="shared" si="317"/>
        <v>0</v>
      </c>
      <c r="BV330" s="192">
        <f t="shared" si="317"/>
        <v>0</v>
      </c>
    </row>
    <row r="331" spans="1:74">
      <c r="A331" s="147" t="s">
        <v>202</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2">
        <f>AR331</f>
        <v>1.4689578713968959E-7</v>
      </c>
      <c r="AT331" s="192">
        <f t="shared" ref="AT331:BV331" si="319">AS331</f>
        <v>1.4689578713968959E-7</v>
      </c>
      <c r="AU331" s="192">
        <f t="shared" si="319"/>
        <v>1.4689578713968959E-7</v>
      </c>
      <c r="AV331" s="192">
        <f t="shared" si="319"/>
        <v>1.4689578713968959E-7</v>
      </c>
      <c r="AW331" s="192">
        <f t="shared" si="319"/>
        <v>1.4689578713968959E-7</v>
      </c>
      <c r="AX331" s="192">
        <f t="shared" si="319"/>
        <v>1.4689578713968959E-7</v>
      </c>
      <c r="AY331" s="192">
        <f t="shared" si="319"/>
        <v>1.4689578713968959E-7</v>
      </c>
      <c r="AZ331" s="192">
        <f t="shared" si="319"/>
        <v>1.4689578713968959E-7</v>
      </c>
      <c r="BA331" s="192">
        <f t="shared" si="319"/>
        <v>1.4689578713968959E-7</v>
      </c>
      <c r="BB331" s="192">
        <f t="shared" si="319"/>
        <v>1.4689578713968959E-7</v>
      </c>
      <c r="BC331" s="192">
        <f t="shared" si="319"/>
        <v>1.4689578713968959E-7</v>
      </c>
      <c r="BD331" s="192">
        <f t="shared" si="319"/>
        <v>1.4689578713968959E-7</v>
      </c>
      <c r="BE331" s="192">
        <f t="shared" si="319"/>
        <v>1.4689578713968959E-7</v>
      </c>
      <c r="BF331" s="192">
        <f t="shared" si="319"/>
        <v>1.4689578713968959E-7</v>
      </c>
      <c r="BG331" s="192">
        <f t="shared" si="319"/>
        <v>1.4689578713968959E-7</v>
      </c>
      <c r="BH331" s="192">
        <f t="shared" si="319"/>
        <v>1.4689578713968959E-7</v>
      </c>
      <c r="BI331" s="192">
        <f t="shared" si="319"/>
        <v>1.4689578713968959E-7</v>
      </c>
      <c r="BJ331" s="192">
        <f t="shared" si="319"/>
        <v>1.4689578713968959E-7</v>
      </c>
      <c r="BK331" s="192">
        <f t="shared" si="319"/>
        <v>1.4689578713968959E-7</v>
      </c>
      <c r="BL331" s="192">
        <f t="shared" si="319"/>
        <v>1.4689578713968959E-7</v>
      </c>
      <c r="BM331" s="192">
        <f t="shared" si="319"/>
        <v>1.4689578713968959E-7</v>
      </c>
      <c r="BN331" s="192">
        <f t="shared" si="319"/>
        <v>1.4689578713968959E-7</v>
      </c>
      <c r="BO331" s="192">
        <f t="shared" si="319"/>
        <v>1.4689578713968959E-7</v>
      </c>
      <c r="BP331" s="192">
        <f t="shared" si="319"/>
        <v>1.4689578713968959E-7</v>
      </c>
      <c r="BQ331" s="192">
        <f t="shared" si="319"/>
        <v>1.4689578713968959E-7</v>
      </c>
      <c r="BR331" s="192">
        <f t="shared" si="319"/>
        <v>1.4689578713968959E-7</v>
      </c>
      <c r="BS331" s="192">
        <f t="shared" si="319"/>
        <v>1.4689578713968959E-7</v>
      </c>
      <c r="BT331" s="192">
        <f t="shared" si="319"/>
        <v>1.4689578713968959E-7</v>
      </c>
      <c r="BU331" s="192">
        <f t="shared" si="319"/>
        <v>1.4689578713968959E-7</v>
      </c>
      <c r="BV331" s="192">
        <f t="shared" si="319"/>
        <v>1.4689578713968959E-7</v>
      </c>
    </row>
    <row r="332" spans="1:74">
      <c r="A332" s="147" t="s">
        <v>203</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2">
        <f t="shared" ref="AS332:BV332" si="321">AR332</f>
        <v>0</v>
      </c>
      <c r="AT332" s="192">
        <f t="shared" si="321"/>
        <v>0</v>
      </c>
      <c r="AU332" s="192">
        <f t="shared" si="321"/>
        <v>0</v>
      </c>
      <c r="AV332" s="192">
        <f t="shared" si="321"/>
        <v>0</v>
      </c>
      <c r="AW332" s="192">
        <f t="shared" si="321"/>
        <v>0</v>
      </c>
      <c r="AX332" s="192">
        <f t="shared" si="321"/>
        <v>0</v>
      </c>
      <c r="AY332" s="192">
        <f t="shared" si="321"/>
        <v>0</v>
      </c>
      <c r="AZ332" s="192">
        <f t="shared" si="321"/>
        <v>0</v>
      </c>
      <c r="BA332" s="192">
        <f t="shared" si="321"/>
        <v>0</v>
      </c>
      <c r="BB332" s="192">
        <f t="shared" si="321"/>
        <v>0</v>
      </c>
      <c r="BC332" s="192">
        <f t="shared" si="321"/>
        <v>0</v>
      </c>
      <c r="BD332" s="192">
        <f t="shared" si="321"/>
        <v>0</v>
      </c>
      <c r="BE332" s="192">
        <f t="shared" si="321"/>
        <v>0</v>
      </c>
      <c r="BF332" s="192">
        <f t="shared" si="321"/>
        <v>0</v>
      </c>
      <c r="BG332" s="192">
        <f t="shared" si="321"/>
        <v>0</v>
      </c>
      <c r="BH332" s="192">
        <f t="shared" si="321"/>
        <v>0</v>
      </c>
      <c r="BI332" s="192">
        <f t="shared" si="321"/>
        <v>0</v>
      </c>
      <c r="BJ332" s="192">
        <f t="shared" si="321"/>
        <v>0</v>
      </c>
      <c r="BK332" s="192">
        <f t="shared" si="321"/>
        <v>0</v>
      </c>
      <c r="BL332" s="192">
        <f t="shared" si="321"/>
        <v>0</v>
      </c>
      <c r="BM332" s="192">
        <f t="shared" si="321"/>
        <v>0</v>
      </c>
      <c r="BN332" s="192">
        <f t="shared" si="321"/>
        <v>0</v>
      </c>
      <c r="BO332" s="192">
        <f t="shared" si="321"/>
        <v>0</v>
      </c>
      <c r="BP332" s="192">
        <f t="shared" si="321"/>
        <v>0</v>
      </c>
      <c r="BQ332" s="192">
        <f t="shared" si="321"/>
        <v>0</v>
      </c>
      <c r="BR332" s="192">
        <f t="shared" si="321"/>
        <v>0</v>
      </c>
      <c r="BS332" s="192">
        <f t="shared" si="321"/>
        <v>0</v>
      </c>
      <c r="BT332" s="192">
        <f t="shared" si="321"/>
        <v>0</v>
      </c>
      <c r="BU332" s="192">
        <f t="shared" si="321"/>
        <v>0</v>
      </c>
      <c r="BV332" s="192">
        <f t="shared" si="321"/>
        <v>0</v>
      </c>
    </row>
    <row r="333" spans="1:74">
      <c r="A333" s="147" t="s">
        <v>205</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2">
        <f>AR333</f>
        <v>1.06E-3</v>
      </c>
      <c r="AT333" s="192">
        <f t="shared" ref="AT333:BV333" si="323">AS333</f>
        <v>1.06E-3</v>
      </c>
      <c r="AU333" s="192">
        <f t="shared" si="323"/>
        <v>1.06E-3</v>
      </c>
      <c r="AV333" s="192">
        <f t="shared" si="323"/>
        <v>1.06E-3</v>
      </c>
      <c r="AW333" s="192">
        <f t="shared" si="323"/>
        <v>1.06E-3</v>
      </c>
      <c r="AX333" s="192">
        <f t="shared" si="323"/>
        <v>1.06E-3</v>
      </c>
      <c r="AY333" s="192">
        <f t="shared" si="323"/>
        <v>1.06E-3</v>
      </c>
      <c r="AZ333" s="192">
        <f t="shared" si="323"/>
        <v>1.06E-3</v>
      </c>
      <c r="BA333" s="192">
        <f t="shared" si="323"/>
        <v>1.06E-3</v>
      </c>
      <c r="BB333" s="192">
        <f t="shared" si="323"/>
        <v>1.06E-3</v>
      </c>
      <c r="BC333" s="192">
        <f t="shared" si="323"/>
        <v>1.06E-3</v>
      </c>
      <c r="BD333" s="192">
        <f t="shared" si="323"/>
        <v>1.06E-3</v>
      </c>
      <c r="BE333" s="192">
        <f t="shared" si="323"/>
        <v>1.06E-3</v>
      </c>
      <c r="BF333" s="192">
        <f t="shared" si="323"/>
        <v>1.06E-3</v>
      </c>
      <c r="BG333" s="192">
        <f t="shared" si="323"/>
        <v>1.06E-3</v>
      </c>
      <c r="BH333" s="192">
        <f t="shared" si="323"/>
        <v>1.06E-3</v>
      </c>
      <c r="BI333" s="192">
        <f t="shared" si="323"/>
        <v>1.06E-3</v>
      </c>
      <c r="BJ333" s="192">
        <f t="shared" si="323"/>
        <v>1.06E-3</v>
      </c>
      <c r="BK333" s="192">
        <f t="shared" si="323"/>
        <v>1.06E-3</v>
      </c>
      <c r="BL333" s="192">
        <f t="shared" si="323"/>
        <v>1.06E-3</v>
      </c>
      <c r="BM333" s="192">
        <f t="shared" si="323"/>
        <v>1.06E-3</v>
      </c>
      <c r="BN333" s="192">
        <f t="shared" si="323"/>
        <v>1.06E-3</v>
      </c>
      <c r="BO333" s="192">
        <f t="shared" si="323"/>
        <v>1.06E-3</v>
      </c>
      <c r="BP333" s="192">
        <f t="shared" si="323"/>
        <v>1.06E-3</v>
      </c>
      <c r="BQ333" s="192">
        <f t="shared" si="323"/>
        <v>1.06E-3</v>
      </c>
      <c r="BR333" s="192">
        <f t="shared" si="323"/>
        <v>1.06E-3</v>
      </c>
      <c r="BS333" s="192">
        <f t="shared" si="323"/>
        <v>1.06E-3</v>
      </c>
      <c r="BT333" s="192">
        <f t="shared" si="323"/>
        <v>1.06E-3</v>
      </c>
      <c r="BU333" s="192">
        <f t="shared" si="323"/>
        <v>1.06E-3</v>
      </c>
      <c r="BV333" s="192">
        <f t="shared" si="323"/>
        <v>1.06E-3</v>
      </c>
    </row>
    <row r="334" spans="1:74">
      <c r="A334" s="147" t="s">
        <v>14</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2">
        <f>AR334</f>
        <v>1.518624641833811E-3</v>
      </c>
      <c r="AT334" s="192">
        <f t="shared" ref="AT334:BV334" si="325">AS334</f>
        <v>1.518624641833811E-3</v>
      </c>
      <c r="AU334" s="192">
        <f t="shared" si="325"/>
        <v>1.518624641833811E-3</v>
      </c>
      <c r="AV334" s="192">
        <f t="shared" si="325"/>
        <v>1.518624641833811E-3</v>
      </c>
      <c r="AW334" s="192">
        <f t="shared" si="325"/>
        <v>1.518624641833811E-3</v>
      </c>
      <c r="AX334" s="192">
        <f t="shared" si="325"/>
        <v>1.518624641833811E-3</v>
      </c>
      <c r="AY334" s="192">
        <f t="shared" si="325"/>
        <v>1.518624641833811E-3</v>
      </c>
      <c r="AZ334" s="192">
        <f t="shared" si="325"/>
        <v>1.518624641833811E-3</v>
      </c>
      <c r="BA334" s="192">
        <f t="shared" si="325"/>
        <v>1.518624641833811E-3</v>
      </c>
      <c r="BB334" s="192">
        <f t="shared" si="325"/>
        <v>1.518624641833811E-3</v>
      </c>
      <c r="BC334" s="192">
        <f t="shared" si="325"/>
        <v>1.518624641833811E-3</v>
      </c>
      <c r="BD334" s="192">
        <f t="shared" si="325"/>
        <v>1.518624641833811E-3</v>
      </c>
      <c r="BE334" s="192">
        <f t="shared" si="325"/>
        <v>1.518624641833811E-3</v>
      </c>
      <c r="BF334" s="192">
        <f t="shared" si="325"/>
        <v>1.518624641833811E-3</v>
      </c>
      <c r="BG334" s="192">
        <f t="shared" si="325"/>
        <v>1.518624641833811E-3</v>
      </c>
      <c r="BH334" s="192">
        <f t="shared" si="325"/>
        <v>1.518624641833811E-3</v>
      </c>
      <c r="BI334" s="192">
        <f t="shared" si="325"/>
        <v>1.518624641833811E-3</v>
      </c>
      <c r="BJ334" s="192">
        <f t="shared" si="325"/>
        <v>1.518624641833811E-3</v>
      </c>
      <c r="BK334" s="192">
        <f t="shared" si="325"/>
        <v>1.518624641833811E-3</v>
      </c>
      <c r="BL334" s="192">
        <f t="shared" si="325"/>
        <v>1.518624641833811E-3</v>
      </c>
      <c r="BM334" s="192">
        <f t="shared" si="325"/>
        <v>1.518624641833811E-3</v>
      </c>
      <c r="BN334" s="192">
        <f t="shared" si="325"/>
        <v>1.518624641833811E-3</v>
      </c>
      <c r="BO334" s="192">
        <f t="shared" si="325"/>
        <v>1.518624641833811E-3</v>
      </c>
      <c r="BP334" s="192">
        <f t="shared" si="325"/>
        <v>1.518624641833811E-3</v>
      </c>
      <c r="BQ334" s="192">
        <f t="shared" si="325"/>
        <v>1.518624641833811E-3</v>
      </c>
      <c r="BR334" s="192">
        <f t="shared" si="325"/>
        <v>1.518624641833811E-3</v>
      </c>
      <c r="BS334" s="192">
        <f t="shared" si="325"/>
        <v>1.518624641833811E-3</v>
      </c>
      <c r="BT334" s="192">
        <f t="shared" si="325"/>
        <v>1.518624641833811E-3</v>
      </c>
      <c r="BU334" s="192">
        <f t="shared" si="325"/>
        <v>1.518624641833811E-3</v>
      </c>
      <c r="BV334" s="192">
        <f t="shared" si="325"/>
        <v>1.518624641833811E-3</v>
      </c>
    </row>
    <row r="335" spans="1:74">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c r="A337" s="185" t="s">
        <v>247</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c r="A338" s="185"/>
      <c r="B338" s="185" t="s">
        <v>248</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c r="A339" s="147" t="s">
        <v>176</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c r="A340" s="147" t="s">
        <v>178</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c r="A341" s="141" t="s">
        <v>179</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c r="A342" s="141" t="s">
        <v>181</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c r="A343" s="147" t="s">
        <v>182</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c r="A344" s="147" t="s">
        <v>184</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c r="A345" s="141" t="s">
        <v>185</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c r="A346" s="147" t="s">
        <v>187</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c r="A347" s="147" t="s">
        <v>11</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c r="A349" s="141" t="s">
        <v>190</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c r="A350" s="141" t="s">
        <v>191</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c r="A351" s="141" t="s">
        <v>193</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c r="A352" s="141" t="s">
        <v>249</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c r="A353" s="141" t="s">
        <v>194</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c r="A354" s="147" t="s">
        <v>12</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c r="A355" s="147" t="s">
        <v>197</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c r="A356" s="147" t="s">
        <v>195</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c r="A357" s="141" t="s">
        <v>13</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c r="A358" s="141" t="s">
        <v>186</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c r="A359" s="147" t="s">
        <v>198</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c r="A360" s="141" t="s">
        <v>192</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c r="A361" s="147" t="s">
        <v>199</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c r="A362" s="147" t="s">
        <v>200</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c r="A363" s="147" t="s">
        <v>202</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c r="A364" s="147" t="s">
        <v>203</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c r="A365" s="147" t="s">
        <v>205</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c r="A366" s="147" t="s">
        <v>14</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workbookViewId="0"/>
  </sheetViews>
  <sheetFormatPr baseColWidth="10" defaultColWidth="9.1640625" defaultRowHeight="15"/>
  <cols>
    <col min="1" max="1" width="14" style="68" bestFit="1" customWidth="1"/>
    <col min="2" max="2" width="23.1640625" style="68" bestFit="1" customWidth="1"/>
    <col min="3" max="3" width="14.5" style="258" bestFit="1" customWidth="1"/>
    <col min="4" max="4" width="37.1640625" style="69" bestFit="1" customWidth="1"/>
    <col min="5" max="5" width="9.1640625" style="259"/>
    <col min="6" max="16384" width="9.1640625" style="68"/>
  </cols>
  <sheetData>
    <row r="1" spans="1:5" s="256" customFormat="1" ht="25.5" customHeight="1">
      <c r="A1" s="256" t="s">
        <v>398</v>
      </c>
      <c r="B1" s="256" t="s">
        <v>399</v>
      </c>
      <c r="C1" s="257" t="s">
        <v>400</v>
      </c>
      <c r="D1" s="256" t="s">
        <v>401</v>
      </c>
      <c r="E1" s="260" t="s">
        <v>397</v>
      </c>
    </row>
    <row r="2" spans="1:5" ht="16">
      <c r="A2" s="68" t="s">
        <v>107</v>
      </c>
      <c r="B2" s="68" t="s">
        <v>24</v>
      </c>
      <c r="C2" s="258" t="s">
        <v>68</v>
      </c>
      <c r="D2" s="69" t="s">
        <v>118</v>
      </c>
    </row>
    <row r="3" spans="1:5" ht="16">
      <c r="A3" s="68" t="s">
        <v>107</v>
      </c>
      <c r="B3" s="68" t="s">
        <v>24</v>
      </c>
      <c r="C3" s="258" t="s">
        <v>68</v>
      </c>
      <c r="D3" s="69" t="s">
        <v>120</v>
      </c>
    </row>
    <row r="4" spans="1:5" ht="16">
      <c r="A4" s="68" t="s">
        <v>107</v>
      </c>
      <c r="B4" s="68" t="s">
        <v>24</v>
      </c>
      <c r="C4" s="258" t="s">
        <v>68</v>
      </c>
      <c r="D4" s="69" t="s">
        <v>119</v>
      </c>
    </row>
    <row r="5" spans="1:5" ht="16">
      <c r="A5" s="68" t="s">
        <v>107</v>
      </c>
      <c r="B5" s="68" t="s">
        <v>24</v>
      </c>
      <c r="C5" s="258" t="s">
        <v>68</v>
      </c>
      <c r="D5" s="69" t="s">
        <v>121</v>
      </c>
    </row>
    <row r="6" spans="1:5" ht="16">
      <c r="A6" s="68" t="s">
        <v>107</v>
      </c>
      <c r="B6" s="68" t="s">
        <v>22</v>
      </c>
      <c r="C6" s="258" t="s">
        <v>68</v>
      </c>
      <c r="D6" s="68" t="s">
        <v>325</v>
      </c>
    </row>
    <row r="7" spans="1:5" ht="16">
      <c r="A7" s="68" t="s">
        <v>107</v>
      </c>
      <c r="B7" s="68" t="s">
        <v>22</v>
      </c>
      <c r="C7" s="258" t="s">
        <v>68</v>
      </c>
      <c r="D7" s="69" t="s">
        <v>326</v>
      </c>
    </row>
    <row r="8" spans="1:5" ht="16">
      <c r="A8" s="68" t="s">
        <v>107</v>
      </c>
      <c r="B8" s="68" t="s">
        <v>22</v>
      </c>
      <c r="C8" s="258" t="s">
        <v>68</v>
      </c>
      <c r="D8" s="69" t="s">
        <v>327</v>
      </c>
    </row>
    <row r="9" spans="1:5" ht="16">
      <c r="A9" s="68" t="s">
        <v>107</v>
      </c>
      <c r="B9" s="68" t="s">
        <v>22</v>
      </c>
      <c r="C9" s="258" t="s">
        <v>68</v>
      </c>
      <c r="D9" s="69" t="s">
        <v>328</v>
      </c>
    </row>
    <row r="10" spans="1:5" ht="16">
      <c r="A10" s="68" t="s">
        <v>107</v>
      </c>
      <c r="B10" s="68" t="s">
        <v>23</v>
      </c>
      <c r="C10" s="258" t="s">
        <v>68</v>
      </c>
      <c r="D10" s="68" t="s">
        <v>325</v>
      </c>
    </row>
    <row r="11" spans="1:5" ht="16">
      <c r="A11" s="68" t="s">
        <v>107</v>
      </c>
      <c r="B11" s="68" t="s">
        <v>23</v>
      </c>
      <c r="C11" s="258" t="s">
        <v>68</v>
      </c>
      <c r="D11" s="69" t="s">
        <v>326</v>
      </c>
    </row>
    <row r="12" spans="1:5" ht="16">
      <c r="A12" s="68" t="s">
        <v>107</v>
      </c>
      <c r="B12" s="68" t="s">
        <v>23</v>
      </c>
      <c r="C12" s="258" t="s">
        <v>68</v>
      </c>
      <c r="D12" s="69" t="s">
        <v>327</v>
      </c>
    </row>
    <row r="13" spans="1:5" ht="16">
      <c r="A13" s="68" t="s">
        <v>107</v>
      </c>
      <c r="B13" s="68" t="s">
        <v>23</v>
      </c>
      <c r="C13" s="258" t="s">
        <v>68</v>
      </c>
      <c r="D13" s="69" t="s">
        <v>328</v>
      </c>
    </row>
    <row r="14" spans="1:5" ht="16">
      <c r="A14" s="68" t="s">
        <v>107</v>
      </c>
      <c r="B14" s="68" t="s">
        <v>25</v>
      </c>
      <c r="C14" s="258" t="s">
        <v>68</v>
      </c>
      <c r="D14" s="68" t="s">
        <v>325</v>
      </c>
    </row>
    <row r="15" spans="1:5" ht="16">
      <c r="A15" s="68" t="s">
        <v>107</v>
      </c>
      <c r="B15" s="68" t="s">
        <v>25</v>
      </c>
      <c r="C15" s="258" t="s">
        <v>68</v>
      </c>
      <c r="D15" s="69" t="s">
        <v>326</v>
      </c>
    </row>
    <row r="16" spans="1:5" ht="16">
      <c r="A16" s="68" t="s">
        <v>107</v>
      </c>
      <c r="B16" s="68" t="s">
        <v>25</v>
      </c>
      <c r="C16" s="258" t="s">
        <v>68</v>
      </c>
      <c r="D16" s="69" t="s">
        <v>327</v>
      </c>
    </row>
    <row r="17" spans="1:4" ht="16">
      <c r="A17" s="68" t="s">
        <v>107</v>
      </c>
      <c r="B17" s="68" t="s">
        <v>25</v>
      </c>
      <c r="C17" s="258" t="s">
        <v>68</v>
      </c>
      <c r="D17" s="69" t="s">
        <v>328</v>
      </c>
    </row>
  </sheetData>
  <sortState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topLeftCell="D1" workbookViewId="0">
      <selection activeCell="K7" sqref="K7"/>
    </sheetView>
  </sheetViews>
  <sheetFormatPr baseColWidth="10" defaultColWidth="9.1640625" defaultRowHeight="15" outlineLevelCol="1"/>
  <cols>
    <col min="1" max="1" width="21" style="64" hidden="1" customWidth="1" outlineLevel="1"/>
    <col min="2" max="2" width="75" style="341" hidden="1" customWidth="1" outlineLevel="1"/>
    <col min="3" max="3" width="21" style="341" hidden="1" customWidth="1" outlineLevel="1"/>
    <col min="4" max="4" width="2.6640625" style="343" customWidth="1" collapsed="1"/>
    <col min="5" max="5" width="13.5" style="62" bestFit="1" customWidth="1"/>
    <col min="6" max="6" width="3" style="61" customWidth="1"/>
    <col min="7" max="7" width="10" style="62" customWidth="1"/>
    <col min="8" max="8" width="3" style="61" customWidth="1"/>
    <col min="9" max="9" width="15" style="62" bestFit="1" customWidth="1"/>
    <col min="10" max="10" width="3" style="61" customWidth="1"/>
    <col min="11" max="11" width="25.5" style="62" bestFit="1" customWidth="1"/>
    <col min="12" max="12" width="3" style="61" customWidth="1"/>
    <col min="13" max="13" width="20.33203125" style="62" bestFit="1" customWidth="1"/>
    <col min="14" max="14" width="3" style="61" customWidth="1"/>
    <col min="15" max="15" width="18.5" style="62" bestFit="1" customWidth="1"/>
    <col min="16" max="16" width="3" style="61" customWidth="1"/>
    <col min="17" max="17" width="11.1640625" style="62" bestFit="1" customWidth="1"/>
    <col min="18" max="18" width="3" style="61" customWidth="1"/>
    <col min="19" max="19" width="10.33203125" style="62" bestFit="1" customWidth="1"/>
    <col min="20" max="20" width="3" style="61" customWidth="1"/>
    <col min="21" max="21" width="10.33203125" style="62" bestFit="1" customWidth="1"/>
    <col min="22" max="22" width="3" style="61" customWidth="1"/>
    <col min="23" max="23" width="10.33203125" style="62" bestFit="1" customWidth="1"/>
    <col min="24" max="24" width="3" style="60" customWidth="1"/>
    <col min="25" max="25" width="10.33203125" style="62" bestFit="1" customWidth="1"/>
    <col min="26" max="26" width="2.6640625" style="2" customWidth="1"/>
    <col min="27" max="16384" width="9.1640625" style="2"/>
  </cols>
  <sheetData>
    <row r="1" spans="1:26" s="19" customFormat="1">
      <c r="A1" s="336">
        <f>COLUMN($E$1)</f>
        <v>5</v>
      </c>
      <c r="B1" s="334"/>
      <c r="C1" s="339" t="str">
        <f t="array" ref="C1">IFERROR(INDEX(DemandSupply,MATCH(INDEX($I$1:I1,SMALL(ROW($I$1:I1)+(10000*($I$1:I1="")),COUNTA($I$1:I1))),Sectors,0)),"")</f>
        <v/>
      </c>
      <c r="D1" s="342"/>
      <c r="J1" s="59"/>
      <c r="L1" s="194"/>
      <c r="M1" s="58"/>
      <c r="N1" s="59"/>
      <c r="O1" s="58"/>
      <c r="P1" s="59"/>
      <c r="Q1" s="58"/>
      <c r="R1" s="59"/>
      <c r="S1" s="58"/>
      <c r="T1" s="59"/>
      <c r="U1" s="58"/>
      <c r="V1" s="59"/>
      <c r="W1" s="58"/>
      <c r="X1" s="59"/>
      <c r="Y1" s="58"/>
      <c r="Z1" s="20"/>
    </row>
    <row r="2" spans="1:26" s="19" customFormat="1">
      <c r="A2" s="336" t="s">
        <v>437</v>
      </c>
      <c r="B2" s="334" t="s">
        <v>6</v>
      </c>
      <c r="C2" s="334" t="s">
        <v>435</v>
      </c>
      <c r="D2" s="342"/>
      <c r="E2" s="60" t="s">
        <v>66</v>
      </c>
      <c r="F2" s="61"/>
      <c r="G2" s="60" t="s">
        <v>58</v>
      </c>
      <c r="H2" s="61"/>
      <c r="I2" s="60" t="s">
        <v>55</v>
      </c>
      <c r="J2" s="61"/>
      <c r="K2" s="60" t="s">
        <v>73</v>
      </c>
      <c r="L2" s="61"/>
      <c r="M2" s="60" t="s">
        <v>73</v>
      </c>
      <c r="N2" s="61"/>
      <c r="O2" s="60" t="s">
        <v>73</v>
      </c>
      <c r="P2" s="61"/>
      <c r="Q2" s="60" t="s">
        <v>73</v>
      </c>
      <c r="R2" s="61"/>
      <c r="S2" s="60" t="s">
        <v>73</v>
      </c>
      <c r="T2" s="61"/>
      <c r="U2" s="60" t="s">
        <v>73</v>
      </c>
      <c r="V2" s="61"/>
      <c r="W2" s="60" t="s">
        <v>73</v>
      </c>
      <c r="X2" s="61"/>
      <c r="Y2" s="60" t="s">
        <v>73</v>
      </c>
      <c r="Z2" s="20"/>
    </row>
    <row r="3" spans="1:26" s="10" customFormat="1">
      <c r="A3" s="64" t="str">
        <f>IFERROR(INDEX($E3:$Y3,MATCH("*",$E3:$Y3,0)),"")</f>
        <v/>
      </c>
      <c r="B3" s="339"/>
      <c r="C3" s="339"/>
      <c r="D3" s="338" t="s">
        <v>438</v>
      </c>
      <c r="E3" s="331"/>
      <c r="F3" s="332"/>
      <c r="G3" s="331"/>
      <c r="H3" s="332"/>
      <c r="I3" s="331"/>
      <c r="J3" s="332"/>
      <c r="K3" s="331"/>
      <c r="L3" s="332"/>
      <c r="M3" s="331"/>
      <c r="N3" s="332"/>
      <c r="O3" s="331"/>
      <c r="P3" s="332"/>
      <c r="Q3" s="331"/>
      <c r="R3" s="332"/>
      <c r="S3" s="331"/>
      <c r="T3" s="332"/>
      <c r="U3" s="331"/>
      <c r="V3" s="332"/>
      <c r="W3" s="331"/>
      <c r="X3" s="332"/>
      <c r="Y3" s="331"/>
      <c r="Z3" s="11"/>
    </row>
    <row r="4" spans="1:26" s="3" customFormat="1">
      <c r="A4" s="64" t="str">
        <f t="shared" ref="A4:A25" si="0">IFERROR(INDEX($E4:$Y4,MATCH("*",$E4:$Y4,0)),"")</f>
        <v>Canada</v>
      </c>
      <c r="B4" s="340" t="s">
        <v>444</v>
      </c>
      <c r="C4" s="339" t="s">
        <v>110</v>
      </c>
      <c r="D4" s="338" t="s">
        <v>438</v>
      </c>
      <c r="E4" s="23" t="s">
        <v>47</v>
      </c>
      <c r="F4" s="337">
        <v>999</v>
      </c>
      <c r="G4" s="254"/>
      <c r="H4" s="332"/>
      <c r="I4" s="254"/>
      <c r="J4" s="332"/>
      <c r="K4" s="254"/>
      <c r="L4" s="332"/>
      <c r="M4" s="254"/>
      <c r="N4" s="332"/>
      <c r="O4" s="254"/>
      <c r="P4" s="332"/>
      <c r="Q4" s="254"/>
      <c r="R4" s="332"/>
      <c r="S4" s="254"/>
      <c r="T4" s="332"/>
      <c r="U4" s="254"/>
      <c r="V4" s="332"/>
      <c r="W4" s="254"/>
      <c r="X4" s="332"/>
      <c r="Y4" s="254"/>
      <c r="Z4" s="5"/>
    </row>
    <row r="5" spans="1:26" s="3" customFormat="1">
      <c r="A5" s="64" t="str">
        <f t="shared" si="0"/>
        <v>Alberta</v>
      </c>
      <c r="B5" s="340" t="s">
        <v>445</v>
      </c>
      <c r="C5" s="339" t="s">
        <v>110</v>
      </c>
      <c r="D5" s="338" t="s">
        <v>438</v>
      </c>
      <c r="E5" s="254"/>
      <c r="F5" s="333"/>
      <c r="G5" s="193" t="s">
        <v>5</v>
      </c>
      <c r="H5" s="345">
        <v>999</v>
      </c>
      <c r="I5" s="73"/>
      <c r="J5" s="332"/>
      <c r="K5" s="254"/>
      <c r="L5" s="332"/>
      <c r="M5" s="254"/>
      <c r="N5" s="332"/>
      <c r="O5" s="254"/>
      <c r="P5" s="332"/>
      <c r="Q5" s="254"/>
      <c r="R5" s="332"/>
      <c r="S5" s="254"/>
      <c r="T5" s="332"/>
      <c r="U5" s="254"/>
      <c r="V5" s="332"/>
      <c r="W5" s="254"/>
      <c r="X5" s="332"/>
      <c r="Y5" s="254"/>
      <c r="Z5" s="5"/>
    </row>
    <row r="6" spans="1:26" s="3" customFormat="1">
      <c r="A6" s="64" t="str">
        <f t="shared" si="0"/>
        <v>Residential</v>
      </c>
      <c r="B6" s="340" t="s">
        <v>446</v>
      </c>
      <c r="C6" s="339" t="s">
        <v>110</v>
      </c>
      <c r="D6" s="338" t="s">
        <v>438</v>
      </c>
      <c r="E6" s="254"/>
      <c r="F6" s="332"/>
      <c r="G6" s="73"/>
      <c r="H6" s="333"/>
      <c r="I6" s="193" t="s">
        <v>0</v>
      </c>
      <c r="J6" s="337">
        <v>999</v>
      </c>
      <c r="K6" s="73"/>
      <c r="L6" s="332"/>
      <c r="M6" s="254"/>
      <c r="N6" s="332"/>
      <c r="O6" s="254"/>
      <c r="P6" s="332"/>
      <c r="Q6" s="254"/>
      <c r="R6" s="332"/>
      <c r="S6" s="254"/>
      <c r="T6" s="332"/>
      <c r="U6" s="254"/>
      <c r="V6" s="332"/>
      <c r="W6" s="254"/>
      <c r="X6" s="332"/>
      <c r="Y6" s="254"/>
      <c r="Z6" s="5"/>
    </row>
    <row r="7" spans="1:26" s="3" customFormat="1">
      <c r="A7" s="64" t="str">
        <f t="shared" si="0"/>
        <v>Buildings</v>
      </c>
      <c r="B7" s="340" t="s">
        <v>447</v>
      </c>
      <c r="C7" s="339" t="s">
        <v>110</v>
      </c>
      <c r="D7" s="338" t="s">
        <v>438</v>
      </c>
      <c r="E7" s="254"/>
      <c r="F7" s="332"/>
      <c r="G7" s="73"/>
      <c r="H7" s="333"/>
      <c r="I7" s="73"/>
      <c r="J7" s="333"/>
      <c r="K7" s="193" t="s">
        <v>107</v>
      </c>
      <c r="L7" s="337">
        <v>999</v>
      </c>
      <c r="M7" s="73"/>
      <c r="N7" s="332"/>
      <c r="O7" s="254"/>
      <c r="P7" s="332"/>
      <c r="Q7" s="254"/>
      <c r="R7" s="332"/>
      <c r="S7" s="254"/>
      <c r="T7" s="332"/>
      <c r="U7" s="254"/>
      <c r="V7" s="332"/>
      <c r="W7" s="254"/>
      <c r="X7" s="332"/>
      <c r="Y7" s="254"/>
      <c r="Z7" s="5"/>
    </row>
    <row r="8" spans="1:26" s="3" customFormat="1">
      <c r="A8" s="64" t="str">
        <f t="shared" si="0"/>
        <v>Shell</v>
      </c>
      <c r="B8" s="340" t="s">
        <v>448</v>
      </c>
      <c r="C8" s="339" t="s">
        <v>110</v>
      </c>
      <c r="D8" s="338" t="s">
        <v>438</v>
      </c>
      <c r="E8" s="254"/>
      <c r="F8" s="332"/>
      <c r="G8" s="73"/>
      <c r="H8" s="333"/>
      <c r="I8" s="73"/>
      <c r="J8" s="332"/>
      <c r="K8" s="73"/>
      <c r="L8" s="333"/>
      <c r="M8" s="193" t="s">
        <v>1</v>
      </c>
      <c r="N8" s="337">
        <v>999</v>
      </c>
      <c r="O8" s="73"/>
      <c r="P8" s="332"/>
      <c r="Q8" s="254"/>
      <c r="R8" s="332"/>
      <c r="S8" s="254"/>
      <c r="T8" s="332"/>
      <c r="U8" s="254"/>
      <c r="V8" s="332"/>
      <c r="W8" s="254"/>
      <c r="X8" s="332"/>
      <c r="Y8" s="254"/>
      <c r="Z8" s="5"/>
    </row>
    <row r="9" spans="1:26" s="3" customFormat="1">
      <c r="A9" s="64" t="str">
        <f t="shared" si="0"/>
        <v>Space heating</v>
      </c>
      <c r="B9" s="340" t="s">
        <v>449</v>
      </c>
      <c r="C9" s="339" t="s">
        <v>110</v>
      </c>
      <c r="D9" s="338" t="s">
        <v>438</v>
      </c>
      <c r="E9" s="254"/>
      <c r="F9" s="332"/>
      <c r="G9" s="73"/>
      <c r="H9" s="333"/>
      <c r="I9" s="73"/>
      <c r="J9" s="332"/>
      <c r="K9" s="73"/>
      <c r="L9" s="333"/>
      <c r="M9" s="73"/>
      <c r="N9" s="333"/>
      <c r="O9" s="193" t="s">
        <v>69</v>
      </c>
      <c r="P9" s="337">
        <v>999</v>
      </c>
      <c r="Q9" s="254"/>
      <c r="R9" s="332"/>
      <c r="S9" s="254"/>
      <c r="T9" s="332"/>
      <c r="U9" s="254"/>
      <c r="V9" s="332"/>
      <c r="W9" s="254"/>
      <c r="X9" s="332"/>
      <c r="Y9" s="254"/>
      <c r="Z9" s="5"/>
    </row>
    <row r="10" spans="1:26" s="3" customFormat="1">
      <c r="A10" s="64" t="str">
        <f t="shared" si="0"/>
        <v>Furnace</v>
      </c>
      <c r="B10" s="340" t="s">
        <v>450</v>
      </c>
      <c r="C10" s="339" t="s">
        <v>110</v>
      </c>
      <c r="D10" s="338" t="s">
        <v>438</v>
      </c>
      <c r="E10" s="254"/>
      <c r="F10" s="332"/>
      <c r="G10" s="73"/>
      <c r="H10" s="333"/>
      <c r="I10" s="73"/>
      <c r="J10" s="332"/>
      <c r="K10" s="73"/>
      <c r="L10" s="333"/>
      <c r="M10" s="73"/>
      <c r="N10" s="333"/>
      <c r="O10" s="254"/>
      <c r="P10" s="333"/>
      <c r="Q10" s="193" t="s">
        <v>32</v>
      </c>
      <c r="R10" s="344"/>
      <c r="S10" s="254"/>
      <c r="T10" s="332"/>
      <c r="U10" s="254"/>
      <c r="V10" s="332"/>
      <c r="W10" s="254"/>
      <c r="X10" s="332"/>
      <c r="Y10" s="254"/>
      <c r="Z10" s="5"/>
    </row>
    <row r="11" spans="1:26" s="3" customFormat="1">
      <c r="A11" s="64" t="str">
        <f t="shared" si="0"/>
        <v>Water heating</v>
      </c>
      <c r="B11" s="340" t="s">
        <v>451</v>
      </c>
      <c r="C11" s="339" t="s">
        <v>110</v>
      </c>
      <c r="D11" s="338" t="s">
        <v>438</v>
      </c>
      <c r="E11" s="254"/>
      <c r="F11" s="332"/>
      <c r="G11" s="73"/>
      <c r="H11" s="333"/>
      <c r="I11" s="73"/>
      <c r="J11" s="332"/>
      <c r="K11" s="254"/>
      <c r="L11" s="333"/>
      <c r="M11" s="254"/>
      <c r="N11" s="333"/>
      <c r="O11" s="193" t="s">
        <v>68</v>
      </c>
      <c r="P11" s="344"/>
      <c r="Q11" s="254"/>
      <c r="R11" s="332"/>
      <c r="S11" s="254"/>
      <c r="T11" s="332"/>
      <c r="U11" s="254"/>
      <c r="V11" s="332"/>
      <c r="W11" s="254"/>
      <c r="X11" s="332"/>
      <c r="Y11" s="254"/>
      <c r="Z11" s="5"/>
    </row>
    <row r="12" spans="1:26" s="3" customFormat="1">
      <c r="A12" s="64" t="str">
        <f t="shared" si="0"/>
        <v>Dishwashing</v>
      </c>
      <c r="B12" s="340" t="s">
        <v>452</v>
      </c>
      <c r="C12" s="339" t="s">
        <v>110</v>
      </c>
      <c r="D12" s="338" t="s">
        <v>438</v>
      </c>
      <c r="E12" s="254"/>
      <c r="F12" s="332"/>
      <c r="G12" s="73"/>
      <c r="H12" s="333"/>
      <c r="I12" s="73"/>
      <c r="J12" s="332"/>
      <c r="K12" s="73"/>
      <c r="L12" s="333"/>
      <c r="M12" s="193" t="s">
        <v>112</v>
      </c>
      <c r="N12" s="344"/>
      <c r="O12" s="73"/>
      <c r="P12" s="332"/>
      <c r="Q12" s="254"/>
      <c r="R12" s="332"/>
      <c r="S12" s="254"/>
      <c r="T12" s="332"/>
      <c r="U12" s="254"/>
      <c r="V12" s="332"/>
      <c r="W12" s="254"/>
      <c r="X12" s="332"/>
      <c r="Y12" s="254"/>
      <c r="Z12" s="5"/>
    </row>
    <row r="13" spans="1:26" s="3" customFormat="1">
      <c r="A13" s="64" t="str">
        <f t="shared" si="0"/>
        <v>Clothes washing</v>
      </c>
      <c r="B13" s="340" t="s">
        <v>453</v>
      </c>
      <c r="C13" s="339" t="s">
        <v>110</v>
      </c>
      <c r="D13" s="338" t="s">
        <v>438</v>
      </c>
      <c r="E13" s="254"/>
      <c r="F13" s="332"/>
      <c r="G13" s="73"/>
      <c r="H13" s="333"/>
      <c r="I13" s="73"/>
      <c r="J13" s="332"/>
      <c r="K13" s="73"/>
      <c r="L13" s="333"/>
      <c r="M13" s="23" t="s">
        <v>67</v>
      </c>
      <c r="N13" s="344"/>
      <c r="O13" s="254"/>
      <c r="P13" s="332"/>
      <c r="Q13" s="254"/>
      <c r="R13" s="332"/>
      <c r="S13" s="254"/>
      <c r="T13" s="332"/>
      <c r="U13" s="254"/>
      <c r="V13" s="332"/>
      <c r="W13" s="254"/>
      <c r="X13" s="332"/>
      <c r="Y13" s="254"/>
      <c r="Z13" s="5"/>
    </row>
    <row r="14" spans="1:26" s="3" customFormat="1">
      <c r="A14" s="64" t="str">
        <f t="shared" si="0"/>
        <v>Electricity</v>
      </c>
      <c r="B14" s="340" t="s">
        <v>454</v>
      </c>
      <c r="C14" s="339" t="s">
        <v>111</v>
      </c>
      <c r="D14" s="338" t="s">
        <v>438</v>
      </c>
      <c r="E14" s="254"/>
      <c r="F14" s="332"/>
      <c r="G14" s="73"/>
      <c r="H14" s="333"/>
      <c r="I14" s="193" t="s">
        <v>2</v>
      </c>
      <c r="J14" s="345">
        <v>999</v>
      </c>
      <c r="K14" s="73"/>
      <c r="L14" s="332"/>
      <c r="M14" s="254"/>
      <c r="N14" s="332"/>
      <c r="O14" s="254"/>
      <c r="P14" s="332"/>
      <c r="Q14" s="254"/>
      <c r="R14" s="332"/>
      <c r="S14" s="254"/>
      <c r="T14" s="332"/>
      <c r="U14" s="254"/>
      <c r="V14" s="332"/>
      <c r="W14" s="254"/>
      <c r="X14" s="332"/>
      <c r="Y14" s="254"/>
      <c r="Z14" s="5"/>
    </row>
    <row r="15" spans="1:26" s="3" customFormat="1">
      <c r="A15" s="64" t="str">
        <f t="shared" si="0"/>
        <v>Generation</v>
      </c>
      <c r="B15" s="340" t="s">
        <v>455</v>
      </c>
      <c r="C15" s="339" t="s">
        <v>111</v>
      </c>
      <c r="D15" s="338" t="s">
        <v>438</v>
      </c>
      <c r="E15" s="254"/>
      <c r="F15" s="332"/>
      <c r="G15" s="73"/>
      <c r="H15" s="333"/>
      <c r="I15" s="73"/>
      <c r="J15" s="332"/>
      <c r="K15" s="23" t="s">
        <v>4</v>
      </c>
      <c r="L15" s="337">
        <v>999</v>
      </c>
      <c r="M15" s="73"/>
      <c r="N15" s="332"/>
      <c r="O15" s="254"/>
      <c r="P15" s="332"/>
      <c r="Q15" s="254"/>
      <c r="R15" s="332"/>
      <c r="S15" s="254"/>
      <c r="T15" s="332"/>
      <c r="U15" s="254"/>
      <c r="V15" s="332"/>
      <c r="W15" s="254"/>
      <c r="X15" s="332"/>
      <c r="Y15" s="254"/>
      <c r="Z15" s="5"/>
    </row>
    <row r="16" spans="1:26" s="3" customFormat="1">
      <c r="A16" s="64" t="str">
        <f t="shared" si="0"/>
        <v>Base load</v>
      </c>
      <c r="B16" s="340" t="s">
        <v>456</v>
      </c>
      <c r="C16" s="339" t="s">
        <v>111</v>
      </c>
      <c r="D16" s="338" t="s">
        <v>438</v>
      </c>
      <c r="E16" s="254"/>
      <c r="F16" s="332"/>
      <c r="G16" s="73"/>
      <c r="H16" s="333"/>
      <c r="I16" s="73"/>
      <c r="J16" s="332"/>
      <c r="K16" s="203"/>
      <c r="L16" s="333"/>
      <c r="M16" s="193" t="s">
        <v>3</v>
      </c>
      <c r="N16" s="337">
        <v>999</v>
      </c>
      <c r="O16" s="254"/>
      <c r="P16" s="332"/>
      <c r="Q16" s="254"/>
      <c r="R16" s="332"/>
      <c r="S16" s="254"/>
      <c r="T16" s="332"/>
      <c r="U16" s="254"/>
      <c r="V16" s="332"/>
      <c r="W16" s="254"/>
      <c r="X16" s="332"/>
      <c r="Y16" s="254"/>
      <c r="Z16" s="5"/>
    </row>
    <row r="17" spans="1:26" s="3" customFormat="1">
      <c r="A17" s="64" t="str">
        <f t="shared" si="0"/>
        <v>Conventional</v>
      </c>
      <c r="B17" s="340" t="s">
        <v>457</v>
      </c>
      <c r="C17" s="339" t="s">
        <v>111</v>
      </c>
      <c r="D17" s="338" t="s">
        <v>438</v>
      </c>
      <c r="E17" s="254"/>
      <c r="F17" s="332"/>
      <c r="G17" s="73"/>
      <c r="H17" s="333"/>
      <c r="I17" s="73"/>
      <c r="J17" s="332"/>
      <c r="K17" s="203"/>
      <c r="L17" s="332"/>
      <c r="M17" s="73"/>
      <c r="N17" s="333"/>
      <c r="O17" s="193" t="s">
        <v>70</v>
      </c>
      <c r="P17" s="344"/>
      <c r="Q17" s="254"/>
      <c r="R17" s="332"/>
      <c r="S17" s="254"/>
      <c r="T17" s="332"/>
      <c r="U17" s="254"/>
      <c r="V17" s="332"/>
      <c r="W17" s="254"/>
      <c r="X17" s="332"/>
      <c r="Y17" s="254"/>
      <c r="Z17" s="5"/>
    </row>
    <row r="18" spans="1:26" s="3" customFormat="1">
      <c r="A18" s="64" t="str">
        <f t="shared" si="0"/>
        <v>Renewables</v>
      </c>
      <c r="B18" s="340" t="s">
        <v>458</v>
      </c>
      <c r="C18" s="339" t="s">
        <v>111</v>
      </c>
      <c r="D18" s="338" t="s">
        <v>438</v>
      </c>
      <c r="E18" s="254"/>
      <c r="F18" s="332"/>
      <c r="G18" s="73"/>
      <c r="H18" s="333"/>
      <c r="I18" s="73"/>
      <c r="J18" s="332"/>
      <c r="K18" s="203"/>
      <c r="L18" s="332"/>
      <c r="M18" s="73"/>
      <c r="N18" s="333"/>
      <c r="O18" s="193" t="s">
        <v>71</v>
      </c>
      <c r="P18" s="344"/>
      <c r="Q18" s="254"/>
      <c r="R18" s="332"/>
      <c r="S18" s="254"/>
      <c r="T18" s="332"/>
      <c r="U18" s="254"/>
      <c r="V18" s="332"/>
      <c r="W18" s="254"/>
      <c r="X18" s="332"/>
      <c r="Y18" s="254"/>
      <c r="Z18" s="5"/>
    </row>
    <row r="19" spans="1:26" s="3" customFormat="1">
      <c r="A19" s="64" t="str">
        <f t="shared" si="0"/>
        <v>Transmission Losses</v>
      </c>
      <c r="B19" s="340" t="s">
        <v>459</v>
      </c>
      <c r="C19" s="339" t="s">
        <v>111</v>
      </c>
      <c r="D19" s="338" t="s">
        <v>438</v>
      </c>
      <c r="E19" s="254"/>
      <c r="F19" s="332"/>
      <c r="G19" s="73"/>
      <c r="H19" s="333"/>
      <c r="I19" s="73"/>
      <c r="J19" s="332"/>
      <c r="K19" s="23" t="s">
        <v>333</v>
      </c>
      <c r="L19" s="344"/>
      <c r="M19" s="73"/>
      <c r="N19" s="332"/>
      <c r="O19" s="254"/>
      <c r="P19" s="332"/>
      <c r="Q19" s="254"/>
      <c r="R19" s="332"/>
      <c r="S19" s="254"/>
      <c r="T19" s="332"/>
      <c r="U19" s="254"/>
      <c r="V19" s="332"/>
      <c r="W19" s="254"/>
      <c r="X19" s="332"/>
      <c r="Y19" s="254"/>
      <c r="Z19" s="5"/>
    </row>
    <row r="20" spans="1:26" s="3" customFormat="1">
      <c r="A20" s="64" t="str">
        <f t="shared" si="0"/>
        <v>Natural Gas</v>
      </c>
      <c r="B20" s="340" t="s">
        <v>460</v>
      </c>
      <c r="C20" s="339" t="s">
        <v>111</v>
      </c>
      <c r="D20" s="338" t="s">
        <v>438</v>
      </c>
      <c r="E20" s="254"/>
      <c r="F20" s="332"/>
      <c r="G20" s="73"/>
      <c r="H20" s="333"/>
      <c r="I20" s="193" t="s">
        <v>13</v>
      </c>
      <c r="J20" s="344"/>
      <c r="K20" s="73"/>
      <c r="L20" s="332"/>
      <c r="M20" s="73"/>
      <c r="N20" s="332"/>
      <c r="O20" s="254"/>
      <c r="P20" s="332"/>
      <c r="Q20" s="254"/>
      <c r="R20" s="332"/>
      <c r="S20" s="254"/>
      <c r="T20" s="332"/>
      <c r="U20" s="254"/>
      <c r="V20" s="332"/>
      <c r="W20" s="254"/>
      <c r="X20" s="332"/>
      <c r="Y20" s="254"/>
      <c r="Z20" s="5"/>
    </row>
    <row r="21" spans="1:26" s="3" customFormat="1">
      <c r="A21" s="64" t="str">
        <f t="shared" si="0"/>
        <v>Solar</v>
      </c>
      <c r="B21" s="340" t="s">
        <v>461</v>
      </c>
      <c r="C21" s="339" t="s">
        <v>111</v>
      </c>
      <c r="D21" s="338" t="s">
        <v>438</v>
      </c>
      <c r="E21" s="254"/>
      <c r="F21" s="332"/>
      <c r="G21" s="73"/>
      <c r="H21" s="333"/>
      <c r="I21" s="193" t="s">
        <v>250</v>
      </c>
      <c r="J21" s="344"/>
      <c r="K21" s="73"/>
      <c r="L21" s="332"/>
      <c r="M21" s="73"/>
      <c r="N21" s="332"/>
      <c r="O21" s="254"/>
      <c r="P21" s="332"/>
      <c r="Q21" s="254"/>
      <c r="R21" s="332"/>
      <c r="S21" s="254"/>
      <c r="T21" s="332"/>
      <c r="U21" s="254"/>
      <c r="V21" s="332"/>
      <c r="W21" s="254"/>
      <c r="X21" s="332"/>
      <c r="Y21" s="254"/>
      <c r="Z21" s="5"/>
    </row>
    <row r="22" spans="1:26" s="3" customFormat="1">
      <c r="A22" s="64" t="str">
        <f t="shared" si="0"/>
        <v>Wind</v>
      </c>
      <c r="B22" s="340" t="s">
        <v>462</v>
      </c>
      <c r="C22" s="339" t="s">
        <v>111</v>
      </c>
      <c r="D22" s="338" t="s">
        <v>438</v>
      </c>
      <c r="E22" s="254"/>
      <c r="F22" s="332"/>
      <c r="G22" s="73"/>
      <c r="H22" s="333"/>
      <c r="I22" s="193" t="s">
        <v>170</v>
      </c>
      <c r="J22" s="344"/>
      <c r="K22" s="73"/>
      <c r="L22" s="332"/>
      <c r="M22" s="73"/>
      <c r="N22" s="332"/>
      <c r="O22" s="254"/>
      <c r="P22" s="332"/>
      <c r="Q22" s="254"/>
      <c r="R22" s="332"/>
      <c r="S22" s="254"/>
      <c r="T22" s="332"/>
      <c r="U22" s="254"/>
      <c r="V22" s="332"/>
      <c r="W22" s="254"/>
      <c r="X22" s="332"/>
      <c r="Y22" s="254"/>
      <c r="Z22" s="5"/>
    </row>
    <row r="23" spans="1:26" s="3" customFormat="1">
      <c r="A23" s="64" t="str">
        <f t="shared" si="0"/>
        <v>Water</v>
      </c>
      <c r="B23" s="340" t="s">
        <v>463</v>
      </c>
      <c r="C23" s="339" t="s">
        <v>111</v>
      </c>
      <c r="D23" s="338" t="s">
        <v>438</v>
      </c>
      <c r="E23" s="254"/>
      <c r="F23" s="332"/>
      <c r="G23" s="73"/>
      <c r="H23" s="333"/>
      <c r="I23" s="193" t="s">
        <v>405</v>
      </c>
      <c r="J23" s="344"/>
      <c r="K23" s="73"/>
      <c r="L23" s="332"/>
      <c r="M23" s="73"/>
      <c r="N23" s="332"/>
      <c r="O23" s="254"/>
      <c r="P23" s="332"/>
      <c r="Q23" s="254"/>
      <c r="R23" s="332"/>
      <c r="S23" s="254"/>
      <c r="T23" s="332"/>
      <c r="U23" s="254"/>
      <c r="V23" s="332"/>
      <c r="W23" s="254"/>
      <c r="X23" s="332"/>
      <c r="Y23" s="254"/>
      <c r="Z23" s="5"/>
    </row>
    <row r="24" spans="1:26">
      <c r="A24" s="64" t="str">
        <f t="shared" si="0"/>
        <v/>
      </c>
      <c r="B24" s="339"/>
      <c r="C24" s="339"/>
      <c r="D24" s="338" t="s">
        <v>438</v>
      </c>
      <c r="Z24" s="5"/>
    </row>
    <row r="25" spans="1:26">
      <c r="A25" s="64" t="str">
        <f t="shared" si="0"/>
        <v/>
      </c>
      <c r="C25" s="339"/>
      <c r="D25" s="338" t="s">
        <v>438</v>
      </c>
      <c r="Z25" s="5"/>
    </row>
  </sheetData>
  <phoneticPr fontId="22" type="noConversion"/>
  <conditionalFormatting sqref="E3:E100000">
    <cfRule type="cellIs" dxfId="53" priority="2" stopIfTrue="1" operator="notEqual">
      <formula>0</formula>
    </cfRule>
  </conditionalFormatting>
  <conditionalFormatting sqref="G3:G100000">
    <cfRule type="cellIs" dxfId="52" priority="3" stopIfTrue="1" operator="notEqual">
      <formula>0</formula>
    </cfRule>
  </conditionalFormatting>
  <conditionalFormatting sqref="D3:D100000">
    <cfRule type="expression" dxfId="51" priority="1" stopIfTrue="1">
      <formula>AND($A3&lt;&gt;"",OR($B3="",$C3=""))</formula>
    </cfRule>
  </conditionalFormatting>
  <conditionalFormatting sqref="I3:I100000">
    <cfRule type="expression" dxfId="50" priority="4" stopIfTrue="1">
      <formula>AND(I3&lt;&gt;0,$C3="Demand")</formula>
    </cfRule>
    <cfRule type="expression" dxfId="49" priority="13" stopIfTrue="1">
      <formula>AND(I3&lt;&gt;0,$C3="Supply")</formula>
    </cfRule>
  </conditionalFormatting>
  <conditionalFormatting sqref="K3:K100000">
    <cfRule type="expression" dxfId="48" priority="5" stopIfTrue="1">
      <formula>AND(K3&lt;&gt;0,$C3="Demand")</formula>
    </cfRule>
    <cfRule type="expression" dxfId="47" priority="14" stopIfTrue="1">
      <formula>AND(K3&lt;&gt;0,$C3="Supply")</formula>
    </cfRule>
  </conditionalFormatting>
  <conditionalFormatting sqref="M3:M100000">
    <cfRule type="expression" dxfId="46" priority="6" stopIfTrue="1">
      <formula>AND(M3&lt;&gt;0,$C3="Demand")</formula>
    </cfRule>
    <cfRule type="expression" dxfId="45" priority="15" stopIfTrue="1">
      <formula>AND(M3&lt;&gt;0,$C3="Supply")</formula>
    </cfRule>
  </conditionalFormatting>
  <conditionalFormatting sqref="O3:O100000">
    <cfRule type="expression" dxfId="44" priority="7" stopIfTrue="1">
      <formula>AND(O3&lt;&gt;0,$C3="Demand")</formula>
    </cfRule>
    <cfRule type="expression" dxfId="43" priority="16" stopIfTrue="1">
      <formula>AND(O3&lt;&gt;0,$C3="Supply")</formula>
    </cfRule>
  </conditionalFormatting>
  <conditionalFormatting sqref="Q3:Q100000">
    <cfRule type="expression" dxfId="42" priority="8" stopIfTrue="1">
      <formula>AND(Q3&lt;&gt;0,$C3="Demand")</formula>
    </cfRule>
    <cfRule type="expression" dxfId="41" priority="17" stopIfTrue="1">
      <formula>AND(Q3&lt;&gt;0,$C3="Supply")</formula>
    </cfRule>
  </conditionalFormatting>
  <conditionalFormatting sqref="S3:S100000">
    <cfRule type="expression" dxfId="40" priority="9" stopIfTrue="1">
      <formula>AND(S3&lt;&gt;0,$C3="Demand")</formula>
    </cfRule>
    <cfRule type="expression" dxfId="39" priority="18" stopIfTrue="1">
      <formula>AND(S3&lt;&gt;0,$C3="Supply")</formula>
    </cfRule>
  </conditionalFormatting>
  <conditionalFormatting sqref="U3:U100000">
    <cfRule type="expression" dxfId="38" priority="10" stopIfTrue="1">
      <formula>AND(U3&lt;&gt;0,$C3="Demand")</formula>
    </cfRule>
    <cfRule type="expression" dxfId="37" priority="19" stopIfTrue="1">
      <formula>AND(U3&lt;&gt;0,$C3="Supply")</formula>
    </cfRule>
  </conditionalFormatting>
  <conditionalFormatting sqref="W3:W100000">
    <cfRule type="expression" dxfId="36" priority="11" stopIfTrue="1">
      <formula>AND(W3&lt;&gt;0,$C3="Demand")</formula>
    </cfRule>
    <cfRule type="expression" dxfId="35" priority="20" stopIfTrue="1">
      <formula>AND(W3&lt;&gt;0,$C3="Supply")</formula>
    </cfRule>
  </conditionalFormatting>
  <conditionalFormatting sqref="Y3:Y100000">
    <cfRule type="expression" dxfId="34" priority="12" stopIfTrue="1">
      <formula>AND(Y3&lt;&gt;0,$C3="Demand")</formula>
    </cfRule>
    <cfRule type="expression" dxfId="33"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U1161"/>
  <sheetViews>
    <sheetView tabSelected="1" topLeftCell="F217" workbookViewId="0">
      <selection activeCell="G843" sqref="G843"/>
    </sheetView>
  </sheetViews>
  <sheetFormatPr baseColWidth="10" defaultColWidth="9.1640625" defaultRowHeight="15" outlineLevelRow="2"/>
  <cols>
    <col min="1" max="1" width="25.5" style="22" bestFit="1" customWidth="1"/>
    <col min="2" max="2" width="40" style="2" bestFit="1" customWidth="1"/>
    <col min="3" max="3" width="23.5" style="15" bestFit="1" customWidth="1"/>
    <col min="4" max="4" width="66.83203125" style="2" bestFit="1" customWidth="1"/>
    <col min="5" max="5" width="31.33203125" style="2" bestFit="1" customWidth="1"/>
    <col min="6" max="6" width="50.33203125" style="2" bestFit="1" customWidth="1"/>
    <col min="7" max="7" width="3.6640625" style="2" customWidth="1"/>
    <col min="8" max="18" width="15.6640625" style="2" customWidth="1"/>
    <col min="19" max="19" width="2.6640625" style="2" customWidth="1"/>
    <col min="20" max="20" width="27.5" style="15" bestFit="1" customWidth="1"/>
    <col min="21" max="21" width="2.6640625" style="2" customWidth="1"/>
    <col min="22" max="16384" width="9.1640625" style="2"/>
  </cols>
  <sheetData>
    <row r="1" spans="1:21" s="19" customFormat="1">
      <c r="C1" s="200" t="s">
        <v>299</v>
      </c>
      <c r="E1" s="10"/>
      <c r="F1" s="197"/>
      <c r="G1" s="12"/>
      <c r="H1" s="10"/>
      <c r="I1" s="271" t="s">
        <v>406</v>
      </c>
      <c r="J1" s="10"/>
      <c r="K1" s="10"/>
      <c r="L1" s="10"/>
      <c r="M1" s="10"/>
      <c r="N1" s="10"/>
      <c r="O1" s="10"/>
      <c r="P1" s="10"/>
      <c r="Q1" s="10"/>
      <c r="R1" s="10"/>
      <c r="S1" s="20"/>
      <c r="T1" s="24" t="s">
        <v>77</v>
      </c>
      <c r="U1" s="20"/>
    </row>
    <row r="2" spans="1:21" s="19" customFormat="1">
      <c r="A2" s="6" t="s">
        <v>48</v>
      </c>
      <c r="B2" s="198" t="s">
        <v>9</v>
      </c>
      <c r="C2" s="198" t="s">
        <v>8</v>
      </c>
      <c r="D2" s="198" t="s">
        <v>6</v>
      </c>
      <c r="E2" s="198" t="s">
        <v>76</v>
      </c>
      <c r="F2" s="199" t="s">
        <v>15</v>
      </c>
      <c r="G2" s="6"/>
      <c r="H2" s="7">
        <v>2000</v>
      </c>
      <c r="I2" s="7">
        <v>2005</v>
      </c>
      <c r="J2" s="7">
        <v>2010</v>
      </c>
      <c r="K2" s="7">
        <v>2015</v>
      </c>
      <c r="L2" s="7">
        <v>2020</v>
      </c>
      <c r="M2" s="7">
        <v>2025</v>
      </c>
      <c r="N2" s="7">
        <v>2030</v>
      </c>
      <c r="O2" s="7">
        <v>2035</v>
      </c>
      <c r="P2" s="7">
        <v>2040</v>
      </c>
      <c r="Q2" s="7">
        <v>2045</v>
      </c>
      <c r="R2" s="7">
        <v>2050</v>
      </c>
      <c r="S2" s="20"/>
      <c r="T2" s="24" t="s">
        <v>75</v>
      </c>
      <c r="U2" s="20"/>
    </row>
    <row r="3" spans="1:21" s="10" customFormat="1">
      <c r="A3" s="21"/>
      <c r="B3" s="12"/>
      <c r="C3" s="13"/>
      <c r="D3" s="12"/>
      <c r="E3" s="12"/>
      <c r="F3" s="9"/>
      <c r="G3" s="13"/>
      <c r="H3" s="12"/>
      <c r="I3" s="12"/>
      <c r="J3" s="12"/>
      <c r="K3" s="12"/>
      <c r="L3" s="12"/>
      <c r="M3" s="12"/>
      <c r="N3" s="12"/>
      <c r="O3" s="12"/>
      <c r="P3" s="12"/>
      <c r="Q3" s="12"/>
      <c r="R3" s="12"/>
      <c r="S3" s="11"/>
      <c r="T3" s="13"/>
      <c r="U3" s="11"/>
    </row>
    <row r="4" spans="1:21" s="393" customFormat="1" collapsed="1">
      <c r="A4" s="393" t="s">
        <v>443</v>
      </c>
      <c r="B4" s="394"/>
      <c r="C4" s="395"/>
      <c r="D4" s="394"/>
      <c r="E4" s="394"/>
      <c r="F4" s="396"/>
      <c r="G4" s="395"/>
      <c r="H4" s="394"/>
      <c r="I4" s="394"/>
      <c r="J4" s="394"/>
      <c r="K4" s="394"/>
      <c r="L4" s="394"/>
      <c r="M4" s="394"/>
      <c r="N4" s="394"/>
      <c r="O4" s="394"/>
      <c r="P4" s="394"/>
      <c r="Q4" s="394"/>
      <c r="R4" s="394"/>
      <c r="T4" s="395"/>
    </row>
    <row r="5" spans="1:21" s="3" customFormat="1" hidden="1" outlineLevel="1">
      <c r="A5" s="21" t="s">
        <v>436</v>
      </c>
      <c r="B5" s="67" t="s">
        <v>300</v>
      </c>
      <c r="C5" s="346" t="str">
        <f>A4</f>
        <v>pyCIMS</v>
      </c>
      <c r="D5" s="273" t="s">
        <v>443</v>
      </c>
      <c r="E5" s="347"/>
      <c r="F5" s="4" t="s">
        <v>315</v>
      </c>
      <c r="G5" s="4"/>
      <c r="H5" s="4"/>
      <c r="I5" s="4"/>
      <c r="J5" s="4"/>
      <c r="K5" s="4"/>
      <c r="L5" s="4"/>
      <c r="M5" s="4"/>
      <c r="N5" s="4"/>
      <c r="O5" s="4"/>
      <c r="P5" s="4"/>
      <c r="Q5" s="4"/>
      <c r="R5" s="4"/>
      <c r="S5" s="5"/>
      <c r="T5" s="13"/>
      <c r="U5" s="5"/>
    </row>
    <row r="6" spans="1:21" s="3" customFormat="1" hidden="1" outlineLevel="1">
      <c r="A6" s="21"/>
      <c r="B6" s="67" t="s">
        <v>46</v>
      </c>
      <c r="C6" s="273" t="s">
        <v>465</v>
      </c>
      <c r="D6" s="4"/>
      <c r="E6" s="347"/>
      <c r="H6" s="4"/>
      <c r="I6" s="4"/>
      <c r="J6" s="4"/>
      <c r="K6" s="4"/>
      <c r="L6" s="4"/>
      <c r="M6" s="4"/>
      <c r="N6" s="4"/>
      <c r="O6" s="4"/>
      <c r="P6" s="4"/>
      <c r="Q6" s="4"/>
      <c r="R6" s="4"/>
      <c r="S6" s="5"/>
      <c r="T6" s="13"/>
      <c r="U6" s="5"/>
    </row>
    <row r="7" spans="1:21" s="3" customFormat="1" hidden="1" outlineLevel="1">
      <c r="A7" s="21" t="s">
        <v>436</v>
      </c>
      <c r="B7" s="67" t="s">
        <v>308</v>
      </c>
      <c r="C7" s="13"/>
      <c r="D7" s="4"/>
      <c r="E7" s="348" t="s">
        <v>291</v>
      </c>
      <c r="F7" s="67" t="s">
        <v>10</v>
      </c>
      <c r="G7" s="67"/>
      <c r="H7" s="265">
        <v>2000</v>
      </c>
      <c r="I7" s="265">
        <v>2005</v>
      </c>
      <c r="J7" s="265">
        <v>2010</v>
      </c>
      <c r="K7" s="265">
        <v>2015</v>
      </c>
      <c r="L7" s="265">
        <v>2020</v>
      </c>
      <c r="M7" s="265">
        <v>2025</v>
      </c>
      <c r="N7" s="265">
        <v>2030</v>
      </c>
      <c r="O7" s="265"/>
      <c r="P7" s="265"/>
      <c r="Q7" s="265"/>
      <c r="R7" s="265"/>
      <c r="S7" s="5"/>
      <c r="T7" s="13"/>
      <c r="U7" s="5"/>
    </row>
    <row r="8" spans="1:21" s="3" customFormat="1" hidden="1" outlineLevel="1">
      <c r="A8" s="21" t="s">
        <v>436</v>
      </c>
      <c r="B8" s="67" t="s">
        <v>320</v>
      </c>
      <c r="C8" s="346">
        <v>2015</v>
      </c>
      <c r="D8" s="4"/>
      <c r="E8" s="349"/>
      <c r="F8" s="67" t="s">
        <v>323</v>
      </c>
      <c r="G8" s="67"/>
      <c r="H8" s="4"/>
      <c r="I8" s="4"/>
      <c r="J8" s="4"/>
      <c r="K8" s="4"/>
      <c r="L8" s="4"/>
      <c r="M8" s="4"/>
      <c r="N8" s="4"/>
      <c r="O8" s="4"/>
      <c r="P8" s="4"/>
      <c r="Q8" s="4"/>
      <c r="R8" s="4"/>
      <c r="S8" s="5"/>
      <c r="T8" s="25"/>
      <c r="U8" s="5"/>
    </row>
    <row r="9" spans="1:21" s="3" customFormat="1" hidden="1" outlineLevel="1">
      <c r="A9" s="21" t="s">
        <v>436</v>
      </c>
      <c r="B9" s="67" t="s">
        <v>301</v>
      </c>
      <c r="C9" s="13" t="s">
        <v>47</v>
      </c>
      <c r="D9" s="273" t="s">
        <v>444</v>
      </c>
      <c r="E9" s="348" t="s">
        <v>291</v>
      </c>
      <c r="F9" s="13" t="s">
        <v>315</v>
      </c>
      <c r="G9" s="13"/>
      <c r="H9" s="350">
        <v>1</v>
      </c>
      <c r="I9" s="350">
        <v>1</v>
      </c>
      <c r="J9" s="350">
        <v>1</v>
      </c>
      <c r="K9" s="350">
        <v>1</v>
      </c>
      <c r="L9" s="350">
        <v>1</v>
      </c>
      <c r="M9" s="350">
        <v>1</v>
      </c>
      <c r="N9" s="350">
        <v>1</v>
      </c>
      <c r="O9" s="350">
        <v>1</v>
      </c>
      <c r="P9" s="350">
        <v>1</v>
      </c>
      <c r="Q9" s="350">
        <v>1</v>
      </c>
      <c r="R9" s="350">
        <v>1</v>
      </c>
      <c r="S9" s="5"/>
      <c r="T9" s="4"/>
      <c r="U9" s="5"/>
    </row>
    <row r="10" spans="1:21" s="393" customFormat="1" collapsed="1">
      <c r="A10" s="393" t="s">
        <v>47</v>
      </c>
      <c r="B10" s="394"/>
      <c r="C10" s="395"/>
      <c r="D10" s="394"/>
      <c r="E10" s="394"/>
      <c r="F10" s="396"/>
      <c r="G10" s="395"/>
      <c r="H10" s="394"/>
      <c r="I10" s="394"/>
      <c r="J10" s="394"/>
      <c r="K10" s="394"/>
      <c r="L10" s="394"/>
      <c r="M10" s="394"/>
      <c r="N10" s="394"/>
      <c r="O10" s="394"/>
      <c r="P10" s="394"/>
      <c r="Q10" s="394"/>
      <c r="R10" s="394"/>
      <c r="T10" s="395"/>
    </row>
    <row r="11" spans="1:21" s="3" customFormat="1" hidden="1" outlineLevel="1">
      <c r="A11" s="21" t="s">
        <v>436</v>
      </c>
      <c r="B11" s="67" t="s">
        <v>300</v>
      </c>
      <c r="C11" s="346" t="str">
        <f>A10</f>
        <v>Canada</v>
      </c>
      <c r="D11" s="273" t="s">
        <v>444</v>
      </c>
      <c r="E11" s="347"/>
      <c r="F11" s="4" t="s">
        <v>315</v>
      </c>
      <c r="G11" s="4"/>
      <c r="H11" s="4"/>
      <c r="I11" s="4"/>
      <c r="J11" s="4"/>
      <c r="K11" s="4"/>
      <c r="L11" s="4"/>
      <c r="M11" s="4"/>
      <c r="N11" s="4"/>
      <c r="O11" s="4"/>
      <c r="P11" s="4"/>
      <c r="Q11" s="4"/>
      <c r="R11" s="4"/>
      <c r="S11" s="5"/>
      <c r="T11" s="13"/>
      <c r="U11" s="5"/>
    </row>
    <row r="12" spans="1:21" s="3" customFormat="1" hidden="1" outlineLevel="1">
      <c r="A12" s="21" t="s">
        <v>436</v>
      </c>
      <c r="B12" s="67" t="s">
        <v>46</v>
      </c>
      <c r="C12" s="273" t="s">
        <v>58</v>
      </c>
      <c r="D12" s="4"/>
      <c r="E12" s="347"/>
      <c r="H12" s="4"/>
      <c r="I12" s="4"/>
      <c r="J12" s="4"/>
      <c r="K12" s="4"/>
      <c r="L12" s="4"/>
      <c r="M12" s="4"/>
      <c r="N12" s="4"/>
      <c r="O12" s="4"/>
      <c r="P12" s="4"/>
      <c r="Q12" s="4"/>
      <c r="R12" s="4"/>
      <c r="S12" s="5"/>
      <c r="T12" s="25"/>
      <c r="U12" s="5"/>
    </row>
    <row r="13" spans="1:21" s="3" customFormat="1" hidden="1" outlineLevel="1">
      <c r="A13" s="21" t="s">
        <v>436</v>
      </c>
      <c r="B13" s="67" t="s">
        <v>301</v>
      </c>
      <c r="C13" s="13" t="s">
        <v>5</v>
      </c>
      <c r="D13" s="273" t="s">
        <v>445</v>
      </c>
      <c r="E13" s="348" t="s">
        <v>291</v>
      </c>
      <c r="F13" s="13" t="s">
        <v>315</v>
      </c>
      <c r="G13" s="13"/>
      <c r="H13" s="351">
        <v>1</v>
      </c>
      <c r="I13" s="351">
        <v>1</v>
      </c>
      <c r="J13" s="351">
        <v>1</v>
      </c>
      <c r="K13" s="351">
        <v>1</v>
      </c>
      <c r="L13" s="351">
        <v>1</v>
      </c>
      <c r="M13" s="351">
        <v>1</v>
      </c>
      <c r="N13" s="351">
        <v>1</v>
      </c>
      <c r="O13" s="351">
        <v>1</v>
      </c>
      <c r="P13" s="351">
        <v>1</v>
      </c>
      <c r="Q13" s="351">
        <v>1</v>
      </c>
      <c r="R13" s="351">
        <v>1</v>
      </c>
      <c r="S13" s="5"/>
      <c r="T13" s="4"/>
      <c r="U13" s="5"/>
    </row>
    <row r="14" spans="1:21" s="393" customFormat="1" collapsed="1">
      <c r="A14" s="393" t="s">
        <v>5</v>
      </c>
      <c r="B14" s="394"/>
      <c r="C14" s="395"/>
      <c r="D14" s="394"/>
      <c r="E14" s="394"/>
      <c r="F14" s="396"/>
      <c r="G14" s="395"/>
      <c r="H14" s="394"/>
      <c r="I14" s="394"/>
      <c r="J14" s="394"/>
      <c r="K14" s="394"/>
      <c r="L14" s="394"/>
      <c r="M14" s="394"/>
      <c r="N14" s="394"/>
      <c r="O14" s="394"/>
      <c r="P14" s="394"/>
      <c r="Q14" s="394"/>
      <c r="R14" s="394"/>
      <c r="T14" s="395"/>
    </row>
    <row r="15" spans="1:21" s="3" customFormat="1" hidden="1" outlineLevel="1">
      <c r="A15" s="21" t="s">
        <v>436</v>
      </c>
      <c r="B15" s="67" t="s">
        <v>300</v>
      </c>
      <c r="C15" s="273" t="str">
        <f>A14</f>
        <v>Alberta</v>
      </c>
      <c r="D15" s="273" t="s">
        <v>445</v>
      </c>
      <c r="E15" s="347"/>
      <c r="F15" s="67" t="s">
        <v>315</v>
      </c>
      <c r="G15" s="5"/>
      <c r="H15" s="55"/>
      <c r="I15" s="55"/>
      <c r="J15" s="55"/>
      <c r="K15" s="55"/>
      <c r="L15" s="55"/>
      <c r="M15" s="55"/>
      <c r="N15" s="55"/>
      <c r="O15" s="55"/>
      <c r="P15" s="55"/>
      <c r="Q15" s="55"/>
      <c r="R15" s="55"/>
      <c r="S15" s="5"/>
      <c r="T15" s="13"/>
      <c r="U15" s="5"/>
    </row>
    <row r="16" spans="1:21" s="3" customFormat="1" hidden="1" outlineLevel="1">
      <c r="A16" s="21" t="s">
        <v>436</v>
      </c>
      <c r="B16" s="67" t="s">
        <v>46</v>
      </c>
      <c r="C16" s="273" t="s">
        <v>58</v>
      </c>
      <c r="D16" s="4"/>
      <c r="E16" s="347"/>
      <c r="G16" s="5"/>
      <c r="H16" s="4"/>
      <c r="I16" s="4"/>
      <c r="J16" s="4"/>
      <c r="K16" s="4"/>
      <c r="L16" s="4"/>
      <c r="M16" s="4"/>
      <c r="N16" s="4"/>
      <c r="O16" s="4"/>
      <c r="P16" s="4"/>
      <c r="Q16" s="4"/>
      <c r="R16" s="4"/>
      <c r="S16" s="5"/>
      <c r="T16" s="25"/>
      <c r="U16" s="5"/>
    </row>
    <row r="17" spans="1:21" s="3" customFormat="1" hidden="1" outlineLevel="1">
      <c r="A17" s="21" t="s">
        <v>436</v>
      </c>
      <c r="B17" s="67" t="s">
        <v>313</v>
      </c>
      <c r="C17" s="273" t="s">
        <v>42</v>
      </c>
      <c r="D17" s="4"/>
      <c r="E17" s="348" t="str">
        <f>[1]Macro!F1</f>
        <v>Source</v>
      </c>
      <c r="F17" s="67" t="s">
        <v>45</v>
      </c>
      <c r="G17" s="5"/>
      <c r="H17" s="55">
        <f>INDEX([1]Macro!G$3:G$16,MATCH("Alberta",[1]Macro!$C$3:$C$16,0))</f>
        <v>3004198</v>
      </c>
      <c r="I17" s="55">
        <f>INDEX([1]Macro!H$3:H$16,MATCH("Alberta",[1]Macro!$C$3:$C$16,0))</f>
        <v>3321768</v>
      </c>
      <c r="J17" s="55">
        <f>INDEX([1]Macro!I$3:I$16,MATCH("Alberta",[1]Macro!$C$3:$C$16,0))</f>
        <v>3732082</v>
      </c>
      <c r="K17" s="55">
        <f>INDEX([1]Macro!J$3:J$16,MATCH("Alberta",[1]Macro!$C$3:$C$16,0))</f>
        <v>4144491</v>
      </c>
      <c r="L17" s="55">
        <f>INDEX([1]Macro!K$3:K$16,MATCH("Alberta",[1]Macro!$C$3:$C$16,0))</f>
        <v>4472800</v>
      </c>
      <c r="M17" s="55">
        <f>INDEX([1]Macro!L$3:L$16,MATCH("Alberta",[1]Macro!$C$3:$C$16,0))</f>
        <v>4908500</v>
      </c>
      <c r="N17" s="55">
        <f>INDEX([1]Macro!M$3:M$16,MATCH("Alberta",[1]Macro!$C$3:$C$16,0))</f>
        <v>5360500</v>
      </c>
      <c r="O17" s="55">
        <f>INDEX([1]Macro!N$3:N$16,MATCH("Alberta",[1]Macro!$C$3:$C$16,0))</f>
        <v>5830000</v>
      </c>
      <c r="P17" s="55">
        <f>INDEX([1]Macro!O$3:O$16,MATCH("Alberta",[1]Macro!$C$3:$C$16,0))</f>
        <v>6317800</v>
      </c>
      <c r="Q17" s="55">
        <f>INDEX([1]Macro!P$3:P$16,MATCH("Alberta",[1]Macro!$C$3:$C$16,0))</f>
        <v>6546789.4987122808</v>
      </c>
      <c r="R17" s="55">
        <f>INDEX([1]Macro!Q$3:Q$16,MATCH("Alberta",[1]Macro!$C$3:$C$16,0))</f>
        <v>6769878.6374783553</v>
      </c>
      <c r="S17" s="5"/>
      <c r="T17" s="4"/>
      <c r="U17" s="5"/>
    </row>
    <row r="18" spans="1:21" s="3" customFormat="1" hidden="1" outlineLevel="1">
      <c r="A18" s="21" t="s">
        <v>436</v>
      </c>
      <c r="B18" s="67" t="s">
        <v>313</v>
      </c>
      <c r="C18" s="273" t="s">
        <v>43</v>
      </c>
      <c r="D18" s="4"/>
      <c r="E18" s="348">
        <f>[1]Macro!F50</f>
        <v>0</v>
      </c>
      <c r="F18" s="195" t="s">
        <v>316</v>
      </c>
      <c r="G18" s="5"/>
      <c r="H18" s="55">
        <f>INDEX([1]Macro!G$52:G$65,MATCH("Alberta",[1]Macro!$C$52:$C$65,0))*1000</f>
        <v>217724000</v>
      </c>
      <c r="I18" s="55">
        <f>INDEX([1]Macro!H$52:H$65,MATCH("Alberta",[1]Macro!$C$52:$C$65,0))*1000</f>
        <v>263911000</v>
      </c>
      <c r="J18" s="55">
        <f>INDEX([1]Macro!I$52:I$65,MATCH("Alberta",[1]Macro!$C$52:$C$65,0))*1000</f>
        <v>283544000</v>
      </c>
      <c r="K18" s="55">
        <f>INDEX([1]Macro!J$52:J$65,MATCH("Alberta",[1]Macro!$C$52:$C$65,0))*1000</f>
        <v>337590000</v>
      </c>
      <c r="L18" s="55">
        <f>INDEX([1]Macro!K$52:K$65,MATCH("Alberta",[1]Macro!$C$52:$C$65,0))*1000</f>
        <v>374179263.03346777</v>
      </c>
      <c r="M18" s="55">
        <f>INDEX([1]Macro!L$52:L$65,MATCH("Alberta",[1]Macro!$C$52:$C$65,0))*1000</f>
        <v>404742131.51416194</v>
      </c>
      <c r="N18" s="55">
        <f>INDEX([1]Macro!M$52:M$65,MATCH("Alberta",[1]Macro!$C$52:$C$65,0))*1000</f>
        <v>441255800.0564186</v>
      </c>
      <c r="O18" s="55">
        <f>INDEX([1]Macro!N$52:N$65,MATCH("Alberta",[1]Macro!$C$52:$C$65,0))*1000</f>
        <v>484096718.83954442</v>
      </c>
      <c r="P18" s="55">
        <f>INDEX([1]Macro!O$52:O$65,MATCH("Alberta",[1]Macro!$C$52:$C$65,0))*1000</f>
        <v>532616149.82592559</v>
      </c>
      <c r="Q18" s="55">
        <f>INDEX([1]Macro!P$52:P$65,MATCH("Alberta",[1]Macro!$C$52:$C$65,0))*1000</f>
        <v>586750573.98825741</v>
      </c>
      <c r="R18" s="55">
        <f>INDEX([1]Macro!Q$52:Q$65,MATCH("Alberta",[1]Macro!$C$52:$C$65,0))*1000</f>
        <v>646120876.01322007</v>
      </c>
      <c r="S18" s="5"/>
      <c r="T18" s="4"/>
      <c r="U18" s="5"/>
    </row>
    <row r="19" spans="1:21" s="3" customFormat="1" hidden="1" outlineLevel="1">
      <c r="A19" s="21" t="s">
        <v>436</v>
      </c>
      <c r="B19" s="67" t="s">
        <v>301</v>
      </c>
      <c r="C19" s="273" t="s">
        <v>0</v>
      </c>
      <c r="D19" s="273" t="s">
        <v>446</v>
      </c>
      <c r="E19" s="348" t="str">
        <f>[1]Residential!E1</f>
        <v>Source</v>
      </c>
      <c r="F19" s="67" t="s">
        <v>486</v>
      </c>
      <c r="G19" s="5"/>
      <c r="H19" s="55">
        <f>H17/INDEX([1]Residential!F$3:F$16,MATCH("Alberta",[1]Residential!$C$3:$C$16,0))</f>
        <v>1155460.7692307692</v>
      </c>
      <c r="I19" s="55">
        <f>I17/INDEX([1]Residential!G$3:G$16,MATCH("Alberta",[1]Residential!$C$3:$C$16,0))</f>
        <v>1277603.076923077</v>
      </c>
      <c r="J19" s="55">
        <f>J17/INDEX([1]Residential!H$3:H$16,MATCH("Alberta",[1]Residential!$C$3:$C$16,0))</f>
        <v>1435416.1538461538</v>
      </c>
      <c r="K19" s="55">
        <f>K17/INDEX([1]Residential!I$3:I$16,MATCH("Alberta",[1]Residential!$C$3:$C$16,0))</f>
        <v>1594035</v>
      </c>
      <c r="L19" s="55">
        <f>L17/INDEX([1]Residential!J$3:J$16,MATCH("Alberta",[1]Residential!$C$3:$C$16,0))</f>
        <v>1720307.6923076923</v>
      </c>
      <c r="M19" s="55">
        <f>M17/INDEX([1]Residential!K$3:K$16,MATCH("Alberta",[1]Residential!$C$3:$C$16,0))</f>
        <v>1887884.6153846153</v>
      </c>
      <c r="N19" s="55">
        <f>N17/INDEX([1]Residential!L$3:L$16,MATCH("Alberta",[1]Residential!$C$3:$C$16,0))</f>
        <v>2061730.7692307692</v>
      </c>
      <c r="O19" s="55">
        <f>O17/INDEX([1]Residential!M$3:M$16,MATCH("Alberta",[1]Residential!$C$3:$C$16,0))</f>
        <v>2242307.692307692</v>
      </c>
      <c r="P19" s="55">
        <f>P17/INDEX([1]Residential!N$3:N$16,MATCH("Alberta",[1]Residential!$C$3:$C$16,0))</f>
        <v>2429923.076923077</v>
      </c>
      <c r="Q19" s="55">
        <f>Q17/INDEX([1]Residential!O$3:O$16,MATCH("Alberta",[1]Residential!$C$3:$C$16,0))</f>
        <v>2517995.9610431846</v>
      </c>
      <c r="R19" s="55">
        <f>R17/INDEX([1]Residential!P$3:P$16,MATCH("Alberta",[1]Residential!$C$3:$C$16,0))</f>
        <v>2603799.4759532134</v>
      </c>
      <c r="S19" s="5"/>
      <c r="T19" s="4"/>
      <c r="U19" s="5"/>
    </row>
    <row r="20" spans="1:21" s="3" customFormat="1" hidden="1" outlineLevel="1">
      <c r="A20" s="21" t="s">
        <v>436</v>
      </c>
      <c r="B20" s="4"/>
      <c r="C20" s="4"/>
      <c r="D20" s="15"/>
      <c r="E20" s="15"/>
      <c r="F20" s="16"/>
      <c r="G20" s="25"/>
      <c r="H20" s="15"/>
      <c r="I20" s="15"/>
      <c r="J20" s="15"/>
      <c r="K20" s="15"/>
      <c r="L20" s="15"/>
      <c r="M20" s="15"/>
      <c r="N20" s="15"/>
      <c r="O20" s="15"/>
      <c r="P20" s="15"/>
      <c r="Q20" s="15"/>
      <c r="R20" s="15"/>
      <c r="S20" s="5"/>
      <c r="T20" s="4"/>
      <c r="U20" s="5"/>
    </row>
    <row r="21" spans="1:21" s="397" customFormat="1" collapsed="1">
      <c r="A21" s="397" t="s">
        <v>0</v>
      </c>
      <c r="B21" s="398"/>
      <c r="C21" s="398"/>
      <c r="D21" s="398"/>
      <c r="E21" s="398"/>
      <c r="F21" s="399"/>
      <c r="G21" s="400"/>
      <c r="H21" s="398"/>
      <c r="I21" s="398"/>
      <c r="J21" s="398"/>
      <c r="K21" s="398"/>
      <c r="L21" s="398"/>
      <c r="M21" s="398"/>
      <c r="N21" s="398"/>
      <c r="O21" s="398"/>
      <c r="P21" s="398"/>
      <c r="Q21" s="398"/>
      <c r="R21" s="398"/>
      <c r="T21" s="398"/>
    </row>
    <row r="22" spans="1:21" s="3" customFormat="1" hidden="1" outlineLevel="1">
      <c r="A22" s="21" t="s">
        <v>436</v>
      </c>
      <c r="B22" s="67" t="s">
        <v>300</v>
      </c>
      <c r="C22" s="273" t="str">
        <f>A21</f>
        <v>Residential</v>
      </c>
      <c r="D22" s="273" t="s">
        <v>446</v>
      </c>
      <c r="E22" s="347"/>
      <c r="F22" s="67" t="s">
        <v>122</v>
      </c>
      <c r="G22" s="5"/>
      <c r="H22" s="55"/>
      <c r="I22" s="55"/>
      <c r="J22" s="55"/>
      <c r="K22" s="55"/>
      <c r="L22" s="55"/>
      <c r="M22" s="55"/>
      <c r="N22" s="55"/>
      <c r="O22" s="55"/>
      <c r="P22" s="55"/>
      <c r="Q22" s="55"/>
      <c r="R22" s="55"/>
      <c r="S22" s="5"/>
      <c r="T22" s="25"/>
      <c r="U22" s="5"/>
    </row>
    <row r="23" spans="1:21" s="3" customFormat="1" hidden="1" outlineLevel="1">
      <c r="A23" s="21"/>
      <c r="B23" s="67" t="s">
        <v>466</v>
      </c>
      <c r="C23" s="273" t="s">
        <v>110</v>
      </c>
      <c r="D23" s="273"/>
      <c r="E23" s="347"/>
      <c r="F23" s="67"/>
      <c r="G23" s="5"/>
      <c r="H23" s="55"/>
      <c r="I23" s="55"/>
      <c r="J23" s="55"/>
      <c r="K23" s="55"/>
      <c r="L23" s="55"/>
      <c r="M23" s="55"/>
      <c r="N23" s="55"/>
      <c r="O23" s="55"/>
      <c r="P23" s="55"/>
      <c r="Q23" s="55"/>
      <c r="R23" s="55"/>
      <c r="S23" s="5"/>
      <c r="T23" s="25"/>
      <c r="U23" s="5"/>
    </row>
    <row r="24" spans="1:21" s="3" customFormat="1" hidden="1" outlineLevel="1">
      <c r="A24" s="21" t="s">
        <v>436</v>
      </c>
      <c r="B24" s="67" t="s">
        <v>46</v>
      </c>
      <c r="C24" s="273" t="s">
        <v>55</v>
      </c>
      <c r="D24" s="4"/>
      <c r="E24" s="347"/>
      <c r="G24" s="5"/>
      <c r="H24" s="4"/>
      <c r="I24" s="4"/>
      <c r="J24" s="4"/>
      <c r="K24" s="4"/>
      <c r="L24" s="4"/>
      <c r="M24" s="4"/>
      <c r="N24" s="4"/>
      <c r="O24" s="4"/>
      <c r="P24" s="4"/>
      <c r="Q24" s="4"/>
      <c r="R24" s="4"/>
      <c r="S24" s="5"/>
      <c r="T24" s="25"/>
      <c r="U24" s="5"/>
    </row>
    <row r="25" spans="1:21" s="3" customFormat="1" hidden="1" outlineLevel="1">
      <c r="A25" s="21" t="s">
        <v>436</v>
      </c>
      <c r="B25" s="67" t="s">
        <v>306</v>
      </c>
      <c r="C25" s="273" t="s">
        <v>309</v>
      </c>
      <c r="D25" s="4"/>
      <c r="E25" s="347"/>
      <c r="F25" s="67" t="s">
        <v>96</v>
      </c>
      <c r="G25" s="5"/>
      <c r="H25" s="261">
        <v>0.25</v>
      </c>
      <c r="I25" s="352">
        <f t="shared" ref="I25:R25" si="0">H25</f>
        <v>0.25</v>
      </c>
      <c r="J25" s="352">
        <f t="shared" si="0"/>
        <v>0.25</v>
      </c>
      <c r="K25" s="352">
        <f t="shared" si="0"/>
        <v>0.25</v>
      </c>
      <c r="L25" s="352">
        <f t="shared" si="0"/>
        <v>0.25</v>
      </c>
      <c r="M25" s="352">
        <f t="shared" si="0"/>
        <v>0.25</v>
      </c>
      <c r="N25" s="352">
        <f t="shared" si="0"/>
        <v>0.25</v>
      </c>
      <c r="O25" s="352">
        <f t="shared" si="0"/>
        <v>0.25</v>
      </c>
      <c r="P25" s="352">
        <f t="shared" si="0"/>
        <v>0.25</v>
      </c>
      <c r="Q25" s="352">
        <f t="shared" si="0"/>
        <v>0.25</v>
      </c>
      <c r="R25" s="352">
        <f t="shared" si="0"/>
        <v>0.25</v>
      </c>
      <c r="S25" s="5"/>
      <c r="T25" s="25"/>
      <c r="U25" s="5"/>
    </row>
    <row r="26" spans="1:21" s="3" customFormat="1" hidden="1" outlineLevel="1">
      <c r="A26" s="21" t="s">
        <v>436</v>
      </c>
      <c r="B26" s="67" t="s">
        <v>265</v>
      </c>
      <c r="C26" s="273" t="s">
        <v>11</v>
      </c>
      <c r="D26" s="4"/>
      <c r="E26" s="348" t="s">
        <v>467</v>
      </c>
      <c r="F26" s="67" t="s">
        <v>317</v>
      </c>
      <c r="G26" s="5"/>
      <c r="H26" s="54">
        <f>INDEX(FuelPrices_Residential,MATCH("Alberta",FuelPrices_Region,0)+MATCH("Oil",FuelPrices_Type_RCI,0)-1,MATCH(H$2,Year,0))/[1]Prices!G$12</f>
        <v>3.713594017570093</v>
      </c>
      <c r="I26" s="54">
        <f>INDEX(FuelPrices_Residential,MATCH("Alberta",FuelPrices_Region,0)+MATCH("Oil",FuelPrices_Type_RCI,0)-1,MATCH(I$2,Year,0))/[1]Prices!H$12</f>
        <v>3.7562051565968173</v>
      </c>
      <c r="J26" s="54">
        <f>INDEX(FuelPrices_Residential,MATCH("Alberta",FuelPrices_Region,0)+MATCH("Oil",FuelPrices_Type_RCI,0)-1,MATCH(J$2,Year,0))/[1]Prices!I$12</f>
        <v>2.2048627745400187</v>
      </c>
      <c r="K26" s="54">
        <f>INDEX(FuelPrices_Residential,MATCH("Alberta",FuelPrices_Region,0)+MATCH("Oil",FuelPrices_Type_RCI,0)-1,MATCH(K$2,Year,0))/[1]Prices!J$12</f>
        <v>3.7962319002957341</v>
      </c>
      <c r="L26" s="54">
        <f>INDEX(FuelPrices_Residential,MATCH("Alberta",FuelPrices_Region,0)+MATCH("Oil",FuelPrices_Type_RCI,0)-1,MATCH(L$2,Year,0))/[1]Prices!K$12</f>
        <v>5.5729559285078665</v>
      </c>
      <c r="M26" s="54">
        <f>INDEX(FuelPrices_Residential,MATCH("Alberta",FuelPrices_Region,0)+MATCH("Oil",FuelPrices_Type_RCI,0)-1,MATCH(M$2,Year,0))/[1]Prices!L$12</f>
        <v>3.1680912706293727</v>
      </c>
      <c r="N26" s="54">
        <f>INDEX(FuelPrices_Residential,MATCH("Alberta",FuelPrices_Region,0)+MATCH("Oil",FuelPrices_Type_RCI,0)-1,MATCH(N$2,Year,0))/[1]Prices!M$12</f>
        <v>2.9650980293385198</v>
      </c>
      <c r="O26" s="54">
        <f>INDEX(FuelPrices_Residential,MATCH("Alberta",FuelPrices_Region,0)+MATCH("Oil",FuelPrices_Type_RCI,0)-1,MATCH(O$2,Year,0))/[1]Prices!N$12</f>
        <v>2.9424996321635044</v>
      </c>
      <c r="P26" s="54">
        <f>INDEX(FuelPrices_Residential,MATCH("Alberta",FuelPrices_Region,0)+MATCH("Oil",FuelPrices_Type_RCI,0)-1,MATCH(P$2,Year,0))/[1]Prices!O$12</f>
        <v>2.9076604365186882</v>
      </c>
      <c r="Q26" s="54">
        <f>INDEX(FuelPrices_Residential,MATCH("Alberta",FuelPrices_Region,0)+MATCH("Oil",FuelPrices_Type_RCI,0)-1,MATCH(Q$2,Year,0))/[1]Prices!P$12</f>
        <v>2.9076604365186882</v>
      </c>
      <c r="R26" s="54">
        <f>INDEX(FuelPrices_Residential,MATCH("Alberta",FuelPrices_Region,0)+MATCH("Oil",FuelPrices_Type_RCI,0)-1,MATCH(R$2,Year,0))/[1]Prices!Q$12</f>
        <v>2.9076604365186882</v>
      </c>
      <c r="S26" s="5"/>
      <c r="T26" s="25"/>
      <c r="U26" s="5"/>
    </row>
    <row r="27" spans="1:21" s="3" customFormat="1" hidden="1" outlineLevel="1">
      <c r="A27" s="21" t="s">
        <v>436</v>
      </c>
      <c r="B27" s="67" t="s">
        <v>265</v>
      </c>
      <c r="C27" s="273" t="s">
        <v>12</v>
      </c>
      <c r="D27" s="4"/>
      <c r="E27" s="348" t="s">
        <v>467</v>
      </c>
      <c r="F27" s="67" t="s">
        <v>317</v>
      </c>
      <c r="G27" s="5"/>
      <c r="H27" s="54">
        <f>INDEX(FuelPrices_Residential,MATCH("Alberta",FuelPrices_Region,0)+MATCH("Oil",FuelPrices_Type_RCI,0)-1,MATCH(H$2,Year,0))/[1]Prices!G$12</f>
        <v>3.713594017570093</v>
      </c>
      <c r="I27" s="54">
        <f>INDEX(FuelPrices_Residential,MATCH("Alberta",FuelPrices_Region,0)+MATCH("Oil",FuelPrices_Type_RCI,0)-1,MATCH(I$2,Year,0))/[1]Prices!H$12</f>
        <v>3.7562051565968173</v>
      </c>
      <c r="J27" s="54">
        <f>INDEX(FuelPrices_Residential,MATCH("Alberta",FuelPrices_Region,0)+MATCH("Oil",FuelPrices_Type_RCI,0)-1,MATCH(J$2,Year,0))/[1]Prices!I$12</f>
        <v>2.2048627745400187</v>
      </c>
      <c r="K27" s="54">
        <f>INDEX(FuelPrices_Residential,MATCH("Alberta",FuelPrices_Region,0)+MATCH("Oil",FuelPrices_Type_RCI,0)-1,MATCH(K$2,Year,0))/[1]Prices!J$12</f>
        <v>3.7962319002957341</v>
      </c>
      <c r="L27" s="54">
        <f>INDEX(FuelPrices_Residential,MATCH("Alberta",FuelPrices_Region,0)+MATCH("Oil",FuelPrices_Type_RCI,0)-1,MATCH(L$2,Year,0))/[1]Prices!K$12</f>
        <v>5.5729559285078665</v>
      </c>
      <c r="M27" s="54">
        <f>INDEX(FuelPrices_Residential,MATCH("Alberta",FuelPrices_Region,0)+MATCH("Oil",FuelPrices_Type_RCI,0)-1,MATCH(M$2,Year,0))/[1]Prices!L$12</f>
        <v>3.1680912706293727</v>
      </c>
      <c r="N27" s="54">
        <f>INDEX(FuelPrices_Residential,MATCH("Alberta",FuelPrices_Region,0)+MATCH("Oil",FuelPrices_Type_RCI,0)-1,MATCH(N$2,Year,0))/[1]Prices!M$12</f>
        <v>2.9650980293385198</v>
      </c>
      <c r="O27" s="54">
        <f>INDEX(FuelPrices_Residential,MATCH("Alberta",FuelPrices_Region,0)+MATCH("Oil",FuelPrices_Type_RCI,0)-1,MATCH(O$2,Year,0))/[1]Prices!N$12</f>
        <v>2.9424996321635044</v>
      </c>
      <c r="P27" s="54">
        <f>INDEX(FuelPrices_Residential,MATCH("Alberta",FuelPrices_Region,0)+MATCH("Oil",FuelPrices_Type_RCI,0)-1,MATCH(P$2,Year,0))/[1]Prices!O$12</f>
        <v>2.9076604365186882</v>
      </c>
      <c r="Q27" s="54">
        <f>INDEX(FuelPrices_Residential,MATCH("Alberta",FuelPrices_Region,0)+MATCH("Oil",FuelPrices_Type_RCI,0)-1,MATCH(Q$2,Year,0))/[1]Prices!P$12</f>
        <v>2.9076604365186882</v>
      </c>
      <c r="R27" s="54">
        <f>INDEX(FuelPrices_Residential,MATCH("Alberta",FuelPrices_Region,0)+MATCH("Oil",FuelPrices_Type_RCI,0)-1,MATCH(R$2,Year,0))/[1]Prices!Q$12</f>
        <v>2.9076604365186882</v>
      </c>
      <c r="S27" s="5"/>
      <c r="T27" s="25"/>
      <c r="U27" s="5"/>
    </row>
    <row r="28" spans="1:21" s="3" customFormat="1" hidden="1" outlineLevel="1">
      <c r="A28" s="21"/>
      <c r="B28" s="67" t="s">
        <v>265</v>
      </c>
      <c r="C28" s="273" t="s">
        <v>13</v>
      </c>
      <c r="D28" s="4"/>
      <c r="E28" s="348" t="s">
        <v>467</v>
      </c>
      <c r="F28" s="67" t="s">
        <v>317</v>
      </c>
      <c r="G28" s="5"/>
      <c r="H28" s="54">
        <f>INDEX(FuelPrices_Residential,MATCH("Alberta",FuelPrices_Region,0)+MATCH("Natural Gas",FuelPrices_Type_RCI,0)-1,MATCH(H$2,Year,0))/[1]Prices!G$15</f>
        <v>1.5282088982789364</v>
      </c>
      <c r="I28" s="54">
        <f>INDEX(FuelPrices_Residential,MATCH("Alberta",FuelPrices_Region,0)+MATCH("Natural Gas",FuelPrices_Type_RCI,0)-1,MATCH(I$2,Year,0))/[1]Prices!H$15</f>
        <v>1.5457443840700189</v>
      </c>
      <c r="J28" s="54">
        <f>INDEX(FuelPrices_Residential,MATCH("Alberta",FuelPrices_Region,0)+MATCH("Natural Gas",FuelPrices_Type_RCI,0)-1,MATCH(J$2,Year,0))/[1]Prices!I$15</f>
        <v>1.9723349612774701</v>
      </c>
      <c r="K28" s="54">
        <f>INDEX(FuelPrices_Residential,MATCH("Alberta",FuelPrices_Region,0)+MATCH("Natural Gas",FuelPrices_Type_RCI,0)-1,MATCH(K$2,Year,0))/[1]Prices!J$15</f>
        <v>1.4950194997688102</v>
      </c>
      <c r="L28" s="54">
        <f>INDEX(FuelPrices_Residential,MATCH("Alberta",FuelPrices_Region,0)+MATCH("Natural Gas",FuelPrices_Type_RCI,0)-1,MATCH(L$2,Year,0))/[1]Prices!K$15</f>
        <v>3.350280691170624</v>
      </c>
      <c r="M28" s="54">
        <f>INDEX(FuelPrices_Residential,MATCH("Alberta",FuelPrices_Region,0)+MATCH("Natural Gas",FuelPrices_Type_RCI,0)-1,MATCH(M$2,Year,0))/[1]Prices!L$15</f>
        <v>2.8114396323863913</v>
      </c>
      <c r="N28" s="54">
        <f>INDEX(FuelPrices_Residential,MATCH("Alberta",FuelPrices_Region,0)+MATCH("Natural Gas",FuelPrices_Type_RCI,0)-1,MATCH(N$2,Year,0))/[1]Prices!M$15</f>
        <v>2.4301046420728545</v>
      </c>
      <c r="O28" s="54">
        <f>INDEX(FuelPrices_Residential,MATCH("Alberta",FuelPrices_Region,0)+MATCH("Natural Gas",FuelPrices_Type_RCI,0)-1,MATCH(O$2,Year,0))/[1]Prices!N$15</f>
        <v>2.1065653373010944</v>
      </c>
      <c r="P28" s="54">
        <f>INDEX(FuelPrices_Residential,MATCH("Alberta",FuelPrices_Region,0)+MATCH("Natural Gas",FuelPrices_Type_RCI,0)-1,MATCH(P$2,Year,0))/[1]Prices!O$15</f>
        <v>1.9786460787456583</v>
      </c>
      <c r="Q28" s="54">
        <f>INDEX(FuelPrices_Residential,MATCH("Alberta",FuelPrices_Region,0)+MATCH("Natural Gas",FuelPrices_Type_RCI,0)-1,MATCH(Q$2,Year,0))/[1]Prices!P$15</f>
        <v>1.9786460787456583</v>
      </c>
      <c r="R28" s="54">
        <f>INDEX(FuelPrices_Residential,MATCH("Alberta",FuelPrices_Region,0)+MATCH("Natural Gas",FuelPrices_Type_RCI,0)-1,MATCH(R$2,Year,0))/[1]Prices!Q$15</f>
        <v>1.9786460787456583</v>
      </c>
      <c r="S28" s="5"/>
      <c r="T28" s="25"/>
      <c r="U28" s="5"/>
    </row>
    <row r="29" spans="1:21" s="3" customFormat="1" hidden="1" outlineLevel="1">
      <c r="A29" s="21"/>
      <c r="B29" s="67" t="s">
        <v>265</v>
      </c>
      <c r="C29" s="273" t="s">
        <v>2</v>
      </c>
      <c r="D29" s="4"/>
      <c r="E29" s="348" t="s">
        <v>467</v>
      </c>
      <c r="F29" s="67" t="s">
        <v>317</v>
      </c>
      <c r="G29" s="5"/>
      <c r="H29" s="54">
        <v>1.5</v>
      </c>
      <c r="I29" s="54">
        <v>1.5</v>
      </c>
      <c r="J29" s="54">
        <v>1.5</v>
      </c>
      <c r="K29" s="54">
        <v>1.5</v>
      </c>
      <c r="L29" s="54">
        <v>1.5</v>
      </c>
      <c r="M29" s="54">
        <v>1.5</v>
      </c>
      <c r="N29" s="54">
        <v>1.5</v>
      </c>
      <c r="O29" s="54">
        <v>1.5</v>
      </c>
      <c r="P29" s="54">
        <v>1.5</v>
      </c>
      <c r="Q29" s="54">
        <v>1.5</v>
      </c>
      <c r="R29" s="54">
        <v>1.5</v>
      </c>
      <c r="S29" s="5"/>
      <c r="T29" s="25"/>
      <c r="U29" s="5"/>
    </row>
    <row r="30" spans="1:21" s="3" customFormat="1" hidden="1" outlineLevel="1">
      <c r="A30" s="21"/>
      <c r="B30" s="67" t="s">
        <v>265</v>
      </c>
      <c r="C30" s="273" t="s">
        <v>14</v>
      </c>
      <c r="D30" s="4"/>
      <c r="E30" s="348" t="s">
        <v>467</v>
      </c>
      <c r="F30" s="67" t="s">
        <v>317</v>
      </c>
      <c r="G30" s="5"/>
      <c r="H30" s="54">
        <v>1.1000000000000001</v>
      </c>
      <c r="I30" s="54">
        <v>1.1000000000000001</v>
      </c>
      <c r="J30" s="54">
        <v>1.1000000000000001</v>
      </c>
      <c r="K30" s="54">
        <v>1.1000000000000001</v>
      </c>
      <c r="L30" s="54">
        <v>1.1000000000000001</v>
      </c>
      <c r="M30" s="54">
        <v>1.1000000000000001</v>
      </c>
      <c r="N30" s="54">
        <v>1.1000000000000001</v>
      </c>
      <c r="O30" s="54">
        <v>1.1000000000000001</v>
      </c>
      <c r="P30" s="54">
        <v>1.1000000000000001</v>
      </c>
      <c r="Q30" s="54">
        <v>1.1000000000000001</v>
      </c>
      <c r="R30" s="54">
        <v>1.1000000000000001</v>
      </c>
      <c r="S30" s="5"/>
      <c r="T30" s="25"/>
      <c r="U30" s="5"/>
    </row>
    <row r="31" spans="1:21" s="3" customFormat="1" hidden="1" outlineLevel="1">
      <c r="A31" s="21"/>
      <c r="B31" s="67" t="s">
        <v>468</v>
      </c>
      <c r="C31" s="273" t="s">
        <v>16</v>
      </c>
      <c r="D31" s="4"/>
      <c r="E31" s="347"/>
      <c r="F31" s="67" t="s">
        <v>318</v>
      </c>
      <c r="G31" s="5"/>
      <c r="H31" s="54">
        <v>0</v>
      </c>
      <c r="I31" s="54">
        <v>0</v>
      </c>
      <c r="J31" s="54">
        <v>0</v>
      </c>
      <c r="K31" s="54">
        <v>0</v>
      </c>
      <c r="L31" s="54">
        <v>0</v>
      </c>
      <c r="M31" s="54">
        <v>0</v>
      </c>
      <c r="N31" s="54">
        <v>0</v>
      </c>
      <c r="O31" s="54">
        <v>0</v>
      </c>
      <c r="P31" s="54">
        <v>0</v>
      </c>
      <c r="Q31" s="54">
        <v>0</v>
      </c>
      <c r="R31" s="54">
        <v>0</v>
      </c>
      <c r="S31" s="5"/>
      <c r="T31" s="25"/>
      <c r="U31" s="5"/>
    </row>
    <row r="32" spans="1:21" s="3" customFormat="1" hidden="1" outlineLevel="1">
      <c r="A32" s="21" t="s">
        <v>436</v>
      </c>
      <c r="B32" s="67" t="s">
        <v>468</v>
      </c>
      <c r="C32" s="273" t="s">
        <v>17</v>
      </c>
      <c r="D32" s="4"/>
      <c r="E32" s="347"/>
      <c r="F32" s="67" t="s">
        <v>318</v>
      </c>
      <c r="G32" s="5"/>
      <c r="H32" s="54">
        <v>0</v>
      </c>
      <c r="I32" s="54">
        <v>0</v>
      </c>
      <c r="J32" s="54">
        <v>0</v>
      </c>
      <c r="K32" s="54">
        <v>0</v>
      </c>
      <c r="L32" s="54">
        <v>0</v>
      </c>
      <c r="M32" s="54">
        <v>0</v>
      </c>
      <c r="N32" s="54">
        <v>0</v>
      </c>
      <c r="O32" s="54">
        <v>0</v>
      </c>
      <c r="P32" s="54">
        <v>0</v>
      </c>
      <c r="Q32" s="54">
        <v>0</v>
      </c>
      <c r="R32" s="54">
        <v>0</v>
      </c>
      <c r="S32" s="5"/>
      <c r="T32" s="25"/>
      <c r="U32" s="5"/>
    </row>
    <row r="33" spans="1:21" s="3" customFormat="1" hidden="1" outlineLevel="1">
      <c r="A33" s="21" t="s">
        <v>436</v>
      </c>
      <c r="B33" s="67" t="s">
        <v>468</v>
      </c>
      <c r="C33" s="273" t="s">
        <v>18</v>
      </c>
      <c r="D33" s="4"/>
      <c r="E33" s="347"/>
      <c r="F33" s="67" t="s">
        <v>318</v>
      </c>
      <c r="G33" s="5"/>
      <c r="H33" s="54">
        <v>0</v>
      </c>
      <c r="I33" s="54">
        <v>0</v>
      </c>
      <c r="J33" s="54">
        <v>0</v>
      </c>
      <c r="K33" s="54">
        <v>0</v>
      </c>
      <c r="L33" s="54">
        <v>0</v>
      </c>
      <c r="M33" s="54">
        <v>0</v>
      </c>
      <c r="N33" s="54">
        <v>0</v>
      </c>
      <c r="O33" s="54">
        <v>0</v>
      </c>
      <c r="P33" s="54">
        <v>0</v>
      </c>
      <c r="Q33" s="54">
        <v>0</v>
      </c>
      <c r="R33" s="54">
        <v>0</v>
      </c>
      <c r="S33" s="5"/>
      <c r="T33" s="25"/>
      <c r="U33" s="5"/>
    </row>
    <row r="34" spans="1:21" s="3" customFormat="1" hidden="1" outlineLevel="1">
      <c r="A34" s="21" t="s">
        <v>436</v>
      </c>
      <c r="B34" s="67" t="s">
        <v>301</v>
      </c>
      <c r="C34" s="273" t="s">
        <v>107</v>
      </c>
      <c r="D34" s="273" t="s">
        <v>447</v>
      </c>
      <c r="E34" s="348" t="s">
        <v>291</v>
      </c>
      <c r="F34" s="67" t="s">
        <v>129</v>
      </c>
      <c r="G34" s="5"/>
      <c r="H34" s="350">
        <v>1</v>
      </c>
      <c r="I34" s="350">
        <v>1</v>
      </c>
      <c r="J34" s="350">
        <v>1</v>
      </c>
      <c r="K34" s="350">
        <v>1</v>
      </c>
      <c r="L34" s="350">
        <v>1</v>
      </c>
      <c r="M34" s="350">
        <v>1</v>
      </c>
      <c r="N34" s="350">
        <v>1</v>
      </c>
      <c r="O34" s="350">
        <v>1</v>
      </c>
      <c r="P34" s="350">
        <v>1</v>
      </c>
      <c r="Q34" s="350">
        <v>1</v>
      </c>
      <c r="R34" s="350">
        <v>1</v>
      </c>
      <c r="S34" s="5"/>
      <c r="T34" s="25"/>
      <c r="U34" s="5"/>
    </row>
    <row r="35" spans="1:21" s="3" customFormat="1" hidden="1" outlineLevel="1">
      <c r="A35" s="21"/>
      <c r="B35" s="4"/>
      <c r="C35" s="13"/>
      <c r="D35" s="4"/>
      <c r="E35" s="4"/>
      <c r="F35" s="9"/>
      <c r="G35" s="13"/>
      <c r="H35" s="4"/>
      <c r="I35" s="4"/>
      <c r="J35" s="4"/>
      <c r="K35" s="4"/>
      <c r="L35" s="4"/>
      <c r="M35" s="4"/>
      <c r="N35" s="4"/>
      <c r="O35" s="4"/>
      <c r="P35" s="4"/>
      <c r="Q35" s="4"/>
      <c r="R35" s="4"/>
      <c r="S35" s="5"/>
      <c r="T35" s="13"/>
      <c r="U35" s="5"/>
    </row>
    <row r="36" spans="1:21" s="401" customFormat="1" collapsed="1">
      <c r="A36" s="401" t="s">
        <v>107</v>
      </c>
      <c r="B36" s="402"/>
      <c r="C36" s="403"/>
      <c r="D36" s="402"/>
      <c r="E36" s="402"/>
      <c r="F36" s="404"/>
      <c r="G36" s="403"/>
      <c r="H36" s="402"/>
      <c r="I36" s="402"/>
      <c r="J36" s="402"/>
      <c r="K36" s="402"/>
      <c r="L36" s="402"/>
      <c r="M36" s="402"/>
      <c r="N36" s="402"/>
      <c r="O36" s="402"/>
      <c r="P36" s="402"/>
      <c r="Q36" s="402"/>
      <c r="R36" s="402"/>
      <c r="T36" s="403"/>
    </row>
    <row r="37" spans="1:21" s="3" customFormat="1" ht="16" hidden="1" customHeight="1" outlineLevel="1">
      <c r="A37" s="21"/>
      <c r="B37" s="67" t="s">
        <v>300</v>
      </c>
      <c r="C37" s="273" t="str">
        <f>A36</f>
        <v>Buildings</v>
      </c>
      <c r="D37" s="273" t="s">
        <v>447</v>
      </c>
      <c r="E37" s="347"/>
      <c r="F37" s="67" t="s">
        <v>130</v>
      </c>
      <c r="G37" s="5"/>
      <c r="H37" s="55"/>
      <c r="I37" s="55"/>
      <c r="J37" s="55"/>
      <c r="K37" s="55"/>
      <c r="L37" s="55"/>
      <c r="M37" s="55"/>
      <c r="N37" s="55"/>
      <c r="O37" s="55"/>
      <c r="P37" s="55"/>
      <c r="Q37" s="55"/>
      <c r="R37" s="55"/>
      <c r="S37" s="5"/>
      <c r="T37" s="25"/>
      <c r="U37" s="5"/>
    </row>
    <row r="38" spans="1:21" s="3" customFormat="1" ht="16" hidden="1" customHeight="1" outlineLevel="1">
      <c r="A38" s="21"/>
      <c r="B38" s="67" t="s">
        <v>466</v>
      </c>
      <c r="C38" s="273" t="s">
        <v>110</v>
      </c>
      <c r="D38" s="273"/>
      <c r="E38" s="347"/>
      <c r="F38" s="67"/>
      <c r="G38" s="5"/>
      <c r="H38" s="55"/>
      <c r="I38" s="55"/>
      <c r="J38" s="55"/>
      <c r="K38" s="55"/>
      <c r="L38" s="55"/>
      <c r="M38" s="55"/>
      <c r="N38" s="55"/>
      <c r="O38" s="55"/>
      <c r="P38" s="55"/>
      <c r="Q38" s="55"/>
      <c r="R38" s="55"/>
      <c r="S38" s="5"/>
      <c r="T38" s="25"/>
      <c r="U38" s="5"/>
    </row>
    <row r="39" spans="1:21" s="3" customFormat="1" ht="16" hidden="1" customHeight="1" outlineLevel="1">
      <c r="A39" s="21"/>
      <c r="B39" s="67" t="s">
        <v>46</v>
      </c>
      <c r="C39" s="273" t="s">
        <v>469</v>
      </c>
      <c r="D39" s="4"/>
      <c r="E39" s="347"/>
      <c r="G39" s="5"/>
      <c r="H39" s="4"/>
      <c r="I39" s="4"/>
      <c r="J39" s="4"/>
      <c r="K39" s="4"/>
      <c r="L39" s="4"/>
      <c r="M39" s="4"/>
      <c r="N39" s="4"/>
      <c r="O39" s="4"/>
      <c r="P39" s="4"/>
      <c r="Q39" s="4"/>
      <c r="R39" s="4"/>
      <c r="S39" s="5"/>
      <c r="T39" s="25"/>
      <c r="U39" s="5"/>
    </row>
    <row r="40" spans="1:21" s="3" customFormat="1" hidden="1" outlineLevel="1">
      <c r="A40" s="21"/>
      <c r="B40" s="67" t="s">
        <v>50</v>
      </c>
      <c r="C40" s="273" t="s">
        <v>22</v>
      </c>
      <c r="D40" s="4"/>
      <c r="E40" s="347"/>
      <c r="G40" s="5"/>
      <c r="H40" s="4"/>
      <c r="I40" s="4"/>
      <c r="J40" s="4"/>
      <c r="K40" s="4"/>
      <c r="L40" s="4"/>
      <c r="M40" s="4"/>
      <c r="N40" s="4"/>
      <c r="O40" s="4"/>
      <c r="P40" s="4"/>
      <c r="Q40" s="4"/>
      <c r="R40" s="4"/>
      <c r="S40" s="5"/>
      <c r="T40" s="25"/>
      <c r="U40" s="5"/>
    </row>
    <row r="41" spans="1:21" s="3" customFormat="1" hidden="1" outlineLevel="1">
      <c r="A41" s="21"/>
      <c r="B41" s="67" t="s">
        <v>74</v>
      </c>
      <c r="C41" s="273" t="str">
        <f>C40</f>
        <v>Single Family Detached</v>
      </c>
      <c r="D41" s="4"/>
      <c r="E41" s="347"/>
      <c r="F41" s="67" t="s">
        <v>96</v>
      </c>
      <c r="G41" s="5"/>
      <c r="H41" s="261">
        <v>0.719409242</v>
      </c>
      <c r="I41" s="261">
        <v>0.71950000000000003</v>
      </c>
      <c r="J41" s="261">
        <v>0.71899999999999997</v>
      </c>
      <c r="K41" s="261">
        <v>0.71850000000000003</v>
      </c>
      <c r="L41" s="261">
        <v>0.71799999999999997</v>
      </c>
      <c r="M41" s="261">
        <v>0.71750000000000003</v>
      </c>
      <c r="N41" s="261">
        <v>0.71699999999999997</v>
      </c>
      <c r="O41" s="261">
        <v>0.71650000000000003</v>
      </c>
      <c r="P41" s="261">
        <v>0.71599999999999997</v>
      </c>
      <c r="Q41" s="261">
        <v>0.71550000000000002</v>
      </c>
      <c r="R41" s="261">
        <v>0.71500000000000097</v>
      </c>
      <c r="S41" s="5"/>
      <c r="T41" s="25"/>
      <c r="U41" s="5"/>
    </row>
    <row r="42" spans="1:21" s="3" customFormat="1" hidden="1" outlineLevel="1">
      <c r="A42" s="21"/>
      <c r="B42" s="67" t="s">
        <v>301</v>
      </c>
      <c r="C42" s="273" t="str">
        <f t="shared" ref="C42:C44" si="1">C41</f>
        <v>Single Family Detached</v>
      </c>
      <c r="D42" s="273" t="s">
        <v>448</v>
      </c>
      <c r="E42" s="347"/>
      <c r="F42" s="67" t="s">
        <v>131</v>
      </c>
      <c r="G42" s="5"/>
      <c r="H42" s="350" t="e">
        <f>SUMIFS([1]Residential!F$95:F$150,[1]Residential!$C$95:$C$150,"Alberta",[1]Residential!$B$95:$B$150,#REF!)/SUMIFS([1]Residential!F$36:F$91,[1]Residential!$C$36:$C$91,"Alberta",[1]Residential!$B$36:$B$91,#REF!)*1000</f>
        <v>#DIV/0!</v>
      </c>
      <c r="I42" s="350" t="e">
        <f>SUMIFS([1]Residential!G$95:G$150,[1]Residential!$C$95:$C$150,"Alberta",[1]Residential!$B$95:$B$150,#REF!)/SUMIFS([1]Residential!G$36:G$91,[1]Residential!$C$36:$C$91,"Alberta",[1]Residential!$B$36:$B$91,#REF!)*1000</f>
        <v>#DIV/0!</v>
      </c>
      <c r="J42" s="350" t="e">
        <f>SUMIFS([1]Residential!H$95:H$150,[1]Residential!$C$95:$C$150,"Alberta",[1]Residential!$B$95:$B$150,#REF!)/SUMIFS([1]Residential!H$36:H$91,[1]Residential!$C$36:$C$91,"Alberta",[1]Residential!$B$36:$B$91,#REF!)*1000</f>
        <v>#DIV/0!</v>
      </c>
      <c r="K42" s="350" t="e">
        <f>SUMIFS([1]Residential!I$95:I$150,[1]Residential!$C$95:$C$150,"Alberta",[1]Residential!$B$95:$B$150,#REF!)/SUMIFS([1]Residential!I$36:I$91,[1]Residential!$C$36:$C$91,"Alberta",[1]Residential!$B$36:$B$91,#REF!)*1000</f>
        <v>#DIV/0!</v>
      </c>
      <c r="L42" s="350" t="e">
        <f>SUMIFS([1]Residential!J$95:J$150,[1]Residential!$C$95:$C$150,"Alberta",[1]Residential!$B$95:$B$150,#REF!)/SUMIFS([1]Residential!J$36:J$91,[1]Residential!$C$36:$C$91,"Alberta",[1]Residential!$B$36:$B$91,#REF!)*1000</f>
        <v>#DIV/0!</v>
      </c>
      <c r="M42" s="350" t="e">
        <f>SUMIFS([1]Residential!K$95:K$150,[1]Residential!$C$95:$C$150,"Alberta",[1]Residential!$B$95:$B$150,#REF!)/SUMIFS([1]Residential!K$36:K$91,[1]Residential!$C$36:$C$91,"Alberta",[1]Residential!$B$36:$B$91,#REF!)*1000</f>
        <v>#DIV/0!</v>
      </c>
      <c r="N42" s="350" t="e">
        <f>SUMIFS([1]Residential!L$95:L$150,[1]Residential!$C$95:$C$150,"Alberta",[1]Residential!$B$95:$B$150,#REF!)/SUMIFS([1]Residential!L$36:L$91,[1]Residential!$C$36:$C$91,"Alberta",[1]Residential!$B$36:$B$91,#REF!)*1000</f>
        <v>#DIV/0!</v>
      </c>
      <c r="O42" s="350" t="e">
        <f>SUMIFS([1]Residential!M$95:M$150,[1]Residential!$C$95:$C$150,"Alberta",[1]Residential!$B$95:$B$150,#REF!)/SUMIFS([1]Residential!M$36:M$91,[1]Residential!$C$36:$C$91,"Alberta",[1]Residential!$B$36:$B$91,#REF!)*1000</f>
        <v>#DIV/0!</v>
      </c>
      <c r="P42" s="350" t="e">
        <f>SUMIFS([1]Residential!N$95:N$150,[1]Residential!$C$95:$C$150,"Alberta",[1]Residential!$B$95:$B$150,#REF!)/SUMIFS([1]Residential!N$36:N$91,[1]Residential!$C$36:$C$91,"Alberta",[1]Residential!$B$36:$B$91,#REF!)*1000</f>
        <v>#DIV/0!</v>
      </c>
      <c r="Q42" s="350" t="e">
        <f>SUMIFS([1]Residential!O$95:O$150,[1]Residential!$C$95:$C$150,"Alberta",[1]Residential!$B$95:$B$150,#REF!)/SUMIFS([1]Residential!O$36:O$91,[1]Residential!$C$36:$C$91,"Alberta",[1]Residential!$B$36:$B$91,#REF!)*1000</f>
        <v>#DIV/0!</v>
      </c>
      <c r="R42" s="350" t="e">
        <f>SUMIFS([1]Residential!P$95:P$150,[1]Residential!$C$95:$C$150,"Alberta",[1]Residential!$B$95:$B$150,#REF!)/SUMIFS([1]Residential!P$36:P$91,[1]Residential!$C$36:$C$91,"Alberta",[1]Residential!$B$36:$B$91,#REF!)*1000</f>
        <v>#DIV/0!</v>
      </c>
      <c r="S42" s="5"/>
      <c r="T42" s="25"/>
      <c r="U42" s="5"/>
    </row>
    <row r="43" spans="1:21" s="3" customFormat="1" hidden="1" outlineLevel="1">
      <c r="A43" s="21"/>
      <c r="B43" s="67" t="s">
        <v>301</v>
      </c>
      <c r="C43" s="273" t="str">
        <f t="shared" si="1"/>
        <v>Single Family Detached</v>
      </c>
      <c r="D43" s="273" t="s">
        <v>452</v>
      </c>
      <c r="E43" s="347"/>
      <c r="F43" s="67" t="s">
        <v>314</v>
      </c>
      <c r="G43" s="5"/>
      <c r="H43" s="350">
        <v>1</v>
      </c>
      <c r="I43" s="350">
        <v>1</v>
      </c>
      <c r="J43" s="350">
        <v>1</v>
      </c>
      <c r="K43" s="350">
        <v>1</v>
      </c>
      <c r="L43" s="350">
        <v>1</v>
      </c>
      <c r="M43" s="350">
        <v>1</v>
      </c>
      <c r="N43" s="350">
        <v>1</v>
      </c>
      <c r="O43" s="350">
        <v>1</v>
      </c>
      <c r="P43" s="350">
        <v>1</v>
      </c>
      <c r="Q43" s="350">
        <v>1</v>
      </c>
      <c r="R43" s="350">
        <v>1</v>
      </c>
      <c r="S43" s="5"/>
      <c r="T43" s="25"/>
      <c r="U43" s="5"/>
    </row>
    <row r="44" spans="1:21" s="3" customFormat="1" hidden="1" outlineLevel="1">
      <c r="A44" s="21"/>
      <c r="B44" s="67" t="s">
        <v>301</v>
      </c>
      <c r="C44" s="273" t="str">
        <f t="shared" si="1"/>
        <v>Single Family Detached</v>
      </c>
      <c r="D44" s="273" t="s">
        <v>453</v>
      </c>
      <c r="E44" s="347"/>
      <c r="F44" s="67" t="s">
        <v>314</v>
      </c>
      <c r="G44" s="5"/>
      <c r="H44" s="350">
        <v>0.86</v>
      </c>
      <c r="I44" s="353">
        <v>0.87</v>
      </c>
      <c r="J44" s="353">
        <v>0.88</v>
      </c>
      <c r="K44" s="353">
        <v>0.89</v>
      </c>
      <c r="L44" s="353">
        <v>0.9</v>
      </c>
      <c r="M44" s="353">
        <v>0.91</v>
      </c>
      <c r="N44" s="353">
        <v>0.92</v>
      </c>
      <c r="O44" s="353">
        <v>0.92</v>
      </c>
      <c r="P44" s="353">
        <v>0.93</v>
      </c>
      <c r="Q44" s="353">
        <v>0.93</v>
      </c>
      <c r="R44" s="353">
        <v>0.93</v>
      </c>
      <c r="S44" s="5"/>
      <c r="T44" s="25"/>
      <c r="U44" s="5"/>
    </row>
    <row r="45" spans="1:21" s="3" customFormat="1" hidden="1" outlineLevel="1">
      <c r="A45" s="21"/>
      <c r="B45" s="67" t="s">
        <v>50</v>
      </c>
      <c r="C45" s="273" t="s">
        <v>23</v>
      </c>
      <c r="D45" s="4"/>
      <c r="E45" s="347"/>
      <c r="G45" s="5"/>
      <c r="H45" s="4"/>
      <c r="I45" s="4"/>
      <c r="J45" s="4"/>
      <c r="K45" s="4"/>
      <c r="L45" s="4"/>
      <c r="M45" s="4"/>
      <c r="N45" s="4"/>
      <c r="O45" s="4"/>
      <c r="P45" s="4"/>
      <c r="Q45" s="4"/>
      <c r="R45" s="4"/>
      <c r="S45" s="5"/>
      <c r="T45" s="25"/>
      <c r="U45" s="5"/>
    </row>
    <row r="46" spans="1:21" s="3" customFormat="1" hidden="1" outlineLevel="1">
      <c r="A46" s="21"/>
      <c r="B46" s="67" t="s">
        <v>74</v>
      </c>
      <c r="C46" s="273" t="str">
        <f>C45</f>
        <v>Single Family Attached</v>
      </c>
      <c r="D46" s="4"/>
      <c r="E46" s="347"/>
      <c r="F46" s="67" t="s">
        <v>96</v>
      </c>
      <c r="G46" s="5"/>
      <c r="H46" s="261">
        <v>0.1</v>
      </c>
      <c r="I46" s="261">
        <v>0.10100000000000001</v>
      </c>
      <c r="J46" s="261">
        <v>0.10199999999999999</v>
      </c>
      <c r="K46" s="261">
        <v>0.10299999999999999</v>
      </c>
      <c r="L46" s="261">
        <v>0.104</v>
      </c>
      <c r="M46" s="261">
        <v>0.105</v>
      </c>
      <c r="N46" s="261">
        <v>0.106</v>
      </c>
      <c r="O46" s="261">
        <v>0.107</v>
      </c>
      <c r="P46" s="261">
        <v>0.108</v>
      </c>
      <c r="Q46" s="261">
        <v>0.109</v>
      </c>
      <c r="R46" s="261">
        <v>0.11</v>
      </c>
      <c r="S46" s="5"/>
      <c r="T46" s="25"/>
      <c r="U46" s="5"/>
    </row>
    <row r="47" spans="1:21" s="3" customFormat="1" hidden="1" outlineLevel="1">
      <c r="A47" s="21"/>
      <c r="B47" s="67" t="s">
        <v>301</v>
      </c>
      <c r="C47" s="273" t="str">
        <f t="shared" ref="C47:C49" si="2">C46</f>
        <v>Single Family Attached</v>
      </c>
      <c r="D47" s="273" t="s">
        <v>448</v>
      </c>
      <c r="E47" s="347"/>
      <c r="F47" s="67" t="s">
        <v>131</v>
      </c>
      <c r="G47" s="5"/>
      <c r="H47" s="350" t="e">
        <f>SUMIFS([1]Residential!F$95:F$150,[1]Residential!$C$95:$C$150,"Alberta",[1]Residential!$B$95:$B$150,#REF!)/SUMIFS([1]Residential!F$36:F$91,[1]Residential!$C$36:$C$91,"Alberta",[1]Residential!$B$36:$B$91,#REF!)*1000</f>
        <v>#DIV/0!</v>
      </c>
      <c r="I47" s="350" t="e">
        <f>SUMIFS([1]Residential!G$95:G$150,[1]Residential!$C$95:$C$150,"Alberta",[1]Residential!$B$95:$B$150,#REF!)/SUMIFS([1]Residential!G$36:G$91,[1]Residential!$C$36:$C$91,"Alberta",[1]Residential!$B$36:$B$91,#REF!)*1000</f>
        <v>#DIV/0!</v>
      </c>
      <c r="J47" s="350" t="e">
        <f>SUMIFS([1]Residential!H$95:H$150,[1]Residential!$C$95:$C$150,"Alberta",[1]Residential!$B$95:$B$150,#REF!)/SUMIFS([1]Residential!H$36:H$91,[1]Residential!$C$36:$C$91,"Alberta",[1]Residential!$B$36:$B$91,#REF!)*1000</f>
        <v>#DIV/0!</v>
      </c>
      <c r="K47" s="350" t="e">
        <f>SUMIFS([1]Residential!I$95:I$150,[1]Residential!$C$95:$C$150,"Alberta",[1]Residential!$B$95:$B$150,#REF!)/SUMIFS([1]Residential!I$36:I$91,[1]Residential!$C$36:$C$91,"Alberta",[1]Residential!$B$36:$B$91,#REF!)*1000</f>
        <v>#DIV/0!</v>
      </c>
      <c r="L47" s="350" t="e">
        <f>SUMIFS([1]Residential!J$95:J$150,[1]Residential!$C$95:$C$150,"Alberta",[1]Residential!$B$95:$B$150,#REF!)/SUMIFS([1]Residential!J$36:J$91,[1]Residential!$C$36:$C$91,"Alberta",[1]Residential!$B$36:$B$91,#REF!)*1000</f>
        <v>#DIV/0!</v>
      </c>
      <c r="M47" s="350" t="e">
        <f>SUMIFS([1]Residential!K$95:K$150,[1]Residential!$C$95:$C$150,"Alberta",[1]Residential!$B$95:$B$150,#REF!)/SUMIFS([1]Residential!K$36:K$91,[1]Residential!$C$36:$C$91,"Alberta",[1]Residential!$B$36:$B$91,#REF!)*1000</f>
        <v>#DIV/0!</v>
      </c>
      <c r="N47" s="350" t="e">
        <f>SUMIFS([1]Residential!L$95:L$150,[1]Residential!$C$95:$C$150,"Alberta",[1]Residential!$B$95:$B$150,#REF!)/SUMIFS([1]Residential!L$36:L$91,[1]Residential!$C$36:$C$91,"Alberta",[1]Residential!$B$36:$B$91,#REF!)*1000</f>
        <v>#DIV/0!</v>
      </c>
      <c r="O47" s="350" t="e">
        <f>SUMIFS([1]Residential!M$95:M$150,[1]Residential!$C$95:$C$150,"Alberta",[1]Residential!$B$95:$B$150,#REF!)/SUMIFS([1]Residential!M$36:M$91,[1]Residential!$C$36:$C$91,"Alberta",[1]Residential!$B$36:$B$91,#REF!)*1000</f>
        <v>#DIV/0!</v>
      </c>
      <c r="P47" s="350" t="e">
        <f>SUMIFS([1]Residential!N$95:N$150,[1]Residential!$C$95:$C$150,"Alberta",[1]Residential!$B$95:$B$150,#REF!)/SUMIFS([1]Residential!N$36:N$91,[1]Residential!$C$36:$C$91,"Alberta",[1]Residential!$B$36:$B$91,#REF!)*1000</f>
        <v>#DIV/0!</v>
      </c>
      <c r="Q47" s="350" t="e">
        <f>SUMIFS([1]Residential!O$95:O$150,[1]Residential!$C$95:$C$150,"Alberta",[1]Residential!$B$95:$B$150,#REF!)/SUMIFS([1]Residential!O$36:O$91,[1]Residential!$C$36:$C$91,"Alberta",[1]Residential!$B$36:$B$91,#REF!)*1000</f>
        <v>#DIV/0!</v>
      </c>
      <c r="R47" s="350" t="e">
        <f>SUMIFS([1]Residential!P$95:P$150,[1]Residential!$C$95:$C$150,"Alberta",[1]Residential!$B$95:$B$150,#REF!)/SUMIFS([1]Residential!P$36:P$91,[1]Residential!$C$36:$C$91,"Alberta",[1]Residential!$B$36:$B$91,#REF!)*1000</f>
        <v>#DIV/0!</v>
      </c>
      <c r="S47" s="5"/>
      <c r="T47" s="25"/>
      <c r="U47" s="5"/>
    </row>
    <row r="48" spans="1:21" s="3" customFormat="1" hidden="1" outlineLevel="1">
      <c r="A48" s="21"/>
      <c r="B48" s="67" t="s">
        <v>301</v>
      </c>
      <c r="C48" s="273" t="str">
        <f t="shared" si="2"/>
        <v>Single Family Attached</v>
      </c>
      <c r="D48" s="273" t="s">
        <v>452</v>
      </c>
      <c r="E48" s="347"/>
      <c r="F48" s="67" t="s">
        <v>314</v>
      </c>
      <c r="G48" s="5"/>
      <c r="H48" s="350">
        <v>1</v>
      </c>
      <c r="I48" s="350">
        <v>1</v>
      </c>
      <c r="J48" s="350">
        <v>1</v>
      </c>
      <c r="K48" s="350">
        <v>1</v>
      </c>
      <c r="L48" s="350">
        <v>1</v>
      </c>
      <c r="M48" s="350">
        <v>1</v>
      </c>
      <c r="N48" s="350">
        <v>1</v>
      </c>
      <c r="O48" s="350">
        <v>1</v>
      </c>
      <c r="P48" s="350">
        <v>1</v>
      </c>
      <c r="Q48" s="350">
        <v>1</v>
      </c>
      <c r="R48" s="350">
        <v>1</v>
      </c>
      <c r="S48" s="5"/>
      <c r="T48" s="25"/>
      <c r="U48" s="5"/>
    </row>
    <row r="49" spans="1:21" s="3" customFormat="1" hidden="1" outlineLevel="1">
      <c r="A49" s="21"/>
      <c r="B49" s="67" t="s">
        <v>301</v>
      </c>
      <c r="C49" s="273" t="str">
        <f t="shared" si="2"/>
        <v>Single Family Attached</v>
      </c>
      <c r="D49" s="273" t="s">
        <v>453</v>
      </c>
      <c r="E49" s="347"/>
      <c r="F49" s="67" t="s">
        <v>314</v>
      </c>
      <c r="G49" s="5"/>
      <c r="H49" s="350">
        <v>0.86</v>
      </c>
      <c r="I49" s="353">
        <v>0.87</v>
      </c>
      <c r="J49" s="353">
        <v>0.88</v>
      </c>
      <c r="K49" s="353">
        <v>0.89</v>
      </c>
      <c r="L49" s="353">
        <v>0.9</v>
      </c>
      <c r="M49" s="353">
        <v>0.91</v>
      </c>
      <c r="N49" s="353">
        <v>0.92</v>
      </c>
      <c r="O49" s="353">
        <v>0.92</v>
      </c>
      <c r="P49" s="353">
        <v>0.93</v>
      </c>
      <c r="Q49" s="353">
        <v>0.93</v>
      </c>
      <c r="R49" s="353">
        <v>0.93</v>
      </c>
      <c r="S49" s="5"/>
      <c r="T49" s="25"/>
      <c r="U49" s="5"/>
    </row>
    <row r="50" spans="1:21" s="3" customFormat="1" hidden="1" outlineLevel="1">
      <c r="A50" s="21"/>
      <c r="B50" s="67" t="s">
        <v>50</v>
      </c>
      <c r="C50" s="273" t="s">
        <v>24</v>
      </c>
      <c r="D50" s="4"/>
      <c r="E50" s="347"/>
      <c r="G50" s="5"/>
      <c r="H50" s="4"/>
      <c r="I50" s="4"/>
      <c r="J50" s="4"/>
      <c r="K50" s="4"/>
      <c r="L50" s="4"/>
      <c r="M50" s="4"/>
      <c r="N50" s="4"/>
      <c r="O50" s="4"/>
      <c r="P50" s="4"/>
      <c r="Q50" s="4"/>
      <c r="R50" s="4"/>
      <c r="S50" s="5"/>
      <c r="T50" s="25"/>
      <c r="U50" s="5"/>
    </row>
    <row r="51" spans="1:21" s="3" customFormat="1" hidden="1" outlineLevel="1">
      <c r="A51" s="21"/>
      <c r="B51" s="67" t="s">
        <v>74</v>
      </c>
      <c r="C51" s="273" t="str">
        <f>C50</f>
        <v>Apartment</v>
      </c>
      <c r="D51" s="4"/>
      <c r="E51" s="347"/>
      <c r="F51" s="67" t="s">
        <v>96</v>
      </c>
      <c r="G51" s="5"/>
      <c r="H51" s="261">
        <v>0.14000000000000001</v>
      </c>
      <c r="I51" s="261">
        <v>0.13950000000000001</v>
      </c>
      <c r="J51" s="261">
        <v>0.13900000000000001</v>
      </c>
      <c r="K51" s="261">
        <v>0.13850000000000001</v>
      </c>
      <c r="L51" s="261">
        <v>0.13800000000000001</v>
      </c>
      <c r="M51" s="261">
        <v>0.13750000000000001</v>
      </c>
      <c r="N51" s="261">
        <v>0.13700000000000001</v>
      </c>
      <c r="O51" s="261">
        <v>0.13650000000000001</v>
      </c>
      <c r="P51" s="261">
        <v>0.13600000000000001</v>
      </c>
      <c r="Q51" s="261">
        <v>0.13550000000000001</v>
      </c>
      <c r="R51" s="261">
        <v>0.13500000000000001</v>
      </c>
      <c r="S51" s="5"/>
      <c r="T51" s="25"/>
      <c r="U51" s="5"/>
    </row>
    <row r="52" spans="1:21" s="3" customFormat="1" hidden="1" outlineLevel="1">
      <c r="A52" s="21"/>
      <c r="B52" s="67" t="s">
        <v>301</v>
      </c>
      <c r="C52" s="273" t="str">
        <f t="shared" ref="C52:C54" si="3">C51</f>
        <v>Apartment</v>
      </c>
      <c r="D52" s="273" t="s">
        <v>448</v>
      </c>
      <c r="E52" s="347"/>
      <c r="F52" s="67" t="s">
        <v>131</v>
      </c>
      <c r="G52" s="5"/>
      <c r="H52" s="350" t="e">
        <f>SUMIFS([1]Residential!F$95:F$150,[1]Residential!$C$95:$C$150,"Alberta",[1]Residential!$B$95:$B$150,#REF!)/SUMIFS([1]Residential!F$36:F$91,[1]Residential!$C$36:$C$91,"Alberta",[1]Residential!$B$36:$B$91,#REF!)*1000</f>
        <v>#DIV/0!</v>
      </c>
      <c r="I52" s="350" t="e">
        <f>SUMIFS([1]Residential!G$95:G$150,[1]Residential!$C$95:$C$150,"Alberta",[1]Residential!$B$95:$B$150,#REF!)/SUMIFS([1]Residential!G$36:G$91,[1]Residential!$C$36:$C$91,"Alberta",[1]Residential!$B$36:$B$91,#REF!)*1000</f>
        <v>#DIV/0!</v>
      </c>
      <c r="J52" s="350" t="e">
        <f>SUMIFS([1]Residential!H$95:H$150,[1]Residential!$C$95:$C$150,"Alberta",[1]Residential!$B$95:$B$150,#REF!)/SUMIFS([1]Residential!H$36:H$91,[1]Residential!$C$36:$C$91,"Alberta",[1]Residential!$B$36:$B$91,#REF!)*1000</f>
        <v>#DIV/0!</v>
      </c>
      <c r="K52" s="350" t="e">
        <f>SUMIFS([1]Residential!I$95:I$150,[1]Residential!$C$95:$C$150,"Alberta",[1]Residential!$B$95:$B$150,#REF!)/SUMIFS([1]Residential!I$36:I$91,[1]Residential!$C$36:$C$91,"Alberta",[1]Residential!$B$36:$B$91,#REF!)*1000</f>
        <v>#DIV/0!</v>
      </c>
      <c r="L52" s="350" t="e">
        <f>SUMIFS([1]Residential!J$95:J$150,[1]Residential!$C$95:$C$150,"Alberta",[1]Residential!$B$95:$B$150,#REF!)/SUMIFS([1]Residential!J$36:J$91,[1]Residential!$C$36:$C$91,"Alberta",[1]Residential!$B$36:$B$91,#REF!)*1000</f>
        <v>#DIV/0!</v>
      </c>
      <c r="M52" s="350" t="e">
        <f>SUMIFS([1]Residential!K$95:K$150,[1]Residential!$C$95:$C$150,"Alberta",[1]Residential!$B$95:$B$150,#REF!)/SUMIFS([1]Residential!K$36:K$91,[1]Residential!$C$36:$C$91,"Alberta",[1]Residential!$B$36:$B$91,#REF!)*1000</f>
        <v>#DIV/0!</v>
      </c>
      <c r="N52" s="350" t="e">
        <f>SUMIFS([1]Residential!L$95:L$150,[1]Residential!$C$95:$C$150,"Alberta",[1]Residential!$B$95:$B$150,#REF!)/SUMIFS([1]Residential!L$36:L$91,[1]Residential!$C$36:$C$91,"Alberta",[1]Residential!$B$36:$B$91,#REF!)*1000</f>
        <v>#DIV/0!</v>
      </c>
      <c r="O52" s="350" t="e">
        <f>SUMIFS([1]Residential!M$95:M$150,[1]Residential!$C$95:$C$150,"Alberta",[1]Residential!$B$95:$B$150,#REF!)/SUMIFS([1]Residential!M$36:M$91,[1]Residential!$C$36:$C$91,"Alberta",[1]Residential!$B$36:$B$91,#REF!)*1000</f>
        <v>#DIV/0!</v>
      </c>
      <c r="P52" s="350" t="e">
        <f>SUMIFS([1]Residential!N$95:N$150,[1]Residential!$C$95:$C$150,"Alberta",[1]Residential!$B$95:$B$150,#REF!)/SUMIFS([1]Residential!N$36:N$91,[1]Residential!$C$36:$C$91,"Alberta",[1]Residential!$B$36:$B$91,#REF!)*1000</f>
        <v>#DIV/0!</v>
      </c>
      <c r="Q52" s="350" t="e">
        <f>SUMIFS([1]Residential!O$95:O$150,[1]Residential!$C$95:$C$150,"Alberta",[1]Residential!$B$95:$B$150,#REF!)/SUMIFS([1]Residential!O$36:O$91,[1]Residential!$C$36:$C$91,"Alberta",[1]Residential!$B$36:$B$91,#REF!)*1000</f>
        <v>#DIV/0!</v>
      </c>
      <c r="R52" s="350" t="e">
        <f>SUMIFS([1]Residential!P$95:P$150,[1]Residential!$C$95:$C$150,"Alberta",[1]Residential!$B$95:$B$150,#REF!)/SUMIFS([1]Residential!P$36:P$91,[1]Residential!$C$36:$C$91,"Alberta",[1]Residential!$B$36:$B$91,#REF!)*1000</f>
        <v>#DIV/0!</v>
      </c>
      <c r="S52" s="5"/>
      <c r="T52" s="25"/>
      <c r="U52" s="5"/>
    </row>
    <row r="53" spans="1:21" s="3" customFormat="1" hidden="1" outlineLevel="1">
      <c r="A53" s="21"/>
      <c r="B53" s="67" t="s">
        <v>301</v>
      </c>
      <c r="C53" s="273" t="str">
        <f t="shared" si="3"/>
        <v>Apartment</v>
      </c>
      <c r="D53" s="273" t="s">
        <v>452</v>
      </c>
      <c r="E53" s="347"/>
      <c r="F53" s="67" t="s">
        <v>314</v>
      </c>
      <c r="G53" s="5"/>
      <c r="H53" s="350">
        <v>1</v>
      </c>
      <c r="I53" s="350">
        <v>1</v>
      </c>
      <c r="J53" s="350">
        <v>1</v>
      </c>
      <c r="K53" s="350">
        <v>1</v>
      </c>
      <c r="L53" s="350">
        <v>1</v>
      </c>
      <c r="M53" s="350">
        <v>1</v>
      </c>
      <c r="N53" s="350">
        <v>1</v>
      </c>
      <c r="O53" s="350">
        <v>1</v>
      </c>
      <c r="P53" s="350">
        <v>1</v>
      </c>
      <c r="Q53" s="350">
        <v>1</v>
      </c>
      <c r="R53" s="350">
        <v>1</v>
      </c>
      <c r="S53" s="5"/>
      <c r="T53" s="25"/>
      <c r="U53" s="5"/>
    </row>
    <row r="54" spans="1:21" s="3" customFormat="1" hidden="1" outlineLevel="1">
      <c r="A54" s="21"/>
      <c r="B54" s="67" t="s">
        <v>301</v>
      </c>
      <c r="C54" s="273" t="str">
        <f t="shared" si="3"/>
        <v>Apartment</v>
      </c>
      <c r="D54" s="273" t="s">
        <v>453</v>
      </c>
      <c r="E54" s="347"/>
      <c r="F54" s="67" t="s">
        <v>314</v>
      </c>
      <c r="G54" s="5"/>
      <c r="H54" s="350">
        <v>0.86</v>
      </c>
      <c r="I54" s="353">
        <v>0.87</v>
      </c>
      <c r="J54" s="353">
        <v>0.88</v>
      </c>
      <c r="K54" s="353">
        <v>0.89</v>
      </c>
      <c r="L54" s="353">
        <v>0.9</v>
      </c>
      <c r="M54" s="353">
        <v>0.91</v>
      </c>
      <c r="N54" s="353">
        <v>0.92</v>
      </c>
      <c r="O54" s="353">
        <v>0.92</v>
      </c>
      <c r="P54" s="353">
        <v>0.93</v>
      </c>
      <c r="Q54" s="353">
        <v>0.93</v>
      </c>
      <c r="R54" s="353">
        <v>0.93</v>
      </c>
      <c r="S54" s="5"/>
      <c r="T54" s="25"/>
      <c r="U54" s="5"/>
    </row>
    <row r="55" spans="1:21" s="3" customFormat="1" ht="16" hidden="1" customHeight="1" outlineLevel="1">
      <c r="A55" s="21"/>
      <c r="B55" s="67" t="s">
        <v>50</v>
      </c>
      <c r="C55" s="273" t="s">
        <v>25</v>
      </c>
      <c r="D55" s="4"/>
      <c r="E55" s="347"/>
      <c r="G55" s="5"/>
      <c r="H55" s="4"/>
      <c r="I55" s="4"/>
      <c r="J55" s="4"/>
      <c r="K55" s="4"/>
      <c r="L55" s="4"/>
      <c r="M55" s="4"/>
      <c r="N55" s="4"/>
      <c r="O55" s="4"/>
      <c r="P55" s="4"/>
      <c r="Q55" s="4"/>
      <c r="R55" s="4"/>
      <c r="S55" s="5"/>
      <c r="T55" s="25"/>
      <c r="U55" s="5"/>
    </row>
    <row r="56" spans="1:21" s="3" customFormat="1" hidden="1" outlineLevel="1">
      <c r="A56" s="21"/>
      <c r="B56" s="67" t="s">
        <v>74</v>
      </c>
      <c r="C56" s="273" t="str">
        <f>C55</f>
        <v>Mobile</v>
      </c>
      <c r="D56" s="4"/>
      <c r="E56" s="347"/>
      <c r="F56" s="67" t="s">
        <v>96</v>
      </c>
      <c r="G56" s="5"/>
      <c r="H56" s="261">
        <v>4.0590758000000005E-2</v>
      </c>
      <c r="I56" s="261">
        <v>4.0000000000000036E-2</v>
      </c>
      <c r="J56" s="261">
        <v>4.0000000000000036E-2</v>
      </c>
      <c r="K56" s="261">
        <v>4.0000000000000036E-2</v>
      </c>
      <c r="L56" s="261">
        <v>4.0000000000000036E-2</v>
      </c>
      <c r="M56" s="261">
        <v>4.0000000000000036E-2</v>
      </c>
      <c r="N56" s="261">
        <v>4.0000000000000036E-2</v>
      </c>
      <c r="O56" s="261">
        <v>4.0000000000000036E-2</v>
      </c>
      <c r="P56" s="261">
        <v>4.0000000000000036E-2</v>
      </c>
      <c r="Q56" s="261">
        <v>4.0000000000000036E-2</v>
      </c>
      <c r="R56" s="261">
        <v>3.9999999999999036E-2</v>
      </c>
      <c r="S56" s="5"/>
      <c r="T56" s="25"/>
      <c r="U56" s="5"/>
    </row>
    <row r="57" spans="1:21" s="3" customFormat="1" hidden="1" outlineLevel="1">
      <c r="A57" s="21"/>
      <c r="B57" s="67" t="s">
        <v>301</v>
      </c>
      <c r="C57" s="273" t="str">
        <f t="shared" ref="C57:C59" si="4">C56</f>
        <v>Mobile</v>
      </c>
      <c r="D57" s="273" t="s">
        <v>448</v>
      </c>
      <c r="E57" s="347"/>
      <c r="F57" s="67" t="s">
        <v>131</v>
      </c>
      <c r="G57" s="5"/>
      <c r="H57" s="350" t="e">
        <f>SUMIFS([1]Residential!F$95:F$150,[1]Residential!$C$95:$C$150,"Alberta",[1]Residential!$B$95:$B$150,#REF!)/SUMIFS([1]Residential!F$36:F$91,[1]Residential!$C$36:$C$91,"Alberta",[1]Residential!$B$36:$B$91,#REF!)*1000</f>
        <v>#DIV/0!</v>
      </c>
      <c r="I57" s="350" t="e">
        <f>SUMIFS([1]Residential!G$95:G$150,[1]Residential!$C$95:$C$150,"Alberta",[1]Residential!$B$95:$B$150,#REF!)/SUMIFS([1]Residential!G$36:G$91,[1]Residential!$C$36:$C$91,"Alberta",[1]Residential!$B$36:$B$91,#REF!)*1000</f>
        <v>#DIV/0!</v>
      </c>
      <c r="J57" s="350" t="e">
        <f>SUMIFS([1]Residential!H$95:H$150,[1]Residential!$C$95:$C$150,"Alberta",[1]Residential!$B$95:$B$150,#REF!)/SUMIFS([1]Residential!H$36:H$91,[1]Residential!$C$36:$C$91,"Alberta",[1]Residential!$B$36:$B$91,#REF!)*1000</f>
        <v>#DIV/0!</v>
      </c>
      <c r="K57" s="350" t="e">
        <f>SUMIFS([1]Residential!I$95:I$150,[1]Residential!$C$95:$C$150,"Alberta",[1]Residential!$B$95:$B$150,#REF!)/SUMIFS([1]Residential!I$36:I$91,[1]Residential!$C$36:$C$91,"Alberta",[1]Residential!$B$36:$B$91,#REF!)*1000</f>
        <v>#DIV/0!</v>
      </c>
      <c r="L57" s="350" t="e">
        <f>SUMIFS([1]Residential!J$95:J$150,[1]Residential!$C$95:$C$150,"Alberta",[1]Residential!$B$95:$B$150,#REF!)/SUMIFS([1]Residential!J$36:J$91,[1]Residential!$C$36:$C$91,"Alberta",[1]Residential!$B$36:$B$91,#REF!)*1000</f>
        <v>#DIV/0!</v>
      </c>
      <c r="M57" s="350" t="e">
        <f>SUMIFS([1]Residential!K$95:K$150,[1]Residential!$C$95:$C$150,"Alberta",[1]Residential!$B$95:$B$150,#REF!)/SUMIFS([1]Residential!K$36:K$91,[1]Residential!$C$36:$C$91,"Alberta",[1]Residential!$B$36:$B$91,#REF!)*1000</f>
        <v>#DIV/0!</v>
      </c>
      <c r="N57" s="350" t="e">
        <f>SUMIFS([1]Residential!L$95:L$150,[1]Residential!$C$95:$C$150,"Alberta",[1]Residential!$B$95:$B$150,#REF!)/SUMIFS([1]Residential!L$36:L$91,[1]Residential!$C$36:$C$91,"Alberta",[1]Residential!$B$36:$B$91,#REF!)*1000</f>
        <v>#DIV/0!</v>
      </c>
      <c r="O57" s="350" t="e">
        <f>SUMIFS([1]Residential!M$95:M$150,[1]Residential!$C$95:$C$150,"Alberta",[1]Residential!$B$95:$B$150,#REF!)/SUMIFS([1]Residential!M$36:M$91,[1]Residential!$C$36:$C$91,"Alberta",[1]Residential!$B$36:$B$91,#REF!)*1000</f>
        <v>#DIV/0!</v>
      </c>
      <c r="P57" s="350" t="e">
        <f>SUMIFS([1]Residential!N$95:N$150,[1]Residential!$C$95:$C$150,"Alberta",[1]Residential!$B$95:$B$150,#REF!)/SUMIFS([1]Residential!N$36:N$91,[1]Residential!$C$36:$C$91,"Alberta",[1]Residential!$B$36:$B$91,#REF!)*1000</f>
        <v>#DIV/0!</v>
      </c>
      <c r="Q57" s="350" t="e">
        <f>SUMIFS([1]Residential!O$95:O$150,[1]Residential!$C$95:$C$150,"Alberta",[1]Residential!$B$95:$B$150,#REF!)/SUMIFS([1]Residential!O$36:O$91,[1]Residential!$C$36:$C$91,"Alberta",[1]Residential!$B$36:$B$91,#REF!)*1000</f>
        <v>#DIV/0!</v>
      </c>
      <c r="R57" s="350" t="e">
        <f>SUMIFS([1]Residential!P$95:P$150,[1]Residential!$C$95:$C$150,"Alberta",[1]Residential!$B$95:$B$150,#REF!)/SUMIFS([1]Residential!P$36:P$91,[1]Residential!$C$36:$C$91,"Alberta",[1]Residential!$B$36:$B$91,#REF!)*1000</f>
        <v>#DIV/0!</v>
      </c>
      <c r="S57" s="5"/>
      <c r="T57" s="25"/>
      <c r="U57" s="5"/>
    </row>
    <row r="58" spans="1:21" s="3" customFormat="1" hidden="1" outlineLevel="1">
      <c r="A58" s="21"/>
      <c r="B58" s="67" t="s">
        <v>301</v>
      </c>
      <c r="C58" s="273" t="str">
        <f t="shared" si="4"/>
        <v>Mobile</v>
      </c>
      <c r="D58" s="273" t="s">
        <v>452</v>
      </c>
      <c r="E58" s="347"/>
      <c r="F58" s="67" t="s">
        <v>314</v>
      </c>
      <c r="G58" s="5"/>
      <c r="H58" s="350">
        <v>1</v>
      </c>
      <c r="I58" s="350">
        <v>1</v>
      </c>
      <c r="J58" s="350">
        <v>1</v>
      </c>
      <c r="K58" s="350">
        <v>1</v>
      </c>
      <c r="L58" s="350">
        <v>1</v>
      </c>
      <c r="M58" s="350">
        <v>1</v>
      </c>
      <c r="N58" s="350">
        <v>1</v>
      </c>
      <c r="O58" s="350">
        <v>1</v>
      </c>
      <c r="P58" s="350">
        <v>1</v>
      </c>
      <c r="Q58" s="350">
        <v>1</v>
      </c>
      <c r="R58" s="350">
        <v>1</v>
      </c>
      <c r="S58" s="5"/>
      <c r="T58" s="25"/>
      <c r="U58" s="5"/>
    </row>
    <row r="59" spans="1:21" s="3" customFormat="1" hidden="1" outlineLevel="1">
      <c r="A59" s="21"/>
      <c r="B59" s="67" t="s">
        <v>301</v>
      </c>
      <c r="C59" s="273" t="str">
        <f t="shared" si="4"/>
        <v>Mobile</v>
      </c>
      <c r="D59" s="273" t="s">
        <v>453</v>
      </c>
      <c r="E59" s="347"/>
      <c r="F59" s="67" t="s">
        <v>314</v>
      </c>
      <c r="G59" s="5"/>
      <c r="H59" s="350">
        <v>0.86</v>
      </c>
      <c r="I59" s="353">
        <v>0.87</v>
      </c>
      <c r="J59" s="353">
        <v>0.88</v>
      </c>
      <c r="K59" s="353">
        <v>0.89</v>
      </c>
      <c r="L59" s="353">
        <v>0.9</v>
      </c>
      <c r="M59" s="353">
        <v>0.91</v>
      </c>
      <c r="N59" s="353">
        <v>0.92</v>
      </c>
      <c r="O59" s="353">
        <v>0.92</v>
      </c>
      <c r="P59" s="353">
        <v>0.93</v>
      </c>
      <c r="Q59" s="353">
        <v>0.93</v>
      </c>
      <c r="R59" s="353">
        <v>0.93</v>
      </c>
      <c r="S59" s="5"/>
      <c r="T59" s="25"/>
      <c r="U59" s="5"/>
    </row>
    <row r="60" spans="1:21" s="3" customFormat="1" hidden="1" outlineLevel="1">
      <c r="A60" s="21" t="s">
        <v>436</v>
      </c>
      <c r="B60" s="4"/>
      <c r="C60" s="13"/>
      <c r="D60" s="4"/>
      <c r="E60" s="4"/>
      <c r="F60" s="9"/>
      <c r="G60" s="13"/>
      <c r="H60" s="4"/>
      <c r="I60" s="4"/>
      <c r="J60" s="4"/>
      <c r="K60" s="4"/>
      <c r="L60" s="4"/>
      <c r="M60" s="4"/>
      <c r="N60" s="4"/>
      <c r="O60" s="4"/>
      <c r="P60" s="4"/>
      <c r="Q60" s="4"/>
      <c r="R60" s="4"/>
      <c r="S60" s="5"/>
      <c r="T60" s="13"/>
      <c r="U60" s="5"/>
    </row>
    <row r="61" spans="1:21" s="401" customFormat="1" collapsed="1">
      <c r="A61" s="401" t="s">
        <v>1</v>
      </c>
      <c r="B61" s="402"/>
      <c r="C61" s="403"/>
      <c r="D61" s="402"/>
      <c r="E61" s="402"/>
      <c r="F61" s="404"/>
      <c r="G61" s="403"/>
      <c r="H61" s="402"/>
      <c r="I61" s="402"/>
      <c r="J61" s="402"/>
      <c r="K61" s="402"/>
      <c r="L61" s="402"/>
      <c r="M61" s="402"/>
      <c r="N61" s="402"/>
      <c r="O61" s="402"/>
      <c r="P61" s="402"/>
      <c r="Q61" s="402"/>
      <c r="R61" s="402"/>
      <c r="T61" s="403"/>
    </row>
    <row r="62" spans="1:21" s="3" customFormat="1" hidden="1" outlineLevel="1">
      <c r="A62" s="21"/>
      <c r="B62" s="67" t="s">
        <v>300</v>
      </c>
      <c r="C62" s="273" t="str">
        <f>A61</f>
        <v>Shell</v>
      </c>
      <c r="D62" s="273" t="s">
        <v>448</v>
      </c>
      <c r="E62" s="347"/>
      <c r="F62" s="67" t="s">
        <v>35</v>
      </c>
      <c r="G62" s="5"/>
      <c r="H62" s="55"/>
      <c r="I62" s="55"/>
      <c r="J62" s="55"/>
      <c r="K62" s="55"/>
      <c r="L62" s="55"/>
      <c r="M62" s="55"/>
      <c r="N62" s="55"/>
      <c r="O62" s="55"/>
      <c r="P62" s="55"/>
      <c r="Q62" s="55"/>
      <c r="R62" s="55"/>
      <c r="S62" s="5"/>
      <c r="T62" s="25"/>
      <c r="U62" s="5"/>
    </row>
    <row r="63" spans="1:21" s="3" customFormat="1" hidden="1" outlineLevel="1">
      <c r="A63" s="21"/>
      <c r="B63" s="67" t="s">
        <v>466</v>
      </c>
      <c r="C63" s="273" t="s">
        <v>110</v>
      </c>
      <c r="D63" s="273"/>
      <c r="E63" s="347"/>
      <c r="F63" s="67"/>
      <c r="G63" s="5"/>
      <c r="H63" s="55"/>
      <c r="I63" s="55"/>
      <c r="J63" s="55"/>
      <c r="K63" s="55"/>
      <c r="L63" s="55"/>
      <c r="M63" s="55"/>
      <c r="N63" s="55"/>
      <c r="O63" s="55"/>
      <c r="P63" s="55"/>
      <c r="Q63" s="55"/>
      <c r="R63" s="55"/>
      <c r="S63" s="5"/>
      <c r="T63" s="25"/>
      <c r="U63" s="5"/>
    </row>
    <row r="64" spans="1:21" s="3" customFormat="1" hidden="1" outlineLevel="1">
      <c r="A64" s="21"/>
      <c r="B64" s="67" t="s">
        <v>46</v>
      </c>
      <c r="C64" s="273" t="s">
        <v>20</v>
      </c>
      <c r="D64" s="4"/>
      <c r="E64" s="347"/>
      <c r="G64" s="5"/>
      <c r="H64" s="4"/>
      <c r="I64" s="4"/>
      <c r="J64" s="4"/>
      <c r="K64" s="4"/>
      <c r="L64" s="4"/>
      <c r="M64" s="4"/>
      <c r="N64" s="4"/>
      <c r="O64" s="4"/>
      <c r="P64" s="4"/>
      <c r="Q64" s="4"/>
      <c r="R64" s="4"/>
      <c r="S64" s="5"/>
      <c r="T64" s="25"/>
      <c r="U64" s="5"/>
    </row>
    <row r="65" spans="1:21" s="3" customFormat="1" hidden="1" outlineLevel="1">
      <c r="A65" s="21"/>
      <c r="B65" s="67" t="s">
        <v>65</v>
      </c>
      <c r="C65" s="273" t="s">
        <v>34</v>
      </c>
      <c r="D65" s="4"/>
      <c r="E65" s="347"/>
      <c r="G65" s="5"/>
      <c r="H65" s="4">
        <v>10</v>
      </c>
      <c r="I65" s="354">
        <f t="shared" ref="I65:R65" si="5">H65</f>
        <v>10</v>
      </c>
      <c r="J65" s="354">
        <f t="shared" si="5"/>
        <v>10</v>
      </c>
      <c r="K65" s="354">
        <f t="shared" si="5"/>
        <v>10</v>
      </c>
      <c r="L65" s="354">
        <f t="shared" si="5"/>
        <v>10</v>
      </c>
      <c r="M65" s="354">
        <f t="shared" si="5"/>
        <v>10</v>
      </c>
      <c r="N65" s="354">
        <f t="shared" si="5"/>
        <v>10</v>
      </c>
      <c r="O65" s="354">
        <f t="shared" si="5"/>
        <v>10</v>
      </c>
      <c r="P65" s="354">
        <f t="shared" si="5"/>
        <v>10</v>
      </c>
      <c r="Q65" s="354">
        <f t="shared" si="5"/>
        <v>10</v>
      </c>
      <c r="R65" s="354">
        <f t="shared" si="5"/>
        <v>10</v>
      </c>
      <c r="S65" s="5"/>
      <c r="T65" s="25"/>
      <c r="U65" s="5"/>
    </row>
    <row r="66" spans="1:21" s="3" customFormat="1" hidden="1" outlineLevel="1">
      <c r="A66" s="21"/>
      <c r="B66" s="67" t="s">
        <v>50</v>
      </c>
      <c r="C66" s="273" t="s">
        <v>27</v>
      </c>
      <c r="D66" s="4"/>
      <c r="E66" s="347"/>
      <c r="G66" s="5"/>
      <c r="H66" s="4"/>
      <c r="I66" s="4"/>
      <c r="J66" s="4"/>
      <c r="K66" s="4"/>
      <c r="L66" s="4"/>
      <c r="M66" s="4"/>
      <c r="N66" s="4"/>
      <c r="O66" s="4"/>
      <c r="P66" s="4"/>
      <c r="Q66" s="4"/>
      <c r="R66" s="4"/>
      <c r="S66" s="5"/>
      <c r="T66" s="25"/>
      <c r="U66" s="5"/>
    </row>
    <row r="67" spans="1:21" s="3" customFormat="1" hidden="1" outlineLevel="1">
      <c r="A67" s="21"/>
      <c r="B67" s="228" t="s">
        <v>37</v>
      </c>
      <c r="C67" s="273" t="str">
        <f>C66</f>
        <v>Pre-1960</v>
      </c>
      <c r="D67" s="228"/>
      <c r="E67" s="355"/>
      <c r="F67" s="67" t="s">
        <v>39</v>
      </c>
      <c r="G67" s="5"/>
      <c r="H67" s="265">
        <v>1940</v>
      </c>
      <c r="I67" s="356">
        <f t="shared" ref="I67:R69" si="6">H67</f>
        <v>1940</v>
      </c>
      <c r="J67" s="356">
        <f t="shared" si="6"/>
        <v>1940</v>
      </c>
      <c r="K67" s="356">
        <f t="shared" si="6"/>
        <v>1940</v>
      </c>
      <c r="L67" s="356">
        <f t="shared" si="6"/>
        <v>1940</v>
      </c>
      <c r="M67" s="356">
        <f t="shared" si="6"/>
        <v>1940</v>
      </c>
      <c r="N67" s="356">
        <f t="shared" si="6"/>
        <v>1940</v>
      </c>
      <c r="O67" s="356">
        <f t="shared" si="6"/>
        <v>1940</v>
      </c>
      <c r="P67" s="356">
        <f t="shared" si="6"/>
        <v>1940</v>
      </c>
      <c r="Q67" s="356">
        <f t="shared" si="6"/>
        <v>1940</v>
      </c>
      <c r="R67" s="356">
        <f t="shared" si="6"/>
        <v>1940</v>
      </c>
      <c r="S67" s="5"/>
      <c r="T67" s="25"/>
      <c r="U67" s="5"/>
    </row>
    <row r="68" spans="1:21" s="3" customFormat="1" hidden="1" outlineLevel="1">
      <c r="A68" s="21"/>
      <c r="B68" s="228" t="s">
        <v>36</v>
      </c>
      <c r="C68" s="273" t="str">
        <f t="shared" ref="C68:C95" si="7">C67</f>
        <v>Pre-1960</v>
      </c>
      <c r="D68" s="228"/>
      <c r="E68" s="355"/>
      <c r="F68" s="67" t="s">
        <v>39</v>
      </c>
      <c r="G68" s="5"/>
      <c r="H68" s="265">
        <v>2000</v>
      </c>
      <c r="I68" s="356">
        <f t="shared" si="6"/>
        <v>2000</v>
      </c>
      <c r="J68" s="356">
        <f t="shared" si="6"/>
        <v>2000</v>
      </c>
      <c r="K68" s="356">
        <f t="shared" si="6"/>
        <v>2000</v>
      </c>
      <c r="L68" s="356">
        <f t="shared" si="6"/>
        <v>2000</v>
      </c>
      <c r="M68" s="356">
        <f t="shared" si="6"/>
        <v>2000</v>
      </c>
      <c r="N68" s="356">
        <f t="shared" si="6"/>
        <v>2000</v>
      </c>
      <c r="O68" s="356">
        <f t="shared" si="6"/>
        <v>2000</v>
      </c>
      <c r="P68" s="356">
        <f t="shared" si="6"/>
        <v>2000</v>
      </c>
      <c r="Q68" s="356">
        <f t="shared" si="6"/>
        <v>2000</v>
      </c>
      <c r="R68" s="356">
        <f t="shared" si="6"/>
        <v>2000</v>
      </c>
      <c r="S68" s="5"/>
      <c r="T68" s="25"/>
      <c r="U68" s="5"/>
    </row>
    <row r="69" spans="1:21" s="3" customFormat="1" hidden="1" outlineLevel="1">
      <c r="A69" s="21"/>
      <c r="B69" s="228" t="s">
        <v>38</v>
      </c>
      <c r="C69" s="273" t="str">
        <f t="shared" si="7"/>
        <v>Pre-1960</v>
      </c>
      <c r="D69" s="228"/>
      <c r="E69" s="355"/>
      <c r="F69" s="67" t="s">
        <v>10</v>
      </c>
      <c r="G69" s="5"/>
      <c r="H69" s="55">
        <v>25</v>
      </c>
      <c r="I69" s="357">
        <f t="shared" si="6"/>
        <v>25</v>
      </c>
      <c r="J69" s="357">
        <f t="shared" si="6"/>
        <v>25</v>
      </c>
      <c r="K69" s="357">
        <f t="shared" si="6"/>
        <v>25</v>
      </c>
      <c r="L69" s="357">
        <f t="shared" si="6"/>
        <v>25</v>
      </c>
      <c r="M69" s="357">
        <f t="shared" si="6"/>
        <v>25</v>
      </c>
      <c r="N69" s="357">
        <f t="shared" si="6"/>
        <v>25</v>
      </c>
      <c r="O69" s="357">
        <f t="shared" si="6"/>
        <v>25</v>
      </c>
      <c r="P69" s="357">
        <f t="shared" si="6"/>
        <v>25</v>
      </c>
      <c r="Q69" s="357">
        <f t="shared" si="6"/>
        <v>25</v>
      </c>
      <c r="R69" s="357">
        <f t="shared" si="6"/>
        <v>25</v>
      </c>
      <c r="S69" s="5"/>
      <c r="T69" s="25"/>
      <c r="U69" s="5"/>
    </row>
    <row r="70" spans="1:21" s="3" customFormat="1" hidden="1" outlineLevel="1">
      <c r="A70" s="21"/>
      <c r="B70" s="228" t="s">
        <v>353</v>
      </c>
      <c r="C70" s="273" t="str">
        <f t="shared" si="7"/>
        <v>Pre-1960</v>
      </c>
      <c r="D70" s="228"/>
      <c r="E70" s="355"/>
      <c r="F70" s="228" t="s">
        <v>10</v>
      </c>
      <c r="G70" s="5"/>
      <c r="H70" s="55"/>
      <c r="I70" s="55"/>
      <c r="J70" s="55"/>
      <c r="K70" s="55"/>
      <c r="L70" s="55"/>
      <c r="M70" s="55"/>
      <c r="N70" s="55"/>
      <c r="O70" s="55"/>
      <c r="P70" s="55"/>
      <c r="Q70" s="55"/>
      <c r="R70" s="55"/>
      <c r="S70" s="5"/>
      <c r="T70" s="25"/>
      <c r="U70" s="5"/>
    </row>
    <row r="71" spans="1:21" s="3" customFormat="1" hidden="1" outlineLevel="1">
      <c r="A71" s="21"/>
      <c r="B71" s="228" t="s">
        <v>304</v>
      </c>
      <c r="C71" s="273" t="str">
        <f t="shared" si="7"/>
        <v>Pre-1960</v>
      </c>
      <c r="D71" s="228"/>
      <c r="E71" s="355"/>
      <c r="F71" s="67" t="s">
        <v>96</v>
      </c>
      <c r="G71" s="5"/>
      <c r="H71" s="261">
        <v>0.05</v>
      </c>
      <c r="I71" s="352">
        <f t="shared" ref="I71:R73" si="8">H71</f>
        <v>0.05</v>
      </c>
      <c r="J71" s="352">
        <f t="shared" si="8"/>
        <v>0.05</v>
      </c>
      <c r="K71" s="352">
        <f t="shared" si="8"/>
        <v>0.05</v>
      </c>
      <c r="L71" s="352">
        <f t="shared" si="8"/>
        <v>0.05</v>
      </c>
      <c r="M71" s="352">
        <f t="shared" si="8"/>
        <v>0.05</v>
      </c>
      <c r="N71" s="352">
        <f t="shared" si="8"/>
        <v>0.05</v>
      </c>
      <c r="O71" s="352">
        <f t="shared" si="8"/>
        <v>0.05</v>
      </c>
      <c r="P71" s="352">
        <f t="shared" si="8"/>
        <v>0.05</v>
      </c>
      <c r="Q71" s="352">
        <f t="shared" si="8"/>
        <v>0.05</v>
      </c>
      <c r="R71" s="352">
        <f t="shared" si="8"/>
        <v>0.05</v>
      </c>
      <c r="S71" s="5"/>
      <c r="T71" s="25"/>
      <c r="U71" s="5"/>
    </row>
    <row r="72" spans="1:21" s="3" customFormat="1" hidden="1" outlineLevel="1">
      <c r="A72" s="21"/>
      <c r="B72" s="228" t="s">
        <v>350</v>
      </c>
      <c r="C72" s="273" t="str">
        <f t="shared" si="7"/>
        <v>Pre-1960</v>
      </c>
      <c r="D72" s="228"/>
      <c r="E72" s="355"/>
      <c r="F72" s="228" t="s">
        <v>96</v>
      </c>
      <c r="G72" s="5"/>
      <c r="H72" s="261">
        <v>0</v>
      </c>
      <c r="I72" s="352">
        <f t="shared" si="8"/>
        <v>0</v>
      </c>
      <c r="J72" s="352">
        <f t="shared" si="8"/>
        <v>0</v>
      </c>
      <c r="K72" s="352">
        <f t="shared" si="8"/>
        <v>0</v>
      </c>
      <c r="L72" s="352">
        <f t="shared" si="8"/>
        <v>0</v>
      </c>
      <c r="M72" s="352">
        <f t="shared" si="8"/>
        <v>0</v>
      </c>
      <c r="N72" s="352">
        <f t="shared" si="8"/>
        <v>0</v>
      </c>
      <c r="O72" s="352">
        <f t="shared" si="8"/>
        <v>0</v>
      </c>
      <c r="P72" s="352">
        <f t="shared" si="8"/>
        <v>0</v>
      </c>
      <c r="Q72" s="352">
        <f t="shared" si="8"/>
        <v>0</v>
      </c>
      <c r="R72" s="352">
        <f t="shared" si="8"/>
        <v>0</v>
      </c>
      <c r="S72" s="5"/>
      <c r="T72" s="25"/>
      <c r="U72" s="5"/>
    </row>
    <row r="73" spans="1:21" s="3" customFormat="1" hidden="1" outlineLevel="1">
      <c r="A73" s="21"/>
      <c r="B73" s="228" t="s">
        <v>349</v>
      </c>
      <c r="C73" s="273" t="str">
        <f t="shared" si="7"/>
        <v>Pre-1960</v>
      </c>
      <c r="D73" s="228"/>
      <c r="E73" s="355"/>
      <c r="F73" s="228" t="s">
        <v>96</v>
      </c>
      <c r="G73" s="5"/>
      <c r="H73" s="261">
        <v>0.25</v>
      </c>
      <c r="I73" s="352">
        <f t="shared" si="8"/>
        <v>0.25</v>
      </c>
      <c r="J73" s="352">
        <f t="shared" si="8"/>
        <v>0.25</v>
      </c>
      <c r="K73" s="352">
        <f t="shared" si="8"/>
        <v>0.25</v>
      </c>
      <c r="L73" s="352">
        <f t="shared" si="8"/>
        <v>0.25</v>
      </c>
      <c r="M73" s="352">
        <f t="shared" si="8"/>
        <v>0.25</v>
      </c>
      <c r="N73" s="352">
        <f t="shared" si="8"/>
        <v>0.25</v>
      </c>
      <c r="O73" s="352">
        <f t="shared" si="8"/>
        <v>0.25</v>
      </c>
      <c r="P73" s="352">
        <f t="shared" si="8"/>
        <v>0.25</v>
      </c>
      <c r="Q73" s="352">
        <f t="shared" si="8"/>
        <v>0.25</v>
      </c>
      <c r="R73" s="352">
        <f t="shared" si="8"/>
        <v>0.25</v>
      </c>
      <c r="S73" s="5"/>
      <c r="T73" s="25"/>
      <c r="U73" s="5"/>
    </row>
    <row r="74" spans="1:21" s="3" customFormat="1" hidden="1" outlineLevel="1">
      <c r="A74" s="21"/>
      <c r="B74" s="228" t="s">
        <v>74</v>
      </c>
      <c r="C74" s="273" t="str">
        <f t="shared" si="7"/>
        <v>Pre-1960</v>
      </c>
      <c r="D74" s="228"/>
      <c r="E74" s="355"/>
      <c r="F74" s="67" t="s">
        <v>96</v>
      </c>
      <c r="G74" s="5"/>
      <c r="H74" s="261">
        <v>0.16700000000000001</v>
      </c>
      <c r="I74" s="261"/>
      <c r="J74" s="261"/>
      <c r="K74" s="261"/>
      <c r="L74" s="261"/>
      <c r="M74" s="261"/>
      <c r="N74" s="261"/>
      <c r="O74" s="261"/>
      <c r="P74" s="261"/>
      <c r="Q74" s="261"/>
      <c r="R74" s="261"/>
      <c r="S74" s="5"/>
      <c r="T74" s="25"/>
      <c r="U74" s="5"/>
    </row>
    <row r="75" spans="1:21" s="3" customFormat="1" hidden="1" outlineLevel="1">
      <c r="A75" s="21"/>
      <c r="B75" s="358" t="s">
        <v>146</v>
      </c>
      <c r="C75" s="273" t="str">
        <f t="shared" si="7"/>
        <v>Pre-1960</v>
      </c>
      <c r="D75" s="359"/>
      <c r="E75" s="360"/>
      <c r="F75" s="358" t="s">
        <v>96</v>
      </c>
      <c r="G75" s="5"/>
      <c r="H75" s="261"/>
      <c r="I75" s="261"/>
      <c r="J75" s="261"/>
      <c r="K75" s="261"/>
      <c r="L75" s="261"/>
      <c r="M75" s="261"/>
      <c r="N75" s="261"/>
      <c r="O75" s="261"/>
      <c r="P75" s="261"/>
      <c r="Q75" s="261"/>
      <c r="R75" s="261"/>
      <c r="S75" s="5"/>
      <c r="T75" s="25"/>
      <c r="U75" s="5"/>
    </row>
    <row r="76" spans="1:21" s="3" customFormat="1" hidden="1" outlineLevel="1">
      <c r="A76" s="21"/>
      <c r="B76" s="358" t="s">
        <v>147</v>
      </c>
      <c r="C76" s="273" t="str">
        <f t="shared" si="7"/>
        <v>Pre-1960</v>
      </c>
      <c r="D76" s="359"/>
      <c r="E76" s="360"/>
      <c r="F76" s="358" t="s">
        <v>96</v>
      </c>
      <c r="G76" s="5"/>
      <c r="H76" s="261"/>
      <c r="I76" s="261"/>
      <c r="J76" s="261"/>
      <c r="K76" s="261"/>
      <c r="L76" s="261"/>
      <c r="M76" s="261"/>
      <c r="N76" s="261"/>
      <c r="O76" s="261"/>
      <c r="P76" s="261"/>
      <c r="Q76" s="261"/>
      <c r="R76" s="261"/>
      <c r="S76" s="5"/>
      <c r="T76" s="25"/>
      <c r="U76" s="5"/>
    </row>
    <row r="77" spans="1:21" s="3" customFormat="1" hidden="1" outlineLevel="1">
      <c r="A77" s="21"/>
      <c r="B77" s="358" t="s">
        <v>362</v>
      </c>
      <c r="C77" s="273" t="str">
        <f t="shared" si="7"/>
        <v>Pre-1960</v>
      </c>
      <c r="D77" s="359"/>
      <c r="E77" s="360"/>
      <c r="F77" s="358" t="s">
        <v>96</v>
      </c>
      <c r="G77" s="5"/>
      <c r="H77" s="261"/>
      <c r="I77" s="261"/>
      <c r="J77" s="261"/>
      <c r="K77" s="261"/>
      <c r="L77" s="261"/>
      <c r="M77" s="261"/>
      <c r="N77" s="261"/>
      <c r="O77" s="261"/>
      <c r="P77" s="261"/>
      <c r="Q77" s="261"/>
      <c r="R77" s="261"/>
      <c r="S77" s="5"/>
      <c r="T77" s="25"/>
      <c r="U77" s="5"/>
    </row>
    <row r="78" spans="1:21" s="3" customFormat="1" hidden="1" outlineLevel="1">
      <c r="A78" s="21"/>
      <c r="B78" s="358" t="s">
        <v>363</v>
      </c>
      <c r="C78" s="273" t="str">
        <f t="shared" si="7"/>
        <v>Pre-1960</v>
      </c>
      <c r="D78" s="359"/>
      <c r="E78" s="360"/>
      <c r="F78" s="358" t="s">
        <v>96</v>
      </c>
      <c r="G78" s="5"/>
      <c r="H78" s="261"/>
      <c r="I78" s="261"/>
      <c r="J78" s="261"/>
      <c r="K78" s="261"/>
      <c r="L78" s="261"/>
      <c r="M78" s="261"/>
      <c r="N78" s="261"/>
      <c r="O78" s="261"/>
      <c r="P78" s="261"/>
      <c r="Q78" s="261"/>
      <c r="R78" s="261"/>
      <c r="S78" s="5"/>
      <c r="T78" s="25"/>
      <c r="U78" s="5"/>
    </row>
    <row r="79" spans="1:21" s="3" customFormat="1" hidden="1" outlineLevel="1">
      <c r="A79" s="21"/>
      <c r="B79" s="228" t="s">
        <v>332</v>
      </c>
      <c r="C79" s="273" t="str">
        <f t="shared" si="7"/>
        <v>Pre-1960</v>
      </c>
      <c r="D79" s="228"/>
      <c r="E79" s="355"/>
      <c r="F79" s="67" t="s">
        <v>35</v>
      </c>
      <c r="G79" s="5"/>
      <c r="H79" s="29"/>
      <c r="I79" s="29"/>
      <c r="J79" s="29"/>
      <c r="K79" s="29"/>
      <c r="L79" s="29"/>
      <c r="M79" s="29"/>
      <c r="N79" s="29"/>
      <c r="O79" s="29"/>
      <c r="P79" s="29"/>
      <c r="Q79" s="29"/>
      <c r="R79" s="29"/>
      <c r="S79" s="5"/>
      <c r="T79" s="25"/>
      <c r="U79" s="5"/>
    </row>
    <row r="80" spans="1:21" s="3" customFormat="1" hidden="1" outlineLevel="1">
      <c r="A80" s="21"/>
      <c r="B80" s="228" t="s">
        <v>470</v>
      </c>
      <c r="C80" s="273" t="str">
        <f t="shared" si="7"/>
        <v>Pre-1960</v>
      </c>
      <c r="D80" s="228"/>
      <c r="E80" s="355"/>
      <c r="F80" s="67" t="s">
        <v>316</v>
      </c>
      <c r="G80" s="5"/>
      <c r="H80" s="54"/>
      <c r="I80" s="54"/>
      <c r="J80" s="54"/>
      <c r="K80" s="54"/>
      <c r="L80" s="54"/>
      <c r="M80" s="54"/>
      <c r="N80" s="54"/>
      <c r="O80" s="54"/>
      <c r="P80" s="54"/>
      <c r="Q80" s="54"/>
      <c r="R80" s="54"/>
      <c r="S80" s="5"/>
      <c r="T80" s="25"/>
      <c r="U80" s="5"/>
    </row>
    <row r="81" spans="1:21" s="3" customFormat="1" hidden="1" outlineLevel="1">
      <c r="A81" s="21"/>
      <c r="B81" s="228" t="s">
        <v>375</v>
      </c>
      <c r="C81" s="273" t="str">
        <f t="shared" si="7"/>
        <v>Pre-1960</v>
      </c>
      <c r="D81" s="228"/>
      <c r="E81" s="355"/>
      <c r="F81" s="228" t="s">
        <v>96</v>
      </c>
      <c r="G81" s="5"/>
      <c r="H81" s="261"/>
      <c r="I81" s="261"/>
      <c r="J81" s="261"/>
      <c r="K81" s="261"/>
      <c r="L81" s="261"/>
      <c r="M81" s="261"/>
      <c r="N81" s="261"/>
      <c r="O81" s="261"/>
      <c r="P81" s="261"/>
      <c r="Q81" s="261"/>
      <c r="R81" s="261"/>
      <c r="S81" s="5"/>
      <c r="T81" s="25"/>
      <c r="U81" s="5"/>
    </row>
    <row r="82" spans="1:21" s="3" customFormat="1" hidden="1" outlineLevel="1">
      <c r="A82" s="21"/>
      <c r="B82" s="228" t="s">
        <v>432</v>
      </c>
      <c r="C82" s="273" t="str">
        <f t="shared" si="7"/>
        <v>Pre-1960</v>
      </c>
      <c r="D82" s="228"/>
      <c r="E82" s="355"/>
      <c r="F82" s="67" t="s">
        <v>35</v>
      </c>
      <c r="G82" s="5"/>
      <c r="H82" s="55"/>
      <c r="I82" s="55"/>
      <c r="J82" s="55"/>
      <c r="K82" s="55"/>
      <c r="L82" s="55"/>
      <c r="M82" s="55"/>
      <c r="N82" s="55"/>
      <c r="O82" s="55"/>
      <c r="P82" s="55"/>
      <c r="Q82" s="55"/>
      <c r="R82" s="55"/>
      <c r="S82" s="5"/>
      <c r="T82" s="25"/>
      <c r="U82" s="5"/>
    </row>
    <row r="83" spans="1:21" s="3" customFormat="1" hidden="1" outlineLevel="1">
      <c r="A83" s="21"/>
      <c r="B83" s="228" t="s">
        <v>379</v>
      </c>
      <c r="C83" s="273" t="str">
        <f t="shared" si="7"/>
        <v>Pre-1960</v>
      </c>
      <c r="D83" s="228"/>
      <c r="E83" s="355"/>
      <c r="F83" s="228"/>
      <c r="G83" s="5"/>
      <c r="H83" s="54"/>
      <c r="I83" s="54"/>
      <c r="J83" s="54"/>
      <c r="K83" s="54"/>
      <c r="L83" s="54"/>
      <c r="M83" s="54"/>
      <c r="N83" s="54"/>
      <c r="O83" s="54"/>
      <c r="P83" s="54"/>
      <c r="Q83" s="54"/>
      <c r="R83" s="54"/>
      <c r="S83" s="5"/>
      <c r="T83" s="25"/>
      <c r="U83" s="5"/>
    </row>
    <row r="84" spans="1:21" s="3" customFormat="1" hidden="1" outlineLevel="1">
      <c r="A84" s="21"/>
      <c r="B84" s="228" t="s">
        <v>361</v>
      </c>
      <c r="C84" s="273" t="str">
        <f t="shared" si="7"/>
        <v>Pre-1960</v>
      </c>
      <c r="D84" s="228"/>
      <c r="E84" s="355"/>
      <c r="F84" s="228" t="s">
        <v>96</v>
      </c>
      <c r="G84" s="5"/>
      <c r="H84" s="261"/>
      <c r="I84" s="261"/>
      <c r="J84" s="261"/>
      <c r="K84" s="261"/>
      <c r="L84" s="261"/>
      <c r="M84" s="261"/>
      <c r="N84" s="261"/>
      <c r="O84" s="261"/>
      <c r="P84" s="261"/>
      <c r="Q84" s="261"/>
      <c r="R84" s="261"/>
      <c r="S84" s="5"/>
      <c r="T84" s="25"/>
      <c r="U84" s="5"/>
    </row>
    <row r="85" spans="1:21" s="3" customFormat="1" hidden="1" outlineLevel="1">
      <c r="A85" s="21"/>
      <c r="B85" s="228" t="s">
        <v>384</v>
      </c>
      <c r="C85" s="273" t="str">
        <f t="shared" si="7"/>
        <v>Pre-1960</v>
      </c>
      <c r="D85" s="228"/>
      <c r="E85" s="355"/>
      <c r="F85" s="228" t="s">
        <v>316</v>
      </c>
      <c r="G85" s="5"/>
      <c r="H85" s="54"/>
      <c r="I85" s="54"/>
      <c r="J85" s="54"/>
      <c r="K85" s="54"/>
      <c r="L85" s="54"/>
      <c r="M85" s="54"/>
      <c r="N85" s="54"/>
      <c r="O85" s="54"/>
      <c r="P85" s="54"/>
      <c r="Q85" s="54"/>
      <c r="R85" s="54"/>
      <c r="S85" s="5"/>
      <c r="T85" s="25"/>
      <c r="U85" s="5"/>
    </row>
    <row r="86" spans="1:21" s="3" customFormat="1" hidden="1" outlineLevel="1">
      <c r="A86" s="21"/>
      <c r="B86" s="228" t="s">
        <v>386</v>
      </c>
      <c r="C86" s="273" t="str">
        <f t="shared" si="7"/>
        <v>Pre-1960</v>
      </c>
      <c r="D86" s="228"/>
      <c r="E86" s="355"/>
      <c r="F86" s="228" t="s">
        <v>316</v>
      </c>
      <c r="G86" s="5"/>
      <c r="H86" s="55"/>
      <c r="I86" s="55"/>
      <c r="J86" s="55"/>
      <c r="K86" s="55"/>
      <c r="L86" s="55"/>
      <c r="M86" s="55"/>
      <c r="N86" s="55"/>
      <c r="O86" s="55"/>
      <c r="P86" s="55"/>
      <c r="Q86" s="55"/>
      <c r="R86" s="55"/>
      <c r="S86" s="5"/>
      <c r="T86" s="25"/>
      <c r="U86" s="5"/>
    </row>
    <row r="87" spans="1:21" s="3" customFormat="1" hidden="1" outlineLevel="1">
      <c r="A87" s="21"/>
      <c r="B87" s="228" t="s">
        <v>387</v>
      </c>
      <c r="C87" s="273" t="str">
        <f t="shared" si="7"/>
        <v>Pre-1960</v>
      </c>
      <c r="D87" s="228"/>
      <c r="E87" s="355"/>
      <c r="F87" s="228"/>
      <c r="G87" s="5"/>
      <c r="H87" s="261"/>
      <c r="I87" s="261"/>
      <c r="J87" s="261"/>
      <c r="K87" s="261"/>
      <c r="L87" s="261"/>
      <c r="M87" s="261"/>
      <c r="N87" s="261"/>
      <c r="O87" s="261"/>
      <c r="P87" s="261"/>
      <c r="Q87" s="261"/>
      <c r="R87" s="261"/>
      <c r="S87" s="5"/>
      <c r="T87" s="25"/>
      <c r="U87" s="5"/>
    </row>
    <row r="88" spans="1:21" s="3" customFormat="1" hidden="1" outlineLevel="1">
      <c r="A88" s="21"/>
      <c r="B88" s="228" t="s">
        <v>388</v>
      </c>
      <c r="C88" s="273" t="str">
        <f t="shared" si="7"/>
        <v>Pre-1960</v>
      </c>
      <c r="D88" s="228"/>
      <c r="E88" s="355"/>
      <c r="F88" s="228"/>
      <c r="G88" s="5"/>
      <c r="H88" s="55"/>
      <c r="I88" s="55"/>
      <c r="J88" s="55"/>
      <c r="K88" s="55"/>
      <c r="L88" s="55"/>
      <c r="M88" s="55"/>
      <c r="N88" s="55"/>
      <c r="O88" s="55"/>
      <c r="P88" s="55"/>
      <c r="Q88" s="55"/>
      <c r="R88" s="55"/>
      <c r="S88" s="5"/>
      <c r="T88" s="25"/>
      <c r="U88" s="5"/>
    </row>
    <row r="89" spans="1:21" s="3" customFormat="1" hidden="1" outlineLevel="1">
      <c r="A89" s="21"/>
      <c r="B89" s="228" t="s">
        <v>385</v>
      </c>
      <c r="C89" s="273" t="str">
        <f t="shared" si="7"/>
        <v>Pre-1960</v>
      </c>
      <c r="D89" s="228"/>
      <c r="E89" s="355"/>
      <c r="F89" s="67" t="s">
        <v>319</v>
      </c>
      <c r="G89" s="5"/>
      <c r="H89" s="54"/>
      <c r="I89" s="54"/>
      <c r="J89" s="54"/>
      <c r="K89" s="54"/>
      <c r="L89" s="54"/>
      <c r="M89" s="54"/>
      <c r="N89" s="54"/>
      <c r="O89" s="54"/>
      <c r="P89" s="54"/>
      <c r="Q89" s="54"/>
      <c r="R89" s="54"/>
      <c r="S89" s="5"/>
      <c r="T89" s="25"/>
      <c r="U89" s="5"/>
    </row>
    <row r="90" spans="1:21" s="3" customFormat="1" hidden="1" outlineLevel="1">
      <c r="A90" s="21"/>
      <c r="B90" s="228" t="s">
        <v>389</v>
      </c>
      <c r="C90" s="273" t="str">
        <f t="shared" si="7"/>
        <v>Pre-1960</v>
      </c>
      <c r="D90" s="228"/>
      <c r="E90" s="355"/>
      <c r="F90" s="67" t="s">
        <v>319</v>
      </c>
      <c r="G90" s="5"/>
      <c r="H90" s="55"/>
      <c r="I90" s="55"/>
      <c r="J90" s="55"/>
      <c r="K90" s="55"/>
      <c r="L90" s="55"/>
      <c r="M90" s="55"/>
      <c r="N90" s="55"/>
      <c r="O90" s="55"/>
      <c r="P90" s="55"/>
      <c r="Q90" s="55"/>
      <c r="R90" s="55"/>
      <c r="S90" s="5"/>
      <c r="T90" s="25"/>
      <c r="U90" s="5"/>
    </row>
    <row r="91" spans="1:21" s="3" customFormat="1" hidden="1" outlineLevel="1">
      <c r="A91" s="21"/>
      <c r="B91" s="228" t="s">
        <v>390</v>
      </c>
      <c r="C91" s="273" t="str">
        <f t="shared" si="7"/>
        <v>Pre-1960</v>
      </c>
      <c r="D91" s="228"/>
      <c r="E91" s="355"/>
      <c r="F91" s="228"/>
      <c r="G91" s="5"/>
      <c r="H91" s="261"/>
      <c r="I91" s="261"/>
      <c r="J91" s="261"/>
      <c r="K91" s="261"/>
      <c r="L91" s="261"/>
      <c r="M91" s="261"/>
      <c r="N91" s="261"/>
      <c r="O91" s="261"/>
      <c r="P91" s="261"/>
      <c r="Q91" s="261"/>
      <c r="R91" s="261"/>
      <c r="S91" s="5"/>
      <c r="T91" s="25"/>
      <c r="U91" s="5"/>
    </row>
    <row r="92" spans="1:21" s="3" customFormat="1" hidden="1" outlineLevel="1">
      <c r="A92" s="21"/>
      <c r="B92" s="228" t="s">
        <v>391</v>
      </c>
      <c r="C92" s="273" t="str">
        <f t="shared" si="7"/>
        <v>Pre-1960</v>
      </c>
      <c r="D92" s="228"/>
      <c r="E92" s="355"/>
      <c r="F92" s="228"/>
      <c r="G92" s="5"/>
      <c r="H92" s="55"/>
      <c r="I92" s="55"/>
      <c r="J92" s="55"/>
      <c r="K92" s="55"/>
      <c r="L92" s="55"/>
      <c r="M92" s="55"/>
      <c r="N92" s="55"/>
      <c r="O92" s="55"/>
      <c r="P92" s="55"/>
      <c r="Q92" s="55"/>
      <c r="R92" s="55"/>
      <c r="S92" s="5"/>
      <c r="T92" s="25"/>
      <c r="U92" s="5"/>
    </row>
    <row r="93" spans="1:21" s="3" customFormat="1" hidden="1" outlineLevel="1">
      <c r="A93" s="21"/>
      <c r="B93" s="228" t="s">
        <v>305</v>
      </c>
      <c r="C93" s="273" t="str">
        <f t="shared" si="7"/>
        <v>Pre-1960</v>
      </c>
      <c r="D93" s="228"/>
      <c r="E93" s="355"/>
      <c r="F93" s="67" t="s">
        <v>319</v>
      </c>
      <c r="G93" s="5"/>
      <c r="H93" s="54"/>
      <c r="I93" s="54"/>
      <c r="J93" s="54"/>
      <c r="K93" s="54"/>
      <c r="L93" s="54"/>
      <c r="M93" s="54"/>
      <c r="N93" s="54"/>
      <c r="O93" s="54"/>
      <c r="P93" s="54"/>
      <c r="Q93" s="54"/>
      <c r="R93" s="54"/>
      <c r="S93" s="5"/>
      <c r="T93" s="25"/>
      <c r="U93" s="5"/>
    </row>
    <row r="94" spans="1:21" s="3" customFormat="1" hidden="1" outlineLevel="1">
      <c r="A94" s="21"/>
      <c r="B94" s="228" t="s">
        <v>352</v>
      </c>
      <c r="C94" s="273" t="str">
        <f t="shared" si="7"/>
        <v>Pre-1960</v>
      </c>
      <c r="D94" s="228"/>
      <c r="E94" s="355"/>
      <c r="F94" s="228" t="s">
        <v>316</v>
      </c>
      <c r="G94" s="5"/>
      <c r="H94" s="54"/>
      <c r="I94" s="54"/>
      <c r="J94" s="54"/>
      <c r="K94" s="54"/>
      <c r="L94" s="54"/>
      <c r="M94" s="54"/>
      <c r="N94" s="54"/>
      <c r="O94" s="54"/>
      <c r="P94" s="54"/>
      <c r="Q94" s="54"/>
      <c r="R94" s="54"/>
      <c r="S94" s="5"/>
      <c r="T94" s="25"/>
      <c r="U94" s="5"/>
    </row>
    <row r="95" spans="1:21" s="3" customFormat="1" hidden="1" outlineLevel="1">
      <c r="A95" s="21"/>
      <c r="B95" s="67" t="s">
        <v>301</v>
      </c>
      <c r="C95" s="273" t="str">
        <f t="shared" si="7"/>
        <v>Pre-1960</v>
      </c>
      <c r="D95" s="273" t="s">
        <v>449</v>
      </c>
      <c r="E95" s="347"/>
      <c r="F95" s="67" t="s">
        <v>44</v>
      </c>
      <c r="G95" s="5"/>
      <c r="H95" s="350">
        <v>0.997</v>
      </c>
      <c r="I95" s="361">
        <f>H95</f>
        <v>0.997</v>
      </c>
      <c r="J95" s="361">
        <f t="shared" ref="J95:R95" si="9">I95</f>
        <v>0.997</v>
      </c>
      <c r="K95" s="361">
        <f t="shared" si="9"/>
        <v>0.997</v>
      </c>
      <c r="L95" s="361">
        <f t="shared" si="9"/>
        <v>0.997</v>
      </c>
      <c r="M95" s="361">
        <f t="shared" si="9"/>
        <v>0.997</v>
      </c>
      <c r="N95" s="361">
        <f t="shared" si="9"/>
        <v>0.997</v>
      </c>
      <c r="O95" s="361">
        <f t="shared" si="9"/>
        <v>0.997</v>
      </c>
      <c r="P95" s="361">
        <f t="shared" si="9"/>
        <v>0.997</v>
      </c>
      <c r="Q95" s="361">
        <f t="shared" si="9"/>
        <v>0.997</v>
      </c>
      <c r="R95" s="361">
        <f t="shared" si="9"/>
        <v>0.997</v>
      </c>
      <c r="S95" s="5"/>
      <c r="T95" s="25"/>
      <c r="U95" s="5"/>
    </row>
    <row r="96" spans="1:21" s="3" customFormat="1" hidden="1" outlineLevel="1">
      <c r="A96" s="21"/>
      <c r="B96" s="67" t="s">
        <v>50</v>
      </c>
      <c r="C96" s="273" t="s">
        <v>26</v>
      </c>
      <c r="D96" s="4"/>
      <c r="E96" s="347"/>
      <c r="G96" s="5"/>
      <c r="H96" s="4"/>
      <c r="I96" s="4"/>
      <c r="J96" s="4"/>
      <c r="K96" s="4"/>
      <c r="L96" s="4"/>
      <c r="M96" s="4"/>
      <c r="N96" s="4"/>
      <c r="O96" s="4"/>
      <c r="P96" s="4"/>
      <c r="Q96" s="4"/>
      <c r="R96" s="4"/>
      <c r="S96" s="5"/>
      <c r="T96" s="25"/>
      <c r="U96" s="5"/>
    </row>
    <row r="97" spans="1:21" s="3" customFormat="1" hidden="1" outlineLevel="1">
      <c r="A97" s="21"/>
      <c r="B97" s="228" t="s">
        <v>37</v>
      </c>
      <c r="C97" s="273" t="str">
        <f>C96</f>
        <v>Post-1960</v>
      </c>
      <c r="D97" s="228"/>
      <c r="E97" s="355"/>
      <c r="F97" s="67" t="s">
        <v>39</v>
      </c>
      <c r="G97" s="5"/>
      <c r="H97" s="265">
        <v>1960</v>
      </c>
      <c r="I97" s="356">
        <f t="shared" ref="I97:R99" si="10">H97</f>
        <v>1960</v>
      </c>
      <c r="J97" s="356">
        <f t="shared" si="10"/>
        <v>1960</v>
      </c>
      <c r="K97" s="356">
        <f t="shared" si="10"/>
        <v>1960</v>
      </c>
      <c r="L97" s="356">
        <f t="shared" si="10"/>
        <v>1960</v>
      </c>
      <c r="M97" s="356">
        <f t="shared" si="10"/>
        <v>1960</v>
      </c>
      <c r="N97" s="356">
        <f t="shared" si="10"/>
        <v>1960</v>
      </c>
      <c r="O97" s="356">
        <f t="shared" si="10"/>
        <v>1960</v>
      </c>
      <c r="P97" s="356">
        <f t="shared" si="10"/>
        <v>1960</v>
      </c>
      <c r="Q97" s="356">
        <f t="shared" si="10"/>
        <v>1960</v>
      </c>
      <c r="R97" s="356">
        <f t="shared" si="10"/>
        <v>1960</v>
      </c>
      <c r="S97" s="5"/>
      <c r="T97" s="25"/>
      <c r="U97" s="5"/>
    </row>
    <row r="98" spans="1:21" s="3" customFormat="1" hidden="1" outlineLevel="1">
      <c r="A98" s="21"/>
      <c r="B98" s="228" t="s">
        <v>36</v>
      </c>
      <c r="C98" s="273" t="str">
        <f t="shared" ref="C98:C125" si="11">C97</f>
        <v>Post-1960</v>
      </c>
      <c r="D98" s="228"/>
      <c r="E98" s="355"/>
      <c r="F98" s="67" t="s">
        <v>39</v>
      </c>
      <c r="G98" s="5"/>
      <c r="H98" s="265">
        <v>2000</v>
      </c>
      <c r="I98" s="356">
        <f t="shared" si="10"/>
        <v>2000</v>
      </c>
      <c r="J98" s="356">
        <f t="shared" si="10"/>
        <v>2000</v>
      </c>
      <c r="K98" s="356">
        <f t="shared" si="10"/>
        <v>2000</v>
      </c>
      <c r="L98" s="356">
        <f t="shared" si="10"/>
        <v>2000</v>
      </c>
      <c r="M98" s="356">
        <f t="shared" si="10"/>
        <v>2000</v>
      </c>
      <c r="N98" s="356">
        <f t="shared" si="10"/>
        <v>2000</v>
      </c>
      <c r="O98" s="356">
        <f t="shared" si="10"/>
        <v>2000</v>
      </c>
      <c r="P98" s="356">
        <f t="shared" si="10"/>
        <v>2000</v>
      </c>
      <c r="Q98" s="356">
        <f t="shared" si="10"/>
        <v>2000</v>
      </c>
      <c r="R98" s="356">
        <f t="shared" si="10"/>
        <v>2000</v>
      </c>
      <c r="S98" s="5"/>
      <c r="T98" s="25"/>
      <c r="U98" s="5"/>
    </row>
    <row r="99" spans="1:21" s="3" customFormat="1" hidden="1" outlineLevel="1">
      <c r="A99" s="21"/>
      <c r="B99" s="228" t="s">
        <v>38</v>
      </c>
      <c r="C99" s="273" t="str">
        <f t="shared" si="11"/>
        <v>Post-1960</v>
      </c>
      <c r="D99" s="228"/>
      <c r="E99" s="355"/>
      <c r="F99" s="67" t="s">
        <v>10</v>
      </c>
      <c r="G99" s="5"/>
      <c r="H99" s="55">
        <v>25</v>
      </c>
      <c r="I99" s="357">
        <f t="shared" si="10"/>
        <v>25</v>
      </c>
      <c r="J99" s="357">
        <f t="shared" si="10"/>
        <v>25</v>
      </c>
      <c r="K99" s="357">
        <f t="shared" si="10"/>
        <v>25</v>
      </c>
      <c r="L99" s="357">
        <f t="shared" si="10"/>
        <v>25</v>
      </c>
      <c r="M99" s="357">
        <f t="shared" si="10"/>
        <v>25</v>
      </c>
      <c r="N99" s="357">
        <f t="shared" si="10"/>
        <v>25</v>
      </c>
      <c r="O99" s="357">
        <f t="shared" si="10"/>
        <v>25</v>
      </c>
      <c r="P99" s="357">
        <f t="shared" si="10"/>
        <v>25</v>
      </c>
      <c r="Q99" s="357">
        <f t="shared" si="10"/>
        <v>25</v>
      </c>
      <c r="R99" s="357">
        <f t="shared" si="10"/>
        <v>25</v>
      </c>
      <c r="S99" s="5"/>
      <c r="T99" s="25"/>
      <c r="U99" s="5"/>
    </row>
    <row r="100" spans="1:21" s="3" customFormat="1" hidden="1" outlineLevel="1">
      <c r="A100" s="21"/>
      <c r="B100" s="228" t="s">
        <v>353</v>
      </c>
      <c r="C100" s="273" t="str">
        <f t="shared" si="11"/>
        <v>Post-1960</v>
      </c>
      <c r="D100" s="228"/>
      <c r="E100" s="355"/>
      <c r="F100" s="228" t="s">
        <v>10</v>
      </c>
      <c r="G100" s="5"/>
      <c r="H100" s="55"/>
      <c r="I100" s="55"/>
      <c r="J100" s="55"/>
      <c r="K100" s="55"/>
      <c r="L100" s="55"/>
      <c r="M100" s="55"/>
      <c r="N100" s="55"/>
      <c r="O100" s="55"/>
      <c r="P100" s="55"/>
      <c r="Q100" s="55"/>
      <c r="R100" s="55"/>
      <c r="S100" s="5"/>
      <c r="T100" s="25"/>
      <c r="U100" s="5"/>
    </row>
    <row r="101" spans="1:21" s="3" customFormat="1" hidden="1" outlineLevel="1">
      <c r="A101" s="21"/>
      <c r="B101" s="228" t="s">
        <v>304</v>
      </c>
      <c r="C101" s="273" t="str">
        <f t="shared" si="11"/>
        <v>Post-1960</v>
      </c>
      <c r="D101" s="228"/>
      <c r="E101" s="355"/>
      <c r="F101" s="67" t="s">
        <v>96</v>
      </c>
      <c r="G101" s="5"/>
      <c r="H101" s="261">
        <v>0.05</v>
      </c>
      <c r="I101" s="352">
        <f t="shared" ref="I101:R103" si="12">H101</f>
        <v>0.05</v>
      </c>
      <c r="J101" s="352">
        <f t="shared" si="12"/>
        <v>0.05</v>
      </c>
      <c r="K101" s="352">
        <f t="shared" si="12"/>
        <v>0.05</v>
      </c>
      <c r="L101" s="352">
        <f t="shared" si="12"/>
        <v>0.05</v>
      </c>
      <c r="M101" s="352">
        <f t="shared" si="12"/>
        <v>0.05</v>
      </c>
      <c r="N101" s="352">
        <f t="shared" si="12"/>
        <v>0.05</v>
      </c>
      <c r="O101" s="352">
        <f t="shared" si="12"/>
        <v>0.05</v>
      </c>
      <c r="P101" s="352">
        <f t="shared" si="12"/>
        <v>0.05</v>
      </c>
      <c r="Q101" s="352">
        <f t="shared" si="12"/>
        <v>0.05</v>
      </c>
      <c r="R101" s="352">
        <f t="shared" si="12"/>
        <v>0.05</v>
      </c>
      <c r="S101" s="5"/>
      <c r="T101" s="25"/>
      <c r="U101" s="5"/>
    </row>
    <row r="102" spans="1:21" s="3" customFormat="1" hidden="1" outlineLevel="1">
      <c r="A102" s="21"/>
      <c r="B102" s="228" t="s">
        <v>350</v>
      </c>
      <c r="C102" s="273" t="str">
        <f t="shared" si="11"/>
        <v>Post-1960</v>
      </c>
      <c r="D102" s="228"/>
      <c r="E102" s="355"/>
      <c r="F102" s="228" t="s">
        <v>96</v>
      </c>
      <c r="G102" s="5"/>
      <c r="H102" s="261">
        <v>0</v>
      </c>
      <c r="I102" s="352">
        <f t="shared" si="12"/>
        <v>0</v>
      </c>
      <c r="J102" s="352">
        <f t="shared" si="12"/>
        <v>0</v>
      </c>
      <c r="K102" s="352">
        <f t="shared" si="12"/>
        <v>0</v>
      </c>
      <c r="L102" s="352">
        <f t="shared" si="12"/>
        <v>0</v>
      </c>
      <c r="M102" s="352">
        <f t="shared" si="12"/>
        <v>0</v>
      </c>
      <c r="N102" s="352">
        <f t="shared" si="12"/>
        <v>0</v>
      </c>
      <c r="O102" s="352">
        <f t="shared" si="12"/>
        <v>0</v>
      </c>
      <c r="P102" s="352">
        <f t="shared" si="12"/>
        <v>0</v>
      </c>
      <c r="Q102" s="352">
        <f t="shared" si="12"/>
        <v>0</v>
      </c>
      <c r="R102" s="352">
        <f t="shared" si="12"/>
        <v>0</v>
      </c>
      <c r="S102" s="5"/>
      <c r="T102" s="25"/>
      <c r="U102" s="5"/>
    </row>
    <row r="103" spans="1:21" s="3" customFormat="1" hidden="1" outlineLevel="1">
      <c r="A103" s="21"/>
      <c r="B103" s="228" t="s">
        <v>349</v>
      </c>
      <c r="C103" s="273" t="str">
        <f t="shared" si="11"/>
        <v>Post-1960</v>
      </c>
      <c r="D103" s="228"/>
      <c r="E103" s="355"/>
      <c r="F103" s="228" t="s">
        <v>96</v>
      </c>
      <c r="G103" s="5"/>
      <c r="H103" s="261">
        <v>0.25</v>
      </c>
      <c r="I103" s="352">
        <f t="shared" si="12"/>
        <v>0.25</v>
      </c>
      <c r="J103" s="352">
        <f t="shared" si="12"/>
        <v>0.25</v>
      </c>
      <c r="K103" s="352">
        <f t="shared" si="12"/>
        <v>0.25</v>
      </c>
      <c r="L103" s="352">
        <f t="shared" si="12"/>
        <v>0.25</v>
      </c>
      <c r="M103" s="352">
        <f t="shared" si="12"/>
        <v>0.25</v>
      </c>
      <c r="N103" s="352">
        <f t="shared" si="12"/>
        <v>0.25</v>
      </c>
      <c r="O103" s="352">
        <f t="shared" si="12"/>
        <v>0.25</v>
      </c>
      <c r="P103" s="352">
        <f t="shared" si="12"/>
        <v>0.25</v>
      </c>
      <c r="Q103" s="352">
        <f t="shared" si="12"/>
        <v>0.25</v>
      </c>
      <c r="R103" s="352">
        <f t="shared" si="12"/>
        <v>0.25</v>
      </c>
      <c r="S103" s="5"/>
      <c r="T103" s="25"/>
      <c r="U103" s="5"/>
    </row>
    <row r="104" spans="1:21" s="3" customFormat="1" hidden="1" outlineLevel="1">
      <c r="A104" s="21"/>
      <c r="B104" s="228" t="s">
        <v>74</v>
      </c>
      <c r="C104" s="273" t="str">
        <f t="shared" si="11"/>
        <v>Post-1960</v>
      </c>
      <c r="D104" s="228"/>
      <c r="E104" s="355"/>
      <c r="F104" s="67" t="s">
        <v>96</v>
      </c>
      <c r="G104" s="5"/>
      <c r="H104" s="261">
        <v>0.83299999999999996</v>
      </c>
      <c r="I104" s="261"/>
      <c r="J104" s="261"/>
      <c r="K104" s="261"/>
      <c r="L104" s="261"/>
      <c r="M104" s="261"/>
      <c r="N104" s="261"/>
      <c r="O104" s="261"/>
      <c r="P104" s="261"/>
      <c r="Q104" s="261"/>
      <c r="R104" s="261"/>
      <c r="S104" s="5"/>
      <c r="T104" s="25"/>
      <c r="U104" s="5"/>
    </row>
    <row r="105" spans="1:21" s="3" customFormat="1" hidden="1" outlineLevel="1">
      <c r="A105" s="21"/>
      <c r="B105" s="358" t="s">
        <v>146</v>
      </c>
      <c r="C105" s="273" t="str">
        <f t="shared" si="11"/>
        <v>Post-1960</v>
      </c>
      <c r="D105" s="359"/>
      <c r="E105" s="360"/>
      <c r="F105" s="358" t="s">
        <v>96</v>
      </c>
      <c r="G105" s="5"/>
      <c r="H105" s="261"/>
      <c r="I105" s="261"/>
      <c r="J105" s="261"/>
      <c r="K105" s="261"/>
      <c r="L105" s="261"/>
      <c r="M105" s="261"/>
      <c r="N105" s="261"/>
      <c r="O105" s="261"/>
      <c r="P105" s="261"/>
      <c r="Q105" s="261"/>
      <c r="R105" s="261"/>
      <c r="S105" s="5"/>
      <c r="T105" s="25"/>
      <c r="U105" s="5"/>
    </row>
    <row r="106" spans="1:21" s="3" customFormat="1" hidden="1" outlineLevel="1">
      <c r="A106" s="21"/>
      <c r="B106" s="358" t="s">
        <v>147</v>
      </c>
      <c r="C106" s="273" t="str">
        <f t="shared" si="11"/>
        <v>Post-1960</v>
      </c>
      <c r="D106" s="359"/>
      <c r="E106" s="360"/>
      <c r="F106" s="358" t="s">
        <v>96</v>
      </c>
      <c r="G106" s="5"/>
      <c r="H106" s="261"/>
      <c r="I106" s="261"/>
      <c r="J106" s="261"/>
      <c r="K106" s="261"/>
      <c r="L106" s="261"/>
      <c r="M106" s="261"/>
      <c r="N106" s="261"/>
      <c r="O106" s="261"/>
      <c r="P106" s="261"/>
      <c r="Q106" s="261"/>
      <c r="R106" s="261"/>
      <c r="S106" s="5"/>
      <c r="T106" s="25"/>
      <c r="U106" s="5"/>
    </row>
    <row r="107" spans="1:21" s="3" customFormat="1" hidden="1" outlineLevel="1">
      <c r="A107" s="21"/>
      <c r="B107" s="358" t="s">
        <v>362</v>
      </c>
      <c r="C107" s="273" t="str">
        <f t="shared" si="11"/>
        <v>Post-1960</v>
      </c>
      <c r="D107" s="359"/>
      <c r="E107" s="360"/>
      <c r="F107" s="358" t="s">
        <v>96</v>
      </c>
      <c r="G107" s="5"/>
      <c r="H107" s="261"/>
      <c r="I107" s="261"/>
      <c r="J107" s="261"/>
      <c r="K107" s="261"/>
      <c r="L107" s="261"/>
      <c r="M107" s="261"/>
      <c r="N107" s="261"/>
      <c r="O107" s="261"/>
      <c r="P107" s="261"/>
      <c r="Q107" s="261"/>
      <c r="R107" s="261"/>
      <c r="S107" s="5"/>
      <c r="T107" s="25"/>
      <c r="U107" s="5"/>
    </row>
    <row r="108" spans="1:21" s="3" customFormat="1" hidden="1" outlineLevel="1">
      <c r="A108" s="21"/>
      <c r="B108" s="358" t="s">
        <v>363</v>
      </c>
      <c r="C108" s="273" t="str">
        <f t="shared" si="11"/>
        <v>Post-1960</v>
      </c>
      <c r="D108" s="359"/>
      <c r="E108" s="360"/>
      <c r="F108" s="358" t="s">
        <v>96</v>
      </c>
      <c r="G108" s="5"/>
      <c r="H108" s="261"/>
      <c r="I108" s="261"/>
      <c r="J108" s="261"/>
      <c r="K108" s="261"/>
      <c r="L108" s="261"/>
      <c r="M108" s="261"/>
      <c r="N108" s="261"/>
      <c r="O108" s="261"/>
      <c r="P108" s="261"/>
      <c r="Q108" s="261"/>
      <c r="R108" s="261"/>
      <c r="S108" s="5"/>
      <c r="T108" s="25"/>
      <c r="U108" s="5"/>
    </row>
    <row r="109" spans="1:21" s="3" customFormat="1" hidden="1" outlineLevel="1">
      <c r="A109" s="21"/>
      <c r="B109" s="228" t="s">
        <v>332</v>
      </c>
      <c r="C109" s="273" t="str">
        <f t="shared" si="11"/>
        <v>Post-1960</v>
      </c>
      <c r="D109" s="228"/>
      <c r="E109" s="355"/>
      <c r="F109" s="67" t="s">
        <v>35</v>
      </c>
      <c r="G109" s="5"/>
      <c r="H109" s="29"/>
      <c r="I109" s="29"/>
      <c r="J109" s="29"/>
      <c r="K109" s="29"/>
      <c r="L109" s="29"/>
      <c r="M109" s="29"/>
      <c r="N109" s="29"/>
      <c r="O109" s="29"/>
      <c r="P109" s="29"/>
      <c r="Q109" s="29"/>
      <c r="R109" s="29"/>
      <c r="S109" s="5"/>
      <c r="T109" s="25"/>
      <c r="U109" s="5"/>
    </row>
    <row r="110" spans="1:21" s="3" customFormat="1" hidden="1" outlineLevel="1">
      <c r="A110" s="21"/>
      <c r="B110" s="228" t="s">
        <v>470</v>
      </c>
      <c r="C110" s="273" t="str">
        <f t="shared" si="11"/>
        <v>Post-1960</v>
      </c>
      <c r="D110" s="228"/>
      <c r="E110" s="355"/>
      <c r="F110" s="67" t="s">
        <v>316</v>
      </c>
      <c r="G110" s="5"/>
      <c r="H110" s="54"/>
      <c r="I110" s="54"/>
      <c r="J110" s="54"/>
      <c r="K110" s="54"/>
      <c r="L110" s="54"/>
      <c r="M110" s="54"/>
      <c r="N110" s="54"/>
      <c r="O110" s="54"/>
      <c r="P110" s="54"/>
      <c r="Q110" s="54"/>
      <c r="R110" s="54"/>
      <c r="S110" s="5"/>
      <c r="T110" s="25"/>
      <c r="U110" s="5"/>
    </row>
    <row r="111" spans="1:21" s="3" customFormat="1" hidden="1" outlineLevel="1">
      <c r="A111" s="21"/>
      <c r="B111" s="228" t="s">
        <v>375</v>
      </c>
      <c r="C111" s="273" t="str">
        <f t="shared" si="11"/>
        <v>Post-1960</v>
      </c>
      <c r="D111" s="228"/>
      <c r="E111" s="355"/>
      <c r="F111" s="228" t="s">
        <v>96</v>
      </c>
      <c r="G111" s="5"/>
      <c r="H111" s="261"/>
      <c r="I111" s="261"/>
      <c r="J111" s="261"/>
      <c r="K111" s="261"/>
      <c r="L111" s="261"/>
      <c r="M111" s="261"/>
      <c r="N111" s="261"/>
      <c r="O111" s="261"/>
      <c r="P111" s="261"/>
      <c r="Q111" s="261"/>
      <c r="R111" s="261"/>
      <c r="S111" s="5"/>
      <c r="T111" s="25"/>
      <c r="U111" s="5"/>
    </row>
    <row r="112" spans="1:21" s="3" customFormat="1" hidden="1" outlineLevel="1">
      <c r="A112" s="21"/>
      <c r="B112" s="228" t="s">
        <v>432</v>
      </c>
      <c r="C112" s="273" t="str">
        <f t="shared" si="11"/>
        <v>Post-1960</v>
      </c>
      <c r="D112" s="228"/>
      <c r="E112" s="355"/>
      <c r="F112" s="67" t="s">
        <v>35</v>
      </c>
      <c r="G112" s="5"/>
      <c r="H112" s="55"/>
      <c r="I112" s="55"/>
      <c r="J112" s="55"/>
      <c r="K112" s="55"/>
      <c r="L112" s="55"/>
      <c r="M112" s="55"/>
      <c r="N112" s="55"/>
      <c r="O112" s="55"/>
      <c r="P112" s="55"/>
      <c r="Q112" s="55"/>
      <c r="R112" s="55"/>
      <c r="S112" s="5"/>
      <c r="T112" s="25"/>
      <c r="U112" s="5"/>
    </row>
    <row r="113" spans="1:21" s="3" customFormat="1" hidden="1" outlineLevel="1">
      <c r="A113" s="21"/>
      <c r="B113" s="228" t="s">
        <v>379</v>
      </c>
      <c r="C113" s="273" t="str">
        <f t="shared" si="11"/>
        <v>Post-1960</v>
      </c>
      <c r="D113" s="228"/>
      <c r="E113" s="355"/>
      <c r="F113" s="228"/>
      <c r="G113" s="5"/>
      <c r="H113" s="54"/>
      <c r="I113" s="54"/>
      <c r="J113" s="54"/>
      <c r="K113" s="54"/>
      <c r="L113" s="54"/>
      <c r="M113" s="54"/>
      <c r="N113" s="54"/>
      <c r="O113" s="54"/>
      <c r="P113" s="54"/>
      <c r="Q113" s="54"/>
      <c r="R113" s="54"/>
      <c r="S113" s="5"/>
      <c r="T113" s="25"/>
      <c r="U113" s="5"/>
    </row>
    <row r="114" spans="1:21" s="3" customFormat="1" hidden="1" outlineLevel="1">
      <c r="A114" s="21"/>
      <c r="B114" s="228" t="s">
        <v>361</v>
      </c>
      <c r="C114" s="273" t="str">
        <f t="shared" si="11"/>
        <v>Post-1960</v>
      </c>
      <c r="D114" s="228"/>
      <c r="E114" s="355"/>
      <c r="F114" s="228" t="s">
        <v>96</v>
      </c>
      <c r="G114" s="5"/>
      <c r="H114" s="261"/>
      <c r="I114" s="261"/>
      <c r="J114" s="261"/>
      <c r="K114" s="261"/>
      <c r="L114" s="261"/>
      <c r="M114" s="261"/>
      <c r="N114" s="261"/>
      <c r="O114" s="261"/>
      <c r="P114" s="261"/>
      <c r="Q114" s="261"/>
      <c r="R114" s="261"/>
      <c r="S114" s="5"/>
      <c r="T114" s="25"/>
      <c r="U114" s="5"/>
    </row>
    <row r="115" spans="1:21" s="3" customFormat="1" hidden="1" outlineLevel="1">
      <c r="A115" s="21"/>
      <c r="B115" s="228" t="s">
        <v>384</v>
      </c>
      <c r="C115" s="273" t="str">
        <f t="shared" si="11"/>
        <v>Post-1960</v>
      </c>
      <c r="D115" s="228"/>
      <c r="E115" s="355"/>
      <c r="F115" s="228" t="s">
        <v>316</v>
      </c>
      <c r="G115" s="5"/>
      <c r="H115" s="54"/>
      <c r="I115" s="54"/>
      <c r="J115" s="54"/>
      <c r="K115" s="54"/>
      <c r="L115" s="54"/>
      <c r="M115" s="54"/>
      <c r="N115" s="54"/>
      <c r="O115" s="54"/>
      <c r="P115" s="54"/>
      <c r="Q115" s="54"/>
      <c r="R115" s="54"/>
      <c r="S115" s="5"/>
      <c r="T115" s="25"/>
      <c r="U115" s="5"/>
    </row>
    <row r="116" spans="1:21" s="3" customFormat="1" hidden="1" outlineLevel="1">
      <c r="A116" s="21"/>
      <c r="B116" s="228" t="s">
        <v>386</v>
      </c>
      <c r="C116" s="273" t="str">
        <f t="shared" si="11"/>
        <v>Post-1960</v>
      </c>
      <c r="D116" s="228"/>
      <c r="E116" s="355"/>
      <c r="F116" s="228" t="s">
        <v>316</v>
      </c>
      <c r="G116" s="5"/>
      <c r="H116" s="55"/>
      <c r="I116" s="55"/>
      <c r="J116" s="55"/>
      <c r="K116" s="55"/>
      <c r="L116" s="55"/>
      <c r="M116" s="55"/>
      <c r="N116" s="55"/>
      <c r="O116" s="55"/>
      <c r="P116" s="55"/>
      <c r="Q116" s="55"/>
      <c r="R116" s="55"/>
      <c r="S116" s="5"/>
      <c r="T116" s="25"/>
      <c r="U116" s="5"/>
    </row>
    <row r="117" spans="1:21" s="3" customFormat="1" hidden="1" outlineLevel="1">
      <c r="A117" s="21"/>
      <c r="B117" s="228" t="s">
        <v>387</v>
      </c>
      <c r="C117" s="273" t="str">
        <f t="shared" si="11"/>
        <v>Post-1960</v>
      </c>
      <c r="D117" s="228"/>
      <c r="E117" s="355"/>
      <c r="F117" s="228"/>
      <c r="G117" s="5"/>
      <c r="H117" s="261"/>
      <c r="I117" s="261"/>
      <c r="J117" s="261"/>
      <c r="K117" s="261"/>
      <c r="L117" s="261"/>
      <c r="M117" s="261"/>
      <c r="N117" s="261"/>
      <c r="O117" s="261"/>
      <c r="P117" s="261"/>
      <c r="Q117" s="261"/>
      <c r="R117" s="261"/>
      <c r="S117" s="5"/>
      <c r="T117" s="25"/>
      <c r="U117" s="5"/>
    </row>
    <row r="118" spans="1:21" s="3" customFormat="1" hidden="1" outlineLevel="1">
      <c r="A118" s="21"/>
      <c r="B118" s="228" t="s">
        <v>388</v>
      </c>
      <c r="C118" s="273" t="str">
        <f t="shared" si="11"/>
        <v>Post-1960</v>
      </c>
      <c r="D118" s="228"/>
      <c r="E118" s="355"/>
      <c r="F118" s="228"/>
      <c r="G118" s="5"/>
      <c r="H118" s="55"/>
      <c r="I118" s="55"/>
      <c r="J118" s="55"/>
      <c r="K118" s="55"/>
      <c r="L118" s="55"/>
      <c r="M118" s="55"/>
      <c r="N118" s="55"/>
      <c r="O118" s="55"/>
      <c r="P118" s="55"/>
      <c r="Q118" s="55"/>
      <c r="R118" s="55"/>
      <c r="S118" s="5"/>
      <c r="T118" s="25"/>
      <c r="U118" s="5"/>
    </row>
    <row r="119" spans="1:21" s="3" customFormat="1" hidden="1" outlineLevel="1">
      <c r="A119" s="21"/>
      <c r="B119" s="228" t="s">
        <v>385</v>
      </c>
      <c r="C119" s="273" t="str">
        <f t="shared" si="11"/>
        <v>Post-1960</v>
      </c>
      <c r="D119" s="228"/>
      <c r="E119" s="355"/>
      <c r="F119" s="67" t="s">
        <v>319</v>
      </c>
      <c r="G119" s="5"/>
      <c r="H119" s="54"/>
      <c r="I119" s="54"/>
      <c r="J119" s="54"/>
      <c r="K119" s="54"/>
      <c r="L119" s="54"/>
      <c r="M119" s="54"/>
      <c r="N119" s="54"/>
      <c r="O119" s="54"/>
      <c r="P119" s="54"/>
      <c r="Q119" s="54"/>
      <c r="R119" s="54"/>
      <c r="S119" s="5"/>
      <c r="T119" s="25"/>
      <c r="U119" s="5"/>
    </row>
    <row r="120" spans="1:21" s="3" customFormat="1" hidden="1" outlineLevel="1">
      <c r="A120" s="21"/>
      <c r="B120" s="228" t="s">
        <v>389</v>
      </c>
      <c r="C120" s="273" t="str">
        <f t="shared" si="11"/>
        <v>Post-1960</v>
      </c>
      <c r="D120" s="228"/>
      <c r="E120" s="355"/>
      <c r="F120" s="67" t="s">
        <v>319</v>
      </c>
      <c r="G120" s="5"/>
      <c r="H120" s="55"/>
      <c r="I120" s="55"/>
      <c r="J120" s="55"/>
      <c r="K120" s="55"/>
      <c r="L120" s="55"/>
      <c r="M120" s="55"/>
      <c r="N120" s="55"/>
      <c r="O120" s="55"/>
      <c r="P120" s="55"/>
      <c r="Q120" s="55"/>
      <c r="R120" s="55"/>
      <c r="S120" s="5"/>
      <c r="T120" s="25"/>
      <c r="U120" s="5"/>
    </row>
    <row r="121" spans="1:21" s="3" customFormat="1" hidden="1" outlineLevel="1">
      <c r="A121" s="21"/>
      <c r="B121" s="228" t="s">
        <v>390</v>
      </c>
      <c r="C121" s="273" t="str">
        <f t="shared" si="11"/>
        <v>Post-1960</v>
      </c>
      <c r="D121" s="228"/>
      <c r="E121" s="355"/>
      <c r="F121" s="228"/>
      <c r="G121" s="5"/>
      <c r="H121" s="261"/>
      <c r="I121" s="261"/>
      <c r="J121" s="261"/>
      <c r="K121" s="261"/>
      <c r="L121" s="261"/>
      <c r="M121" s="261"/>
      <c r="N121" s="261"/>
      <c r="O121" s="261"/>
      <c r="P121" s="261"/>
      <c r="Q121" s="261"/>
      <c r="R121" s="261"/>
      <c r="S121" s="5"/>
      <c r="T121" s="25"/>
      <c r="U121" s="5"/>
    </row>
    <row r="122" spans="1:21" s="3" customFormat="1" hidden="1" outlineLevel="1">
      <c r="A122" s="21"/>
      <c r="B122" s="228" t="s">
        <v>391</v>
      </c>
      <c r="C122" s="273" t="str">
        <f t="shared" si="11"/>
        <v>Post-1960</v>
      </c>
      <c r="D122" s="228"/>
      <c r="E122" s="355"/>
      <c r="F122" s="228"/>
      <c r="G122" s="5"/>
      <c r="H122" s="55"/>
      <c r="I122" s="55"/>
      <c r="J122" s="55"/>
      <c r="K122" s="55"/>
      <c r="L122" s="55"/>
      <c r="M122" s="55"/>
      <c r="N122" s="55"/>
      <c r="O122" s="55"/>
      <c r="P122" s="55"/>
      <c r="Q122" s="55"/>
      <c r="R122" s="55"/>
      <c r="S122" s="5"/>
      <c r="T122" s="25"/>
      <c r="U122" s="5"/>
    </row>
    <row r="123" spans="1:21" s="3" customFormat="1" hidden="1" outlineLevel="1">
      <c r="A123" s="21"/>
      <c r="B123" s="228" t="s">
        <v>305</v>
      </c>
      <c r="C123" s="273" t="str">
        <f t="shared" si="11"/>
        <v>Post-1960</v>
      </c>
      <c r="D123" s="228"/>
      <c r="E123" s="355"/>
      <c r="F123" s="67" t="s">
        <v>319</v>
      </c>
      <c r="G123" s="5"/>
      <c r="H123" s="54"/>
      <c r="I123" s="54"/>
      <c r="J123" s="54"/>
      <c r="K123" s="54"/>
      <c r="L123" s="54"/>
      <c r="M123" s="54"/>
      <c r="N123" s="54"/>
      <c r="O123" s="54"/>
      <c r="P123" s="54"/>
      <c r="Q123" s="54"/>
      <c r="R123" s="54"/>
      <c r="S123" s="5"/>
      <c r="T123" s="25"/>
      <c r="U123" s="5"/>
    </row>
    <row r="124" spans="1:21" s="3" customFormat="1" hidden="1" outlineLevel="1">
      <c r="A124" s="21"/>
      <c r="B124" s="228" t="s">
        <v>352</v>
      </c>
      <c r="C124" s="273" t="str">
        <f t="shared" si="11"/>
        <v>Post-1960</v>
      </c>
      <c r="D124" s="228"/>
      <c r="E124" s="355"/>
      <c r="F124" s="228" t="s">
        <v>316</v>
      </c>
      <c r="G124" s="5"/>
      <c r="H124" s="54"/>
      <c r="I124" s="54"/>
      <c r="J124" s="54"/>
      <c r="K124" s="54"/>
      <c r="L124" s="54"/>
      <c r="M124" s="54"/>
      <c r="N124" s="54"/>
      <c r="O124" s="54"/>
      <c r="P124" s="54"/>
      <c r="Q124" s="54"/>
      <c r="R124" s="54"/>
      <c r="S124" s="5"/>
      <c r="T124" s="25"/>
      <c r="U124" s="5"/>
    </row>
    <row r="125" spans="1:21" s="3" customFormat="1" hidden="1" outlineLevel="1">
      <c r="A125" s="21"/>
      <c r="B125" s="67" t="s">
        <v>301</v>
      </c>
      <c r="C125" s="273" t="str">
        <f t="shared" si="11"/>
        <v>Post-1960</v>
      </c>
      <c r="D125" s="273" t="s">
        <v>449</v>
      </c>
      <c r="E125" s="347"/>
      <c r="F125" s="67" t="s">
        <v>44</v>
      </c>
      <c r="G125" s="5"/>
      <c r="H125" s="350">
        <v>0.63300000000000001</v>
      </c>
      <c r="I125" s="361">
        <f t="shared" ref="I125:R125" si="13">H125</f>
        <v>0.63300000000000001</v>
      </c>
      <c r="J125" s="361">
        <f t="shared" si="13"/>
        <v>0.63300000000000001</v>
      </c>
      <c r="K125" s="361">
        <f t="shared" si="13"/>
        <v>0.63300000000000001</v>
      </c>
      <c r="L125" s="361">
        <f t="shared" si="13"/>
        <v>0.63300000000000001</v>
      </c>
      <c r="M125" s="361">
        <f t="shared" si="13"/>
        <v>0.63300000000000001</v>
      </c>
      <c r="N125" s="361">
        <f t="shared" si="13"/>
        <v>0.63300000000000001</v>
      </c>
      <c r="O125" s="361">
        <f t="shared" si="13"/>
        <v>0.63300000000000001</v>
      </c>
      <c r="P125" s="361">
        <f t="shared" si="13"/>
        <v>0.63300000000000001</v>
      </c>
      <c r="Q125" s="361">
        <f t="shared" si="13"/>
        <v>0.63300000000000001</v>
      </c>
      <c r="R125" s="361">
        <f t="shared" si="13"/>
        <v>0.63300000000000001</v>
      </c>
      <c r="S125" s="5"/>
      <c r="T125" s="25"/>
      <c r="U125" s="5"/>
    </row>
    <row r="126" spans="1:21" s="3" customFormat="1" hidden="1" outlineLevel="1">
      <c r="A126" s="21"/>
      <c r="B126" s="67" t="s">
        <v>50</v>
      </c>
      <c r="C126" s="273" t="s">
        <v>28</v>
      </c>
      <c r="D126" s="4"/>
      <c r="E126" s="347"/>
      <c r="G126" s="5"/>
      <c r="H126" s="4"/>
      <c r="I126" s="4"/>
      <c r="J126" s="4"/>
      <c r="K126" s="4"/>
      <c r="L126" s="4"/>
      <c r="M126" s="4"/>
      <c r="N126" s="4"/>
      <c r="O126" s="4"/>
      <c r="P126" s="4"/>
      <c r="Q126" s="4"/>
      <c r="R126" s="4"/>
      <c r="S126" s="5"/>
      <c r="T126" s="25"/>
      <c r="U126" s="5"/>
    </row>
    <row r="127" spans="1:21" s="3" customFormat="1" hidden="1" outlineLevel="1">
      <c r="A127" s="21"/>
      <c r="B127" s="228" t="s">
        <v>37</v>
      </c>
      <c r="C127" s="273" t="str">
        <f>C126</f>
        <v>Standard</v>
      </c>
      <c r="D127" s="228"/>
      <c r="E127" s="355"/>
      <c r="F127" s="67" t="s">
        <v>39</v>
      </c>
      <c r="G127" s="5"/>
      <c r="H127" s="265">
        <v>2000</v>
      </c>
      <c r="I127" s="356">
        <f t="shared" ref="I127:R129" si="14">H127</f>
        <v>2000</v>
      </c>
      <c r="J127" s="356">
        <f t="shared" si="14"/>
        <v>2000</v>
      </c>
      <c r="K127" s="356">
        <f t="shared" si="14"/>
        <v>2000</v>
      </c>
      <c r="L127" s="356">
        <f t="shared" si="14"/>
        <v>2000</v>
      </c>
      <c r="M127" s="356">
        <f t="shared" si="14"/>
        <v>2000</v>
      </c>
      <c r="N127" s="356">
        <f t="shared" si="14"/>
        <v>2000</v>
      </c>
      <c r="O127" s="356">
        <f t="shared" si="14"/>
        <v>2000</v>
      </c>
      <c r="P127" s="356">
        <f t="shared" si="14"/>
        <v>2000</v>
      </c>
      <c r="Q127" s="356">
        <f t="shared" si="14"/>
        <v>2000</v>
      </c>
      <c r="R127" s="356">
        <f t="shared" si="14"/>
        <v>2000</v>
      </c>
      <c r="S127" s="5"/>
      <c r="T127" s="25"/>
      <c r="U127" s="5"/>
    </row>
    <row r="128" spans="1:21" s="3" customFormat="1" hidden="1" outlineLevel="1">
      <c r="A128" s="21"/>
      <c r="B128" s="228" t="s">
        <v>36</v>
      </c>
      <c r="C128" s="273" t="str">
        <f t="shared" ref="C128:C155" si="15">C127</f>
        <v>Standard</v>
      </c>
      <c r="D128" s="228"/>
      <c r="E128" s="355"/>
      <c r="F128" s="67" t="s">
        <v>39</v>
      </c>
      <c r="G128" s="5"/>
      <c r="H128" s="265">
        <v>2100</v>
      </c>
      <c r="I128" s="356">
        <f t="shared" si="14"/>
        <v>2100</v>
      </c>
      <c r="J128" s="356">
        <f t="shared" si="14"/>
        <v>2100</v>
      </c>
      <c r="K128" s="356">
        <f t="shared" si="14"/>
        <v>2100</v>
      </c>
      <c r="L128" s="356">
        <f t="shared" si="14"/>
        <v>2100</v>
      </c>
      <c r="M128" s="356">
        <f t="shared" si="14"/>
        <v>2100</v>
      </c>
      <c r="N128" s="356">
        <f t="shared" si="14"/>
        <v>2100</v>
      </c>
      <c r="O128" s="356">
        <f t="shared" si="14"/>
        <v>2100</v>
      </c>
      <c r="P128" s="356">
        <f t="shared" si="14"/>
        <v>2100</v>
      </c>
      <c r="Q128" s="356">
        <f t="shared" si="14"/>
        <v>2100</v>
      </c>
      <c r="R128" s="356">
        <f t="shared" si="14"/>
        <v>2100</v>
      </c>
      <c r="S128" s="5"/>
      <c r="T128" s="25"/>
      <c r="U128" s="5"/>
    </row>
    <row r="129" spans="1:21" s="3" customFormat="1" hidden="1" outlineLevel="1">
      <c r="A129" s="21"/>
      <c r="B129" s="228" t="s">
        <v>38</v>
      </c>
      <c r="C129" s="273" t="str">
        <f t="shared" si="15"/>
        <v>Standard</v>
      </c>
      <c r="D129" s="228"/>
      <c r="E129" s="355"/>
      <c r="F129" s="67" t="s">
        <v>10</v>
      </c>
      <c r="G129" s="5"/>
      <c r="H129" s="55">
        <v>25</v>
      </c>
      <c r="I129" s="357">
        <f t="shared" si="14"/>
        <v>25</v>
      </c>
      <c r="J129" s="357">
        <f t="shared" si="14"/>
        <v>25</v>
      </c>
      <c r="K129" s="357">
        <f t="shared" si="14"/>
        <v>25</v>
      </c>
      <c r="L129" s="357">
        <f t="shared" si="14"/>
        <v>25</v>
      </c>
      <c r="M129" s="357">
        <f t="shared" si="14"/>
        <v>25</v>
      </c>
      <c r="N129" s="357">
        <f t="shared" si="14"/>
        <v>25</v>
      </c>
      <c r="O129" s="357">
        <f t="shared" si="14"/>
        <v>25</v>
      </c>
      <c r="P129" s="357">
        <f t="shared" si="14"/>
        <v>25</v>
      </c>
      <c r="Q129" s="357">
        <f t="shared" si="14"/>
        <v>25</v>
      </c>
      <c r="R129" s="357">
        <f t="shared" si="14"/>
        <v>25</v>
      </c>
      <c r="S129" s="5"/>
      <c r="T129" s="25"/>
      <c r="U129" s="5"/>
    </row>
    <row r="130" spans="1:21" s="3" customFormat="1" hidden="1" outlineLevel="1">
      <c r="A130" s="21"/>
      <c r="B130" s="228" t="s">
        <v>353</v>
      </c>
      <c r="C130" s="273" t="str">
        <f t="shared" si="15"/>
        <v>Standard</v>
      </c>
      <c r="D130" s="228"/>
      <c r="E130" s="355"/>
      <c r="F130" s="228" t="s">
        <v>10</v>
      </c>
      <c r="G130" s="5"/>
      <c r="H130" s="55"/>
      <c r="I130" s="55"/>
      <c r="J130" s="55"/>
      <c r="K130" s="55"/>
      <c r="L130" s="55"/>
      <c r="M130" s="55"/>
      <c r="N130" s="55"/>
      <c r="O130" s="55"/>
      <c r="P130" s="55"/>
      <c r="Q130" s="55"/>
      <c r="R130" s="55"/>
      <c r="S130" s="5"/>
      <c r="T130" s="25"/>
      <c r="U130" s="5"/>
    </row>
    <row r="131" spans="1:21" s="3" customFormat="1" hidden="1" outlineLevel="1">
      <c r="A131" s="21"/>
      <c r="B131" s="228" t="s">
        <v>304</v>
      </c>
      <c r="C131" s="273" t="str">
        <f t="shared" si="15"/>
        <v>Standard</v>
      </c>
      <c r="D131" s="228"/>
      <c r="E131" s="355"/>
      <c r="F131" s="67" t="s">
        <v>96</v>
      </c>
      <c r="G131" s="5"/>
      <c r="H131" s="261">
        <v>0.05</v>
      </c>
      <c r="I131" s="352">
        <f t="shared" ref="I131:R133" si="16">H131</f>
        <v>0.05</v>
      </c>
      <c r="J131" s="352">
        <f t="shared" si="16"/>
        <v>0.05</v>
      </c>
      <c r="K131" s="352">
        <f t="shared" si="16"/>
        <v>0.05</v>
      </c>
      <c r="L131" s="352">
        <f t="shared" si="16"/>
        <v>0.05</v>
      </c>
      <c r="M131" s="352">
        <f t="shared" si="16"/>
        <v>0.05</v>
      </c>
      <c r="N131" s="352">
        <f t="shared" si="16"/>
        <v>0.05</v>
      </c>
      <c r="O131" s="352">
        <f t="shared" si="16"/>
        <v>0.05</v>
      </c>
      <c r="P131" s="352">
        <f t="shared" si="16"/>
        <v>0.05</v>
      </c>
      <c r="Q131" s="352">
        <f t="shared" si="16"/>
        <v>0.05</v>
      </c>
      <c r="R131" s="352">
        <f t="shared" si="16"/>
        <v>0.05</v>
      </c>
      <c r="S131" s="5"/>
      <c r="T131" s="25"/>
      <c r="U131" s="5"/>
    </row>
    <row r="132" spans="1:21" s="3" customFormat="1" hidden="1" outlineLevel="1">
      <c r="A132" s="21"/>
      <c r="B132" s="228" t="s">
        <v>350</v>
      </c>
      <c r="C132" s="273" t="str">
        <f t="shared" si="15"/>
        <v>Standard</v>
      </c>
      <c r="D132" s="228"/>
      <c r="E132" s="355"/>
      <c r="F132" s="228" t="s">
        <v>96</v>
      </c>
      <c r="G132" s="5"/>
      <c r="H132" s="261">
        <v>0</v>
      </c>
      <c r="I132" s="352">
        <f t="shared" si="16"/>
        <v>0</v>
      </c>
      <c r="J132" s="352">
        <f t="shared" si="16"/>
        <v>0</v>
      </c>
      <c r="K132" s="352">
        <f t="shared" si="16"/>
        <v>0</v>
      </c>
      <c r="L132" s="352">
        <f t="shared" si="16"/>
        <v>0</v>
      </c>
      <c r="M132" s="352">
        <f t="shared" si="16"/>
        <v>0</v>
      </c>
      <c r="N132" s="352">
        <f t="shared" si="16"/>
        <v>0</v>
      </c>
      <c r="O132" s="352">
        <f t="shared" si="16"/>
        <v>0</v>
      </c>
      <c r="P132" s="352">
        <f t="shared" si="16"/>
        <v>0</v>
      </c>
      <c r="Q132" s="352">
        <f t="shared" si="16"/>
        <v>0</v>
      </c>
      <c r="R132" s="352">
        <f t="shared" si="16"/>
        <v>0</v>
      </c>
      <c r="S132" s="5"/>
      <c r="T132" s="25"/>
      <c r="U132" s="5"/>
    </row>
    <row r="133" spans="1:21" s="3" customFormat="1" hidden="1" outlineLevel="1">
      <c r="A133" s="21"/>
      <c r="B133" s="228" t="s">
        <v>349</v>
      </c>
      <c r="C133" s="273" t="str">
        <f t="shared" si="15"/>
        <v>Standard</v>
      </c>
      <c r="D133" s="228"/>
      <c r="E133" s="355"/>
      <c r="F133" s="228" t="s">
        <v>96</v>
      </c>
      <c r="G133" s="5"/>
      <c r="H133" s="261">
        <v>0.25</v>
      </c>
      <c r="I133" s="352">
        <f t="shared" si="16"/>
        <v>0.25</v>
      </c>
      <c r="J133" s="352">
        <f t="shared" si="16"/>
        <v>0.25</v>
      </c>
      <c r="K133" s="352">
        <f t="shared" si="16"/>
        <v>0.25</v>
      </c>
      <c r="L133" s="352">
        <f t="shared" si="16"/>
        <v>0.25</v>
      </c>
      <c r="M133" s="352">
        <f t="shared" si="16"/>
        <v>0.25</v>
      </c>
      <c r="N133" s="352">
        <f t="shared" si="16"/>
        <v>0.25</v>
      </c>
      <c r="O133" s="352">
        <f t="shared" si="16"/>
        <v>0.25</v>
      </c>
      <c r="P133" s="352">
        <f t="shared" si="16"/>
        <v>0.25</v>
      </c>
      <c r="Q133" s="352">
        <f t="shared" si="16"/>
        <v>0.25</v>
      </c>
      <c r="R133" s="352">
        <f t="shared" si="16"/>
        <v>0.25</v>
      </c>
      <c r="S133" s="5"/>
      <c r="T133" s="25"/>
      <c r="U133" s="5"/>
    </row>
    <row r="134" spans="1:21" s="3" customFormat="1" hidden="1" outlineLevel="1">
      <c r="A134" s="21"/>
      <c r="B134" s="228" t="s">
        <v>74</v>
      </c>
      <c r="C134" s="273" t="str">
        <f t="shared" si="15"/>
        <v>Standard</v>
      </c>
      <c r="D134" s="228"/>
      <c r="E134" s="355"/>
      <c r="F134" s="67" t="s">
        <v>96</v>
      </c>
      <c r="G134" s="5"/>
      <c r="H134" s="261">
        <v>0</v>
      </c>
      <c r="I134" s="261"/>
      <c r="J134" s="261"/>
      <c r="K134" s="261"/>
      <c r="L134" s="261"/>
      <c r="M134" s="261"/>
      <c r="N134" s="261"/>
      <c r="O134" s="261"/>
      <c r="P134" s="261"/>
      <c r="Q134" s="261"/>
      <c r="R134" s="261"/>
      <c r="S134" s="5"/>
      <c r="T134" s="25"/>
      <c r="U134" s="5"/>
    </row>
    <row r="135" spans="1:21" s="3" customFormat="1" hidden="1" outlineLevel="1">
      <c r="A135" s="21"/>
      <c r="B135" s="358" t="s">
        <v>146</v>
      </c>
      <c r="C135" s="273" t="str">
        <f t="shared" si="15"/>
        <v>Standard</v>
      </c>
      <c r="D135" s="359"/>
      <c r="E135" s="360"/>
      <c r="F135" s="358" t="s">
        <v>96</v>
      </c>
      <c r="G135" s="5"/>
      <c r="H135" s="261"/>
      <c r="I135" s="261"/>
      <c r="J135" s="261"/>
      <c r="K135" s="261"/>
      <c r="L135" s="261"/>
      <c r="M135" s="261"/>
      <c r="N135" s="261"/>
      <c r="O135" s="261"/>
      <c r="P135" s="261"/>
      <c r="Q135" s="261"/>
      <c r="R135" s="261"/>
      <c r="S135" s="5"/>
      <c r="T135" s="25"/>
      <c r="U135" s="5"/>
    </row>
    <row r="136" spans="1:21" s="3" customFormat="1" hidden="1" outlineLevel="1">
      <c r="A136" s="21"/>
      <c r="B136" s="358" t="s">
        <v>147</v>
      </c>
      <c r="C136" s="273" t="str">
        <f t="shared" si="15"/>
        <v>Standard</v>
      </c>
      <c r="D136" s="359"/>
      <c r="E136" s="360"/>
      <c r="F136" s="358" t="s">
        <v>96</v>
      </c>
      <c r="G136" s="5"/>
      <c r="H136" s="261"/>
      <c r="I136" s="261"/>
      <c r="J136" s="261"/>
      <c r="K136" s="261"/>
      <c r="L136" s="261"/>
      <c r="M136" s="261"/>
      <c r="N136" s="261"/>
      <c r="O136" s="261"/>
      <c r="P136" s="261"/>
      <c r="Q136" s="261"/>
      <c r="R136" s="261"/>
      <c r="S136" s="5"/>
      <c r="T136" s="25"/>
      <c r="U136" s="5"/>
    </row>
    <row r="137" spans="1:21" s="3" customFormat="1" hidden="1" outlineLevel="1">
      <c r="A137" s="21"/>
      <c r="B137" s="358" t="s">
        <v>362</v>
      </c>
      <c r="C137" s="273" t="str">
        <f t="shared" si="15"/>
        <v>Standard</v>
      </c>
      <c r="D137" s="359"/>
      <c r="E137" s="360"/>
      <c r="F137" s="358" t="s">
        <v>96</v>
      </c>
      <c r="G137" s="5"/>
      <c r="H137" s="261"/>
      <c r="I137" s="261"/>
      <c r="J137" s="261"/>
      <c r="K137" s="261"/>
      <c r="L137" s="261"/>
      <c r="M137" s="261"/>
      <c r="N137" s="261"/>
      <c r="O137" s="261"/>
      <c r="P137" s="261"/>
      <c r="Q137" s="261"/>
      <c r="R137" s="261"/>
      <c r="S137" s="5"/>
      <c r="T137" s="25"/>
      <c r="U137" s="5"/>
    </row>
    <row r="138" spans="1:21" s="3" customFormat="1" hidden="1" outlineLevel="1">
      <c r="A138" s="21"/>
      <c r="B138" s="358" t="s">
        <v>363</v>
      </c>
      <c r="C138" s="273" t="str">
        <f t="shared" si="15"/>
        <v>Standard</v>
      </c>
      <c r="D138" s="359"/>
      <c r="E138" s="360"/>
      <c r="F138" s="358" t="s">
        <v>96</v>
      </c>
      <c r="G138" s="5"/>
      <c r="H138" s="261"/>
      <c r="I138" s="261"/>
      <c r="J138" s="261"/>
      <c r="K138" s="261"/>
      <c r="L138" s="261"/>
      <c r="M138" s="261"/>
      <c r="N138" s="261"/>
      <c r="O138" s="261"/>
      <c r="P138" s="261"/>
      <c r="Q138" s="261"/>
      <c r="R138" s="261"/>
      <c r="S138" s="5"/>
      <c r="T138" s="25"/>
      <c r="U138" s="5"/>
    </row>
    <row r="139" spans="1:21" s="3" customFormat="1" hidden="1" outlineLevel="1">
      <c r="A139" s="21"/>
      <c r="B139" s="228" t="s">
        <v>332</v>
      </c>
      <c r="C139" s="273" t="str">
        <f t="shared" si="15"/>
        <v>Standard</v>
      </c>
      <c r="D139" s="228"/>
      <c r="E139" s="355"/>
      <c r="F139" s="67" t="s">
        <v>35</v>
      </c>
      <c r="G139" s="5"/>
      <c r="H139" s="29">
        <v>170</v>
      </c>
      <c r="I139" s="362">
        <f t="shared" ref="I139:R140" si="17">H139</f>
        <v>170</v>
      </c>
      <c r="J139" s="362">
        <f t="shared" si="17"/>
        <v>170</v>
      </c>
      <c r="K139" s="362">
        <f t="shared" si="17"/>
        <v>170</v>
      </c>
      <c r="L139" s="362">
        <f t="shared" si="17"/>
        <v>170</v>
      </c>
      <c r="M139" s="362">
        <f t="shared" si="17"/>
        <v>170</v>
      </c>
      <c r="N139" s="362">
        <f t="shared" si="17"/>
        <v>170</v>
      </c>
      <c r="O139" s="362">
        <f t="shared" si="17"/>
        <v>170</v>
      </c>
      <c r="P139" s="362">
        <f t="shared" si="17"/>
        <v>170</v>
      </c>
      <c r="Q139" s="362">
        <f t="shared" si="17"/>
        <v>170</v>
      </c>
      <c r="R139" s="362">
        <f t="shared" si="17"/>
        <v>170</v>
      </c>
      <c r="S139" s="5"/>
      <c r="T139" s="25"/>
      <c r="U139" s="5"/>
    </row>
    <row r="140" spans="1:21" s="3" customFormat="1" hidden="1" outlineLevel="1">
      <c r="A140" s="21"/>
      <c r="B140" s="228" t="s">
        <v>470</v>
      </c>
      <c r="C140" s="273" t="str">
        <f t="shared" si="15"/>
        <v>Standard</v>
      </c>
      <c r="D140" s="228"/>
      <c r="E140" s="355"/>
      <c r="F140" s="67" t="s">
        <v>316</v>
      </c>
      <c r="G140" s="5"/>
      <c r="H140" s="54">
        <v>600000</v>
      </c>
      <c r="I140" s="270">
        <f t="shared" si="17"/>
        <v>600000</v>
      </c>
      <c r="J140" s="270">
        <f t="shared" si="17"/>
        <v>600000</v>
      </c>
      <c r="K140" s="270">
        <f t="shared" si="17"/>
        <v>600000</v>
      </c>
      <c r="L140" s="270">
        <f t="shared" si="17"/>
        <v>600000</v>
      </c>
      <c r="M140" s="270">
        <f t="shared" si="17"/>
        <v>600000</v>
      </c>
      <c r="N140" s="270">
        <f t="shared" si="17"/>
        <v>600000</v>
      </c>
      <c r="O140" s="270">
        <f t="shared" si="17"/>
        <v>600000</v>
      </c>
      <c r="P140" s="270">
        <f t="shared" si="17"/>
        <v>600000</v>
      </c>
      <c r="Q140" s="270">
        <f t="shared" si="17"/>
        <v>600000</v>
      </c>
      <c r="R140" s="270">
        <f t="shared" si="17"/>
        <v>600000</v>
      </c>
      <c r="S140" s="5"/>
      <c r="T140" s="25"/>
      <c r="U140" s="5"/>
    </row>
    <row r="141" spans="1:21" s="3" customFormat="1" hidden="1" outlineLevel="1">
      <c r="A141" s="21"/>
      <c r="B141" s="228" t="s">
        <v>375</v>
      </c>
      <c r="C141" s="273" t="str">
        <f t="shared" si="15"/>
        <v>Standard</v>
      </c>
      <c r="D141" s="228"/>
      <c r="E141" s="355"/>
      <c r="F141" s="228" t="s">
        <v>96</v>
      </c>
      <c r="G141" s="5"/>
      <c r="H141" s="261"/>
      <c r="I141" s="261"/>
      <c r="J141" s="261"/>
      <c r="K141" s="261"/>
      <c r="L141" s="261"/>
      <c r="M141" s="261"/>
      <c r="N141" s="261"/>
      <c r="O141" s="261"/>
      <c r="P141" s="261"/>
      <c r="Q141" s="261"/>
      <c r="R141" s="261"/>
      <c r="S141" s="5"/>
      <c r="T141" s="25"/>
      <c r="U141" s="5"/>
    </row>
    <row r="142" spans="1:21" s="3" customFormat="1" hidden="1" outlineLevel="1">
      <c r="A142" s="21"/>
      <c r="B142" s="228" t="s">
        <v>432</v>
      </c>
      <c r="C142" s="273" t="str">
        <f t="shared" si="15"/>
        <v>Standard</v>
      </c>
      <c r="D142" s="228"/>
      <c r="E142" s="355"/>
      <c r="F142" s="67" t="s">
        <v>35</v>
      </c>
      <c r="G142" s="5"/>
      <c r="H142" s="55"/>
      <c r="I142" s="55"/>
      <c r="J142" s="55"/>
      <c r="K142" s="55"/>
      <c r="L142" s="55"/>
      <c r="M142" s="55"/>
      <c r="N142" s="55"/>
      <c r="O142" s="55"/>
      <c r="P142" s="55"/>
      <c r="Q142" s="55"/>
      <c r="R142" s="55"/>
      <c r="S142" s="5"/>
      <c r="T142" s="25"/>
      <c r="U142" s="5"/>
    </row>
    <row r="143" spans="1:21" s="3" customFormat="1" hidden="1" outlineLevel="1">
      <c r="A143" s="21"/>
      <c r="B143" s="228" t="s">
        <v>379</v>
      </c>
      <c r="C143" s="273" t="str">
        <f t="shared" si="15"/>
        <v>Standard</v>
      </c>
      <c r="D143" s="228"/>
      <c r="E143" s="355"/>
      <c r="F143" s="228"/>
      <c r="G143" s="5"/>
      <c r="H143" s="54"/>
      <c r="I143" s="54"/>
      <c r="J143" s="54"/>
      <c r="K143" s="54"/>
      <c r="L143" s="54"/>
      <c r="M143" s="54"/>
      <c r="N143" s="54"/>
      <c r="O143" s="54"/>
      <c r="P143" s="54"/>
      <c r="Q143" s="54"/>
      <c r="R143" s="54"/>
      <c r="S143" s="5"/>
      <c r="T143" s="25"/>
      <c r="U143" s="5"/>
    </row>
    <row r="144" spans="1:21" s="3" customFormat="1" hidden="1" outlineLevel="1">
      <c r="A144" s="21"/>
      <c r="B144" s="228" t="s">
        <v>361</v>
      </c>
      <c r="C144" s="273" t="str">
        <f t="shared" si="15"/>
        <v>Standard</v>
      </c>
      <c r="D144" s="228"/>
      <c r="E144" s="355"/>
      <c r="F144" s="228" t="s">
        <v>96</v>
      </c>
      <c r="G144" s="5"/>
      <c r="H144" s="261"/>
      <c r="I144" s="261"/>
      <c r="J144" s="261"/>
      <c r="K144" s="261"/>
      <c r="L144" s="261"/>
      <c r="M144" s="261"/>
      <c r="N144" s="261"/>
      <c r="O144" s="261"/>
      <c r="P144" s="261"/>
      <c r="Q144" s="261"/>
      <c r="R144" s="261"/>
      <c r="S144" s="5"/>
      <c r="T144" s="25"/>
      <c r="U144" s="5"/>
    </row>
    <row r="145" spans="1:21" s="3" customFormat="1" hidden="1" outlineLevel="1">
      <c r="A145" s="21"/>
      <c r="B145" s="228" t="s">
        <v>384</v>
      </c>
      <c r="C145" s="273" t="str">
        <f t="shared" si="15"/>
        <v>Standard</v>
      </c>
      <c r="D145" s="228"/>
      <c r="E145" s="355"/>
      <c r="F145" s="228" t="s">
        <v>316</v>
      </c>
      <c r="G145" s="5"/>
      <c r="H145" s="54"/>
      <c r="I145" s="54"/>
      <c r="J145" s="54"/>
      <c r="K145" s="54"/>
      <c r="L145" s="54"/>
      <c r="M145" s="54"/>
      <c r="N145" s="54"/>
      <c r="O145" s="54"/>
      <c r="P145" s="54"/>
      <c r="Q145" s="54"/>
      <c r="R145" s="54"/>
      <c r="S145" s="5"/>
      <c r="T145" s="25"/>
      <c r="U145" s="5"/>
    </row>
    <row r="146" spans="1:21" s="3" customFormat="1" hidden="1" outlineLevel="1">
      <c r="A146" s="21"/>
      <c r="B146" s="228" t="s">
        <v>386</v>
      </c>
      <c r="C146" s="273" t="str">
        <f t="shared" si="15"/>
        <v>Standard</v>
      </c>
      <c r="D146" s="228"/>
      <c r="E146" s="355"/>
      <c r="F146" s="228" t="s">
        <v>316</v>
      </c>
      <c r="G146" s="5"/>
      <c r="H146" s="55"/>
      <c r="I146" s="55"/>
      <c r="J146" s="55"/>
      <c r="K146" s="55"/>
      <c r="L146" s="55"/>
      <c r="M146" s="55"/>
      <c r="N146" s="55"/>
      <c r="O146" s="55"/>
      <c r="P146" s="55"/>
      <c r="Q146" s="55"/>
      <c r="R146" s="55"/>
      <c r="S146" s="5"/>
      <c r="T146" s="25"/>
      <c r="U146" s="5"/>
    </row>
    <row r="147" spans="1:21" s="3" customFormat="1" hidden="1" outlineLevel="1">
      <c r="A147" s="21"/>
      <c r="B147" s="228" t="s">
        <v>387</v>
      </c>
      <c r="C147" s="273" t="str">
        <f t="shared" si="15"/>
        <v>Standard</v>
      </c>
      <c r="D147" s="228"/>
      <c r="E147" s="355"/>
      <c r="F147" s="228"/>
      <c r="G147" s="5"/>
      <c r="H147" s="261"/>
      <c r="I147" s="261"/>
      <c r="J147" s="261"/>
      <c r="K147" s="261"/>
      <c r="L147" s="261"/>
      <c r="M147" s="261"/>
      <c r="N147" s="261"/>
      <c r="O147" s="261"/>
      <c r="P147" s="261"/>
      <c r="Q147" s="261"/>
      <c r="R147" s="261"/>
      <c r="S147" s="5"/>
      <c r="T147" s="25"/>
      <c r="U147" s="5"/>
    </row>
    <row r="148" spans="1:21" s="3" customFormat="1" hidden="1" outlineLevel="1">
      <c r="A148" s="21"/>
      <c r="B148" s="228" t="s">
        <v>388</v>
      </c>
      <c r="C148" s="273" t="str">
        <f t="shared" si="15"/>
        <v>Standard</v>
      </c>
      <c r="D148" s="228"/>
      <c r="E148" s="355"/>
      <c r="F148" s="228"/>
      <c r="G148" s="5"/>
      <c r="H148" s="55"/>
      <c r="I148" s="55"/>
      <c r="J148" s="55"/>
      <c r="K148" s="55"/>
      <c r="L148" s="55"/>
      <c r="M148" s="55"/>
      <c r="N148" s="55"/>
      <c r="O148" s="55"/>
      <c r="P148" s="55"/>
      <c r="Q148" s="55"/>
      <c r="R148" s="55"/>
      <c r="S148" s="5"/>
      <c r="T148" s="25"/>
      <c r="U148" s="5"/>
    </row>
    <row r="149" spans="1:21" s="3" customFormat="1" hidden="1" outlineLevel="1">
      <c r="A149" s="21"/>
      <c r="B149" s="228" t="s">
        <v>385</v>
      </c>
      <c r="C149" s="273" t="str">
        <f t="shared" si="15"/>
        <v>Standard</v>
      </c>
      <c r="D149" s="228"/>
      <c r="E149" s="355"/>
      <c r="F149" s="67" t="s">
        <v>319</v>
      </c>
      <c r="G149" s="5"/>
      <c r="H149" s="54"/>
      <c r="I149" s="54"/>
      <c r="J149" s="54"/>
      <c r="K149" s="54"/>
      <c r="L149" s="54"/>
      <c r="M149" s="54"/>
      <c r="N149" s="54"/>
      <c r="O149" s="54"/>
      <c r="P149" s="54"/>
      <c r="Q149" s="54"/>
      <c r="R149" s="54"/>
      <c r="S149" s="5"/>
      <c r="T149" s="25"/>
      <c r="U149" s="5"/>
    </row>
    <row r="150" spans="1:21" s="3" customFormat="1" hidden="1" outlineLevel="1">
      <c r="A150" s="21"/>
      <c r="B150" s="228" t="s">
        <v>389</v>
      </c>
      <c r="C150" s="273" t="str">
        <f t="shared" si="15"/>
        <v>Standard</v>
      </c>
      <c r="D150" s="228"/>
      <c r="E150" s="355"/>
      <c r="F150" s="67" t="s">
        <v>319</v>
      </c>
      <c r="G150" s="5"/>
      <c r="H150" s="55"/>
      <c r="I150" s="55"/>
      <c r="J150" s="55"/>
      <c r="K150" s="55"/>
      <c r="L150" s="55"/>
      <c r="M150" s="55"/>
      <c r="N150" s="55"/>
      <c r="O150" s="55"/>
      <c r="P150" s="55"/>
      <c r="Q150" s="55"/>
      <c r="R150" s="55"/>
      <c r="S150" s="5"/>
      <c r="T150" s="25"/>
      <c r="U150" s="5"/>
    </row>
    <row r="151" spans="1:21" s="3" customFormat="1" hidden="1" outlineLevel="1">
      <c r="A151" s="21"/>
      <c r="B151" s="228" t="s">
        <v>390</v>
      </c>
      <c r="C151" s="273" t="str">
        <f t="shared" si="15"/>
        <v>Standard</v>
      </c>
      <c r="D151" s="228"/>
      <c r="E151" s="355"/>
      <c r="F151" s="228"/>
      <c r="G151" s="5"/>
      <c r="H151" s="261"/>
      <c r="I151" s="261"/>
      <c r="J151" s="261"/>
      <c r="K151" s="261"/>
      <c r="L151" s="261"/>
      <c r="M151" s="261"/>
      <c r="N151" s="261"/>
      <c r="O151" s="261"/>
      <c r="P151" s="261"/>
      <c r="Q151" s="261"/>
      <c r="R151" s="261"/>
      <c r="S151" s="5"/>
      <c r="T151" s="25"/>
      <c r="U151" s="5"/>
    </row>
    <row r="152" spans="1:21" s="3" customFormat="1" hidden="1" outlineLevel="1">
      <c r="A152" s="21"/>
      <c r="B152" s="228" t="s">
        <v>391</v>
      </c>
      <c r="C152" s="273" t="str">
        <f t="shared" si="15"/>
        <v>Standard</v>
      </c>
      <c r="D152" s="228"/>
      <c r="E152" s="355"/>
      <c r="F152" s="228"/>
      <c r="G152" s="5"/>
      <c r="H152" s="55"/>
      <c r="I152" s="55"/>
      <c r="J152" s="55"/>
      <c r="K152" s="55"/>
      <c r="L152" s="55"/>
      <c r="M152" s="55"/>
      <c r="N152" s="55"/>
      <c r="O152" s="55"/>
      <c r="P152" s="55"/>
      <c r="Q152" s="55"/>
      <c r="R152" s="55"/>
      <c r="S152" s="5"/>
      <c r="T152" s="25"/>
      <c r="U152" s="5"/>
    </row>
    <row r="153" spans="1:21" s="3" customFormat="1" hidden="1" outlineLevel="1">
      <c r="A153" s="21"/>
      <c r="B153" s="228" t="s">
        <v>305</v>
      </c>
      <c r="C153" s="273" t="str">
        <f t="shared" si="15"/>
        <v>Standard</v>
      </c>
      <c r="D153" s="228"/>
      <c r="E153" s="355"/>
      <c r="F153" s="67" t="s">
        <v>319</v>
      </c>
      <c r="G153" s="5"/>
      <c r="H153" s="54"/>
      <c r="I153" s="54"/>
      <c r="J153" s="54"/>
      <c r="K153" s="54"/>
      <c r="L153" s="54"/>
      <c r="M153" s="54"/>
      <c r="N153" s="54"/>
      <c r="O153" s="54"/>
      <c r="P153" s="54"/>
      <c r="Q153" s="54"/>
      <c r="R153" s="54"/>
      <c r="S153" s="5"/>
      <c r="T153" s="25"/>
      <c r="U153" s="5"/>
    </row>
    <row r="154" spans="1:21" s="3" customFormat="1" hidden="1" outlineLevel="1">
      <c r="A154" s="21"/>
      <c r="B154" s="228" t="s">
        <v>352</v>
      </c>
      <c r="C154" s="273" t="str">
        <f t="shared" si="15"/>
        <v>Standard</v>
      </c>
      <c r="D154" s="228"/>
      <c r="E154" s="355"/>
      <c r="F154" s="228" t="s">
        <v>316</v>
      </c>
      <c r="G154" s="5"/>
      <c r="H154" s="54"/>
      <c r="I154" s="54"/>
      <c r="J154" s="54"/>
      <c r="K154" s="54"/>
      <c r="L154" s="54"/>
      <c r="M154" s="54"/>
      <c r="N154" s="54"/>
      <c r="O154" s="54"/>
      <c r="P154" s="54"/>
      <c r="Q154" s="54"/>
      <c r="R154" s="54"/>
      <c r="S154" s="5"/>
      <c r="T154" s="25"/>
      <c r="U154" s="5"/>
    </row>
    <row r="155" spans="1:21" s="3" customFormat="1" hidden="1" outlineLevel="1">
      <c r="A155" s="21"/>
      <c r="B155" s="67" t="s">
        <v>301</v>
      </c>
      <c r="C155" s="273" t="str">
        <f t="shared" si="15"/>
        <v>Standard</v>
      </c>
      <c r="D155" s="273" t="s">
        <v>449</v>
      </c>
      <c r="E155" s="347"/>
      <c r="F155" s="67" t="s">
        <v>44</v>
      </c>
      <c r="G155" s="5"/>
      <c r="H155" s="350">
        <v>0.51500000000000001</v>
      </c>
      <c r="I155" s="361">
        <f t="shared" ref="I155:R155" si="18">H155</f>
        <v>0.51500000000000001</v>
      </c>
      <c r="J155" s="361">
        <f t="shared" si="18"/>
        <v>0.51500000000000001</v>
      </c>
      <c r="K155" s="361">
        <f t="shared" si="18"/>
        <v>0.51500000000000001</v>
      </c>
      <c r="L155" s="361">
        <f t="shared" si="18"/>
        <v>0.51500000000000001</v>
      </c>
      <c r="M155" s="361">
        <f t="shared" si="18"/>
        <v>0.51500000000000001</v>
      </c>
      <c r="N155" s="361">
        <f t="shared" si="18"/>
        <v>0.51500000000000001</v>
      </c>
      <c r="O155" s="361">
        <f t="shared" si="18"/>
        <v>0.51500000000000001</v>
      </c>
      <c r="P155" s="361">
        <f t="shared" si="18"/>
        <v>0.51500000000000001</v>
      </c>
      <c r="Q155" s="361">
        <f t="shared" si="18"/>
        <v>0.51500000000000001</v>
      </c>
      <c r="R155" s="361">
        <f t="shared" si="18"/>
        <v>0.51500000000000001</v>
      </c>
      <c r="S155" s="5"/>
      <c r="T155" s="25"/>
      <c r="U155" s="5"/>
    </row>
    <row r="156" spans="1:21" s="3" customFormat="1" hidden="1" outlineLevel="1">
      <c r="A156" s="21"/>
      <c r="B156" s="67" t="s">
        <v>50</v>
      </c>
      <c r="C156" s="273" t="s">
        <v>29</v>
      </c>
      <c r="D156" s="4"/>
      <c r="E156" s="347"/>
      <c r="G156" s="5"/>
      <c r="H156" s="4"/>
      <c r="I156" s="4"/>
      <c r="J156" s="4"/>
      <c r="K156" s="4"/>
      <c r="L156" s="4"/>
      <c r="M156" s="4"/>
      <c r="N156" s="4"/>
      <c r="O156" s="4"/>
      <c r="P156" s="4"/>
      <c r="Q156" s="4"/>
      <c r="R156" s="4"/>
      <c r="S156" s="5"/>
      <c r="T156" s="25"/>
      <c r="U156" s="5"/>
    </row>
    <row r="157" spans="1:21" s="3" customFormat="1" hidden="1" outlineLevel="1">
      <c r="A157" s="21"/>
      <c r="B157" s="228" t="s">
        <v>37</v>
      </c>
      <c r="C157" s="273" t="str">
        <f>C156</f>
        <v>R2000</v>
      </c>
      <c r="D157" s="228"/>
      <c r="E157" s="355"/>
      <c r="F157" s="67" t="s">
        <v>39</v>
      </c>
      <c r="G157" s="5"/>
      <c r="H157" s="265">
        <v>2000</v>
      </c>
      <c r="I157" s="356">
        <f t="shared" ref="I157:R159" si="19">H157</f>
        <v>2000</v>
      </c>
      <c r="J157" s="356">
        <f t="shared" si="19"/>
        <v>2000</v>
      </c>
      <c r="K157" s="356">
        <f t="shared" si="19"/>
        <v>2000</v>
      </c>
      <c r="L157" s="356">
        <f t="shared" si="19"/>
        <v>2000</v>
      </c>
      <c r="M157" s="356">
        <f t="shared" si="19"/>
        <v>2000</v>
      </c>
      <c r="N157" s="356">
        <f t="shared" si="19"/>
        <v>2000</v>
      </c>
      <c r="O157" s="356">
        <f t="shared" si="19"/>
        <v>2000</v>
      </c>
      <c r="P157" s="356">
        <f t="shared" si="19"/>
        <v>2000</v>
      </c>
      <c r="Q157" s="356">
        <f t="shared" si="19"/>
        <v>2000</v>
      </c>
      <c r="R157" s="356">
        <f t="shared" si="19"/>
        <v>2000</v>
      </c>
      <c r="S157" s="5"/>
      <c r="T157" s="25"/>
      <c r="U157" s="5"/>
    </row>
    <row r="158" spans="1:21" s="3" customFormat="1" hidden="1" outlineLevel="1">
      <c r="A158" s="21"/>
      <c r="B158" s="228" t="s">
        <v>36</v>
      </c>
      <c r="C158" s="273" t="str">
        <f t="shared" ref="C158:C185" si="20">C157</f>
        <v>R2000</v>
      </c>
      <c r="D158" s="228"/>
      <c r="E158" s="355"/>
      <c r="F158" s="67" t="s">
        <v>39</v>
      </c>
      <c r="G158" s="5"/>
      <c r="H158" s="265">
        <v>2100</v>
      </c>
      <c r="I158" s="356">
        <f t="shared" si="19"/>
        <v>2100</v>
      </c>
      <c r="J158" s="356">
        <f t="shared" si="19"/>
        <v>2100</v>
      </c>
      <c r="K158" s="356">
        <f t="shared" si="19"/>
        <v>2100</v>
      </c>
      <c r="L158" s="356">
        <f t="shared" si="19"/>
        <v>2100</v>
      </c>
      <c r="M158" s="356">
        <f t="shared" si="19"/>
        <v>2100</v>
      </c>
      <c r="N158" s="356">
        <f t="shared" si="19"/>
        <v>2100</v>
      </c>
      <c r="O158" s="356">
        <f t="shared" si="19"/>
        <v>2100</v>
      </c>
      <c r="P158" s="356">
        <f t="shared" si="19"/>
        <v>2100</v>
      </c>
      <c r="Q158" s="356">
        <f t="shared" si="19"/>
        <v>2100</v>
      </c>
      <c r="R158" s="356">
        <f t="shared" si="19"/>
        <v>2100</v>
      </c>
      <c r="S158" s="5"/>
      <c r="T158" s="25"/>
      <c r="U158" s="5"/>
    </row>
    <row r="159" spans="1:21" s="3" customFormat="1" hidden="1" outlineLevel="1">
      <c r="A159" s="21"/>
      <c r="B159" s="228" t="s">
        <v>38</v>
      </c>
      <c r="C159" s="273" t="str">
        <f t="shared" si="20"/>
        <v>R2000</v>
      </c>
      <c r="D159" s="228"/>
      <c r="E159" s="355"/>
      <c r="F159" s="67" t="s">
        <v>10</v>
      </c>
      <c r="G159" s="5"/>
      <c r="H159" s="55">
        <v>25</v>
      </c>
      <c r="I159" s="357">
        <f t="shared" si="19"/>
        <v>25</v>
      </c>
      <c r="J159" s="357">
        <f t="shared" si="19"/>
        <v>25</v>
      </c>
      <c r="K159" s="357">
        <f t="shared" si="19"/>
        <v>25</v>
      </c>
      <c r="L159" s="357">
        <f t="shared" si="19"/>
        <v>25</v>
      </c>
      <c r="M159" s="357">
        <f t="shared" si="19"/>
        <v>25</v>
      </c>
      <c r="N159" s="357">
        <f t="shared" si="19"/>
        <v>25</v>
      </c>
      <c r="O159" s="357">
        <f t="shared" si="19"/>
        <v>25</v>
      </c>
      <c r="P159" s="357">
        <f t="shared" si="19"/>
        <v>25</v>
      </c>
      <c r="Q159" s="357">
        <f t="shared" si="19"/>
        <v>25</v>
      </c>
      <c r="R159" s="357">
        <f t="shared" si="19"/>
        <v>25</v>
      </c>
      <c r="S159" s="5"/>
      <c r="T159" s="25"/>
      <c r="U159" s="5"/>
    </row>
    <row r="160" spans="1:21" s="3" customFormat="1" hidden="1" outlineLevel="1">
      <c r="A160" s="21"/>
      <c r="B160" s="228" t="s">
        <v>353</v>
      </c>
      <c r="C160" s="273" t="str">
        <f t="shared" si="20"/>
        <v>R2000</v>
      </c>
      <c r="D160" s="228"/>
      <c r="E160" s="355"/>
      <c r="F160" s="228" t="s">
        <v>10</v>
      </c>
      <c r="G160" s="5"/>
      <c r="H160" s="55"/>
      <c r="I160" s="55"/>
      <c r="J160" s="55"/>
      <c r="K160" s="55"/>
      <c r="L160" s="55"/>
      <c r="M160" s="55"/>
      <c r="N160" s="55"/>
      <c r="O160" s="55"/>
      <c r="P160" s="55"/>
      <c r="Q160" s="55"/>
      <c r="R160" s="55"/>
      <c r="S160" s="5"/>
      <c r="T160" s="25"/>
      <c r="U160" s="5"/>
    </row>
    <row r="161" spans="1:21" s="3" customFormat="1" hidden="1" outlineLevel="1">
      <c r="A161" s="21"/>
      <c r="B161" s="228" t="s">
        <v>304</v>
      </c>
      <c r="C161" s="273" t="str">
        <f t="shared" si="20"/>
        <v>R2000</v>
      </c>
      <c r="D161" s="228"/>
      <c r="E161" s="355"/>
      <c r="F161" s="67" t="s">
        <v>96</v>
      </c>
      <c r="G161" s="5"/>
      <c r="H161" s="261">
        <v>0.05</v>
      </c>
      <c r="I161" s="352">
        <f t="shared" ref="I161:R163" si="21">H161</f>
        <v>0.05</v>
      </c>
      <c r="J161" s="352">
        <f t="shared" si="21"/>
        <v>0.05</v>
      </c>
      <c r="K161" s="352">
        <f t="shared" si="21"/>
        <v>0.05</v>
      </c>
      <c r="L161" s="352">
        <f t="shared" si="21"/>
        <v>0.05</v>
      </c>
      <c r="M161" s="352">
        <f t="shared" si="21"/>
        <v>0.05</v>
      </c>
      <c r="N161" s="352">
        <f t="shared" si="21"/>
        <v>0.05</v>
      </c>
      <c r="O161" s="352">
        <f t="shared" si="21"/>
        <v>0.05</v>
      </c>
      <c r="P161" s="352">
        <f t="shared" si="21"/>
        <v>0.05</v>
      </c>
      <c r="Q161" s="352">
        <f t="shared" si="21"/>
        <v>0.05</v>
      </c>
      <c r="R161" s="352">
        <f t="shared" si="21"/>
        <v>0.05</v>
      </c>
      <c r="S161" s="5"/>
      <c r="T161" s="25"/>
      <c r="U161" s="5"/>
    </row>
    <row r="162" spans="1:21" s="3" customFormat="1" hidden="1" outlineLevel="1">
      <c r="A162" s="21"/>
      <c r="B162" s="228" t="s">
        <v>350</v>
      </c>
      <c r="C162" s="273" t="str">
        <f t="shared" si="20"/>
        <v>R2000</v>
      </c>
      <c r="D162" s="228"/>
      <c r="E162" s="355"/>
      <c r="F162" s="228" t="s">
        <v>96</v>
      </c>
      <c r="G162" s="5"/>
      <c r="H162" s="261">
        <v>0</v>
      </c>
      <c r="I162" s="352">
        <f t="shared" si="21"/>
        <v>0</v>
      </c>
      <c r="J162" s="352">
        <f t="shared" si="21"/>
        <v>0</v>
      </c>
      <c r="K162" s="352">
        <f t="shared" si="21"/>
        <v>0</v>
      </c>
      <c r="L162" s="352">
        <f t="shared" si="21"/>
        <v>0</v>
      </c>
      <c r="M162" s="352">
        <f t="shared" si="21"/>
        <v>0</v>
      </c>
      <c r="N162" s="352">
        <f t="shared" si="21"/>
        <v>0</v>
      </c>
      <c r="O162" s="352">
        <f t="shared" si="21"/>
        <v>0</v>
      </c>
      <c r="P162" s="352">
        <f t="shared" si="21"/>
        <v>0</v>
      </c>
      <c r="Q162" s="352">
        <f t="shared" si="21"/>
        <v>0</v>
      </c>
      <c r="R162" s="352">
        <f t="shared" si="21"/>
        <v>0</v>
      </c>
      <c r="S162" s="5"/>
      <c r="T162" s="25"/>
      <c r="U162" s="5"/>
    </row>
    <row r="163" spans="1:21" s="3" customFormat="1" hidden="1" outlineLevel="1">
      <c r="A163" s="21"/>
      <c r="B163" s="228" t="s">
        <v>349</v>
      </c>
      <c r="C163" s="273" t="str">
        <f t="shared" si="20"/>
        <v>R2000</v>
      </c>
      <c r="D163" s="228"/>
      <c r="E163" s="355"/>
      <c r="F163" s="228" t="s">
        <v>96</v>
      </c>
      <c r="G163" s="5"/>
      <c r="H163" s="261">
        <v>0.25</v>
      </c>
      <c r="I163" s="352">
        <f t="shared" si="21"/>
        <v>0.25</v>
      </c>
      <c r="J163" s="352">
        <f t="shared" si="21"/>
        <v>0.25</v>
      </c>
      <c r="K163" s="352">
        <f t="shared" si="21"/>
        <v>0.25</v>
      </c>
      <c r="L163" s="352">
        <f t="shared" si="21"/>
        <v>0.25</v>
      </c>
      <c r="M163" s="352">
        <f t="shared" si="21"/>
        <v>0.25</v>
      </c>
      <c r="N163" s="352">
        <f t="shared" si="21"/>
        <v>0.25</v>
      </c>
      <c r="O163" s="352">
        <f t="shared" si="21"/>
        <v>0.25</v>
      </c>
      <c r="P163" s="352">
        <f t="shared" si="21"/>
        <v>0.25</v>
      </c>
      <c r="Q163" s="352">
        <f t="shared" si="21"/>
        <v>0.25</v>
      </c>
      <c r="R163" s="352">
        <f t="shared" si="21"/>
        <v>0.25</v>
      </c>
      <c r="S163" s="5"/>
      <c r="T163" s="25"/>
      <c r="U163" s="5"/>
    </row>
    <row r="164" spans="1:21" s="3" customFormat="1" hidden="1" outlineLevel="1">
      <c r="A164" s="21"/>
      <c r="B164" s="228" t="s">
        <v>74</v>
      </c>
      <c r="C164" s="273" t="str">
        <f t="shared" si="20"/>
        <v>R2000</v>
      </c>
      <c r="D164" s="228"/>
      <c r="E164" s="355"/>
      <c r="F164" s="67" t="s">
        <v>96</v>
      </c>
      <c r="G164" s="5"/>
      <c r="H164" s="261">
        <v>0</v>
      </c>
      <c r="I164" s="261"/>
      <c r="J164" s="261"/>
      <c r="K164" s="261"/>
      <c r="L164" s="261"/>
      <c r="M164" s="261"/>
      <c r="N164" s="261"/>
      <c r="O164" s="261"/>
      <c r="P164" s="261"/>
      <c r="Q164" s="261"/>
      <c r="R164" s="261"/>
      <c r="S164" s="5"/>
      <c r="T164" s="25"/>
      <c r="U164" s="5"/>
    </row>
    <row r="165" spans="1:21" s="3" customFormat="1" hidden="1" outlineLevel="1">
      <c r="A165" s="21"/>
      <c r="B165" s="358" t="s">
        <v>146</v>
      </c>
      <c r="C165" s="273" t="str">
        <f t="shared" si="20"/>
        <v>R2000</v>
      </c>
      <c r="D165" s="359"/>
      <c r="E165" s="360"/>
      <c r="F165" s="358" t="s">
        <v>96</v>
      </c>
      <c r="G165" s="5"/>
      <c r="H165" s="261"/>
      <c r="I165" s="261"/>
      <c r="J165" s="261"/>
      <c r="K165" s="261"/>
      <c r="L165" s="261"/>
      <c r="M165" s="261"/>
      <c r="N165" s="261"/>
      <c r="O165" s="261"/>
      <c r="P165" s="261"/>
      <c r="Q165" s="261"/>
      <c r="R165" s="261"/>
      <c r="S165" s="5"/>
      <c r="T165" s="25"/>
      <c r="U165" s="5"/>
    </row>
    <row r="166" spans="1:21" s="3" customFormat="1" hidden="1" outlineLevel="1">
      <c r="A166" s="21"/>
      <c r="B166" s="358" t="s">
        <v>147</v>
      </c>
      <c r="C166" s="273" t="str">
        <f t="shared" si="20"/>
        <v>R2000</v>
      </c>
      <c r="D166" s="359"/>
      <c r="E166" s="360"/>
      <c r="F166" s="358" t="s">
        <v>96</v>
      </c>
      <c r="G166" s="5"/>
      <c r="H166" s="261"/>
      <c r="I166" s="261"/>
      <c r="J166" s="261"/>
      <c r="K166" s="261"/>
      <c r="L166" s="261"/>
      <c r="M166" s="261"/>
      <c r="N166" s="261"/>
      <c r="O166" s="261"/>
      <c r="P166" s="261"/>
      <c r="Q166" s="261"/>
      <c r="R166" s="261"/>
      <c r="S166" s="5"/>
      <c r="T166" s="25"/>
      <c r="U166" s="5"/>
    </row>
    <row r="167" spans="1:21" s="3" customFormat="1" hidden="1" outlineLevel="1">
      <c r="A167" s="21"/>
      <c r="B167" s="358" t="s">
        <v>362</v>
      </c>
      <c r="C167" s="273" t="str">
        <f t="shared" si="20"/>
        <v>R2000</v>
      </c>
      <c r="D167" s="359"/>
      <c r="E167" s="360"/>
      <c r="F167" s="358" t="s">
        <v>96</v>
      </c>
      <c r="G167" s="5"/>
      <c r="H167" s="261"/>
      <c r="I167" s="261"/>
      <c r="J167" s="261"/>
      <c r="K167" s="261"/>
      <c r="L167" s="261"/>
      <c r="M167" s="261"/>
      <c r="N167" s="261"/>
      <c r="O167" s="261"/>
      <c r="P167" s="261"/>
      <c r="Q167" s="261"/>
      <c r="R167" s="261"/>
      <c r="S167" s="5"/>
      <c r="T167" s="25"/>
      <c r="U167" s="5"/>
    </row>
    <row r="168" spans="1:21" s="3" customFormat="1" hidden="1" outlineLevel="1">
      <c r="A168" s="21"/>
      <c r="B168" s="358" t="s">
        <v>363</v>
      </c>
      <c r="C168" s="273" t="str">
        <f t="shared" si="20"/>
        <v>R2000</v>
      </c>
      <c r="D168" s="359"/>
      <c r="E168" s="360"/>
      <c r="F168" s="358" t="s">
        <v>96</v>
      </c>
      <c r="G168" s="5"/>
      <c r="H168" s="261"/>
      <c r="I168" s="261"/>
      <c r="J168" s="261"/>
      <c r="K168" s="261"/>
      <c r="L168" s="261"/>
      <c r="M168" s="261"/>
      <c r="N168" s="261"/>
      <c r="O168" s="261"/>
      <c r="P168" s="261"/>
      <c r="Q168" s="261"/>
      <c r="R168" s="261"/>
      <c r="S168" s="5"/>
      <c r="T168" s="25"/>
      <c r="U168" s="5"/>
    </row>
    <row r="169" spans="1:21" s="3" customFormat="1" hidden="1" outlineLevel="1">
      <c r="A169" s="21"/>
      <c r="B169" s="228" t="s">
        <v>332</v>
      </c>
      <c r="C169" s="273" t="str">
        <f t="shared" si="20"/>
        <v>R2000</v>
      </c>
      <c r="D169" s="228"/>
      <c r="E169" s="355"/>
      <c r="F169" s="67" t="s">
        <v>35</v>
      </c>
      <c r="G169" s="5"/>
      <c r="H169" s="29">
        <v>170</v>
      </c>
      <c r="I169" s="362">
        <f t="shared" ref="I169:R170" si="22">H169</f>
        <v>170</v>
      </c>
      <c r="J169" s="362">
        <f t="shared" si="22"/>
        <v>170</v>
      </c>
      <c r="K169" s="362">
        <f t="shared" si="22"/>
        <v>170</v>
      </c>
      <c r="L169" s="362">
        <f t="shared" si="22"/>
        <v>170</v>
      </c>
      <c r="M169" s="362">
        <f t="shared" si="22"/>
        <v>170</v>
      </c>
      <c r="N169" s="362">
        <f t="shared" si="22"/>
        <v>170</v>
      </c>
      <c r="O169" s="362">
        <f t="shared" si="22"/>
        <v>170</v>
      </c>
      <c r="P169" s="362">
        <f t="shared" si="22"/>
        <v>170</v>
      </c>
      <c r="Q169" s="362">
        <f t="shared" si="22"/>
        <v>170</v>
      </c>
      <c r="R169" s="362">
        <f t="shared" si="22"/>
        <v>170</v>
      </c>
      <c r="S169" s="5"/>
      <c r="T169" s="25"/>
      <c r="U169" s="5"/>
    </row>
    <row r="170" spans="1:21" s="3" customFormat="1" hidden="1" outlineLevel="1">
      <c r="A170" s="21"/>
      <c r="B170" s="228" t="s">
        <v>470</v>
      </c>
      <c r="C170" s="273" t="str">
        <f t="shared" si="20"/>
        <v>R2000</v>
      </c>
      <c r="D170" s="228"/>
      <c r="E170" s="355"/>
      <c r="F170" s="67" t="s">
        <v>316</v>
      </c>
      <c r="G170" s="5"/>
      <c r="H170" s="54">
        <v>1000000</v>
      </c>
      <c r="I170" s="269">
        <f>H170</f>
        <v>1000000</v>
      </c>
      <c r="J170" s="269">
        <f t="shared" si="22"/>
        <v>1000000</v>
      </c>
      <c r="K170" s="269">
        <f t="shared" si="22"/>
        <v>1000000</v>
      </c>
      <c r="L170" s="269">
        <f t="shared" si="22"/>
        <v>1000000</v>
      </c>
      <c r="M170" s="269">
        <f t="shared" si="22"/>
        <v>1000000</v>
      </c>
      <c r="N170" s="269">
        <f t="shared" si="22"/>
        <v>1000000</v>
      </c>
      <c r="O170" s="269">
        <f t="shared" si="22"/>
        <v>1000000</v>
      </c>
      <c r="P170" s="269">
        <f t="shared" si="22"/>
        <v>1000000</v>
      </c>
      <c r="Q170" s="269">
        <f t="shared" si="22"/>
        <v>1000000</v>
      </c>
      <c r="R170" s="269">
        <f t="shared" si="22"/>
        <v>1000000</v>
      </c>
      <c r="S170" s="5"/>
      <c r="T170" s="25"/>
      <c r="U170" s="5"/>
    </row>
    <row r="171" spans="1:21" s="3" customFormat="1" hidden="1" outlineLevel="1">
      <c r="A171" s="21"/>
      <c r="B171" s="228" t="s">
        <v>375</v>
      </c>
      <c r="C171" s="273" t="str">
        <f t="shared" si="20"/>
        <v>R2000</v>
      </c>
      <c r="D171" s="228"/>
      <c r="E171" s="355"/>
      <c r="F171" s="228" t="s">
        <v>96</v>
      </c>
      <c r="G171" s="5"/>
      <c r="H171" s="261"/>
      <c r="I171" s="261"/>
      <c r="J171" s="261"/>
      <c r="K171" s="261"/>
      <c r="L171" s="261"/>
      <c r="M171" s="261"/>
      <c r="N171" s="261"/>
      <c r="O171" s="261"/>
      <c r="P171" s="261"/>
      <c r="Q171" s="261"/>
      <c r="R171" s="261"/>
      <c r="S171" s="5"/>
      <c r="T171" s="25"/>
      <c r="U171" s="5"/>
    </row>
    <row r="172" spans="1:21" s="3" customFormat="1" hidden="1" outlineLevel="1">
      <c r="A172" s="21"/>
      <c r="B172" s="228" t="s">
        <v>432</v>
      </c>
      <c r="C172" s="273" t="str">
        <f t="shared" si="20"/>
        <v>R2000</v>
      </c>
      <c r="D172" s="228"/>
      <c r="E172" s="355"/>
      <c r="F172" s="67" t="s">
        <v>35</v>
      </c>
      <c r="G172" s="5"/>
      <c r="H172" s="55"/>
      <c r="I172" s="55"/>
      <c r="J172" s="55"/>
      <c r="K172" s="55"/>
      <c r="L172" s="55"/>
      <c r="M172" s="55"/>
      <c r="N172" s="55"/>
      <c r="O172" s="55"/>
      <c r="P172" s="55"/>
      <c r="Q172" s="55"/>
      <c r="R172" s="55"/>
      <c r="S172" s="5"/>
      <c r="T172" s="25"/>
      <c r="U172" s="5"/>
    </row>
    <row r="173" spans="1:21" s="3" customFormat="1" hidden="1" outlineLevel="1">
      <c r="A173" s="21"/>
      <c r="B173" s="228" t="s">
        <v>379</v>
      </c>
      <c r="C173" s="273" t="str">
        <f t="shared" si="20"/>
        <v>R2000</v>
      </c>
      <c r="D173" s="228"/>
      <c r="E173" s="355"/>
      <c r="F173" s="228"/>
      <c r="G173" s="5"/>
      <c r="H173" s="54"/>
      <c r="I173" s="54"/>
      <c r="J173" s="54"/>
      <c r="K173" s="54"/>
      <c r="L173" s="54"/>
      <c r="M173" s="54"/>
      <c r="N173" s="54"/>
      <c r="O173" s="54"/>
      <c r="P173" s="54"/>
      <c r="Q173" s="54"/>
      <c r="R173" s="54"/>
      <c r="S173" s="5"/>
      <c r="T173" s="25"/>
      <c r="U173" s="5"/>
    </row>
    <row r="174" spans="1:21" s="3" customFormat="1" hidden="1" outlineLevel="1">
      <c r="A174" s="21"/>
      <c r="B174" s="228" t="s">
        <v>361</v>
      </c>
      <c r="C174" s="273" t="str">
        <f t="shared" si="20"/>
        <v>R2000</v>
      </c>
      <c r="D174" s="228"/>
      <c r="E174" s="355"/>
      <c r="F174" s="228" t="s">
        <v>96</v>
      </c>
      <c r="G174" s="5"/>
      <c r="H174" s="261"/>
      <c r="I174" s="261"/>
      <c r="J174" s="261"/>
      <c r="K174" s="261"/>
      <c r="L174" s="261"/>
      <c r="M174" s="261"/>
      <c r="N174" s="261"/>
      <c r="O174" s="261"/>
      <c r="P174" s="261"/>
      <c r="Q174" s="261"/>
      <c r="R174" s="261"/>
      <c r="S174" s="5"/>
      <c r="T174" s="25"/>
      <c r="U174" s="5"/>
    </row>
    <row r="175" spans="1:21" s="3" customFormat="1" hidden="1" outlineLevel="1">
      <c r="A175" s="21"/>
      <c r="B175" s="228" t="s">
        <v>384</v>
      </c>
      <c r="C175" s="273" t="str">
        <f t="shared" si="20"/>
        <v>R2000</v>
      </c>
      <c r="D175" s="228"/>
      <c r="E175" s="355"/>
      <c r="F175" s="228" t="s">
        <v>316</v>
      </c>
      <c r="G175" s="5"/>
      <c r="H175" s="54"/>
      <c r="I175" s="54"/>
      <c r="J175" s="54"/>
      <c r="K175" s="54"/>
      <c r="L175" s="54"/>
      <c r="M175" s="54"/>
      <c r="N175" s="54"/>
      <c r="O175" s="54"/>
      <c r="P175" s="54"/>
      <c r="Q175" s="54"/>
      <c r="R175" s="54"/>
      <c r="S175" s="5"/>
      <c r="T175" s="25"/>
      <c r="U175" s="5"/>
    </row>
    <row r="176" spans="1:21" s="3" customFormat="1" hidden="1" outlineLevel="1">
      <c r="A176" s="21"/>
      <c r="B176" s="228" t="s">
        <v>386</v>
      </c>
      <c r="C176" s="273" t="str">
        <f t="shared" si="20"/>
        <v>R2000</v>
      </c>
      <c r="D176" s="228"/>
      <c r="E176" s="355"/>
      <c r="F176" s="228" t="s">
        <v>316</v>
      </c>
      <c r="G176" s="5"/>
      <c r="H176" s="55"/>
      <c r="I176" s="55"/>
      <c r="J176" s="55"/>
      <c r="K176" s="55"/>
      <c r="L176" s="55"/>
      <c r="M176" s="55"/>
      <c r="N176" s="55"/>
      <c r="O176" s="55"/>
      <c r="P176" s="55"/>
      <c r="Q176" s="55"/>
      <c r="R176" s="55"/>
      <c r="S176" s="5"/>
      <c r="T176" s="25"/>
      <c r="U176" s="5"/>
    </row>
    <row r="177" spans="1:21" s="3" customFormat="1" hidden="1" outlineLevel="1">
      <c r="A177" s="21"/>
      <c r="B177" s="228" t="s">
        <v>387</v>
      </c>
      <c r="C177" s="273" t="str">
        <f t="shared" si="20"/>
        <v>R2000</v>
      </c>
      <c r="D177" s="228"/>
      <c r="E177" s="355"/>
      <c r="F177" s="228"/>
      <c r="G177" s="5"/>
      <c r="H177" s="261"/>
      <c r="I177" s="261"/>
      <c r="J177" s="261"/>
      <c r="K177" s="261"/>
      <c r="L177" s="261"/>
      <c r="M177" s="261"/>
      <c r="N177" s="261"/>
      <c r="O177" s="261"/>
      <c r="P177" s="261"/>
      <c r="Q177" s="261"/>
      <c r="R177" s="261"/>
      <c r="S177" s="5"/>
      <c r="T177" s="25"/>
      <c r="U177" s="5"/>
    </row>
    <row r="178" spans="1:21" s="3" customFormat="1" hidden="1" outlineLevel="1">
      <c r="A178" s="21"/>
      <c r="B178" s="228" t="s">
        <v>388</v>
      </c>
      <c r="C178" s="273" t="str">
        <f t="shared" si="20"/>
        <v>R2000</v>
      </c>
      <c r="D178" s="228"/>
      <c r="E178" s="355"/>
      <c r="F178" s="228"/>
      <c r="G178" s="5"/>
      <c r="H178" s="55"/>
      <c r="I178" s="55"/>
      <c r="J178" s="55"/>
      <c r="K178" s="55"/>
      <c r="L178" s="55"/>
      <c r="M178" s="55"/>
      <c r="N178" s="55"/>
      <c r="O178" s="55"/>
      <c r="P178" s="55"/>
      <c r="Q178" s="55"/>
      <c r="R178" s="55"/>
      <c r="S178" s="5"/>
      <c r="T178" s="25"/>
      <c r="U178" s="5"/>
    </row>
    <row r="179" spans="1:21" s="3" customFormat="1" hidden="1" outlineLevel="1">
      <c r="A179" s="21"/>
      <c r="B179" s="228" t="s">
        <v>385</v>
      </c>
      <c r="C179" s="273" t="str">
        <f t="shared" si="20"/>
        <v>R2000</v>
      </c>
      <c r="D179" s="228"/>
      <c r="E179" s="355"/>
      <c r="F179" s="67" t="s">
        <v>319</v>
      </c>
      <c r="G179" s="5"/>
      <c r="H179" s="54"/>
      <c r="I179" s="54"/>
      <c r="J179" s="54"/>
      <c r="K179" s="54"/>
      <c r="L179" s="54"/>
      <c r="M179" s="54"/>
      <c r="N179" s="54"/>
      <c r="O179" s="54"/>
      <c r="P179" s="54"/>
      <c r="Q179" s="54"/>
      <c r="R179" s="54"/>
      <c r="S179" s="5"/>
      <c r="T179" s="25"/>
      <c r="U179" s="5"/>
    </row>
    <row r="180" spans="1:21" s="3" customFormat="1" hidden="1" outlineLevel="1">
      <c r="A180" s="21"/>
      <c r="B180" s="228" t="s">
        <v>389</v>
      </c>
      <c r="C180" s="273" t="str">
        <f t="shared" si="20"/>
        <v>R2000</v>
      </c>
      <c r="D180" s="228"/>
      <c r="E180" s="355"/>
      <c r="F180" s="67" t="s">
        <v>319</v>
      </c>
      <c r="G180" s="5"/>
      <c r="H180" s="55"/>
      <c r="I180" s="55"/>
      <c r="J180" s="55"/>
      <c r="K180" s="55"/>
      <c r="L180" s="55"/>
      <c r="M180" s="55"/>
      <c r="N180" s="55"/>
      <c r="O180" s="55"/>
      <c r="P180" s="55"/>
      <c r="Q180" s="55"/>
      <c r="R180" s="55"/>
      <c r="S180" s="5"/>
      <c r="T180" s="25"/>
      <c r="U180" s="5"/>
    </row>
    <row r="181" spans="1:21" s="3" customFormat="1" hidden="1" outlineLevel="1">
      <c r="A181" s="21"/>
      <c r="B181" s="228" t="s">
        <v>390</v>
      </c>
      <c r="C181" s="273" t="str">
        <f t="shared" si="20"/>
        <v>R2000</v>
      </c>
      <c r="D181" s="228"/>
      <c r="E181" s="355"/>
      <c r="F181" s="228"/>
      <c r="G181" s="5"/>
      <c r="H181" s="261"/>
      <c r="I181" s="261"/>
      <c r="J181" s="261"/>
      <c r="K181" s="261"/>
      <c r="L181" s="261"/>
      <c r="M181" s="261"/>
      <c r="N181" s="261"/>
      <c r="O181" s="261"/>
      <c r="P181" s="261"/>
      <c r="Q181" s="261"/>
      <c r="R181" s="261"/>
      <c r="S181" s="5"/>
      <c r="T181" s="25"/>
      <c r="U181" s="5"/>
    </row>
    <row r="182" spans="1:21" s="3" customFormat="1" hidden="1" outlineLevel="1">
      <c r="A182" s="21"/>
      <c r="B182" s="228" t="s">
        <v>391</v>
      </c>
      <c r="C182" s="273" t="str">
        <f t="shared" si="20"/>
        <v>R2000</v>
      </c>
      <c r="D182" s="228"/>
      <c r="E182" s="355"/>
      <c r="F182" s="228"/>
      <c r="G182" s="5"/>
      <c r="H182" s="55"/>
      <c r="I182" s="55"/>
      <c r="J182" s="55"/>
      <c r="K182" s="55"/>
      <c r="L182" s="55"/>
      <c r="M182" s="55"/>
      <c r="N182" s="55"/>
      <c r="O182" s="55"/>
      <c r="P182" s="55"/>
      <c r="Q182" s="55"/>
      <c r="R182" s="55"/>
      <c r="S182" s="5"/>
      <c r="T182" s="25"/>
      <c r="U182" s="5"/>
    </row>
    <row r="183" spans="1:21" s="3" customFormat="1" hidden="1" outlineLevel="1">
      <c r="A183" s="21"/>
      <c r="B183" s="228" t="s">
        <v>305</v>
      </c>
      <c r="C183" s="273" t="str">
        <f t="shared" si="20"/>
        <v>R2000</v>
      </c>
      <c r="D183" s="228"/>
      <c r="E183" s="355"/>
      <c r="F183" s="67" t="s">
        <v>319</v>
      </c>
      <c r="G183" s="5"/>
      <c r="H183" s="54"/>
      <c r="I183" s="54"/>
      <c r="J183" s="54"/>
      <c r="K183" s="54"/>
      <c r="L183" s="54"/>
      <c r="M183" s="54"/>
      <c r="N183" s="54"/>
      <c r="O183" s="54"/>
      <c r="P183" s="54"/>
      <c r="Q183" s="54"/>
      <c r="R183" s="54"/>
      <c r="S183" s="5"/>
      <c r="T183" s="25"/>
      <c r="U183" s="5"/>
    </row>
    <row r="184" spans="1:21" s="3" customFormat="1" hidden="1" outlineLevel="1">
      <c r="A184" s="21"/>
      <c r="B184" s="228" t="s">
        <v>352</v>
      </c>
      <c r="C184" s="273" t="str">
        <f t="shared" si="20"/>
        <v>R2000</v>
      </c>
      <c r="D184" s="228"/>
      <c r="E184" s="355"/>
      <c r="F184" s="228" t="s">
        <v>316</v>
      </c>
      <c r="G184" s="5"/>
      <c r="H184" s="54"/>
      <c r="I184" s="54"/>
      <c r="J184" s="54"/>
      <c r="K184" s="54"/>
      <c r="L184" s="54"/>
      <c r="M184" s="54"/>
      <c r="N184" s="54"/>
      <c r="O184" s="54"/>
      <c r="P184" s="54"/>
      <c r="Q184" s="54"/>
      <c r="R184" s="54"/>
      <c r="S184" s="5"/>
      <c r="T184" s="25"/>
      <c r="U184" s="5"/>
    </row>
    <row r="185" spans="1:21" s="3" customFormat="1" hidden="1" outlineLevel="1">
      <c r="A185" s="21"/>
      <c r="B185" s="67" t="s">
        <v>301</v>
      </c>
      <c r="C185" s="273" t="str">
        <f t="shared" si="20"/>
        <v>R2000</v>
      </c>
      <c r="D185" s="273" t="s">
        <v>449</v>
      </c>
      <c r="E185" s="347"/>
      <c r="F185" s="67" t="s">
        <v>44</v>
      </c>
      <c r="G185" s="5"/>
      <c r="H185" s="350">
        <v>0.36</v>
      </c>
      <c r="I185" s="361">
        <f t="shared" ref="I185:R185" si="23">H185</f>
        <v>0.36</v>
      </c>
      <c r="J185" s="361">
        <f t="shared" si="23"/>
        <v>0.36</v>
      </c>
      <c r="K185" s="361">
        <f t="shared" si="23"/>
        <v>0.36</v>
      </c>
      <c r="L185" s="361">
        <f t="shared" si="23"/>
        <v>0.36</v>
      </c>
      <c r="M185" s="361">
        <f t="shared" si="23"/>
        <v>0.36</v>
      </c>
      <c r="N185" s="361">
        <f t="shared" si="23"/>
        <v>0.36</v>
      </c>
      <c r="O185" s="361">
        <f t="shared" si="23"/>
        <v>0.36</v>
      </c>
      <c r="P185" s="361">
        <f t="shared" si="23"/>
        <v>0.36</v>
      </c>
      <c r="Q185" s="361">
        <f t="shared" si="23"/>
        <v>0.36</v>
      </c>
      <c r="R185" s="361">
        <f t="shared" si="23"/>
        <v>0.36</v>
      </c>
      <c r="S185" s="5"/>
      <c r="T185" s="25"/>
      <c r="U185" s="5"/>
    </row>
    <row r="186" spans="1:21" s="3" customFormat="1" hidden="1" outlineLevel="1">
      <c r="A186" s="21"/>
      <c r="B186" s="67" t="s">
        <v>50</v>
      </c>
      <c r="C186" s="273" t="s">
        <v>30</v>
      </c>
      <c r="D186" s="4"/>
      <c r="E186" s="347"/>
      <c r="G186" s="5"/>
      <c r="H186" s="4"/>
      <c r="I186" s="4"/>
      <c r="J186" s="4"/>
      <c r="K186" s="4"/>
      <c r="L186" s="4"/>
      <c r="M186" s="4"/>
      <c r="N186" s="4"/>
      <c r="O186" s="4"/>
      <c r="P186" s="4"/>
      <c r="Q186" s="4"/>
      <c r="R186" s="4"/>
      <c r="S186" s="5"/>
      <c r="T186" s="25"/>
      <c r="U186" s="5"/>
    </row>
    <row r="187" spans="1:21" s="3" customFormat="1" hidden="1" outlineLevel="1">
      <c r="A187" s="21"/>
      <c r="B187" s="228" t="s">
        <v>37</v>
      </c>
      <c r="C187" s="273" t="str">
        <f>C186</f>
        <v>LEED</v>
      </c>
      <c r="D187" s="228"/>
      <c r="E187" s="355"/>
      <c r="F187" s="67" t="s">
        <v>39</v>
      </c>
      <c r="G187" s="5"/>
      <c r="H187" s="265">
        <v>2015</v>
      </c>
      <c r="I187" s="356">
        <f t="shared" ref="I187:R189" si="24">H187</f>
        <v>2015</v>
      </c>
      <c r="J187" s="356">
        <f t="shared" si="24"/>
        <v>2015</v>
      </c>
      <c r="K187" s="356">
        <f t="shared" si="24"/>
        <v>2015</v>
      </c>
      <c r="L187" s="356">
        <f t="shared" si="24"/>
        <v>2015</v>
      </c>
      <c r="M187" s="356">
        <f t="shared" si="24"/>
        <v>2015</v>
      </c>
      <c r="N187" s="356">
        <f t="shared" si="24"/>
        <v>2015</v>
      </c>
      <c r="O187" s="356">
        <f t="shared" si="24"/>
        <v>2015</v>
      </c>
      <c r="P187" s="356">
        <f t="shared" si="24"/>
        <v>2015</v>
      </c>
      <c r="Q187" s="356">
        <f t="shared" si="24"/>
        <v>2015</v>
      </c>
      <c r="R187" s="356">
        <f t="shared" si="24"/>
        <v>2015</v>
      </c>
      <c r="S187" s="5"/>
      <c r="T187" s="25"/>
      <c r="U187" s="5"/>
    </row>
    <row r="188" spans="1:21" s="3" customFormat="1" hidden="1" outlineLevel="1">
      <c r="A188" s="21"/>
      <c r="B188" s="228" t="s">
        <v>36</v>
      </c>
      <c r="C188" s="273" t="str">
        <f t="shared" ref="C188:C215" si="25">C187</f>
        <v>LEED</v>
      </c>
      <c r="D188" s="228"/>
      <c r="E188" s="355"/>
      <c r="F188" s="67" t="s">
        <v>39</v>
      </c>
      <c r="G188" s="5"/>
      <c r="H188" s="265">
        <v>2100</v>
      </c>
      <c r="I188" s="356">
        <f t="shared" si="24"/>
        <v>2100</v>
      </c>
      <c r="J188" s="356">
        <f t="shared" si="24"/>
        <v>2100</v>
      </c>
      <c r="K188" s="356">
        <f t="shared" si="24"/>
        <v>2100</v>
      </c>
      <c r="L188" s="356">
        <f t="shared" si="24"/>
        <v>2100</v>
      </c>
      <c r="M188" s="356">
        <f t="shared" si="24"/>
        <v>2100</v>
      </c>
      <c r="N188" s="356">
        <f t="shared" si="24"/>
        <v>2100</v>
      </c>
      <c r="O188" s="356">
        <f t="shared" si="24"/>
        <v>2100</v>
      </c>
      <c r="P188" s="356">
        <f t="shared" si="24"/>
        <v>2100</v>
      </c>
      <c r="Q188" s="356">
        <f t="shared" si="24"/>
        <v>2100</v>
      </c>
      <c r="R188" s="356">
        <f t="shared" si="24"/>
        <v>2100</v>
      </c>
      <c r="S188" s="5"/>
      <c r="T188" s="25"/>
      <c r="U188" s="5"/>
    </row>
    <row r="189" spans="1:21" s="3" customFormat="1" hidden="1" outlineLevel="1">
      <c r="A189" s="21"/>
      <c r="B189" s="228" t="s">
        <v>38</v>
      </c>
      <c r="C189" s="273" t="str">
        <f t="shared" si="25"/>
        <v>LEED</v>
      </c>
      <c r="D189" s="228"/>
      <c r="E189" s="355"/>
      <c r="F189" s="67" t="s">
        <v>10</v>
      </c>
      <c r="G189" s="5"/>
      <c r="H189" s="55">
        <v>25</v>
      </c>
      <c r="I189" s="357">
        <f t="shared" si="24"/>
        <v>25</v>
      </c>
      <c r="J189" s="357">
        <f t="shared" si="24"/>
        <v>25</v>
      </c>
      <c r="K189" s="357">
        <f t="shared" si="24"/>
        <v>25</v>
      </c>
      <c r="L189" s="357">
        <f t="shared" si="24"/>
        <v>25</v>
      </c>
      <c r="M189" s="357">
        <f t="shared" si="24"/>
        <v>25</v>
      </c>
      <c r="N189" s="357">
        <f t="shared" si="24"/>
        <v>25</v>
      </c>
      <c r="O189" s="357">
        <f t="shared" si="24"/>
        <v>25</v>
      </c>
      <c r="P189" s="357">
        <f t="shared" si="24"/>
        <v>25</v>
      </c>
      <c r="Q189" s="357">
        <f t="shared" si="24"/>
        <v>25</v>
      </c>
      <c r="R189" s="357">
        <f t="shared" si="24"/>
        <v>25</v>
      </c>
      <c r="S189" s="5"/>
      <c r="T189" s="25"/>
      <c r="U189" s="5"/>
    </row>
    <row r="190" spans="1:21" s="3" customFormat="1" hidden="1" outlineLevel="1">
      <c r="A190" s="21"/>
      <c r="B190" s="228" t="s">
        <v>353</v>
      </c>
      <c r="C190" s="273" t="str">
        <f t="shared" si="25"/>
        <v>LEED</v>
      </c>
      <c r="D190" s="228"/>
      <c r="E190" s="355"/>
      <c r="F190" s="228" t="s">
        <v>10</v>
      </c>
      <c r="G190" s="5"/>
      <c r="H190" s="55"/>
      <c r="I190" s="55"/>
      <c r="J190" s="55"/>
      <c r="K190" s="55"/>
      <c r="L190" s="55"/>
      <c r="M190" s="55"/>
      <c r="N190" s="55"/>
      <c r="O190" s="55"/>
      <c r="P190" s="55"/>
      <c r="Q190" s="55"/>
      <c r="R190" s="55"/>
      <c r="S190" s="5"/>
      <c r="T190" s="25"/>
      <c r="U190" s="5"/>
    </row>
    <row r="191" spans="1:21" s="3" customFormat="1" hidden="1" outlineLevel="1">
      <c r="A191" s="21"/>
      <c r="B191" s="228" t="s">
        <v>304</v>
      </c>
      <c r="C191" s="273" t="str">
        <f t="shared" si="25"/>
        <v>LEED</v>
      </c>
      <c r="D191" s="228"/>
      <c r="E191" s="355"/>
      <c r="F191" s="67" t="s">
        <v>96</v>
      </c>
      <c r="G191" s="5"/>
      <c r="H191" s="261">
        <v>0.05</v>
      </c>
      <c r="I191" s="352">
        <f t="shared" ref="I191:R193" si="26">H191</f>
        <v>0.05</v>
      </c>
      <c r="J191" s="352">
        <f t="shared" si="26"/>
        <v>0.05</v>
      </c>
      <c r="K191" s="352">
        <f t="shared" si="26"/>
        <v>0.05</v>
      </c>
      <c r="L191" s="352">
        <f t="shared" si="26"/>
        <v>0.05</v>
      </c>
      <c r="M191" s="352">
        <f t="shared" si="26"/>
        <v>0.05</v>
      </c>
      <c r="N191" s="352">
        <f t="shared" si="26"/>
        <v>0.05</v>
      </c>
      <c r="O191" s="352">
        <f t="shared" si="26"/>
        <v>0.05</v>
      </c>
      <c r="P191" s="352">
        <f t="shared" si="26"/>
        <v>0.05</v>
      </c>
      <c r="Q191" s="352">
        <f t="shared" si="26"/>
        <v>0.05</v>
      </c>
      <c r="R191" s="352">
        <f t="shared" si="26"/>
        <v>0.05</v>
      </c>
      <c r="S191" s="5"/>
      <c r="T191" s="25"/>
      <c r="U191" s="5"/>
    </row>
    <row r="192" spans="1:21" s="3" customFormat="1" hidden="1" outlineLevel="1">
      <c r="A192" s="21"/>
      <c r="B192" s="228" t="s">
        <v>350</v>
      </c>
      <c r="C192" s="273" t="str">
        <f t="shared" si="25"/>
        <v>LEED</v>
      </c>
      <c r="D192" s="228"/>
      <c r="E192" s="355"/>
      <c r="F192" s="228" t="s">
        <v>96</v>
      </c>
      <c r="G192" s="5"/>
      <c r="H192" s="261">
        <v>0</v>
      </c>
      <c r="I192" s="352">
        <f t="shared" si="26"/>
        <v>0</v>
      </c>
      <c r="J192" s="352">
        <f t="shared" si="26"/>
        <v>0</v>
      </c>
      <c r="K192" s="352">
        <f t="shared" si="26"/>
        <v>0</v>
      </c>
      <c r="L192" s="352">
        <f t="shared" si="26"/>
        <v>0</v>
      </c>
      <c r="M192" s="352">
        <f t="shared" si="26"/>
        <v>0</v>
      </c>
      <c r="N192" s="352">
        <f t="shared" si="26"/>
        <v>0</v>
      </c>
      <c r="O192" s="352">
        <f t="shared" si="26"/>
        <v>0</v>
      </c>
      <c r="P192" s="352">
        <f t="shared" si="26"/>
        <v>0</v>
      </c>
      <c r="Q192" s="352">
        <f t="shared" si="26"/>
        <v>0</v>
      </c>
      <c r="R192" s="352">
        <f t="shared" si="26"/>
        <v>0</v>
      </c>
      <c r="S192" s="5"/>
      <c r="T192" s="25"/>
      <c r="U192" s="5"/>
    </row>
    <row r="193" spans="1:21" s="3" customFormat="1" hidden="1" outlineLevel="1">
      <c r="A193" s="21"/>
      <c r="B193" s="228" t="s">
        <v>349</v>
      </c>
      <c r="C193" s="273" t="str">
        <f t="shared" si="25"/>
        <v>LEED</v>
      </c>
      <c r="D193" s="228"/>
      <c r="E193" s="355"/>
      <c r="F193" s="228" t="s">
        <v>96</v>
      </c>
      <c r="G193" s="5"/>
      <c r="H193" s="261">
        <v>0.25</v>
      </c>
      <c r="I193" s="352">
        <f t="shared" si="26"/>
        <v>0.25</v>
      </c>
      <c r="J193" s="352">
        <f t="shared" si="26"/>
        <v>0.25</v>
      </c>
      <c r="K193" s="352">
        <f t="shared" si="26"/>
        <v>0.25</v>
      </c>
      <c r="L193" s="352">
        <f t="shared" si="26"/>
        <v>0.25</v>
      </c>
      <c r="M193" s="352">
        <f t="shared" si="26"/>
        <v>0.25</v>
      </c>
      <c r="N193" s="352">
        <f t="shared" si="26"/>
        <v>0.25</v>
      </c>
      <c r="O193" s="352">
        <f t="shared" si="26"/>
        <v>0.25</v>
      </c>
      <c r="P193" s="352">
        <f t="shared" si="26"/>
        <v>0.25</v>
      </c>
      <c r="Q193" s="352">
        <f t="shared" si="26"/>
        <v>0.25</v>
      </c>
      <c r="R193" s="352">
        <f t="shared" si="26"/>
        <v>0.25</v>
      </c>
      <c r="S193" s="5"/>
      <c r="T193" s="25"/>
      <c r="U193" s="5"/>
    </row>
    <row r="194" spans="1:21" s="3" customFormat="1" hidden="1" outlineLevel="1">
      <c r="A194" s="21"/>
      <c r="B194" s="228" t="s">
        <v>74</v>
      </c>
      <c r="C194" s="273" t="str">
        <f t="shared" si="25"/>
        <v>LEED</v>
      </c>
      <c r="D194" s="228"/>
      <c r="E194" s="355"/>
      <c r="F194" s="67" t="s">
        <v>96</v>
      </c>
      <c r="G194" s="5"/>
      <c r="H194" s="261">
        <v>0</v>
      </c>
      <c r="I194" s="261"/>
      <c r="J194" s="261"/>
      <c r="K194" s="261"/>
      <c r="L194" s="261"/>
      <c r="M194" s="261"/>
      <c r="N194" s="261"/>
      <c r="O194" s="261"/>
      <c r="P194" s="261"/>
      <c r="Q194" s="261"/>
      <c r="R194" s="261"/>
      <c r="S194" s="5"/>
      <c r="T194" s="25"/>
      <c r="U194" s="5"/>
    </row>
    <row r="195" spans="1:21" s="3" customFormat="1" hidden="1" outlineLevel="1">
      <c r="A195" s="21"/>
      <c r="B195" s="358" t="s">
        <v>146</v>
      </c>
      <c r="C195" s="273" t="str">
        <f t="shared" si="25"/>
        <v>LEED</v>
      </c>
      <c r="D195" s="359"/>
      <c r="E195" s="360"/>
      <c r="F195" s="358" t="s">
        <v>96</v>
      </c>
      <c r="G195" s="5"/>
      <c r="H195" s="261"/>
      <c r="I195" s="261"/>
      <c r="J195" s="261"/>
      <c r="K195" s="261"/>
      <c r="L195" s="261"/>
      <c r="M195" s="261"/>
      <c r="N195" s="261"/>
      <c r="O195" s="261"/>
      <c r="P195" s="261"/>
      <c r="Q195" s="261"/>
      <c r="R195" s="261"/>
      <c r="S195" s="5"/>
      <c r="T195" s="25"/>
      <c r="U195" s="5"/>
    </row>
    <row r="196" spans="1:21" s="3" customFormat="1" hidden="1" outlineLevel="1">
      <c r="A196" s="21"/>
      <c r="B196" s="358" t="s">
        <v>147</v>
      </c>
      <c r="C196" s="273" t="str">
        <f t="shared" si="25"/>
        <v>LEED</v>
      </c>
      <c r="D196" s="359"/>
      <c r="E196" s="360"/>
      <c r="F196" s="358" t="s">
        <v>96</v>
      </c>
      <c r="G196" s="5"/>
      <c r="H196" s="261"/>
      <c r="I196" s="261"/>
      <c r="J196" s="261"/>
      <c r="K196" s="261"/>
      <c r="L196" s="261"/>
      <c r="M196" s="261"/>
      <c r="N196" s="261"/>
      <c r="O196" s="261"/>
      <c r="P196" s="261"/>
      <c r="Q196" s="261"/>
      <c r="R196" s="261"/>
      <c r="S196" s="5"/>
      <c r="T196" s="25"/>
      <c r="U196" s="5"/>
    </row>
    <row r="197" spans="1:21" s="3" customFormat="1" hidden="1" outlineLevel="1">
      <c r="A197" s="21"/>
      <c r="B197" s="358" t="s">
        <v>362</v>
      </c>
      <c r="C197" s="273" t="str">
        <f t="shared" si="25"/>
        <v>LEED</v>
      </c>
      <c r="D197" s="359"/>
      <c r="E197" s="360"/>
      <c r="F197" s="358" t="s">
        <v>96</v>
      </c>
      <c r="G197" s="5"/>
      <c r="H197" s="261"/>
      <c r="I197" s="261"/>
      <c r="J197" s="261"/>
      <c r="K197" s="261"/>
      <c r="L197" s="261"/>
      <c r="M197" s="261"/>
      <c r="N197" s="261"/>
      <c r="O197" s="261"/>
      <c r="P197" s="261"/>
      <c r="Q197" s="261"/>
      <c r="R197" s="261"/>
      <c r="S197" s="5"/>
      <c r="T197" s="25"/>
      <c r="U197" s="5"/>
    </row>
    <row r="198" spans="1:21" s="3" customFormat="1" hidden="1" outlineLevel="1">
      <c r="A198" s="21"/>
      <c r="B198" s="358" t="s">
        <v>363</v>
      </c>
      <c r="C198" s="273" t="str">
        <f t="shared" si="25"/>
        <v>LEED</v>
      </c>
      <c r="D198" s="359"/>
      <c r="E198" s="360"/>
      <c r="F198" s="358" t="s">
        <v>96</v>
      </c>
      <c r="G198" s="5"/>
      <c r="H198" s="261"/>
      <c r="I198" s="261"/>
      <c r="J198" s="261"/>
      <c r="K198" s="261"/>
      <c r="L198" s="261"/>
      <c r="M198" s="261"/>
      <c r="N198" s="261"/>
      <c r="O198" s="261"/>
      <c r="P198" s="261"/>
      <c r="Q198" s="261"/>
      <c r="R198" s="261"/>
      <c r="S198" s="5"/>
      <c r="T198" s="25"/>
      <c r="U198" s="5"/>
    </row>
    <row r="199" spans="1:21" s="3" customFormat="1" hidden="1" outlineLevel="1">
      <c r="A199" s="21"/>
      <c r="B199" s="228" t="s">
        <v>332</v>
      </c>
      <c r="C199" s="273" t="str">
        <f t="shared" si="25"/>
        <v>LEED</v>
      </c>
      <c r="D199" s="228"/>
      <c r="E199" s="355"/>
      <c r="F199" s="67" t="s">
        <v>35</v>
      </c>
      <c r="G199" s="5"/>
      <c r="H199" s="29">
        <v>170</v>
      </c>
      <c r="I199" s="362">
        <f t="shared" ref="I199:R200" si="27">H199</f>
        <v>170</v>
      </c>
      <c r="J199" s="362">
        <f t="shared" si="27"/>
        <v>170</v>
      </c>
      <c r="K199" s="362">
        <f t="shared" si="27"/>
        <v>170</v>
      </c>
      <c r="L199" s="362">
        <f t="shared" si="27"/>
        <v>170</v>
      </c>
      <c r="M199" s="362">
        <f t="shared" si="27"/>
        <v>170</v>
      </c>
      <c r="N199" s="362">
        <f t="shared" si="27"/>
        <v>170</v>
      </c>
      <c r="O199" s="362">
        <f t="shared" si="27"/>
        <v>170</v>
      </c>
      <c r="P199" s="362">
        <f t="shared" si="27"/>
        <v>170</v>
      </c>
      <c r="Q199" s="362">
        <f t="shared" si="27"/>
        <v>170</v>
      </c>
      <c r="R199" s="362">
        <f t="shared" si="27"/>
        <v>170</v>
      </c>
      <c r="S199" s="5"/>
      <c r="T199" s="25"/>
      <c r="U199" s="5"/>
    </row>
    <row r="200" spans="1:21" s="3" customFormat="1" hidden="1" outlineLevel="1">
      <c r="A200" s="21"/>
      <c r="B200" s="228" t="s">
        <v>470</v>
      </c>
      <c r="C200" s="273" t="str">
        <f t="shared" si="25"/>
        <v>LEED</v>
      </c>
      <c r="D200" s="228"/>
      <c r="E200" s="355"/>
      <c r="F200" s="67" t="s">
        <v>316</v>
      </c>
      <c r="G200" s="5"/>
      <c r="H200" s="54">
        <v>1300000</v>
      </c>
      <c r="I200" s="270">
        <f t="shared" si="27"/>
        <v>1300000</v>
      </c>
      <c r="J200" s="270">
        <f t="shared" si="27"/>
        <v>1300000</v>
      </c>
      <c r="K200" s="270">
        <f t="shared" si="27"/>
        <v>1300000</v>
      </c>
      <c r="L200" s="270">
        <f t="shared" si="27"/>
        <v>1300000</v>
      </c>
      <c r="M200" s="270">
        <f t="shared" si="27"/>
        <v>1300000</v>
      </c>
      <c r="N200" s="270">
        <f t="shared" si="27"/>
        <v>1300000</v>
      </c>
      <c r="O200" s="270">
        <f t="shared" si="27"/>
        <v>1300000</v>
      </c>
      <c r="P200" s="270">
        <f t="shared" si="27"/>
        <v>1300000</v>
      </c>
      <c r="Q200" s="270">
        <f t="shared" si="27"/>
        <v>1300000</v>
      </c>
      <c r="R200" s="270">
        <f t="shared" si="27"/>
        <v>1300000</v>
      </c>
      <c r="S200" s="5"/>
      <c r="T200" s="25"/>
      <c r="U200" s="5"/>
    </row>
    <row r="201" spans="1:21" s="3" customFormat="1" hidden="1" outlineLevel="1">
      <c r="A201" s="21"/>
      <c r="B201" s="228" t="s">
        <v>375</v>
      </c>
      <c r="C201" s="273" t="str">
        <f t="shared" si="25"/>
        <v>LEED</v>
      </c>
      <c r="D201" s="228"/>
      <c r="E201" s="355"/>
      <c r="F201" s="228" t="s">
        <v>96</v>
      </c>
      <c r="G201" s="5"/>
      <c r="H201" s="261"/>
      <c r="I201" s="261"/>
      <c r="J201" s="261"/>
      <c r="K201" s="261"/>
      <c r="L201" s="261"/>
      <c r="M201" s="261"/>
      <c r="N201" s="261"/>
      <c r="O201" s="261"/>
      <c r="P201" s="261"/>
      <c r="Q201" s="261"/>
      <c r="R201" s="261"/>
      <c r="S201" s="5"/>
      <c r="T201" s="25"/>
      <c r="U201" s="5"/>
    </row>
    <row r="202" spans="1:21" s="3" customFormat="1" hidden="1" outlineLevel="1">
      <c r="A202" s="21"/>
      <c r="B202" s="228" t="s">
        <v>432</v>
      </c>
      <c r="C202" s="273" t="str">
        <f t="shared" si="25"/>
        <v>LEED</v>
      </c>
      <c r="D202" s="228"/>
      <c r="E202" s="355"/>
      <c r="F202" s="67" t="s">
        <v>35</v>
      </c>
      <c r="G202" s="5"/>
      <c r="H202" s="55"/>
      <c r="I202" s="55"/>
      <c r="J202" s="55"/>
      <c r="K202" s="55"/>
      <c r="L202" s="55"/>
      <c r="M202" s="55"/>
      <c r="N202" s="55"/>
      <c r="O202" s="55"/>
      <c r="P202" s="55"/>
      <c r="Q202" s="55"/>
      <c r="R202" s="55"/>
      <c r="S202" s="5"/>
      <c r="T202" s="25"/>
      <c r="U202" s="5"/>
    </row>
    <row r="203" spans="1:21" s="3" customFormat="1" hidden="1" outlineLevel="1">
      <c r="A203" s="21"/>
      <c r="B203" s="228" t="s">
        <v>379</v>
      </c>
      <c r="C203" s="273" t="str">
        <f t="shared" si="25"/>
        <v>LEED</v>
      </c>
      <c r="D203" s="228"/>
      <c r="E203" s="355"/>
      <c r="F203" s="228"/>
      <c r="G203" s="5"/>
      <c r="H203" s="54"/>
      <c r="I203" s="54"/>
      <c r="J203" s="54"/>
      <c r="K203" s="54"/>
      <c r="L203" s="54"/>
      <c r="M203" s="54"/>
      <c r="N203" s="54"/>
      <c r="O203" s="54"/>
      <c r="P203" s="54"/>
      <c r="Q203" s="54"/>
      <c r="R203" s="54"/>
      <c r="S203" s="5"/>
      <c r="T203" s="25"/>
      <c r="U203" s="5"/>
    </row>
    <row r="204" spans="1:21" s="3" customFormat="1" hidden="1" outlineLevel="1">
      <c r="A204" s="21"/>
      <c r="B204" s="228" t="s">
        <v>361</v>
      </c>
      <c r="C204" s="273" t="str">
        <f t="shared" si="25"/>
        <v>LEED</v>
      </c>
      <c r="D204" s="228"/>
      <c r="E204" s="355"/>
      <c r="F204" s="228" t="s">
        <v>96</v>
      </c>
      <c r="G204" s="5"/>
      <c r="H204" s="261"/>
      <c r="I204" s="261"/>
      <c r="J204" s="261"/>
      <c r="K204" s="261"/>
      <c r="L204" s="261"/>
      <c r="M204" s="261"/>
      <c r="N204" s="261"/>
      <c r="O204" s="261"/>
      <c r="P204" s="261"/>
      <c r="Q204" s="261"/>
      <c r="R204" s="261"/>
      <c r="S204" s="5"/>
      <c r="T204" s="25"/>
      <c r="U204" s="5"/>
    </row>
    <row r="205" spans="1:21" s="3" customFormat="1" hidden="1" outlineLevel="1">
      <c r="A205" s="21"/>
      <c r="B205" s="228" t="s">
        <v>384</v>
      </c>
      <c r="C205" s="273" t="str">
        <f t="shared" si="25"/>
        <v>LEED</v>
      </c>
      <c r="D205" s="228"/>
      <c r="E205" s="355"/>
      <c r="F205" s="228" t="s">
        <v>316</v>
      </c>
      <c r="G205" s="5"/>
      <c r="H205" s="54"/>
      <c r="I205" s="54"/>
      <c r="J205" s="54"/>
      <c r="K205" s="54"/>
      <c r="L205" s="54"/>
      <c r="M205" s="54"/>
      <c r="N205" s="54"/>
      <c r="O205" s="54"/>
      <c r="P205" s="54"/>
      <c r="Q205" s="54"/>
      <c r="R205" s="54"/>
      <c r="S205" s="5"/>
      <c r="T205" s="25"/>
      <c r="U205" s="5"/>
    </row>
    <row r="206" spans="1:21" s="3" customFormat="1" hidden="1" outlineLevel="1">
      <c r="A206" s="21"/>
      <c r="B206" s="228" t="s">
        <v>386</v>
      </c>
      <c r="C206" s="273" t="str">
        <f t="shared" si="25"/>
        <v>LEED</v>
      </c>
      <c r="D206" s="228"/>
      <c r="E206" s="355"/>
      <c r="F206" s="228" t="s">
        <v>316</v>
      </c>
      <c r="G206" s="5"/>
      <c r="H206" s="55"/>
      <c r="I206" s="55"/>
      <c r="J206" s="55"/>
      <c r="K206" s="55"/>
      <c r="L206" s="55"/>
      <c r="M206" s="55"/>
      <c r="N206" s="55"/>
      <c r="O206" s="55"/>
      <c r="P206" s="55"/>
      <c r="Q206" s="55"/>
      <c r="R206" s="55"/>
      <c r="S206" s="5"/>
      <c r="T206" s="25"/>
      <c r="U206" s="5"/>
    </row>
    <row r="207" spans="1:21" s="3" customFormat="1" hidden="1" outlineLevel="1">
      <c r="A207" s="21"/>
      <c r="B207" s="228" t="s">
        <v>387</v>
      </c>
      <c r="C207" s="273" t="str">
        <f t="shared" si="25"/>
        <v>LEED</v>
      </c>
      <c r="D207" s="228"/>
      <c r="E207" s="355"/>
      <c r="F207" s="228"/>
      <c r="G207" s="5"/>
      <c r="H207" s="261"/>
      <c r="I207" s="261"/>
      <c r="J207" s="261"/>
      <c r="K207" s="261"/>
      <c r="L207" s="261"/>
      <c r="M207" s="261"/>
      <c r="N207" s="261"/>
      <c r="O207" s="261"/>
      <c r="P207" s="261"/>
      <c r="Q207" s="261"/>
      <c r="R207" s="261"/>
      <c r="S207" s="5"/>
      <c r="T207" s="25"/>
      <c r="U207" s="5"/>
    </row>
    <row r="208" spans="1:21" s="3" customFormat="1" hidden="1" outlineLevel="1">
      <c r="A208" s="21"/>
      <c r="B208" s="228" t="s">
        <v>388</v>
      </c>
      <c r="C208" s="273" t="str">
        <f t="shared" si="25"/>
        <v>LEED</v>
      </c>
      <c r="D208" s="228"/>
      <c r="E208" s="355"/>
      <c r="F208" s="228"/>
      <c r="G208" s="5"/>
      <c r="H208" s="55"/>
      <c r="I208" s="55"/>
      <c r="J208" s="55"/>
      <c r="K208" s="55"/>
      <c r="L208" s="55"/>
      <c r="M208" s="55"/>
      <c r="N208" s="55"/>
      <c r="O208" s="55"/>
      <c r="P208" s="55"/>
      <c r="Q208" s="55"/>
      <c r="R208" s="55"/>
      <c r="S208" s="5"/>
      <c r="T208" s="25"/>
      <c r="U208" s="5"/>
    </row>
    <row r="209" spans="1:21" s="3" customFormat="1" hidden="1" outlineLevel="1">
      <c r="A209" s="21"/>
      <c r="B209" s="228" t="s">
        <v>385</v>
      </c>
      <c r="C209" s="273" t="str">
        <f t="shared" si="25"/>
        <v>LEED</v>
      </c>
      <c r="D209" s="228"/>
      <c r="E209" s="355"/>
      <c r="F209" s="67" t="s">
        <v>319</v>
      </c>
      <c r="G209" s="5"/>
      <c r="H209" s="54"/>
      <c r="I209" s="54"/>
      <c r="J209" s="54"/>
      <c r="K209" s="54"/>
      <c r="L209" s="54"/>
      <c r="M209" s="54"/>
      <c r="N209" s="54"/>
      <c r="O209" s="54"/>
      <c r="P209" s="54"/>
      <c r="Q209" s="54"/>
      <c r="R209" s="54"/>
      <c r="S209" s="5"/>
      <c r="T209" s="25"/>
      <c r="U209" s="5"/>
    </row>
    <row r="210" spans="1:21" s="3" customFormat="1" hidden="1" outlineLevel="1">
      <c r="A210" s="21"/>
      <c r="B210" s="228" t="s">
        <v>389</v>
      </c>
      <c r="C210" s="273" t="str">
        <f t="shared" si="25"/>
        <v>LEED</v>
      </c>
      <c r="D210" s="228"/>
      <c r="E210" s="355"/>
      <c r="F210" s="67" t="s">
        <v>319</v>
      </c>
      <c r="G210" s="5"/>
      <c r="H210" s="55"/>
      <c r="I210" s="55"/>
      <c r="J210" s="55"/>
      <c r="K210" s="55"/>
      <c r="L210" s="55"/>
      <c r="M210" s="55"/>
      <c r="N210" s="55"/>
      <c r="O210" s="55"/>
      <c r="P210" s="55"/>
      <c r="Q210" s="55"/>
      <c r="R210" s="55"/>
      <c r="S210" s="5"/>
      <c r="T210" s="25"/>
      <c r="U210" s="5"/>
    </row>
    <row r="211" spans="1:21" s="3" customFormat="1" hidden="1" outlineLevel="1">
      <c r="A211" s="21"/>
      <c r="B211" s="228" t="s">
        <v>390</v>
      </c>
      <c r="C211" s="273" t="str">
        <f t="shared" si="25"/>
        <v>LEED</v>
      </c>
      <c r="D211" s="228"/>
      <c r="E211" s="355"/>
      <c r="F211" s="228"/>
      <c r="G211" s="5"/>
      <c r="H211" s="261"/>
      <c r="I211" s="261"/>
      <c r="J211" s="261"/>
      <c r="K211" s="261"/>
      <c r="L211" s="261"/>
      <c r="M211" s="261"/>
      <c r="N211" s="261"/>
      <c r="O211" s="261"/>
      <c r="P211" s="261"/>
      <c r="Q211" s="261"/>
      <c r="R211" s="261"/>
      <c r="S211" s="5"/>
      <c r="T211" s="25"/>
      <c r="U211" s="5"/>
    </row>
    <row r="212" spans="1:21" s="3" customFormat="1" hidden="1" outlineLevel="1">
      <c r="A212" s="21"/>
      <c r="B212" s="228" t="s">
        <v>391</v>
      </c>
      <c r="C212" s="273" t="str">
        <f t="shared" si="25"/>
        <v>LEED</v>
      </c>
      <c r="D212" s="228"/>
      <c r="E212" s="355"/>
      <c r="F212" s="228"/>
      <c r="G212" s="5"/>
      <c r="H212" s="55"/>
      <c r="I212" s="55"/>
      <c r="J212" s="55"/>
      <c r="K212" s="55"/>
      <c r="L212" s="55"/>
      <c r="M212" s="55"/>
      <c r="N212" s="55"/>
      <c r="O212" s="55"/>
      <c r="P212" s="55"/>
      <c r="Q212" s="55"/>
      <c r="R212" s="55"/>
      <c r="S212" s="5"/>
      <c r="T212" s="25"/>
      <c r="U212" s="5"/>
    </row>
    <row r="213" spans="1:21" s="3" customFormat="1" hidden="1" outlineLevel="1">
      <c r="A213" s="21"/>
      <c r="B213" s="228" t="s">
        <v>305</v>
      </c>
      <c r="C213" s="273" t="str">
        <f t="shared" si="25"/>
        <v>LEED</v>
      </c>
      <c r="D213" s="228"/>
      <c r="E213" s="355"/>
      <c r="F213" s="67" t="s">
        <v>319</v>
      </c>
      <c r="G213" s="5"/>
      <c r="H213" s="54"/>
      <c r="I213" s="54"/>
      <c r="J213" s="54"/>
      <c r="K213" s="54"/>
      <c r="L213" s="54"/>
      <c r="M213" s="54"/>
      <c r="N213" s="54"/>
      <c r="O213" s="54"/>
      <c r="P213" s="54"/>
      <c r="Q213" s="54"/>
      <c r="R213" s="54"/>
      <c r="S213" s="5"/>
      <c r="T213" s="25"/>
      <c r="U213" s="5"/>
    </row>
    <row r="214" spans="1:21" s="3" customFormat="1" hidden="1" outlineLevel="1">
      <c r="A214" s="21"/>
      <c r="B214" s="228" t="s">
        <v>352</v>
      </c>
      <c r="C214" s="273" t="str">
        <f t="shared" si="25"/>
        <v>LEED</v>
      </c>
      <c r="D214" s="228"/>
      <c r="E214" s="355"/>
      <c r="F214" s="228" t="s">
        <v>316</v>
      </c>
      <c r="G214" s="5"/>
      <c r="H214" s="54"/>
      <c r="I214" s="54"/>
      <c r="J214" s="54"/>
      <c r="K214" s="54"/>
      <c r="L214" s="54"/>
      <c r="M214" s="54"/>
      <c r="N214" s="54"/>
      <c r="O214" s="54"/>
      <c r="P214" s="54"/>
      <c r="Q214" s="54"/>
      <c r="R214" s="54"/>
      <c r="S214" s="5"/>
      <c r="T214" s="25"/>
      <c r="U214" s="5"/>
    </row>
    <row r="215" spans="1:21" s="3" customFormat="1" hidden="1" outlineLevel="1">
      <c r="A215" s="21"/>
      <c r="B215" s="67" t="s">
        <v>301</v>
      </c>
      <c r="C215" s="273" t="str">
        <f t="shared" si="25"/>
        <v>LEED</v>
      </c>
      <c r="D215" s="273" t="s">
        <v>449</v>
      </c>
      <c r="E215" s="347"/>
      <c r="F215" s="67" t="s">
        <v>44</v>
      </c>
      <c r="G215" s="5"/>
      <c r="H215" s="350">
        <v>0.309</v>
      </c>
      <c r="I215" s="361">
        <f t="shared" ref="I215:R215" si="28">H215</f>
        <v>0.309</v>
      </c>
      <c r="J215" s="361">
        <f t="shared" si="28"/>
        <v>0.309</v>
      </c>
      <c r="K215" s="361">
        <f t="shared" si="28"/>
        <v>0.309</v>
      </c>
      <c r="L215" s="361">
        <f t="shared" si="28"/>
        <v>0.309</v>
      </c>
      <c r="M215" s="361">
        <f t="shared" si="28"/>
        <v>0.309</v>
      </c>
      <c r="N215" s="361">
        <f t="shared" si="28"/>
        <v>0.309</v>
      </c>
      <c r="O215" s="361">
        <f t="shared" si="28"/>
        <v>0.309</v>
      </c>
      <c r="P215" s="361">
        <f t="shared" si="28"/>
        <v>0.309</v>
      </c>
      <c r="Q215" s="361">
        <f t="shared" si="28"/>
        <v>0.309</v>
      </c>
      <c r="R215" s="361">
        <f t="shared" si="28"/>
        <v>0.309</v>
      </c>
      <c r="S215" s="5"/>
      <c r="T215" s="25"/>
      <c r="U215" s="5"/>
    </row>
    <row r="216" spans="1:21" s="3" customFormat="1" hidden="1" outlineLevel="1">
      <c r="A216" s="21"/>
      <c r="B216" s="4"/>
      <c r="C216" s="13"/>
      <c r="D216" s="4"/>
      <c r="E216" s="4"/>
      <c r="F216" s="9"/>
      <c r="G216" s="13"/>
      <c r="H216" s="4"/>
      <c r="I216" s="4"/>
      <c r="J216" s="4"/>
      <c r="K216" s="4"/>
      <c r="L216" s="4"/>
      <c r="M216" s="4"/>
      <c r="N216" s="4"/>
      <c r="O216" s="4"/>
      <c r="P216" s="4"/>
      <c r="Q216" s="4"/>
      <c r="R216" s="4"/>
      <c r="S216" s="5"/>
      <c r="T216" s="13"/>
      <c r="U216" s="5"/>
    </row>
    <row r="217" spans="1:21" s="401" customFormat="1" ht="17" customHeight="1" collapsed="1">
      <c r="A217" s="401" t="s">
        <v>69</v>
      </c>
      <c r="B217" s="402"/>
      <c r="C217" s="403"/>
      <c r="D217" s="402"/>
      <c r="E217" s="402"/>
      <c r="F217" s="404"/>
      <c r="G217" s="403"/>
      <c r="H217" s="402"/>
      <c r="I217" s="402"/>
      <c r="J217" s="402"/>
      <c r="K217" s="402"/>
      <c r="L217" s="402"/>
      <c r="M217" s="402"/>
      <c r="N217" s="402"/>
      <c r="O217" s="402"/>
      <c r="P217" s="402"/>
      <c r="Q217" s="402"/>
      <c r="R217" s="402"/>
      <c r="T217" s="403"/>
    </row>
    <row r="218" spans="1:21" s="3" customFormat="1" hidden="1" outlineLevel="1">
      <c r="A218" s="21"/>
      <c r="B218" s="67" t="s">
        <v>300</v>
      </c>
      <c r="C218" s="273" t="str">
        <f>A217</f>
        <v>Space heating</v>
      </c>
      <c r="D218" s="273" t="s">
        <v>449</v>
      </c>
      <c r="E218" s="347"/>
      <c r="F218" s="67" t="s">
        <v>33</v>
      </c>
      <c r="G218" s="5"/>
      <c r="H218" s="55"/>
      <c r="I218" s="55"/>
      <c r="J218" s="55"/>
      <c r="K218" s="55"/>
      <c r="L218" s="55"/>
      <c r="M218" s="55"/>
      <c r="N218" s="55"/>
      <c r="O218" s="55"/>
      <c r="P218" s="55"/>
      <c r="Q218" s="55"/>
      <c r="R218" s="55"/>
      <c r="S218" s="5"/>
      <c r="T218" s="25"/>
      <c r="U218" s="5"/>
    </row>
    <row r="219" spans="1:21" s="3" customFormat="1" hidden="1" outlineLevel="1">
      <c r="A219" s="21"/>
      <c r="B219" s="67" t="s">
        <v>466</v>
      </c>
      <c r="C219" s="273" t="s">
        <v>110</v>
      </c>
      <c r="D219" s="273"/>
      <c r="E219" s="347"/>
      <c r="F219" s="67"/>
      <c r="G219" s="5"/>
      <c r="H219" s="55"/>
      <c r="I219" s="55"/>
      <c r="J219" s="55"/>
      <c r="K219" s="55"/>
      <c r="L219" s="55"/>
      <c r="M219" s="55"/>
      <c r="N219" s="55"/>
      <c r="O219" s="55"/>
      <c r="P219" s="55"/>
      <c r="Q219" s="55"/>
      <c r="R219" s="55"/>
      <c r="S219" s="5"/>
      <c r="T219" s="25"/>
      <c r="U219" s="5"/>
    </row>
    <row r="220" spans="1:21" s="3" customFormat="1" hidden="1" outlineLevel="1">
      <c r="A220" s="21"/>
      <c r="B220" s="67" t="s">
        <v>46</v>
      </c>
      <c r="C220" s="273" t="s">
        <v>20</v>
      </c>
      <c r="D220" s="4"/>
      <c r="E220" s="347"/>
      <c r="G220" s="5"/>
      <c r="H220" s="4"/>
      <c r="I220" s="4"/>
      <c r="J220" s="4"/>
      <c r="K220" s="4"/>
      <c r="L220" s="4"/>
      <c r="M220" s="4"/>
      <c r="N220" s="4"/>
      <c r="O220" s="4"/>
      <c r="P220" s="4"/>
      <c r="Q220" s="4"/>
      <c r="R220" s="4"/>
      <c r="S220" s="5"/>
      <c r="T220" s="25"/>
      <c r="U220" s="5"/>
    </row>
    <row r="221" spans="1:21" s="3" customFormat="1" hidden="1" outlineLevel="1">
      <c r="A221" s="21"/>
      <c r="B221" s="67" t="s">
        <v>65</v>
      </c>
      <c r="C221" s="273" t="s">
        <v>34</v>
      </c>
      <c r="D221" s="4"/>
      <c r="E221" s="347"/>
      <c r="G221" s="5"/>
      <c r="H221" s="4">
        <v>10</v>
      </c>
      <c r="I221" s="354">
        <f t="shared" ref="I221:R221" si="29">H221</f>
        <v>10</v>
      </c>
      <c r="J221" s="354">
        <f t="shared" si="29"/>
        <v>10</v>
      </c>
      <c r="K221" s="354">
        <f t="shared" si="29"/>
        <v>10</v>
      </c>
      <c r="L221" s="354">
        <f t="shared" si="29"/>
        <v>10</v>
      </c>
      <c r="M221" s="354">
        <f t="shared" si="29"/>
        <v>10</v>
      </c>
      <c r="N221" s="354">
        <f t="shared" si="29"/>
        <v>10</v>
      </c>
      <c r="O221" s="354">
        <f t="shared" si="29"/>
        <v>10</v>
      </c>
      <c r="P221" s="354">
        <f t="shared" si="29"/>
        <v>10</v>
      </c>
      <c r="Q221" s="354">
        <f t="shared" si="29"/>
        <v>10</v>
      </c>
      <c r="R221" s="354">
        <f t="shared" si="29"/>
        <v>10</v>
      </c>
      <c r="S221" s="5"/>
      <c r="T221" s="25"/>
      <c r="U221" s="5"/>
    </row>
    <row r="222" spans="1:21" s="3" customFormat="1" hidden="1" outlineLevel="1">
      <c r="A222" s="21"/>
      <c r="B222" s="67" t="s">
        <v>50</v>
      </c>
      <c r="C222" s="273" t="s">
        <v>31</v>
      </c>
      <c r="D222" s="4"/>
      <c r="E222" s="347"/>
      <c r="G222" s="5"/>
      <c r="H222" s="4"/>
      <c r="I222" s="4"/>
      <c r="J222" s="4"/>
      <c r="K222" s="4"/>
      <c r="L222" s="4"/>
      <c r="M222" s="4"/>
      <c r="N222" s="4"/>
      <c r="O222" s="4"/>
      <c r="P222" s="4"/>
      <c r="Q222" s="4"/>
      <c r="R222" s="4"/>
      <c r="S222" s="5"/>
      <c r="T222" s="25"/>
      <c r="U222" s="5"/>
    </row>
    <row r="223" spans="1:21" s="3" customFormat="1" hidden="1" outlineLevel="1">
      <c r="A223" s="21"/>
      <c r="B223" s="228" t="s">
        <v>37</v>
      </c>
      <c r="C223" s="273" t="str">
        <f>C222</f>
        <v>Electric baseboard</v>
      </c>
      <c r="D223" s="228"/>
      <c r="E223" s="355"/>
      <c r="F223" s="228" t="s">
        <v>39</v>
      </c>
      <c r="G223" s="5"/>
      <c r="H223" s="265">
        <v>2000</v>
      </c>
      <c r="I223" s="356">
        <f t="shared" ref="I223:R225" si="30">H223</f>
        <v>2000</v>
      </c>
      <c r="J223" s="356">
        <f t="shared" si="30"/>
        <v>2000</v>
      </c>
      <c r="K223" s="356">
        <f t="shared" si="30"/>
        <v>2000</v>
      </c>
      <c r="L223" s="356">
        <f t="shared" si="30"/>
        <v>2000</v>
      </c>
      <c r="M223" s="356">
        <f t="shared" si="30"/>
        <v>2000</v>
      </c>
      <c r="N223" s="356">
        <f t="shared" si="30"/>
        <v>2000</v>
      </c>
      <c r="O223" s="356">
        <f t="shared" si="30"/>
        <v>2000</v>
      </c>
      <c r="P223" s="356">
        <f t="shared" si="30"/>
        <v>2000</v>
      </c>
      <c r="Q223" s="356">
        <f t="shared" si="30"/>
        <v>2000</v>
      </c>
      <c r="R223" s="356">
        <f t="shared" si="30"/>
        <v>2000</v>
      </c>
      <c r="S223" s="5"/>
      <c r="T223" s="25"/>
      <c r="U223" s="5"/>
    </row>
    <row r="224" spans="1:21" s="3" customFormat="1" hidden="1" outlineLevel="1">
      <c r="A224" s="21"/>
      <c r="B224" s="228" t="s">
        <v>36</v>
      </c>
      <c r="C224" s="273" t="str">
        <f t="shared" ref="C224:C251" si="31">C223</f>
        <v>Electric baseboard</v>
      </c>
      <c r="D224" s="228"/>
      <c r="E224" s="355"/>
      <c r="F224" s="228" t="s">
        <v>39</v>
      </c>
      <c r="G224" s="5"/>
      <c r="H224" s="265">
        <v>2100</v>
      </c>
      <c r="I224" s="356">
        <f t="shared" si="30"/>
        <v>2100</v>
      </c>
      <c r="J224" s="356">
        <f t="shared" si="30"/>
        <v>2100</v>
      </c>
      <c r="K224" s="356">
        <f t="shared" si="30"/>
        <v>2100</v>
      </c>
      <c r="L224" s="356">
        <f t="shared" si="30"/>
        <v>2100</v>
      </c>
      <c r="M224" s="356">
        <f t="shared" si="30"/>
        <v>2100</v>
      </c>
      <c r="N224" s="356">
        <f t="shared" si="30"/>
        <v>2100</v>
      </c>
      <c r="O224" s="356">
        <f t="shared" si="30"/>
        <v>2100</v>
      </c>
      <c r="P224" s="356">
        <f t="shared" si="30"/>
        <v>2100</v>
      </c>
      <c r="Q224" s="356">
        <f t="shared" si="30"/>
        <v>2100</v>
      </c>
      <c r="R224" s="356">
        <f t="shared" si="30"/>
        <v>2100</v>
      </c>
      <c r="S224" s="5"/>
      <c r="T224" s="25"/>
      <c r="U224" s="5"/>
    </row>
    <row r="225" spans="1:21" s="3" customFormat="1" hidden="1" outlineLevel="1">
      <c r="A225" s="21"/>
      <c r="B225" s="228" t="s">
        <v>38</v>
      </c>
      <c r="C225" s="273" t="str">
        <f t="shared" si="31"/>
        <v>Electric baseboard</v>
      </c>
      <c r="D225" s="228"/>
      <c r="E225" s="355"/>
      <c r="F225" s="228" t="s">
        <v>10</v>
      </c>
      <c r="G225" s="5"/>
      <c r="H225" s="55">
        <v>25</v>
      </c>
      <c r="I225" s="357">
        <f t="shared" si="30"/>
        <v>25</v>
      </c>
      <c r="J225" s="357">
        <f t="shared" si="30"/>
        <v>25</v>
      </c>
      <c r="K225" s="357">
        <f t="shared" si="30"/>
        <v>25</v>
      </c>
      <c r="L225" s="357">
        <f t="shared" si="30"/>
        <v>25</v>
      </c>
      <c r="M225" s="357">
        <f t="shared" si="30"/>
        <v>25</v>
      </c>
      <c r="N225" s="357">
        <f t="shared" si="30"/>
        <v>25</v>
      </c>
      <c r="O225" s="357">
        <f t="shared" si="30"/>
        <v>25</v>
      </c>
      <c r="P225" s="357">
        <f t="shared" si="30"/>
        <v>25</v>
      </c>
      <c r="Q225" s="357">
        <f t="shared" si="30"/>
        <v>25</v>
      </c>
      <c r="R225" s="357">
        <f t="shared" si="30"/>
        <v>25</v>
      </c>
      <c r="S225" s="5"/>
      <c r="T225" s="25"/>
      <c r="U225" s="5"/>
    </row>
    <row r="226" spans="1:21" s="3" customFormat="1" hidden="1" outlineLevel="1">
      <c r="A226" s="21"/>
      <c r="B226" s="228" t="s">
        <v>353</v>
      </c>
      <c r="C226" s="273" t="str">
        <f t="shared" si="31"/>
        <v>Electric baseboard</v>
      </c>
      <c r="D226" s="228"/>
      <c r="E226" s="355"/>
      <c r="F226" s="228" t="s">
        <v>10</v>
      </c>
      <c r="G226" s="5"/>
      <c r="H226" s="55"/>
      <c r="I226" s="55"/>
      <c r="J226" s="55"/>
      <c r="K226" s="55"/>
      <c r="L226" s="55"/>
      <c r="M226" s="55"/>
      <c r="N226" s="55"/>
      <c r="O226" s="55"/>
      <c r="P226" s="55"/>
      <c r="Q226" s="55"/>
      <c r="R226" s="55"/>
      <c r="S226" s="5"/>
      <c r="T226" s="25"/>
      <c r="U226" s="5"/>
    </row>
    <row r="227" spans="1:21" s="3" customFormat="1" hidden="1" outlineLevel="1">
      <c r="A227" s="21"/>
      <c r="B227" s="228" t="s">
        <v>304</v>
      </c>
      <c r="C227" s="273" t="str">
        <f t="shared" si="31"/>
        <v>Electric baseboard</v>
      </c>
      <c r="D227" s="228"/>
      <c r="E227" s="355"/>
      <c r="F227" s="228" t="s">
        <v>96</v>
      </c>
      <c r="G227" s="5"/>
      <c r="H227" s="261">
        <v>0.05</v>
      </c>
      <c r="I227" s="352">
        <f t="shared" ref="I227:R229" si="32">H227</f>
        <v>0.05</v>
      </c>
      <c r="J227" s="352">
        <f t="shared" si="32"/>
        <v>0.05</v>
      </c>
      <c r="K227" s="352">
        <f t="shared" si="32"/>
        <v>0.05</v>
      </c>
      <c r="L227" s="352">
        <f t="shared" si="32"/>
        <v>0.05</v>
      </c>
      <c r="M227" s="352">
        <f t="shared" si="32"/>
        <v>0.05</v>
      </c>
      <c r="N227" s="352">
        <f t="shared" si="32"/>
        <v>0.05</v>
      </c>
      <c r="O227" s="352">
        <f t="shared" si="32"/>
        <v>0.05</v>
      </c>
      <c r="P227" s="352">
        <f t="shared" si="32"/>
        <v>0.05</v>
      </c>
      <c r="Q227" s="352">
        <f t="shared" si="32"/>
        <v>0.05</v>
      </c>
      <c r="R227" s="352">
        <f t="shared" si="32"/>
        <v>0.05</v>
      </c>
      <c r="S227" s="5"/>
      <c r="T227" s="25"/>
      <c r="U227" s="5"/>
    </row>
    <row r="228" spans="1:21" s="3" customFormat="1" hidden="1" outlineLevel="1">
      <c r="A228" s="21"/>
      <c r="B228" s="228" t="s">
        <v>350</v>
      </c>
      <c r="C228" s="273" t="str">
        <f t="shared" si="31"/>
        <v>Electric baseboard</v>
      </c>
      <c r="D228" s="228"/>
      <c r="E228" s="355"/>
      <c r="F228" s="228" t="s">
        <v>96</v>
      </c>
      <c r="G228" s="5"/>
      <c r="H228" s="261">
        <v>0</v>
      </c>
      <c r="I228" s="352">
        <f t="shared" si="32"/>
        <v>0</v>
      </c>
      <c r="J228" s="352">
        <f t="shared" si="32"/>
        <v>0</v>
      </c>
      <c r="K228" s="352">
        <f t="shared" si="32"/>
        <v>0</v>
      </c>
      <c r="L228" s="352">
        <f t="shared" si="32"/>
        <v>0</v>
      </c>
      <c r="M228" s="352">
        <f t="shared" si="32"/>
        <v>0</v>
      </c>
      <c r="N228" s="352">
        <f t="shared" si="32"/>
        <v>0</v>
      </c>
      <c r="O228" s="352">
        <f t="shared" si="32"/>
        <v>0</v>
      </c>
      <c r="P228" s="352">
        <f t="shared" si="32"/>
        <v>0</v>
      </c>
      <c r="Q228" s="352">
        <f t="shared" si="32"/>
        <v>0</v>
      </c>
      <c r="R228" s="352">
        <f t="shared" si="32"/>
        <v>0</v>
      </c>
      <c r="S228" s="5"/>
      <c r="T228" s="25"/>
      <c r="U228" s="5"/>
    </row>
    <row r="229" spans="1:21" s="3" customFormat="1" hidden="1" outlineLevel="1">
      <c r="A229" s="21"/>
      <c r="B229" s="228" t="s">
        <v>349</v>
      </c>
      <c r="C229" s="273" t="str">
        <f t="shared" si="31"/>
        <v>Electric baseboard</v>
      </c>
      <c r="D229" s="228"/>
      <c r="E229" s="355"/>
      <c r="F229" s="228" t="s">
        <v>96</v>
      </c>
      <c r="G229" s="5"/>
      <c r="H229" s="261">
        <v>0.25</v>
      </c>
      <c r="I229" s="352">
        <f t="shared" si="32"/>
        <v>0.25</v>
      </c>
      <c r="J229" s="352">
        <f t="shared" si="32"/>
        <v>0.25</v>
      </c>
      <c r="K229" s="352">
        <f t="shared" si="32"/>
        <v>0.25</v>
      </c>
      <c r="L229" s="352">
        <f t="shared" si="32"/>
        <v>0.25</v>
      </c>
      <c r="M229" s="352">
        <f t="shared" si="32"/>
        <v>0.25</v>
      </c>
      <c r="N229" s="352">
        <f t="shared" si="32"/>
        <v>0.25</v>
      </c>
      <c r="O229" s="352">
        <f t="shared" si="32"/>
        <v>0.25</v>
      </c>
      <c r="P229" s="352">
        <f t="shared" si="32"/>
        <v>0.25</v>
      </c>
      <c r="Q229" s="352">
        <f t="shared" si="32"/>
        <v>0.25</v>
      </c>
      <c r="R229" s="352">
        <f t="shared" si="32"/>
        <v>0.25</v>
      </c>
      <c r="S229" s="5"/>
      <c r="T229" s="25"/>
      <c r="U229" s="5"/>
    </row>
    <row r="230" spans="1:21" s="3" customFormat="1" hidden="1" outlineLevel="1">
      <c r="A230" s="21"/>
      <c r="B230" s="228" t="s">
        <v>74</v>
      </c>
      <c r="C230" s="273" t="str">
        <f t="shared" si="31"/>
        <v>Electric baseboard</v>
      </c>
      <c r="D230" s="228"/>
      <c r="E230" s="355"/>
      <c r="F230" s="228" t="s">
        <v>96</v>
      </c>
      <c r="G230" s="5"/>
      <c r="H230" s="261">
        <v>6.0000000000000001E-3</v>
      </c>
      <c r="I230" s="261"/>
      <c r="J230" s="261"/>
      <c r="K230" s="261"/>
      <c r="L230" s="261"/>
      <c r="M230" s="261"/>
      <c r="N230" s="261"/>
      <c r="O230" s="261"/>
      <c r="P230" s="261"/>
      <c r="Q230" s="261"/>
      <c r="R230" s="261"/>
      <c r="S230" s="5"/>
      <c r="T230" s="25"/>
      <c r="U230" s="5"/>
    </row>
    <row r="231" spans="1:21" s="3" customFormat="1" hidden="1" outlineLevel="1">
      <c r="A231" s="21"/>
      <c r="B231" s="358" t="s">
        <v>146</v>
      </c>
      <c r="C231" s="273" t="str">
        <f t="shared" si="31"/>
        <v>Electric baseboard</v>
      </c>
      <c r="D231" s="359"/>
      <c r="E231" s="360"/>
      <c r="F231" s="358" t="s">
        <v>96</v>
      </c>
      <c r="G231" s="5"/>
      <c r="H231" s="261"/>
      <c r="I231" s="261"/>
      <c r="J231" s="261"/>
      <c r="K231" s="261"/>
      <c r="L231" s="261"/>
      <c r="M231" s="261"/>
      <c r="N231" s="261"/>
      <c r="O231" s="261"/>
      <c r="P231" s="261"/>
      <c r="Q231" s="261"/>
      <c r="R231" s="261"/>
      <c r="S231" s="5"/>
      <c r="T231" s="25"/>
      <c r="U231" s="5"/>
    </row>
    <row r="232" spans="1:21" s="3" customFormat="1" hidden="1" outlineLevel="1">
      <c r="A232" s="21"/>
      <c r="B232" s="358" t="s">
        <v>147</v>
      </c>
      <c r="C232" s="273" t="str">
        <f t="shared" si="31"/>
        <v>Electric baseboard</v>
      </c>
      <c r="D232" s="359"/>
      <c r="E232" s="360"/>
      <c r="F232" s="358" t="s">
        <v>96</v>
      </c>
      <c r="G232" s="5"/>
      <c r="H232" s="261"/>
      <c r="I232" s="261"/>
      <c r="J232" s="261"/>
      <c r="K232" s="261"/>
      <c r="L232" s="261"/>
      <c r="M232" s="261"/>
      <c r="N232" s="261"/>
      <c r="O232" s="261"/>
      <c r="P232" s="261"/>
      <c r="Q232" s="261"/>
      <c r="R232" s="261"/>
      <c r="S232" s="5"/>
      <c r="T232" s="25"/>
      <c r="U232" s="5"/>
    </row>
    <row r="233" spans="1:21" s="3" customFormat="1" hidden="1" outlineLevel="1">
      <c r="A233" s="21"/>
      <c r="B233" s="358" t="s">
        <v>362</v>
      </c>
      <c r="C233" s="273" t="str">
        <f t="shared" si="31"/>
        <v>Electric baseboard</v>
      </c>
      <c r="D233" s="359"/>
      <c r="E233" s="360"/>
      <c r="F233" s="358" t="s">
        <v>96</v>
      </c>
      <c r="G233" s="5"/>
      <c r="H233" s="261"/>
      <c r="I233" s="261"/>
      <c r="J233" s="261"/>
      <c r="K233" s="261"/>
      <c r="L233" s="261"/>
      <c r="M233" s="261"/>
      <c r="N233" s="261"/>
      <c r="O233" s="261"/>
      <c r="P233" s="261"/>
      <c r="Q233" s="261"/>
      <c r="R233" s="261"/>
      <c r="S233" s="5"/>
      <c r="T233" s="25"/>
      <c r="U233" s="5"/>
    </row>
    <row r="234" spans="1:21" s="3" customFormat="1" hidden="1" outlineLevel="1">
      <c r="A234" s="21"/>
      <c r="B234" s="358" t="s">
        <v>363</v>
      </c>
      <c r="C234" s="273" t="str">
        <f t="shared" si="31"/>
        <v>Electric baseboard</v>
      </c>
      <c r="D234" s="359"/>
      <c r="E234" s="360"/>
      <c r="F234" s="358" t="s">
        <v>96</v>
      </c>
      <c r="G234" s="5"/>
      <c r="H234" s="261"/>
      <c r="I234" s="261"/>
      <c r="J234" s="261"/>
      <c r="K234" s="261"/>
      <c r="L234" s="261"/>
      <c r="M234" s="261"/>
      <c r="N234" s="261"/>
      <c r="O234" s="261"/>
      <c r="P234" s="261"/>
      <c r="Q234" s="261"/>
      <c r="R234" s="261"/>
      <c r="S234" s="5"/>
      <c r="T234" s="25"/>
      <c r="U234" s="5"/>
    </row>
    <row r="235" spans="1:21" s="3" customFormat="1" hidden="1" outlineLevel="1">
      <c r="A235" s="21"/>
      <c r="B235" s="228" t="s">
        <v>332</v>
      </c>
      <c r="C235" s="273" t="str">
        <f t="shared" si="31"/>
        <v>Electric baseboard</v>
      </c>
      <c r="D235" s="228"/>
      <c r="E235" s="355"/>
      <c r="F235" s="228" t="s">
        <v>33</v>
      </c>
      <c r="G235" s="5"/>
      <c r="H235" s="29">
        <v>170</v>
      </c>
      <c r="I235" s="362">
        <f t="shared" ref="I235:R236" si="33">H235</f>
        <v>170</v>
      </c>
      <c r="J235" s="362">
        <f t="shared" si="33"/>
        <v>170</v>
      </c>
      <c r="K235" s="362">
        <f t="shared" si="33"/>
        <v>170</v>
      </c>
      <c r="L235" s="362">
        <f t="shared" si="33"/>
        <v>170</v>
      </c>
      <c r="M235" s="362">
        <f t="shared" si="33"/>
        <v>170</v>
      </c>
      <c r="N235" s="362">
        <f t="shared" si="33"/>
        <v>170</v>
      </c>
      <c r="O235" s="362">
        <f t="shared" si="33"/>
        <v>170</v>
      </c>
      <c r="P235" s="362">
        <f t="shared" si="33"/>
        <v>170</v>
      </c>
      <c r="Q235" s="362">
        <f t="shared" si="33"/>
        <v>170</v>
      </c>
      <c r="R235" s="362">
        <f t="shared" si="33"/>
        <v>170</v>
      </c>
      <c r="S235" s="5"/>
      <c r="T235" s="25"/>
      <c r="U235" s="5"/>
    </row>
    <row r="236" spans="1:21" s="3" customFormat="1" hidden="1" outlineLevel="1">
      <c r="A236" s="21"/>
      <c r="B236" s="228" t="s">
        <v>470</v>
      </c>
      <c r="C236" s="273" t="str">
        <f t="shared" si="31"/>
        <v>Electric baseboard</v>
      </c>
      <c r="D236" s="228"/>
      <c r="E236" s="355"/>
      <c r="F236" s="228" t="s">
        <v>316</v>
      </c>
      <c r="G236" s="5"/>
      <c r="H236" s="54">
        <v>2655.9520000000002</v>
      </c>
      <c r="I236" s="270">
        <f t="shared" si="33"/>
        <v>2655.9520000000002</v>
      </c>
      <c r="J236" s="270">
        <f t="shared" si="33"/>
        <v>2655.9520000000002</v>
      </c>
      <c r="K236" s="270">
        <f t="shared" si="33"/>
        <v>2655.9520000000002</v>
      </c>
      <c r="L236" s="270">
        <f t="shared" si="33"/>
        <v>2655.9520000000002</v>
      </c>
      <c r="M236" s="270">
        <f t="shared" si="33"/>
        <v>2655.9520000000002</v>
      </c>
      <c r="N236" s="270">
        <f t="shared" si="33"/>
        <v>2655.9520000000002</v>
      </c>
      <c r="O236" s="270">
        <f t="shared" si="33"/>
        <v>2655.9520000000002</v>
      </c>
      <c r="P236" s="270">
        <f t="shared" si="33"/>
        <v>2655.9520000000002</v>
      </c>
      <c r="Q236" s="270">
        <f t="shared" si="33"/>
        <v>2655.9520000000002</v>
      </c>
      <c r="R236" s="270">
        <f t="shared" si="33"/>
        <v>2655.9520000000002</v>
      </c>
      <c r="S236" s="5"/>
      <c r="T236" s="25"/>
      <c r="U236" s="5"/>
    </row>
    <row r="237" spans="1:21" s="3" customFormat="1" hidden="1" outlineLevel="1">
      <c r="A237" s="21"/>
      <c r="B237" s="228" t="s">
        <v>375</v>
      </c>
      <c r="C237" s="273" t="str">
        <f t="shared" si="31"/>
        <v>Electric baseboard</v>
      </c>
      <c r="D237" s="228"/>
      <c r="E237" s="355"/>
      <c r="F237" s="228" t="s">
        <v>96</v>
      </c>
      <c r="G237" s="5"/>
      <c r="H237" s="261"/>
      <c r="I237" s="261"/>
      <c r="J237" s="261"/>
      <c r="K237" s="261"/>
      <c r="L237" s="261"/>
      <c r="M237" s="261"/>
      <c r="N237" s="261"/>
      <c r="O237" s="261"/>
      <c r="P237" s="261"/>
      <c r="Q237" s="261"/>
      <c r="R237" s="261"/>
      <c r="S237" s="5"/>
      <c r="T237" s="25"/>
      <c r="U237" s="5"/>
    </row>
    <row r="238" spans="1:21" s="3" customFormat="1" hidden="1" outlineLevel="1">
      <c r="A238" s="21"/>
      <c r="B238" s="228" t="s">
        <v>432</v>
      </c>
      <c r="C238" s="273" t="str">
        <f t="shared" si="31"/>
        <v>Electric baseboard</v>
      </c>
      <c r="D238" s="228"/>
      <c r="E238" s="355"/>
      <c r="F238" s="228" t="s">
        <v>33</v>
      </c>
      <c r="G238" s="5"/>
      <c r="H238" s="55"/>
      <c r="I238" s="55"/>
      <c r="J238" s="55"/>
      <c r="K238" s="55"/>
      <c r="L238" s="55"/>
      <c r="M238" s="55"/>
      <c r="N238" s="55"/>
      <c r="O238" s="55"/>
      <c r="P238" s="55"/>
      <c r="Q238" s="55"/>
      <c r="R238" s="55"/>
      <c r="S238" s="5"/>
      <c r="T238" s="25"/>
      <c r="U238" s="5"/>
    </row>
    <row r="239" spans="1:21" s="3" customFormat="1" hidden="1" outlineLevel="1">
      <c r="A239" s="21"/>
      <c r="B239" s="228" t="s">
        <v>379</v>
      </c>
      <c r="C239" s="273" t="str">
        <f t="shared" si="31"/>
        <v>Electric baseboard</v>
      </c>
      <c r="D239" s="228"/>
      <c r="E239" s="355"/>
      <c r="F239" s="228"/>
      <c r="G239" s="5"/>
      <c r="H239" s="54"/>
      <c r="I239" s="54"/>
      <c r="J239" s="54"/>
      <c r="K239" s="54"/>
      <c r="L239" s="54"/>
      <c r="M239" s="54"/>
      <c r="N239" s="54"/>
      <c r="O239" s="54"/>
      <c r="P239" s="54"/>
      <c r="Q239" s="54"/>
      <c r="R239" s="54"/>
      <c r="S239" s="5"/>
      <c r="T239" s="25"/>
      <c r="U239" s="5"/>
    </row>
    <row r="240" spans="1:21" s="3" customFormat="1" hidden="1" outlineLevel="1">
      <c r="A240" s="21"/>
      <c r="B240" s="228" t="s">
        <v>361</v>
      </c>
      <c r="C240" s="273" t="str">
        <f t="shared" si="31"/>
        <v>Electric baseboard</v>
      </c>
      <c r="D240" s="228"/>
      <c r="E240" s="355"/>
      <c r="F240" s="228" t="s">
        <v>96</v>
      </c>
      <c r="G240" s="5"/>
      <c r="H240" s="261"/>
      <c r="I240" s="261"/>
      <c r="J240" s="261"/>
      <c r="K240" s="261"/>
      <c r="L240" s="261"/>
      <c r="M240" s="261"/>
      <c r="N240" s="261"/>
      <c r="O240" s="261"/>
      <c r="P240" s="261"/>
      <c r="Q240" s="261"/>
      <c r="R240" s="261"/>
      <c r="S240" s="5"/>
      <c r="T240" s="25"/>
      <c r="U240" s="5"/>
    </row>
    <row r="241" spans="1:21" s="3" customFormat="1" hidden="1" outlineLevel="1">
      <c r="A241" s="21"/>
      <c r="B241" s="228" t="s">
        <v>384</v>
      </c>
      <c r="C241" s="273" t="str">
        <f t="shared" si="31"/>
        <v>Electric baseboard</v>
      </c>
      <c r="D241" s="228"/>
      <c r="E241" s="355"/>
      <c r="F241" s="228" t="s">
        <v>316</v>
      </c>
      <c r="G241" s="5"/>
      <c r="H241" s="54"/>
      <c r="I241" s="54"/>
      <c r="J241" s="54"/>
      <c r="K241" s="54"/>
      <c r="L241" s="54"/>
      <c r="M241" s="54"/>
      <c r="N241" s="54"/>
      <c r="O241" s="54"/>
      <c r="P241" s="54"/>
      <c r="Q241" s="54"/>
      <c r="R241" s="54"/>
      <c r="S241" s="5"/>
      <c r="T241" s="25"/>
      <c r="U241" s="5"/>
    </row>
    <row r="242" spans="1:21" s="3" customFormat="1" hidden="1" outlineLevel="1">
      <c r="A242" s="21"/>
      <c r="B242" s="228" t="s">
        <v>386</v>
      </c>
      <c r="C242" s="273" t="str">
        <f t="shared" si="31"/>
        <v>Electric baseboard</v>
      </c>
      <c r="D242" s="228"/>
      <c r="E242" s="355"/>
      <c r="F242" s="228" t="s">
        <v>316</v>
      </c>
      <c r="G242" s="5"/>
      <c r="H242" s="55"/>
      <c r="I242" s="55"/>
      <c r="J242" s="55"/>
      <c r="K242" s="55"/>
      <c r="L242" s="55"/>
      <c r="M242" s="55"/>
      <c r="N242" s="55"/>
      <c r="O242" s="55"/>
      <c r="P242" s="55"/>
      <c r="Q242" s="55"/>
      <c r="R242" s="55"/>
      <c r="S242" s="5"/>
      <c r="T242" s="25"/>
      <c r="U242" s="5"/>
    </row>
    <row r="243" spans="1:21" s="3" customFormat="1" hidden="1" outlineLevel="1">
      <c r="A243" s="21"/>
      <c r="B243" s="228" t="s">
        <v>387</v>
      </c>
      <c r="C243" s="273" t="str">
        <f t="shared" si="31"/>
        <v>Electric baseboard</v>
      </c>
      <c r="D243" s="228"/>
      <c r="E243" s="355"/>
      <c r="F243" s="228"/>
      <c r="G243" s="5"/>
      <c r="H243" s="261"/>
      <c r="I243" s="261"/>
      <c r="J243" s="261"/>
      <c r="K243" s="261"/>
      <c r="L243" s="261"/>
      <c r="M243" s="261"/>
      <c r="N243" s="261"/>
      <c r="O243" s="261"/>
      <c r="P243" s="261"/>
      <c r="Q243" s="261"/>
      <c r="R243" s="261"/>
      <c r="S243" s="5"/>
      <c r="T243" s="25"/>
      <c r="U243" s="5"/>
    </row>
    <row r="244" spans="1:21" s="3" customFormat="1" hidden="1" outlineLevel="1">
      <c r="A244" s="21"/>
      <c r="B244" s="228" t="s">
        <v>388</v>
      </c>
      <c r="C244" s="273" t="str">
        <f t="shared" si="31"/>
        <v>Electric baseboard</v>
      </c>
      <c r="D244" s="228"/>
      <c r="E244" s="355"/>
      <c r="F244" s="228"/>
      <c r="G244" s="5"/>
      <c r="H244" s="55"/>
      <c r="I244" s="55"/>
      <c r="J244" s="55"/>
      <c r="K244" s="55"/>
      <c r="L244" s="55"/>
      <c r="M244" s="55"/>
      <c r="N244" s="55"/>
      <c r="O244" s="55"/>
      <c r="P244" s="55"/>
      <c r="Q244" s="55"/>
      <c r="R244" s="55"/>
      <c r="S244" s="5"/>
      <c r="T244" s="25"/>
      <c r="U244" s="5"/>
    </row>
    <row r="245" spans="1:21" s="3" customFormat="1" hidden="1" outlineLevel="1">
      <c r="A245" s="21"/>
      <c r="B245" s="228" t="s">
        <v>385</v>
      </c>
      <c r="C245" s="273" t="str">
        <f t="shared" si="31"/>
        <v>Electric baseboard</v>
      </c>
      <c r="D245" s="228"/>
      <c r="E245" s="355"/>
      <c r="F245" s="228" t="s">
        <v>317</v>
      </c>
      <c r="G245" s="5"/>
      <c r="H245" s="54"/>
      <c r="I245" s="54"/>
      <c r="J245" s="54"/>
      <c r="K245" s="54"/>
      <c r="L245" s="54"/>
      <c r="M245" s="54"/>
      <c r="N245" s="54"/>
      <c r="O245" s="54"/>
      <c r="P245" s="54"/>
      <c r="Q245" s="54"/>
      <c r="R245" s="54"/>
      <c r="S245" s="5"/>
      <c r="T245" s="25"/>
      <c r="U245" s="5"/>
    </row>
    <row r="246" spans="1:21" s="3" customFormat="1" hidden="1" outlineLevel="1">
      <c r="A246" s="21"/>
      <c r="B246" s="228" t="s">
        <v>389</v>
      </c>
      <c r="C246" s="273" t="str">
        <f t="shared" si="31"/>
        <v>Electric baseboard</v>
      </c>
      <c r="D246" s="228"/>
      <c r="E246" s="355"/>
      <c r="F246" s="228" t="s">
        <v>317</v>
      </c>
      <c r="G246" s="5"/>
      <c r="H246" s="55"/>
      <c r="I246" s="55"/>
      <c r="J246" s="55"/>
      <c r="K246" s="55"/>
      <c r="L246" s="55"/>
      <c r="M246" s="55"/>
      <c r="N246" s="55"/>
      <c r="O246" s="55"/>
      <c r="P246" s="55"/>
      <c r="Q246" s="55"/>
      <c r="R246" s="55"/>
      <c r="S246" s="5"/>
      <c r="T246" s="25"/>
      <c r="U246" s="5"/>
    </row>
    <row r="247" spans="1:21" s="3" customFormat="1" hidden="1" outlineLevel="1">
      <c r="A247" s="21"/>
      <c r="B247" s="228" t="s">
        <v>390</v>
      </c>
      <c r="C247" s="273" t="str">
        <f t="shared" si="31"/>
        <v>Electric baseboard</v>
      </c>
      <c r="D247" s="228"/>
      <c r="E247" s="355"/>
      <c r="F247" s="228"/>
      <c r="G247" s="5"/>
      <c r="H247" s="261"/>
      <c r="I247" s="261"/>
      <c r="J247" s="261"/>
      <c r="K247" s="261"/>
      <c r="L247" s="261"/>
      <c r="M247" s="261"/>
      <c r="N247" s="261"/>
      <c r="O247" s="261"/>
      <c r="P247" s="261"/>
      <c r="Q247" s="261"/>
      <c r="R247" s="261"/>
      <c r="S247" s="5"/>
      <c r="T247" s="25"/>
      <c r="U247" s="5"/>
    </row>
    <row r="248" spans="1:21" s="3" customFormat="1" hidden="1" outlineLevel="1">
      <c r="A248" s="21"/>
      <c r="B248" s="228" t="s">
        <v>391</v>
      </c>
      <c r="C248" s="273" t="str">
        <f t="shared" si="31"/>
        <v>Electric baseboard</v>
      </c>
      <c r="D248" s="228"/>
      <c r="E248" s="355"/>
      <c r="F248" s="228"/>
      <c r="G248" s="5"/>
      <c r="H248" s="55"/>
      <c r="I248" s="55"/>
      <c r="J248" s="55"/>
      <c r="K248" s="55"/>
      <c r="L248" s="55"/>
      <c r="M248" s="55"/>
      <c r="N248" s="55"/>
      <c r="O248" s="55"/>
      <c r="P248" s="55"/>
      <c r="Q248" s="55"/>
      <c r="R248" s="55"/>
      <c r="S248" s="5"/>
      <c r="T248" s="25"/>
      <c r="U248" s="5"/>
    </row>
    <row r="249" spans="1:21" s="3" customFormat="1" hidden="1" outlineLevel="1">
      <c r="A249" s="21"/>
      <c r="B249" s="228" t="s">
        <v>305</v>
      </c>
      <c r="C249" s="273" t="str">
        <f t="shared" si="31"/>
        <v>Electric baseboard</v>
      </c>
      <c r="D249" s="228"/>
      <c r="E249" s="355"/>
      <c r="F249" s="228" t="s">
        <v>317</v>
      </c>
      <c r="G249" s="5"/>
      <c r="H249" s="54"/>
      <c r="I249" s="54"/>
      <c r="J249" s="54"/>
      <c r="K249" s="54"/>
      <c r="L249" s="54"/>
      <c r="M249" s="54"/>
      <c r="N249" s="54"/>
      <c r="O249" s="54"/>
      <c r="P249" s="54"/>
      <c r="Q249" s="54"/>
      <c r="R249" s="54"/>
      <c r="S249" s="5"/>
      <c r="T249" s="25"/>
      <c r="U249" s="5"/>
    </row>
    <row r="250" spans="1:21" s="3" customFormat="1" hidden="1" outlineLevel="1">
      <c r="A250" s="21"/>
      <c r="B250" s="228" t="s">
        <v>352</v>
      </c>
      <c r="C250" s="273" t="str">
        <f t="shared" si="31"/>
        <v>Electric baseboard</v>
      </c>
      <c r="D250" s="228"/>
      <c r="E250" s="355"/>
      <c r="F250" s="228" t="s">
        <v>316</v>
      </c>
      <c r="G250" s="5"/>
      <c r="H250" s="54"/>
      <c r="I250" s="54"/>
      <c r="J250" s="54"/>
      <c r="K250" s="54"/>
      <c r="L250" s="54"/>
      <c r="M250" s="54"/>
      <c r="N250" s="54"/>
      <c r="O250" s="54"/>
      <c r="P250" s="54"/>
      <c r="Q250" s="54"/>
      <c r="R250" s="54"/>
      <c r="S250" s="5"/>
      <c r="T250" s="25"/>
      <c r="U250" s="5"/>
    </row>
    <row r="251" spans="1:21" s="3" customFormat="1" hidden="1" outlineLevel="1">
      <c r="A251" s="21"/>
      <c r="B251" s="67" t="s">
        <v>301</v>
      </c>
      <c r="C251" s="273" t="str">
        <f t="shared" si="31"/>
        <v>Electric baseboard</v>
      </c>
      <c r="D251" s="273" t="s">
        <v>454</v>
      </c>
      <c r="E251" s="347"/>
      <c r="F251" s="67" t="s">
        <v>33</v>
      </c>
      <c r="G251" s="5"/>
      <c r="H251" s="350">
        <v>1</v>
      </c>
      <c r="I251" s="363">
        <f t="shared" ref="I251:R251" si="34">H251</f>
        <v>1</v>
      </c>
      <c r="J251" s="363">
        <f t="shared" si="34"/>
        <v>1</v>
      </c>
      <c r="K251" s="363">
        <f t="shared" si="34"/>
        <v>1</v>
      </c>
      <c r="L251" s="363">
        <f t="shared" si="34"/>
        <v>1</v>
      </c>
      <c r="M251" s="363">
        <f t="shared" si="34"/>
        <v>1</v>
      </c>
      <c r="N251" s="363">
        <f t="shared" si="34"/>
        <v>1</v>
      </c>
      <c r="O251" s="363">
        <f t="shared" si="34"/>
        <v>1</v>
      </c>
      <c r="P251" s="363">
        <f t="shared" si="34"/>
        <v>1</v>
      </c>
      <c r="Q251" s="363">
        <f t="shared" si="34"/>
        <v>1</v>
      </c>
      <c r="R251" s="363">
        <f t="shared" si="34"/>
        <v>1</v>
      </c>
      <c r="S251" s="5"/>
      <c r="T251" s="25"/>
      <c r="U251" s="5"/>
    </row>
    <row r="252" spans="1:21" s="3" customFormat="1" hidden="1" outlineLevel="1">
      <c r="A252" s="21"/>
      <c r="B252" s="67" t="s">
        <v>73</v>
      </c>
      <c r="C252" s="273" t="s">
        <v>32</v>
      </c>
      <c r="D252" s="4"/>
      <c r="E252" s="347"/>
      <c r="G252" s="5"/>
      <c r="H252" s="4"/>
      <c r="I252" s="4"/>
      <c r="J252" s="4"/>
      <c r="K252" s="4"/>
      <c r="L252" s="4"/>
      <c r="M252" s="4"/>
      <c r="N252" s="4"/>
      <c r="O252" s="4"/>
      <c r="P252" s="4"/>
      <c r="Q252" s="4"/>
      <c r="R252" s="4"/>
      <c r="S252" s="5"/>
      <c r="T252" s="25"/>
      <c r="U252" s="5"/>
    </row>
    <row r="253" spans="1:21" s="3" customFormat="1" hidden="1" outlineLevel="1">
      <c r="A253" s="21"/>
      <c r="B253" s="228" t="s">
        <v>37</v>
      </c>
      <c r="C253" s="273" t="str">
        <f>C252</f>
        <v>Furnace</v>
      </c>
      <c r="D253" s="228"/>
      <c r="E253" s="355"/>
      <c r="F253" s="228" t="s">
        <v>39</v>
      </c>
      <c r="G253" s="5"/>
      <c r="H253" s="265">
        <v>2000</v>
      </c>
      <c r="I253" s="356">
        <f t="shared" ref="I253:R254" si="35">H253</f>
        <v>2000</v>
      </c>
      <c r="J253" s="356">
        <f t="shared" si="35"/>
        <v>2000</v>
      </c>
      <c r="K253" s="356">
        <f t="shared" si="35"/>
        <v>2000</v>
      </c>
      <c r="L253" s="356">
        <f t="shared" si="35"/>
        <v>2000</v>
      </c>
      <c r="M253" s="356">
        <f t="shared" si="35"/>
        <v>2000</v>
      </c>
      <c r="N253" s="356">
        <f t="shared" si="35"/>
        <v>2000</v>
      </c>
      <c r="O253" s="356">
        <f t="shared" si="35"/>
        <v>2000</v>
      </c>
      <c r="P253" s="356">
        <f t="shared" si="35"/>
        <v>2000</v>
      </c>
      <c r="Q253" s="356">
        <f t="shared" si="35"/>
        <v>2000</v>
      </c>
      <c r="R253" s="356">
        <f t="shared" si="35"/>
        <v>2000</v>
      </c>
      <c r="S253" s="5"/>
      <c r="T253" s="25"/>
      <c r="U253" s="5"/>
    </row>
    <row r="254" spans="1:21" s="3" customFormat="1" hidden="1" outlineLevel="1">
      <c r="A254" s="21"/>
      <c r="B254" s="228" t="s">
        <v>36</v>
      </c>
      <c r="C254" s="273" t="str">
        <f t="shared" ref="C254:C281" si="36">C253</f>
        <v>Furnace</v>
      </c>
      <c r="D254" s="228"/>
      <c r="E254" s="355"/>
      <c r="F254" s="228" t="s">
        <v>39</v>
      </c>
      <c r="G254" s="5"/>
      <c r="H254" s="265">
        <v>2100</v>
      </c>
      <c r="I254" s="356">
        <f t="shared" si="35"/>
        <v>2100</v>
      </c>
      <c r="J254" s="356">
        <f t="shared" si="35"/>
        <v>2100</v>
      </c>
      <c r="K254" s="356">
        <f t="shared" si="35"/>
        <v>2100</v>
      </c>
      <c r="L254" s="356">
        <f t="shared" si="35"/>
        <v>2100</v>
      </c>
      <c r="M254" s="356">
        <f t="shared" si="35"/>
        <v>2100</v>
      </c>
      <c r="N254" s="356">
        <f t="shared" si="35"/>
        <v>2100</v>
      </c>
      <c r="O254" s="356">
        <f t="shared" si="35"/>
        <v>2100</v>
      </c>
      <c r="P254" s="356">
        <f t="shared" si="35"/>
        <v>2100</v>
      </c>
      <c r="Q254" s="356">
        <f t="shared" si="35"/>
        <v>2100</v>
      </c>
      <c r="R254" s="356">
        <f t="shared" si="35"/>
        <v>2100</v>
      </c>
      <c r="S254" s="5"/>
      <c r="T254" s="25"/>
      <c r="U254" s="5"/>
    </row>
    <row r="255" spans="1:21" s="3" customFormat="1" hidden="1" outlineLevel="1">
      <c r="A255" s="21"/>
      <c r="B255" s="228" t="s">
        <v>38</v>
      </c>
      <c r="C255" s="273" t="str">
        <f t="shared" si="36"/>
        <v>Furnace</v>
      </c>
      <c r="D255" s="228"/>
      <c r="E255" s="355"/>
      <c r="F255" s="228" t="s">
        <v>10</v>
      </c>
      <c r="G255" s="5"/>
      <c r="H255" s="55"/>
      <c r="I255" s="55"/>
      <c r="J255" s="55"/>
      <c r="K255" s="55"/>
      <c r="L255" s="55"/>
      <c r="M255" s="55"/>
      <c r="N255" s="55"/>
      <c r="O255" s="55"/>
      <c r="P255" s="55"/>
      <c r="Q255" s="55"/>
      <c r="R255" s="55"/>
      <c r="S255" s="5"/>
      <c r="T255" s="25"/>
      <c r="U255" s="5"/>
    </row>
    <row r="256" spans="1:21" s="3" customFormat="1" hidden="1" outlineLevel="1">
      <c r="A256" s="21"/>
      <c r="B256" s="228" t="s">
        <v>353</v>
      </c>
      <c r="C256" s="273" t="str">
        <f t="shared" si="36"/>
        <v>Furnace</v>
      </c>
      <c r="D256" s="228"/>
      <c r="E256" s="355"/>
      <c r="F256" s="228" t="s">
        <v>10</v>
      </c>
      <c r="G256" s="5"/>
      <c r="H256" s="55"/>
      <c r="I256" s="55"/>
      <c r="J256" s="55"/>
      <c r="K256" s="55"/>
      <c r="L256" s="55"/>
      <c r="M256" s="55"/>
      <c r="N256" s="55"/>
      <c r="O256" s="55"/>
      <c r="P256" s="55"/>
      <c r="Q256" s="55"/>
      <c r="R256" s="55"/>
      <c r="S256" s="5"/>
      <c r="T256" s="25"/>
      <c r="U256" s="5"/>
    </row>
    <row r="257" spans="1:21" s="3" customFormat="1" hidden="1" outlineLevel="1">
      <c r="A257" s="21"/>
      <c r="B257" s="228" t="s">
        <v>304</v>
      </c>
      <c r="C257" s="273" t="str">
        <f t="shared" si="36"/>
        <v>Furnace</v>
      </c>
      <c r="D257" s="228"/>
      <c r="E257" s="355"/>
      <c r="F257" s="228" t="s">
        <v>96</v>
      </c>
      <c r="G257" s="5"/>
      <c r="H257" s="261"/>
      <c r="I257" s="261"/>
      <c r="J257" s="261"/>
      <c r="K257" s="261"/>
      <c r="L257" s="261"/>
      <c r="M257" s="261"/>
      <c r="N257" s="261"/>
      <c r="O257" s="261"/>
      <c r="P257" s="261"/>
      <c r="Q257" s="261"/>
      <c r="R257" s="261"/>
      <c r="S257" s="5"/>
      <c r="T257" s="25"/>
      <c r="U257" s="5"/>
    </row>
    <row r="258" spans="1:21" s="3" customFormat="1" hidden="1" outlineLevel="1">
      <c r="A258" s="21"/>
      <c r="B258" s="228" t="s">
        <v>350</v>
      </c>
      <c r="C258" s="273" t="str">
        <f t="shared" si="36"/>
        <v>Furnace</v>
      </c>
      <c r="D258" s="228"/>
      <c r="E258" s="355"/>
      <c r="F258" s="228" t="s">
        <v>96</v>
      </c>
      <c r="G258" s="5"/>
      <c r="H258" s="261"/>
      <c r="I258" s="261"/>
      <c r="J258" s="261"/>
      <c r="K258" s="261"/>
      <c r="L258" s="261"/>
      <c r="M258" s="261"/>
      <c r="N258" s="261"/>
      <c r="O258" s="261"/>
      <c r="P258" s="261"/>
      <c r="Q258" s="261"/>
      <c r="R258" s="261"/>
      <c r="S258" s="5"/>
      <c r="T258" s="25"/>
      <c r="U258" s="5"/>
    </row>
    <row r="259" spans="1:21" s="3" customFormat="1" hidden="1" outlineLevel="1">
      <c r="A259" s="21"/>
      <c r="B259" s="228" t="s">
        <v>349</v>
      </c>
      <c r="C259" s="273" t="str">
        <f t="shared" si="36"/>
        <v>Furnace</v>
      </c>
      <c r="D259" s="228"/>
      <c r="E259" s="355"/>
      <c r="F259" s="228" t="s">
        <v>96</v>
      </c>
      <c r="G259" s="5"/>
      <c r="H259" s="261"/>
      <c r="I259" s="261"/>
      <c r="J259" s="261"/>
      <c r="K259" s="261"/>
      <c r="L259" s="261"/>
      <c r="M259" s="261"/>
      <c r="N259" s="261"/>
      <c r="O259" s="261"/>
      <c r="P259" s="261"/>
      <c r="Q259" s="261"/>
      <c r="R259" s="261"/>
      <c r="S259" s="5"/>
      <c r="T259" s="25"/>
      <c r="U259" s="5"/>
    </row>
    <row r="260" spans="1:21" s="3" customFormat="1" hidden="1" outlineLevel="1">
      <c r="A260" s="21"/>
      <c r="B260" s="228" t="s">
        <v>74</v>
      </c>
      <c r="C260" s="273" t="str">
        <f t="shared" si="36"/>
        <v>Furnace</v>
      </c>
      <c r="D260" s="228"/>
      <c r="E260" s="355"/>
      <c r="F260" s="228" t="s">
        <v>96</v>
      </c>
      <c r="G260" s="5"/>
      <c r="H260" s="261">
        <v>0.99399999999999999</v>
      </c>
      <c r="I260" s="261"/>
      <c r="J260" s="261"/>
      <c r="K260" s="261"/>
      <c r="L260" s="261"/>
      <c r="M260" s="261"/>
      <c r="N260" s="261"/>
      <c r="O260" s="261"/>
      <c r="P260" s="261"/>
      <c r="Q260" s="261"/>
      <c r="R260" s="261"/>
      <c r="S260" s="5"/>
      <c r="T260" s="25"/>
      <c r="U260" s="5"/>
    </row>
    <row r="261" spans="1:21" s="3" customFormat="1" hidden="1" outlineLevel="1">
      <c r="A261" s="21"/>
      <c r="B261" s="358" t="s">
        <v>146</v>
      </c>
      <c r="C261" s="273" t="str">
        <f t="shared" si="36"/>
        <v>Furnace</v>
      </c>
      <c r="D261" s="359"/>
      <c r="E261" s="360"/>
      <c r="F261" s="358" t="s">
        <v>96</v>
      </c>
      <c r="G261" s="5"/>
      <c r="H261" s="261"/>
      <c r="I261" s="261"/>
      <c r="J261" s="261"/>
      <c r="K261" s="261"/>
      <c r="L261" s="261"/>
      <c r="M261" s="261"/>
      <c r="N261" s="261"/>
      <c r="O261" s="261"/>
      <c r="P261" s="261"/>
      <c r="Q261" s="261"/>
      <c r="R261" s="261"/>
      <c r="S261" s="5"/>
      <c r="T261" s="25"/>
      <c r="U261" s="5"/>
    </row>
    <row r="262" spans="1:21" s="3" customFormat="1" hidden="1" outlineLevel="1">
      <c r="A262" s="21"/>
      <c r="B262" s="358" t="s">
        <v>147</v>
      </c>
      <c r="C262" s="273" t="str">
        <f t="shared" si="36"/>
        <v>Furnace</v>
      </c>
      <c r="D262" s="359"/>
      <c r="E262" s="360"/>
      <c r="F262" s="358" t="s">
        <v>96</v>
      </c>
      <c r="G262" s="5"/>
      <c r="H262" s="261"/>
      <c r="I262" s="261"/>
      <c r="J262" s="261"/>
      <c r="K262" s="261"/>
      <c r="L262" s="261"/>
      <c r="M262" s="261"/>
      <c r="N262" s="261"/>
      <c r="O262" s="261"/>
      <c r="P262" s="261"/>
      <c r="Q262" s="261"/>
      <c r="R262" s="261"/>
      <c r="S262" s="5"/>
      <c r="T262" s="25"/>
      <c r="U262" s="5"/>
    </row>
    <row r="263" spans="1:21" s="3" customFormat="1" hidden="1" outlineLevel="1">
      <c r="A263" s="21"/>
      <c r="B263" s="358" t="s">
        <v>362</v>
      </c>
      <c r="C263" s="273" t="str">
        <f t="shared" si="36"/>
        <v>Furnace</v>
      </c>
      <c r="D263" s="359"/>
      <c r="E263" s="360"/>
      <c r="F263" s="358" t="s">
        <v>96</v>
      </c>
      <c r="G263" s="5"/>
      <c r="H263" s="261"/>
      <c r="I263" s="261"/>
      <c r="J263" s="261"/>
      <c r="K263" s="261"/>
      <c r="L263" s="261"/>
      <c r="M263" s="261"/>
      <c r="N263" s="261"/>
      <c r="O263" s="261"/>
      <c r="P263" s="261"/>
      <c r="Q263" s="261"/>
      <c r="R263" s="261"/>
      <c r="S263" s="5"/>
      <c r="T263" s="25"/>
      <c r="U263" s="5"/>
    </row>
    <row r="264" spans="1:21" s="3" customFormat="1" hidden="1" outlineLevel="1">
      <c r="A264" s="21"/>
      <c r="B264" s="358" t="s">
        <v>363</v>
      </c>
      <c r="C264" s="273" t="str">
        <f t="shared" si="36"/>
        <v>Furnace</v>
      </c>
      <c r="D264" s="359"/>
      <c r="E264" s="360"/>
      <c r="F264" s="358" t="s">
        <v>96</v>
      </c>
      <c r="G264" s="5"/>
      <c r="H264" s="261"/>
      <c r="I264" s="261"/>
      <c r="J264" s="261"/>
      <c r="K264" s="261"/>
      <c r="L264" s="261"/>
      <c r="M264" s="261"/>
      <c r="N264" s="261"/>
      <c r="O264" s="261"/>
      <c r="P264" s="261"/>
      <c r="Q264" s="261"/>
      <c r="R264" s="261"/>
      <c r="S264" s="5"/>
      <c r="T264" s="25"/>
      <c r="U264" s="5"/>
    </row>
    <row r="265" spans="1:21" s="3" customFormat="1" hidden="1" outlineLevel="1">
      <c r="A265" s="21"/>
      <c r="B265" s="228" t="s">
        <v>332</v>
      </c>
      <c r="C265" s="273" t="str">
        <f t="shared" si="36"/>
        <v>Furnace</v>
      </c>
      <c r="D265" s="228"/>
      <c r="E265" s="355"/>
      <c r="F265" s="228" t="s">
        <v>33</v>
      </c>
      <c r="G265" s="5"/>
      <c r="H265" s="29"/>
      <c r="I265" s="29"/>
      <c r="J265" s="29"/>
      <c r="K265" s="29"/>
      <c r="L265" s="29"/>
      <c r="M265" s="29"/>
      <c r="N265" s="29"/>
      <c r="O265" s="29"/>
      <c r="P265" s="29"/>
      <c r="Q265" s="29"/>
      <c r="R265" s="29"/>
      <c r="S265" s="5"/>
      <c r="T265" s="25"/>
      <c r="U265" s="5"/>
    </row>
    <row r="266" spans="1:21" s="3" customFormat="1" hidden="1" outlineLevel="1">
      <c r="A266" s="21"/>
      <c r="B266" s="228" t="s">
        <v>470</v>
      </c>
      <c r="C266" s="273" t="str">
        <f t="shared" si="36"/>
        <v>Furnace</v>
      </c>
      <c r="D266" s="228"/>
      <c r="E266" s="355"/>
      <c r="F266" s="228" t="s">
        <v>316</v>
      </c>
      <c r="G266" s="5"/>
      <c r="H266" s="54"/>
      <c r="I266" s="54"/>
      <c r="J266" s="54"/>
      <c r="K266" s="54"/>
      <c r="L266" s="54"/>
      <c r="M266" s="54"/>
      <c r="N266" s="54"/>
      <c r="O266" s="54"/>
      <c r="P266" s="54"/>
      <c r="Q266" s="54"/>
      <c r="R266" s="54"/>
      <c r="S266" s="5"/>
      <c r="T266" s="25"/>
      <c r="U266" s="5"/>
    </row>
    <row r="267" spans="1:21" s="3" customFormat="1" hidden="1" outlineLevel="1">
      <c r="A267" s="21"/>
      <c r="B267" s="228" t="s">
        <v>375</v>
      </c>
      <c r="C267" s="273" t="str">
        <f t="shared" si="36"/>
        <v>Furnace</v>
      </c>
      <c r="D267" s="228"/>
      <c r="E267" s="355"/>
      <c r="F267" s="228" t="s">
        <v>96</v>
      </c>
      <c r="G267" s="5"/>
      <c r="H267" s="261"/>
      <c r="I267" s="261"/>
      <c r="J267" s="261"/>
      <c r="K267" s="261"/>
      <c r="L267" s="261"/>
      <c r="M267" s="261"/>
      <c r="N267" s="261"/>
      <c r="O267" s="261"/>
      <c r="P267" s="261"/>
      <c r="Q267" s="261"/>
      <c r="R267" s="261"/>
      <c r="S267" s="5"/>
      <c r="T267" s="25"/>
      <c r="U267" s="5"/>
    </row>
    <row r="268" spans="1:21" s="3" customFormat="1" hidden="1" outlineLevel="1">
      <c r="A268" s="21"/>
      <c r="B268" s="228" t="s">
        <v>432</v>
      </c>
      <c r="C268" s="273" t="str">
        <f t="shared" si="36"/>
        <v>Furnace</v>
      </c>
      <c r="D268" s="228"/>
      <c r="E268" s="355"/>
      <c r="F268" s="228" t="s">
        <v>33</v>
      </c>
      <c r="G268" s="5"/>
      <c r="H268" s="55"/>
      <c r="I268" s="55"/>
      <c r="J268" s="55"/>
      <c r="K268" s="55"/>
      <c r="L268" s="55"/>
      <c r="M268" s="55"/>
      <c r="N268" s="55"/>
      <c r="O268" s="55"/>
      <c r="P268" s="55"/>
      <c r="Q268" s="55"/>
      <c r="R268" s="55"/>
      <c r="S268" s="5"/>
      <c r="T268" s="25"/>
      <c r="U268" s="5"/>
    </row>
    <row r="269" spans="1:21" s="3" customFormat="1" hidden="1" outlineLevel="1">
      <c r="A269" s="21"/>
      <c r="B269" s="228" t="s">
        <v>379</v>
      </c>
      <c r="C269" s="273" t="str">
        <f t="shared" si="36"/>
        <v>Furnace</v>
      </c>
      <c r="D269" s="228"/>
      <c r="E269" s="355"/>
      <c r="F269" s="228"/>
      <c r="G269" s="5"/>
      <c r="H269" s="54"/>
      <c r="I269" s="54"/>
      <c r="J269" s="54"/>
      <c r="K269" s="54"/>
      <c r="L269" s="54"/>
      <c r="M269" s="54"/>
      <c r="N269" s="54"/>
      <c r="O269" s="54"/>
      <c r="P269" s="54"/>
      <c r="Q269" s="54"/>
      <c r="R269" s="54"/>
      <c r="S269" s="5"/>
      <c r="T269" s="25"/>
      <c r="U269" s="5"/>
    </row>
    <row r="270" spans="1:21" s="3" customFormat="1" hidden="1" outlineLevel="1">
      <c r="A270" s="21"/>
      <c r="B270" s="228" t="s">
        <v>361</v>
      </c>
      <c r="C270" s="273" t="str">
        <f t="shared" si="36"/>
        <v>Furnace</v>
      </c>
      <c r="D270" s="228"/>
      <c r="E270" s="355"/>
      <c r="F270" s="228" t="s">
        <v>96</v>
      </c>
      <c r="G270" s="5"/>
      <c r="H270" s="261"/>
      <c r="I270" s="261"/>
      <c r="J270" s="261"/>
      <c r="K270" s="261"/>
      <c r="L270" s="261"/>
      <c r="M270" s="261"/>
      <c r="N270" s="261"/>
      <c r="O270" s="261"/>
      <c r="P270" s="261"/>
      <c r="Q270" s="261"/>
      <c r="R270" s="261"/>
      <c r="S270" s="5"/>
      <c r="T270" s="25"/>
      <c r="U270" s="5"/>
    </row>
    <row r="271" spans="1:21" s="3" customFormat="1" hidden="1" outlineLevel="1">
      <c r="A271" s="21"/>
      <c r="B271" s="228" t="s">
        <v>384</v>
      </c>
      <c r="C271" s="273" t="str">
        <f t="shared" si="36"/>
        <v>Furnace</v>
      </c>
      <c r="D271" s="228"/>
      <c r="E271" s="355"/>
      <c r="F271" s="228" t="s">
        <v>316</v>
      </c>
      <c r="G271" s="5"/>
      <c r="H271" s="54"/>
      <c r="I271" s="54"/>
      <c r="J271" s="54"/>
      <c r="K271" s="54"/>
      <c r="L271" s="54"/>
      <c r="M271" s="54"/>
      <c r="N271" s="54"/>
      <c r="O271" s="54"/>
      <c r="P271" s="54"/>
      <c r="Q271" s="54"/>
      <c r="R271" s="54"/>
      <c r="S271" s="5"/>
      <c r="T271" s="25"/>
      <c r="U271" s="5"/>
    </row>
    <row r="272" spans="1:21" s="3" customFormat="1" hidden="1" outlineLevel="1">
      <c r="A272" s="21"/>
      <c r="B272" s="228" t="s">
        <v>386</v>
      </c>
      <c r="C272" s="273" t="str">
        <f t="shared" si="36"/>
        <v>Furnace</v>
      </c>
      <c r="D272" s="228"/>
      <c r="E272" s="355"/>
      <c r="F272" s="228" t="s">
        <v>316</v>
      </c>
      <c r="G272" s="5"/>
      <c r="H272" s="55"/>
      <c r="I272" s="55"/>
      <c r="J272" s="55"/>
      <c r="K272" s="55"/>
      <c r="L272" s="55"/>
      <c r="M272" s="55"/>
      <c r="N272" s="55"/>
      <c r="O272" s="55"/>
      <c r="P272" s="55"/>
      <c r="Q272" s="55"/>
      <c r="R272" s="55"/>
      <c r="S272" s="5"/>
      <c r="T272" s="25"/>
      <c r="U272" s="5"/>
    </row>
    <row r="273" spans="1:21" s="3" customFormat="1" hidden="1" outlineLevel="1">
      <c r="A273" s="21"/>
      <c r="B273" s="228" t="s">
        <v>387</v>
      </c>
      <c r="C273" s="273" t="str">
        <f t="shared" si="36"/>
        <v>Furnace</v>
      </c>
      <c r="D273" s="228"/>
      <c r="E273" s="355"/>
      <c r="F273" s="228"/>
      <c r="G273" s="5"/>
      <c r="H273" s="261"/>
      <c r="I273" s="261"/>
      <c r="J273" s="261"/>
      <c r="K273" s="261"/>
      <c r="L273" s="261"/>
      <c r="M273" s="261"/>
      <c r="N273" s="261"/>
      <c r="O273" s="261"/>
      <c r="P273" s="261"/>
      <c r="Q273" s="261"/>
      <c r="R273" s="261"/>
      <c r="S273" s="5"/>
      <c r="T273" s="25"/>
      <c r="U273" s="5"/>
    </row>
    <row r="274" spans="1:21" s="3" customFormat="1" hidden="1" outlineLevel="1">
      <c r="A274" s="21"/>
      <c r="B274" s="228" t="s">
        <v>388</v>
      </c>
      <c r="C274" s="273" t="str">
        <f t="shared" si="36"/>
        <v>Furnace</v>
      </c>
      <c r="D274" s="228"/>
      <c r="E274" s="355"/>
      <c r="F274" s="228"/>
      <c r="G274" s="5"/>
      <c r="H274" s="55"/>
      <c r="I274" s="55"/>
      <c r="J274" s="55"/>
      <c r="K274" s="55"/>
      <c r="L274" s="55"/>
      <c r="M274" s="55"/>
      <c r="N274" s="55"/>
      <c r="O274" s="55"/>
      <c r="P274" s="55"/>
      <c r="Q274" s="55"/>
      <c r="R274" s="55"/>
      <c r="S274" s="5"/>
      <c r="T274" s="25"/>
      <c r="U274" s="5"/>
    </row>
    <row r="275" spans="1:21" s="3" customFormat="1" hidden="1" outlineLevel="1">
      <c r="A275" s="21"/>
      <c r="B275" s="228" t="s">
        <v>385</v>
      </c>
      <c r="C275" s="273" t="str">
        <f t="shared" si="36"/>
        <v>Furnace</v>
      </c>
      <c r="D275" s="228"/>
      <c r="E275" s="355"/>
      <c r="F275" s="228" t="s">
        <v>317</v>
      </c>
      <c r="G275" s="5"/>
      <c r="H275" s="54"/>
      <c r="I275" s="54"/>
      <c r="J275" s="54"/>
      <c r="K275" s="54"/>
      <c r="L275" s="54"/>
      <c r="M275" s="54"/>
      <c r="N275" s="54"/>
      <c r="O275" s="54"/>
      <c r="P275" s="54"/>
      <c r="Q275" s="54"/>
      <c r="R275" s="54"/>
      <c r="S275" s="5"/>
      <c r="T275" s="25"/>
      <c r="U275" s="5"/>
    </row>
    <row r="276" spans="1:21" s="3" customFormat="1" hidden="1" outlineLevel="1">
      <c r="A276" s="21"/>
      <c r="B276" s="228" t="s">
        <v>389</v>
      </c>
      <c r="C276" s="273" t="str">
        <f t="shared" si="36"/>
        <v>Furnace</v>
      </c>
      <c r="D276" s="228"/>
      <c r="E276" s="355"/>
      <c r="F276" s="228" t="s">
        <v>317</v>
      </c>
      <c r="G276" s="5"/>
      <c r="H276" s="55"/>
      <c r="I276" s="55"/>
      <c r="J276" s="55"/>
      <c r="K276" s="55"/>
      <c r="L276" s="55"/>
      <c r="M276" s="55"/>
      <c r="N276" s="55"/>
      <c r="O276" s="55"/>
      <c r="P276" s="55"/>
      <c r="Q276" s="55"/>
      <c r="R276" s="55"/>
      <c r="S276" s="5"/>
      <c r="T276" s="25"/>
      <c r="U276" s="5"/>
    </row>
    <row r="277" spans="1:21" s="3" customFormat="1" hidden="1" outlineLevel="1">
      <c r="A277" s="21"/>
      <c r="B277" s="228" t="s">
        <v>390</v>
      </c>
      <c r="C277" s="273" t="str">
        <f t="shared" si="36"/>
        <v>Furnace</v>
      </c>
      <c r="D277" s="228"/>
      <c r="E277" s="355"/>
      <c r="F277" s="228"/>
      <c r="G277" s="5"/>
      <c r="H277" s="261"/>
      <c r="I277" s="261"/>
      <c r="J277" s="261"/>
      <c r="K277" s="261"/>
      <c r="L277" s="261"/>
      <c r="M277" s="261"/>
      <c r="N277" s="261"/>
      <c r="O277" s="261"/>
      <c r="P277" s="261"/>
      <c r="Q277" s="261"/>
      <c r="R277" s="261"/>
      <c r="S277" s="5"/>
      <c r="T277" s="25"/>
      <c r="U277" s="5"/>
    </row>
    <row r="278" spans="1:21" s="3" customFormat="1" hidden="1" outlineLevel="1">
      <c r="A278" s="21"/>
      <c r="B278" s="228" t="s">
        <v>391</v>
      </c>
      <c r="C278" s="273" t="str">
        <f t="shared" si="36"/>
        <v>Furnace</v>
      </c>
      <c r="D278" s="228"/>
      <c r="E278" s="355"/>
      <c r="F278" s="228"/>
      <c r="G278" s="5"/>
      <c r="H278" s="55"/>
      <c r="I278" s="55"/>
      <c r="J278" s="55"/>
      <c r="K278" s="55"/>
      <c r="L278" s="55"/>
      <c r="M278" s="55"/>
      <c r="N278" s="55"/>
      <c r="O278" s="55"/>
      <c r="P278" s="55"/>
      <c r="Q278" s="55"/>
      <c r="R278" s="55"/>
      <c r="S278" s="5"/>
      <c r="T278" s="25"/>
      <c r="U278" s="5"/>
    </row>
    <row r="279" spans="1:21" s="3" customFormat="1" hidden="1" outlineLevel="1">
      <c r="A279" s="21"/>
      <c r="B279" s="228" t="s">
        <v>305</v>
      </c>
      <c r="C279" s="273" t="str">
        <f t="shared" si="36"/>
        <v>Furnace</v>
      </c>
      <c r="D279" s="228"/>
      <c r="E279" s="355"/>
      <c r="F279" s="228" t="s">
        <v>317</v>
      </c>
      <c r="G279" s="5"/>
      <c r="H279" s="54"/>
      <c r="I279" s="54"/>
      <c r="J279" s="54"/>
      <c r="K279" s="54"/>
      <c r="L279" s="54"/>
      <c r="M279" s="54"/>
      <c r="N279" s="54"/>
      <c r="O279" s="54"/>
      <c r="P279" s="54"/>
      <c r="Q279" s="54"/>
      <c r="R279" s="54"/>
      <c r="S279" s="5"/>
      <c r="T279" s="25"/>
      <c r="U279" s="5"/>
    </row>
    <row r="280" spans="1:21" s="3" customFormat="1" hidden="1" outlineLevel="1">
      <c r="A280" s="21"/>
      <c r="B280" s="228" t="s">
        <v>352</v>
      </c>
      <c r="C280" s="273" t="str">
        <f t="shared" si="36"/>
        <v>Furnace</v>
      </c>
      <c r="D280" s="228"/>
      <c r="E280" s="355"/>
      <c r="F280" s="228" t="s">
        <v>316</v>
      </c>
      <c r="G280" s="5"/>
      <c r="H280" s="54"/>
      <c r="I280" s="54"/>
      <c r="J280" s="54"/>
      <c r="K280" s="54"/>
      <c r="L280" s="54"/>
      <c r="M280" s="54"/>
      <c r="N280" s="54"/>
      <c r="O280" s="54"/>
      <c r="P280" s="54"/>
      <c r="Q280" s="54"/>
      <c r="R280" s="54"/>
      <c r="S280" s="5"/>
      <c r="T280" s="25"/>
      <c r="U280" s="5"/>
    </row>
    <row r="281" spans="1:21" s="3" customFormat="1" hidden="1" outlineLevel="1">
      <c r="A281" s="21"/>
      <c r="B281" s="67" t="s">
        <v>301</v>
      </c>
      <c r="C281" s="273" t="str">
        <f t="shared" si="36"/>
        <v>Furnace</v>
      </c>
      <c r="D281" s="273" t="s">
        <v>450</v>
      </c>
      <c r="E281" s="347"/>
      <c r="F281" s="67" t="s">
        <v>33</v>
      </c>
      <c r="G281" s="5"/>
      <c r="H281" s="350">
        <v>1</v>
      </c>
      <c r="I281" s="363">
        <f t="shared" ref="I281:R281" si="37">H281</f>
        <v>1</v>
      </c>
      <c r="J281" s="363">
        <f t="shared" si="37"/>
        <v>1</v>
      </c>
      <c r="K281" s="363">
        <f t="shared" si="37"/>
        <v>1</v>
      </c>
      <c r="L281" s="363">
        <f t="shared" si="37"/>
        <v>1</v>
      </c>
      <c r="M281" s="363">
        <f t="shared" si="37"/>
        <v>1</v>
      </c>
      <c r="N281" s="363">
        <f t="shared" si="37"/>
        <v>1</v>
      </c>
      <c r="O281" s="363">
        <f t="shared" si="37"/>
        <v>1</v>
      </c>
      <c r="P281" s="363">
        <f t="shared" si="37"/>
        <v>1</v>
      </c>
      <c r="Q281" s="363">
        <f t="shared" si="37"/>
        <v>1</v>
      </c>
      <c r="R281" s="363">
        <f t="shared" si="37"/>
        <v>1</v>
      </c>
      <c r="S281" s="5"/>
      <c r="T281" s="25"/>
      <c r="U281" s="5"/>
    </row>
    <row r="282" spans="1:21" s="3" customFormat="1" hidden="1" outlineLevel="1">
      <c r="A282" s="21" t="s">
        <v>436</v>
      </c>
      <c r="B282" s="4"/>
      <c r="C282" s="13"/>
      <c r="D282" s="4"/>
      <c r="E282" s="4"/>
      <c r="F282" s="9"/>
      <c r="G282" s="13"/>
      <c r="H282" s="4"/>
      <c r="I282" s="4"/>
      <c r="J282" s="4"/>
      <c r="K282" s="4"/>
      <c r="L282" s="4"/>
      <c r="M282" s="4"/>
      <c r="N282" s="4"/>
      <c r="O282" s="4"/>
      <c r="P282" s="4"/>
      <c r="Q282" s="4"/>
      <c r="R282" s="4"/>
      <c r="S282" s="5"/>
      <c r="T282" s="13"/>
      <c r="U282" s="5"/>
    </row>
    <row r="283" spans="1:21" s="401" customFormat="1" collapsed="1">
      <c r="A283" s="401" t="s">
        <v>32</v>
      </c>
      <c r="B283" s="402"/>
      <c r="C283" s="403"/>
      <c r="D283" s="402"/>
      <c r="E283" s="402"/>
      <c r="F283" s="404"/>
      <c r="G283" s="403"/>
      <c r="H283" s="402"/>
      <c r="I283" s="402"/>
      <c r="J283" s="402"/>
      <c r="K283" s="402"/>
      <c r="L283" s="402"/>
      <c r="M283" s="402"/>
      <c r="N283" s="402"/>
      <c r="O283" s="402"/>
      <c r="P283" s="402"/>
      <c r="Q283" s="402"/>
      <c r="R283" s="402"/>
      <c r="T283" s="403"/>
    </row>
    <row r="284" spans="1:21" s="3" customFormat="1" hidden="1" outlineLevel="2">
      <c r="A284" s="21"/>
      <c r="B284" s="67" t="s">
        <v>300</v>
      </c>
      <c r="C284" s="273" t="str">
        <f>A283</f>
        <v>Furnace</v>
      </c>
      <c r="D284" s="273" t="s">
        <v>450</v>
      </c>
      <c r="E284" s="347"/>
      <c r="F284" s="67" t="s">
        <v>33</v>
      </c>
      <c r="G284" s="5"/>
      <c r="H284" s="55"/>
      <c r="I284" s="55"/>
      <c r="J284" s="55"/>
      <c r="K284" s="55"/>
      <c r="L284" s="55"/>
      <c r="M284" s="55"/>
      <c r="N284" s="55"/>
      <c r="O284" s="55"/>
      <c r="P284" s="55"/>
      <c r="Q284" s="55"/>
      <c r="R284" s="55"/>
      <c r="S284" s="5"/>
      <c r="T284" s="25"/>
      <c r="U284" s="5"/>
    </row>
    <row r="285" spans="1:21" s="3" customFormat="1" hidden="1" outlineLevel="2">
      <c r="A285" s="21"/>
      <c r="B285" s="67" t="s">
        <v>466</v>
      </c>
      <c r="C285" s="273" t="s">
        <v>110</v>
      </c>
      <c r="D285" s="273"/>
      <c r="E285" s="347"/>
      <c r="F285" s="67"/>
      <c r="G285" s="5"/>
      <c r="H285" s="55"/>
      <c r="I285" s="55"/>
      <c r="J285" s="55"/>
      <c r="K285" s="55"/>
      <c r="L285" s="55"/>
      <c r="M285" s="55"/>
      <c r="N285" s="55"/>
      <c r="O285" s="55"/>
      <c r="P285" s="55"/>
      <c r="Q285" s="55"/>
      <c r="R285" s="55"/>
      <c r="S285" s="5"/>
      <c r="T285" s="25"/>
      <c r="U285" s="5"/>
    </row>
    <row r="286" spans="1:21" s="3" customFormat="1" hidden="1" outlineLevel="2">
      <c r="A286" s="21"/>
      <c r="B286" s="67" t="s">
        <v>46</v>
      </c>
      <c r="C286" s="273" t="s">
        <v>20</v>
      </c>
      <c r="D286" s="4"/>
      <c r="E286" s="347"/>
      <c r="G286" s="5"/>
      <c r="H286" s="4"/>
      <c r="I286" s="4"/>
      <c r="J286" s="4"/>
      <c r="K286" s="4"/>
      <c r="L286" s="4"/>
      <c r="M286" s="4"/>
      <c r="N286" s="4"/>
      <c r="O286" s="4"/>
      <c r="P286" s="4"/>
      <c r="Q286" s="4"/>
      <c r="R286" s="4"/>
      <c r="S286" s="5"/>
      <c r="T286" s="25"/>
      <c r="U286" s="5"/>
    </row>
    <row r="287" spans="1:21" s="3" customFormat="1" hidden="1" outlineLevel="2">
      <c r="A287" s="21"/>
      <c r="B287" s="67" t="s">
        <v>65</v>
      </c>
      <c r="C287" s="273" t="s">
        <v>34</v>
      </c>
      <c r="D287" s="4"/>
      <c r="E287" s="347"/>
      <c r="G287" s="5"/>
      <c r="H287" s="4">
        <v>10</v>
      </c>
      <c r="I287" s="354">
        <f t="shared" ref="I287:R287" si="38">H287</f>
        <v>10</v>
      </c>
      <c r="J287" s="354">
        <f t="shared" si="38"/>
        <v>10</v>
      </c>
      <c r="K287" s="354">
        <f t="shared" si="38"/>
        <v>10</v>
      </c>
      <c r="L287" s="354">
        <f t="shared" si="38"/>
        <v>10</v>
      </c>
      <c r="M287" s="354">
        <f t="shared" si="38"/>
        <v>10</v>
      </c>
      <c r="N287" s="354">
        <f t="shared" si="38"/>
        <v>10</v>
      </c>
      <c r="O287" s="354">
        <f t="shared" si="38"/>
        <v>10</v>
      </c>
      <c r="P287" s="354">
        <f t="shared" si="38"/>
        <v>10</v>
      </c>
      <c r="Q287" s="354">
        <f t="shared" si="38"/>
        <v>10</v>
      </c>
      <c r="R287" s="354">
        <f t="shared" si="38"/>
        <v>10</v>
      </c>
      <c r="S287" s="5"/>
      <c r="T287" s="25"/>
      <c r="U287" s="5"/>
    </row>
    <row r="288" spans="1:21" s="3" customFormat="1" hidden="1" outlineLevel="2">
      <c r="A288" s="21"/>
      <c r="B288" s="67" t="s">
        <v>50</v>
      </c>
      <c r="C288" s="273" t="s">
        <v>471</v>
      </c>
      <c r="D288" s="4"/>
      <c r="E288" s="347"/>
      <c r="G288" s="5"/>
      <c r="H288" s="4"/>
      <c r="I288" s="4"/>
      <c r="J288" s="4"/>
      <c r="K288" s="4"/>
      <c r="L288" s="4"/>
      <c r="M288" s="4"/>
      <c r="N288" s="4"/>
      <c r="O288" s="4"/>
      <c r="P288" s="4"/>
      <c r="Q288" s="4"/>
      <c r="R288" s="4"/>
      <c r="S288" s="5"/>
      <c r="T288" s="25"/>
      <c r="U288" s="5"/>
    </row>
    <row r="289" spans="1:21" s="3" customFormat="1" hidden="1" outlineLevel="2">
      <c r="A289" s="21"/>
      <c r="B289" s="228" t="s">
        <v>37</v>
      </c>
      <c r="C289" s="273" t="str">
        <f>C288</f>
        <v>Natural Gas existing</v>
      </c>
      <c r="D289" s="228"/>
      <c r="E289" s="355"/>
      <c r="F289" s="228" t="s">
        <v>39</v>
      </c>
      <c r="G289" s="5"/>
      <c r="H289" s="265">
        <v>1980</v>
      </c>
      <c r="I289" s="356">
        <f t="shared" ref="I289:R291" si="39">H289</f>
        <v>1980</v>
      </c>
      <c r="J289" s="356">
        <f t="shared" si="39"/>
        <v>1980</v>
      </c>
      <c r="K289" s="356">
        <f t="shared" si="39"/>
        <v>1980</v>
      </c>
      <c r="L289" s="356">
        <f t="shared" si="39"/>
        <v>1980</v>
      </c>
      <c r="M289" s="356">
        <f t="shared" si="39"/>
        <v>1980</v>
      </c>
      <c r="N289" s="356">
        <f t="shared" si="39"/>
        <v>1980</v>
      </c>
      <c r="O289" s="356">
        <f t="shared" si="39"/>
        <v>1980</v>
      </c>
      <c r="P289" s="356">
        <f t="shared" si="39"/>
        <v>1980</v>
      </c>
      <c r="Q289" s="356">
        <f t="shared" si="39"/>
        <v>1980</v>
      </c>
      <c r="R289" s="356">
        <f t="shared" si="39"/>
        <v>1980</v>
      </c>
      <c r="S289" s="5"/>
      <c r="T289" s="25"/>
      <c r="U289" s="5"/>
    </row>
    <row r="290" spans="1:21" s="3" customFormat="1" hidden="1" outlineLevel="2">
      <c r="A290" s="21"/>
      <c r="B290" s="228" t="s">
        <v>36</v>
      </c>
      <c r="C290" s="273" t="str">
        <f t="shared" ref="C290:C316" si="40">C289</f>
        <v>Natural Gas existing</v>
      </c>
      <c r="D290" s="228"/>
      <c r="E290" s="355"/>
      <c r="F290" s="228" t="s">
        <v>39</v>
      </c>
      <c r="G290" s="5"/>
      <c r="H290" s="265">
        <v>2000</v>
      </c>
      <c r="I290" s="356">
        <f t="shared" si="39"/>
        <v>2000</v>
      </c>
      <c r="J290" s="356">
        <f t="shared" si="39"/>
        <v>2000</v>
      </c>
      <c r="K290" s="356">
        <f t="shared" si="39"/>
        <v>2000</v>
      </c>
      <c r="L290" s="356">
        <f t="shared" si="39"/>
        <v>2000</v>
      </c>
      <c r="M290" s="356">
        <f t="shared" si="39"/>
        <v>2000</v>
      </c>
      <c r="N290" s="356">
        <f t="shared" si="39"/>
        <v>2000</v>
      </c>
      <c r="O290" s="356">
        <f t="shared" si="39"/>
        <v>2000</v>
      </c>
      <c r="P290" s="356">
        <f t="shared" si="39"/>
        <v>2000</v>
      </c>
      <c r="Q290" s="356">
        <f t="shared" si="39"/>
        <v>2000</v>
      </c>
      <c r="R290" s="356">
        <f t="shared" si="39"/>
        <v>2000</v>
      </c>
      <c r="S290" s="5"/>
      <c r="T290" s="25"/>
      <c r="U290" s="5"/>
    </row>
    <row r="291" spans="1:21" s="3" customFormat="1" hidden="1" outlineLevel="2">
      <c r="A291" s="21"/>
      <c r="B291" s="228" t="s">
        <v>38</v>
      </c>
      <c r="C291" s="273" t="str">
        <f t="shared" si="40"/>
        <v>Natural Gas existing</v>
      </c>
      <c r="D291" s="228"/>
      <c r="E291" s="355"/>
      <c r="F291" s="228" t="s">
        <v>10</v>
      </c>
      <c r="G291" s="5"/>
      <c r="H291" s="55">
        <v>18</v>
      </c>
      <c r="I291" s="357">
        <f t="shared" si="39"/>
        <v>18</v>
      </c>
      <c r="J291" s="357">
        <f t="shared" si="39"/>
        <v>18</v>
      </c>
      <c r="K291" s="357">
        <f t="shared" si="39"/>
        <v>18</v>
      </c>
      <c r="L291" s="357">
        <f t="shared" si="39"/>
        <v>18</v>
      </c>
      <c r="M291" s="357">
        <f t="shared" si="39"/>
        <v>18</v>
      </c>
      <c r="N291" s="357">
        <f t="shared" si="39"/>
        <v>18</v>
      </c>
      <c r="O291" s="357">
        <f t="shared" si="39"/>
        <v>18</v>
      </c>
      <c r="P291" s="357">
        <f t="shared" si="39"/>
        <v>18</v>
      </c>
      <c r="Q291" s="357">
        <f t="shared" si="39"/>
        <v>18</v>
      </c>
      <c r="R291" s="357">
        <f t="shared" si="39"/>
        <v>18</v>
      </c>
      <c r="S291" s="5"/>
      <c r="T291" s="25"/>
      <c r="U291" s="5"/>
    </row>
    <row r="292" spans="1:21" s="3" customFormat="1" hidden="1" outlineLevel="2">
      <c r="A292" s="21"/>
      <c r="B292" s="228" t="s">
        <v>353</v>
      </c>
      <c r="C292" s="273" t="str">
        <f t="shared" si="40"/>
        <v>Natural Gas existing</v>
      </c>
      <c r="D292" s="228"/>
      <c r="E292" s="355"/>
      <c r="F292" s="228" t="s">
        <v>10</v>
      </c>
      <c r="G292" s="5"/>
      <c r="H292" s="55"/>
      <c r="I292" s="55"/>
      <c r="J292" s="55"/>
      <c r="K292" s="55"/>
      <c r="L292" s="55"/>
      <c r="M292" s="55"/>
      <c r="N292" s="55"/>
      <c r="O292" s="55"/>
      <c r="P292" s="55"/>
      <c r="Q292" s="55"/>
      <c r="R292" s="55"/>
      <c r="S292" s="5"/>
      <c r="T292" s="25"/>
      <c r="U292" s="5"/>
    </row>
    <row r="293" spans="1:21" s="3" customFormat="1" hidden="1" outlineLevel="2">
      <c r="A293" s="21"/>
      <c r="B293" s="228" t="s">
        <v>304</v>
      </c>
      <c r="C293" s="273" t="str">
        <f t="shared" si="40"/>
        <v>Natural Gas existing</v>
      </c>
      <c r="D293" s="228"/>
      <c r="E293" s="355"/>
      <c r="F293" s="228" t="s">
        <v>96</v>
      </c>
      <c r="G293" s="5"/>
      <c r="H293" s="261">
        <v>0.05</v>
      </c>
      <c r="I293" s="352">
        <f t="shared" ref="I293:R295" si="41">H293</f>
        <v>0.05</v>
      </c>
      <c r="J293" s="352">
        <f t="shared" si="41"/>
        <v>0.05</v>
      </c>
      <c r="K293" s="352">
        <f t="shared" si="41"/>
        <v>0.05</v>
      </c>
      <c r="L293" s="352">
        <f t="shared" si="41"/>
        <v>0.05</v>
      </c>
      <c r="M293" s="352">
        <f t="shared" si="41"/>
        <v>0.05</v>
      </c>
      <c r="N293" s="352">
        <f t="shared" si="41"/>
        <v>0.05</v>
      </c>
      <c r="O293" s="352">
        <f t="shared" si="41"/>
        <v>0.05</v>
      </c>
      <c r="P293" s="352">
        <f t="shared" si="41"/>
        <v>0.05</v>
      </c>
      <c r="Q293" s="352">
        <f t="shared" si="41"/>
        <v>0.05</v>
      </c>
      <c r="R293" s="352">
        <f t="shared" si="41"/>
        <v>0.05</v>
      </c>
      <c r="S293" s="5"/>
      <c r="T293" s="25"/>
      <c r="U293" s="5"/>
    </row>
    <row r="294" spans="1:21" s="3" customFormat="1" hidden="1" outlineLevel="2">
      <c r="A294" s="21"/>
      <c r="B294" s="228" t="s">
        <v>350</v>
      </c>
      <c r="C294" s="273" t="str">
        <f t="shared" si="40"/>
        <v>Natural Gas existing</v>
      </c>
      <c r="D294" s="228"/>
      <c r="E294" s="355"/>
      <c r="F294" s="228" t="s">
        <v>96</v>
      </c>
      <c r="G294" s="5"/>
      <c r="H294" s="261">
        <v>0</v>
      </c>
      <c r="I294" s="352">
        <f t="shared" si="41"/>
        <v>0</v>
      </c>
      <c r="J294" s="352">
        <f t="shared" si="41"/>
        <v>0</v>
      </c>
      <c r="K294" s="352">
        <f t="shared" si="41"/>
        <v>0</v>
      </c>
      <c r="L294" s="352">
        <f t="shared" si="41"/>
        <v>0</v>
      </c>
      <c r="M294" s="352">
        <f t="shared" si="41"/>
        <v>0</v>
      </c>
      <c r="N294" s="352">
        <f t="shared" si="41"/>
        <v>0</v>
      </c>
      <c r="O294" s="352">
        <f t="shared" si="41"/>
        <v>0</v>
      </c>
      <c r="P294" s="352">
        <f t="shared" si="41"/>
        <v>0</v>
      </c>
      <c r="Q294" s="352">
        <f t="shared" si="41"/>
        <v>0</v>
      </c>
      <c r="R294" s="352">
        <f t="shared" si="41"/>
        <v>0</v>
      </c>
      <c r="S294" s="5"/>
      <c r="T294" s="25"/>
      <c r="U294" s="5"/>
    </row>
    <row r="295" spans="1:21" s="3" customFormat="1" hidden="1" outlineLevel="2">
      <c r="A295" s="21"/>
      <c r="B295" s="228" t="s">
        <v>349</v>
      </c>
      <c r="C295" s="273" t="str">
        <f t="shared" si="40"/>
        <v>Natural Gas existing</v>
      </c>
      <c r="D295" s="228"/>
      <c r="E295" s="355"/>
      <c r="F295" s="228" t="s">
        <v>96</v>
      </c>
      <c r="G295" s="5"/>
      <c r="H295" s="261">
        <v>0.25</v>
      </c>
      <c r="I295" s="352">
        <f t="shared" si="41"/>
        <v>0.25</v>
      </c>
      <c r="J295" s="352">
        <f t="shared" si="41"/>
        <v>0.25</v>
      </c>
      <c r="K295" s="352">
        <f t="shared" si="41"/>
        <v>0.25</v>
      </c>
      <c r="L295" s="352">
        <f t="shared" si="41"/>
        <v>0.25</v>
      </c>
      <c r="M295" s="352">
        <f t="shared" si="41"/>
        <v>0.25</v>
      </c>
      <c r="N295" s="352">
        <f t="shared" si="41"/>
        <v>0.25</v>
      </c>
      <c r="O295" s="352">
        <f t="shared" si="41"/>
        <v>0.25</v>
      </c>
      <c r="P295" s="352">
        <f t="shared" si="41"/>
        <v>0.25</v>
      </c>
      <c r="Q295" s="352">
        <f t="shared" si="41"/>
        <v>0.25</v>
      </c>
      <c r="R295" s="352">
        <f t="shared" si="41"/>
        <v>0.25</v>
      </c>
      <c r="S295" s="5"/>
      <c r="T295" s="25"/>
      <c r="U295" s="5"/>
    </row>
    <row r="296" spans="1:21" s="3" customFormat="1" hidden="1" outlineLevel="2">
      <c r="A296" s="21"/>
      <c r="B296" s="228" t="s">
        <v>74</v>
      </c>
      <c r="C296" s="273" t="str">
        <f t="shared" si="40"/>
        <v>Natural Gas existing</v>
      </c>
      <c r="D296" s="228"/>
      <c r="E296" s="355"/>
      <c r="F296" s="228" t="s">
        <v>96</v>
      </c>
      <c r="G296" s="5"/>
      <c r="H296" s="261">
        <v>0.88800000000000001</v>
      </c>
      <c r="I296" s="261"/>
      <c r="J296" s="261"/>
      <c r="K296" s="261"/>
      <c r="L296" s="261"/>
      <c r="M296" s="261"/>
      <c r="N296" s="261"/>
      <c r="O296" s="261"/>
      <c r="P296" s="261"/>
      <c r="Q296" s="261"/>
      <c r="R296" s="261"/>
      <c r="S296" s="5"/>
      <c r="T296" s="25"/>
      <c r="U296" s="5"/>
    </row>
    <row r="297" spans="1:21" s="3" customFormat="1" hidden="1" outlineLevel="2">
      <c r="A297" s="21"/>
      <c r="B297" s="358" t="s">
        <v>146</v>
      </c>
      <c r="C297" s="273" t="str">
        <f t="shared" si="40"/>
        <v>Natural Gas existing</v>
      </c>
      <c r="D297" s="359"/>
      <c r="E297" s="360"/>
      <c r="F297" s="358" t="s">
        <v>96</v>
      </c>
      <c r="G297" s="5"/>
      <c r="H297" s="261"/>
      <c r="I297" s="261"/>
      <c r="J297" s="261"/>
      <c r="K297" s="261"/>
      <c r="L297" s="261"/>
      <c r="M297" s="261"/>
      <c r="N297" s="261"/>
      <c r="O297" s="261"/>
      <c r="P297" s="261"/>
      <c r="Q297" s="261"/>
      <c r="R297" s="261"/>
      <c r="S297" s="5"/>
      <c r="T297" s="25"/>
      <c r="U297" s="5"/>
    </row>
    <row r="298" spans="1:21" s="3" customFormat="1" hidden="1" outlineLevel="2">
      <c r="A298" s="21"/>
      <c r="B298" s="358" t="s">
        <v>147</v>
      </c>
      <c r="C298" s="273" t="str">
        <f t="shared" si="40"/>
        <v>Natural Gas existing</v>
      </c>
      <c r="D298" s="359"/>
      <c r="E298" s="360"/>
      <c r="F298" s="358" t="s">
        <v>96</v>
      </c>
      <c r="G298" s="5"/>
      <c r="H298" s="261"/>
      <c r="I298" s="261"/>
      <c r="J298" s="261"/>
      <c r="K298" s="261"/>
      <c r="L298" s="261"/>
      <c r="M298" s="261"/>
      <c r="N298" s="261"/>
      <c r="O298" s="261"/>
      <c r="P298" s="261"/>
      <c r="Q298" s="261"/>
      <c r="R298" s="261"/>
      <c r="S298" s="5"/>
      <c r="T298" s="25"/>
      <c r="U298" s="5"/>
    </row>
    <row r="299" spans="1:21" s="3" customFormat="1" hidden="1" outlineLevel="2">
      <c r="A299" s="21"/>
      <c r="B299" s="358" t="s">
        <v>362</v>
      </c>
      <c r="C299" s="273" t="str">
        <f t="shared" si="40"/>
        <v>Natural Gas existing</v>
      </c>
      <c r="D299" s="359"/>
      <c r="E299" s="360"/>
      <c r="F299" s="358" t="s">
        <v>96</v>
      </c>
      <c r="G299" s="5"/>
      <c r="H299" s="261"/>
      <c r="I299" s="261"/>
      <c r="J299" s="261"/>
      <c r="K299" s="261"/>
      <c r="L299" s="261"/>
      <c r="M299" s="261"/>
      <c r="N299" s="261"/>
      <c r="O299" s="261"/>
      <c r="P299" s="261"/>
      <c r="Q299" s="261"/>
      <c r="R299" s="261"/>
      <c r="S299" s="5"/>
      <c r="T299" s="25"/>
      <c r="U299" s="5"/>
    </row>
    <row r="300" spans="1:21" s="3" customFormat="1" hidden="1" outlineLevel="2">
      <c r="A300" s="21"/>
      <c r="B300" s="358" t="s">
        <v>363</v>
      </c>
      <c r="C300" s="273" t="str">
        <f t="shared" si="40"/>
        <v>Natural Gas existing</v>
      </c>
      <c r="D300" s="359"/>
      <c r="E300" s="360"/>
      <c r="F300" s="358" t="s">
        <v>96</v>
      </c>
      <c r="G300" s="5"/>
      <c r="H300" s="261"/>
      <c r="I300" s="261"/>
      <c r="J300" s="261"/>
      <c r="K300" s="261"/>
      <c r="L300" s="261"/>
      <c r="M300" s="261"/>
      <c r="N300" s="261"/>
      <c r="O300" s="261"/>
      <c r="P300" s="261"/>
      <c r="Q300" s="261"/>
      <c r="R300" s="261"/>
      <c r="S300" s="5"/>
      <c r="T300" s="25"/>
      <c r="U300" s="5"/>
    </row>
    <row r="301" spans="1:21" s="3" customFormat="1" hidden="1" outlineLevel="2">
      <c r="A301" s="21"/>
      <c r="B301" s="228" t="s">
        <v>332</v>
      </c>
      <c r="C301" s="273" t="str">
        <f t="shared" si="40"/>
        <v>Natural Gas existing</v>
      </c>
      <c r="D301" s="228"/>
      <c r="E301" s="355"/>
      <c r="F301" s="228" t="s">
        <v>33</v>
      </c>
      <c r="G301" s="5"/>
      <c r="H301" s="29"/>
      <c r="I301" s="362"/>
      <c r="J301" s="362"/>
      <c r="K301" s="362"/>
      <c r="L301" s="362"/>
      <c r="M301" s="362"/>
      <c r="N301" s="362"/>
      <c r="O301" s="362"/>
      <c r="P301" s="362"/>
      <c r="Q301" s="362"/>
      <c r="R301" s="362"/>
      <c r="S301" s="5"/>
      <c r="T301" s="25"/>
      <c r="U301" s="5"/>
    </row>
    <row r="302" spans="1:21" s="3" customFormat="1" hidden="1" outlineLevel="2">
      <c r="A302" s="21"/>
      <c r="B302" s="228" t="s">
        <v>470</v>
      </c>
      <c r="C302" s="273" t="str">
        <f t="shared" si="40"/>
        <v>Natural Gas existing</v>
      </c>
      <c r="D302" s="228"/>
      <c r="E302" s="355"/>
      <c r="F302" s="228" t="s">
        <v>316</v>
      </c>
      <c r="G302" s="5"/>
      <c r="H302" s="54"/>
      <c r="I302" s="269"/>
      <c r="J302" s="269"/>
      <c r="K302" s="269"/>
      <c r="L302" s="269"/>
      <c r="M302" s="269"/>
      <c r="N302" s="269"/>
      <c r="O302" s="269"/>
      <c r="P302" s="269"/>
      <c r="Q302" s="269"/>
      <c r="R302" s="269"/>
      <c r="S302" s="5"/>
      <c r="T302" s="25"/>
      <c r="U302" s="5"/>
    </row>
    <row r="303" spans="1:21" s="3" customFormat="1" hidden="1" outlineLevel="2">
      <c r="A303" s="21"/>
      <c r="B303" s="228" t="s">
        <v>375</v>
      </c>
      <c r="C303" s="273" t="str">
        <f t="shared" si="40"/>
        <v>Natural Gas existing</v>
      </c>
      <c r="D303" s="228"/>
      <c r="E303" s="355"/>
      <c r="F303" s="228" t="s">
        <v>96</v>
      </c>
      <c r="G303" s="5"/>
      <c r="H303" s="261"/>
      <c r="I303" s="261"/>
      <c r="J303" s="261"/>
      <c r="K303" s="261"/>
      <c r="L303" s="261"/>
      <c r="M303" s="261"/>
      <c r="N303" s="261"/>
      <c r="O303" s="261"/>
      <c r="P303" s="261"/>
      <c r="Q303" s="261"/>
      <c r="R303" s="261"/>
      <c r="S303" s="5"/>
      <c r="T303" s="25"/>
      <c r="U303" s="5"/>
    </row>
    <row r="304" spans="1:21" s="3" customFormat="1" hidden="1" outlineLevel="2">
      <c r="A304" s="21"/>
      <c r="B304" s="228" t="s">
        <v>432</v>
      </c>
      <c r="C304" s="273" t="str">
        <f t="shared" si="40"/>
        <v>Natural Gas existing</v>
      </c>
      <c r="D304" s="228"/>
      <c r="E304" s="355"/>
      <c r="F304" s="228" t="s">
        <v>33</v>
      </c>
      <c r="G304" s="5"/>
      <c r="H304" s="55"/>
      <c r="I304" s="55"/>
      <c r="J304" s="55"/>
      <c r="K304" s="55"/>
      <c r="L304" s="55"/>
      <c r="M304" s="55"/>
      <c r="N304" s="55"/>
      <c r="O304" s="55"/>
      <c r="P304" s="55"/>
      <c r="Q304" s="55"/>
      <c r="R304" s="55"/>
      <c r="S304" s="5"/>
      <c r="T304" s="25"/>
      <c r="U304" s="5"/>
    </row>
    <row r="305" spans="1:21" s="3" customFormat="1" hidden="1" outlineLevel="2">
      <c r="A305" s="21"/>
      <c r="B305" s="228" t="s">
        <v>379</v>
      </c>
      <c r="C305" s="273" t="str">
        <f t="shared" si="40"/>
        <v>Natural Gas existing</v>
      </c>
      <c r="D305" s="228"/>
      <c r="E305" s="355"/>
      <c r="F305" s="228"/>
      <c r="G305" s="5"/>
      <c r="H305" s="54"/>
      <c r="I305" s="54"/>
      <c r="J305" s="54"/>
      <c r="K305" s="54"/>
      <c r="L305" s="54"/>
      <c r="M305" s="54"/>
      <c r="N305" s="54"/>
      <c r="O305" s="54"/>
      <c r="P305" s="54"/>
      <c r="Q305" s="54"/>
      <c r="R305" s="54"/>
      <c r="S305" s="5"/>
      <c r="T305" s="25"/>
      <c r="U305" s="5"/>
    </row>
    <row r="306" spans="1:21" s="3" customFormat="1" hidden="1" outlineLevel="2">
      <c r="A306" s="21"/>
      <c r="B306" s="228" t="s">
        <v>361</v>
      </c>
      <c r="C306" s="273" t="str">
        <f t="shared" si="40"/>
        <v>Natural Gas existing</v>
      </c>
      <c r="D306" s="228"/>
      <c r="E306" s="355"/>
      <c r="F306" s="228" t="s">
        <v>96</v>
      </c>
      <c r="G306" s="5"/>
      <c r="H306" s="261"/>
      <c r="I306" s="261"/>
      <c r="J306" s="261"/>
      <c r="K306" s="261"/>
      <c r="L306" s="261"/>
      <c r="M306" s="261"/>
      <c r="N306" s="261"/>
      <c r="O306" s="261"/>
      <c r="P306" s="261"/>
      <c r="Q306" s="261"/>
      <c r="R306" s="261"/>
      <c r="S306" s="5"/>
      <c r="T306" s="25"/>
      <c r="U306" s="5"/>
    </row>
    <row r="307" spans="1:21" s="3" customFormat="1" hidden="1" outlineLevel="2">
      <c r="A307" s="21"/>
      <c r="B307" s="228" t="s">
        <v>384</v>
      </c>
      <c r="C307" s="273" t="str">
        <f t="shared" si="40"/>
        <v>Natural Gas existing</v>
      </c>
      <c r="D307" s="228"/>
      <c r="E307" s="355"/>
      <c r="F307" s="228" t="s">
        <v>316</v>
      </c>
      <c r="G307" s="5"/>
      <c r="H307" s="54"/>
      <c r="I307" s="54"/>
      <c r="J307" s="54"/>
      <c r="K307" s="54"/>
      <c r="L307" s="54"/>
      <c r="M307" s="54"/>
      <c r="N307" s="54"/>
      <c r="O307" s="54"/>
      <c r="P307" s="54"/>
      <c r="Q307" s="54"/>
      <c r="R307" s="54"/>
      <c r="S307" s="5"/>
      <c r="T307" s="25"/>
      <c r="U307" s="5"/>
    </row>
    <row r="308" spans="1:21" s="3" customFormat="1" hidden="1" outlineLevel="2">
      <c r="A308" s="21"/>
      <c r="B308" s="228" t="s">
        <v>386</v>
      </c>
      <c r="C308" s="273" t="str">
        <f t="shared" si="40"/>
        <v>Natural Gas existing</v>
      </c>
      <c r="D308" s="228"/>
      <c r="E308" s="355"/>
      <c r="F308" s="228" t="s">
        <v>316</v>
      </c>
      <c r="G308" s="5"/>
      <c r="H308" s="55"/>
      <c r="I308" s="55"/>
      <c r="J308" s="55"/>
      <c r="K308" s="55"/>
      <c r="L308" s="55"/>
      <c r="M308" s="55"/>
      <c r="N308" s="55"/>
      <c r="O308" s="55"/>
      <c r="P308" s="55"/>
      <c r="Q308" s="55"/>
      <c r="R308" s="55"/>
      <c r="S308" s="5"/>
      <c r="T308" s="25"/>
      <c r="U308" s="5"/>
    </row>
    <row r="309" spans="1:21" s="3" customFormat="1" hidden="1" outlineLevel="2">
      <c r="A309" s="21"/>
      <c r="B309" s="228" t="s">
        <v>387</v>
      </c>
      <c r="C309" s="273" t="str">
        <f t="shared" si="40"/>
        <v>Natural Gas existing</v>
      </c>
      <c r="D309" s="228"/>
      <c r="E309" s="355"/>
      <c r="F309" s="228"/>
      <c r="G309" s="5"/>
      <c r="H309" s="261"/>
      <c r="I309" s="261"/>
      <c r="J309" s="261"/>
      <c r="K309" s="261"/>
      <c r="L309" s="261"/>
      <c r="M309" s="261"/>
      <c r="N309" s="261"/>
      <c r="O309" s="261"/>
      <c r="P309" s="261"/>
      <c r="Q309" s="261"/>
      <c r="R309" s="261"/>
      <c r="S309" s="5"/>
      <c r="T309" s="25"/>
      <c r="U309" s="5"/>
    </row>
    <row r="310" spans="1:21" s="3" customFormat="1" hidden="1" outlineLevel="2">
      <c r="A310" s="21"/>
      <c r="B310" s="228" t="s">
        <v>388</v>
      </c>
      <c r="C310" s="273" t="str">
        <f t="shared" si="40"/>
        <v>Natural Gas existing</v>
      </c>
      <c r="D310" s="228"/>
      <c r="E310" s="355"/>
      <c r="F310" s="228"/>
      <c r="G310" s="5"/>
      <c r="H310" s="55"/>
      <c r="I310" s="55"/>
      <c r="J310" s="55"/>
      <c r="K310" s="55"/>
      <c r="L310" s="55"/>
      <c r="M310" s="55"/>
      <c r="N310" s="55"/>
      <c r="O310" s="55"/>
      <c r="P310" s="55"/>
      <c r="Q310" s="55"/>
      <c r="R310" s="55"/>
      <c r="S310" s="5"/>
      <c r="T310" s="25"/>
      <c r="U310" s="5"/>
    </row>
    <row r="311" spans="1:21" s="3" customFormat="1" hidden="1" outlineLevel="2">
      <c r="A311" s="21"/>
      <c r="B311" s="228" t="s">
        <v>385</v>
      </c>
      <c r="C311" s="273" t="str">
        <f t="shared" si="40"/>
        <v>Natural Gas existing</v>
      </c>
      <c r="D311" s="228"/>
      <c r="E311" s="355"/>
      <c r="F311" s="228" t="s">
        <v>317</v>
      </c>
      <c r="G311" s="5"/>
      <c r="H311" s="54"/>
      <c r="I311" s="54"/>
      <c r="J311" s="54"/>
      <c r="K311" s="54"/>
      <c r="L311" s="54"/>
      <c r="M311" s="54"/>
      <c r="N311" s="54"/>
      <c r="O311" s="54"/>
      <c r="P311" s="54"/>
      <c r="Q311" s="54"/>
      <c r="R311" s="54"/>
      <c r="S311" s="5"/>
      <c r="T311" s="25"/>
      <c r="U311" s="5"/>
    </row>
    <row r="312" spans="1:21" s="3" customFormat="1" hidden="1" outlineLevel="2">
      <c r="A312" s="21"/>
      <c r="B312" s="228" t="s">
        <v>389</v>
      </c>
      <c r="C312" s="273" t="str">
        <f t="shared" si="40"/>
        <v>Natural Gas existing</v>
      </c>
      <c r="D312" s="228"/>
      <c r="E312" s="355"/>
      <c r="F312" s="228" t="s">
        <v>317</v>
      </c>
      <c r="G312" s="5"/>
      <c r="H312" s="55"/>
      <c r="I312" s="55"/>
      <c r="J312" s="55"/>
      <c r="K312" s="55"/>
      <c r="L312" s="55"/>
      <c r="M312" s="55"/>
      <c r="N312" s="55"/>
      <c r="O312" s="55"/>
      <c r="P312" s="55"/>
      <c r="Q312" s="55"/>
      <c r="R312" s="55"/>
      <c r="S312" s="5"/>
      <c r="T312" s="25"/>
      <c r="U312" s="5"/>
    </row>
    <row r="313" spans="1:21" s="3" customFormat="1" hidden="1" outlineLevel="2">
      <c r="A313" s="21"/>
      <c r="B313" s="228" t="s">
        <v>390</v>
      </c>
      <c r="C313" s="273" t="str">
        <f t="shared" si="40"/>
        <v>Natural Gas existing</v>
      </c>
      <c r="D313" s="228"/>
      <c r="E313" s="355"/>
      <c r="F313" s="228"/>
      <c r="G313" s="5"/>
      <c r="H313" s="261"/>
      <c r="I313" s="261"/>
      <c r="J313" s="261"/>
      <c r="K313" s="261"/>
      <c r="L313" s="261"/>
      <c r="M313" s="261"/>
      <c r="N313" s="261"/>
      <c r="O313" s="261"/>
      <c r="P313" s="261"/>
      <c r="Q313" s="261"/>
      <c r="R313" s="261"/>
      <c r="S313" s="5"/>
      <c r="T313" s="25"/>
      <c r="U313" s="5"/>
    </row>
    <row r="314" spans="1:21" s="3" customFormat="1" hidden="1" outlineLevel="2">
      <c r="A314" s="21"/>
      <c r="B314" s="228" t="s">
        <v>391</v>
      </c>
      <c r="C314" s="273" t="str">
        <f t="shared" si="40"/>
        <v>Natural Gas existing</v>
      </c>
      <c r="D314" s="228"/>
      <c r="E314" s="355"/>
      <c r="F314" s="228"/>
      <c r="G314" s="5"/>
      <c r="H314" s="55"/>
      <c r="I314" s="55"/>
      <c r="J314" s="55"/>
      <c r="K314" s="55"/>
      <c r="L314" s="55"/>
      <c r="M314" s="55"/>
      <c r="N314" s="55"/>
      <c r="O314" s="55"/>
      <c r="P314" s="55"/>
      <c r="Q314" s="55"/>
      <c r="R314" s="55"/>
      <c r="S314" s="5"/>
      <c r="T314" s="25"/>
      <c r="U314" s="5"/>
    </row>
    <row r="315" spans="1:21" s="3" customFormat="1" hidden="1" outlineLevel="2">
      <c r="A315" s="21"/>
      <c r="B315" s="228" t="s">
        <v>305</v>
      </c>
      <c r="C315" s="273" t="str">
        <f t="shared" si="40"/>
        <v>Natural Gas existing</v>
      </c>
      <c r="D315" s="228"/>
      <c r="E315" s="355"/>
      <c r="F315" s="228" t="s">
        <v>317</v>
      </c>
      <c r="G315" s="5"/>
      <c r="H315" s="54"/>
      <c r="I315" s="54"/>
      <c r="J315" s="54"/>
      <c r="K315" s="54"/>
      <c r="L315" s="54"/>
      <c r="M315" s="54"/>
      <c r="N315" s="54"/>
      <c r="O315" s="54"/>
      <c r="P315" s="54"/>
      <c r="Q315" s="54"/>
      <c r="R315" s="54"/>
      <c r="S315" s="5"/>
      <c r="T315" s="25"/>
      <c r="U315" s="5"/>
    </row>
    <row r="316" spans="1:21" s="3" customFormat="1" hidden="1" outlineLevel="2">
      <c r="A316" s="21"/>
      <c r="B316" s="228" t="s">
        <v>352</v>
      </c>
      <c r="C316" s="273" t="str">
        <f t="shared" si="40"/>
        <v>Natural Gas existing</v>
      </c>
      <c r="D316" s="228"/>
      <c r="E316" s="355"/>
      <c r="F316" s="228" t="s">
        <v>316</v>
      </c>
      <c r="G316" s="5"/>
      <c r="H316" s="54"/>
      <c r="I316" s="54"/>
      <c r="J316" s="54"/>
      <c r="K316" s="54"/>
      <c r="L316" s="54"/>
      <c r="M316" s="54"/>
      <c r="N316" s="54"/>
      <c r="O316" s="54"/>
      <c r="P316" s="54"/>
      <c r="Q316" s="54"/>
      <c r="R316" s="54"/>
      <c r="S316" s="5"/>
      <c r="T316" s="25"/>
      <c r="U316" s="5"/>
    </row>
    <row r="317" spans="1:21" s="3" customFormat="1" hidden="1" outlineLevel="2">
      <c r="A317" s="21"/>
      <c r="B317" s="67" t="s">
        <v>301</v>
      </c>
      <c r="C317" s="273" t="str">
        <f>C315</f>
        <v>Natural Gas existing</v>
      </c>
      <c r="D317" s="273" t="s">
        <v>460</v>
      </c>
      <c r="E317" s="347"/>
      <c r="F317" s="67" t="s">
        <v>33</v>
      </c>
      <c r="G317" s="5"/>
      <c r="H317" s="350">
        <v>1.613</v>
      </c>
      <c r="I317" s="363">
        <f>H317</f>
        <v>1.613</v>
      </c>
      <c r="J317" s="363">
        <f t="shared" ref="J317:R317" si="42">I317</f>
        <v>1.613</v>
      </c>
      <c r="K317" s="363">
        <f t="shared" si="42"/>
        <v>1.613</v>
      </c>
      <c r="L317" s="363">
        <f t="shared" si="42"/>
        <v>1.613</v>
      </c>
      <c r="M317" s="363">
        <f t="shared" si="42"/>
        <v>1.613</v>
      </c>
      <c r="N317" s="363">
        <f t="shared" si="42"/>
        <v>1.613</v>
      </c>
      <c r="O317" s="363">
        <f t="shared" si="42"/>
        <v>1.613</v>
      </c>
      <c r="P317" s="363">
        <f t="shared" si="42"/>
        <v>1.613</v>
      </c>
      <c r="Q317" s="363">
        <f t="shared" si="42"/>
        <v>1.613</v>
      </c>
      <c r="R317" s="363">
        <f t="shared" si="42"/>
        <v>1.613</v>
      </c>
      <c r="S317" s="5"/>
      <c r="T317" s="25"/>
      <c r="U317" s="5"/>
    </row>
    <row r="318" spans="1:21" s="3" customFormat="1" hidden="1" outlineLevel="2">
      <c r="A318" s="21"/>
      <c r="B318" s="67" t="s">
        <v>50</v>
      </c>
      <c r="C318" s="273" t="s">
        <v>472</v>
      </c>
      <c r="D318" s="4"/>
      <c r="E318" s="347"/>
      <c r="G318" s="5"/>
      <c r="H318" s="4"/>
      <c r="I318" s="4"/>
      <c r="J318" s="4"/>
      <c r="K318" s="4"/>
      <c r="L318" s="4"/>
      <c r="M318" s="4"/>
      <c r="N318" s="4"/>
      <c r="O318" s="4"/>
      <c r="P318" s="4"/>
      <c r="Q318" s="4"/>
      <c r="R318" s="4"/>
      <c r="S318" s="5"/>
      <c r="T318" s="25"/>
      <c r="U318" s="5"/>
    </row>
    <row r="319" spans="1:21" s="3" customFormat="1" hidden="1" outlineLevel="2">
      <c r="A319" s="21"/>
      <c r="B319" s="228" t="s">
        <v>37</v>
      </c>
      <c r="C319" s="273" t="str">
        <f>C318</f>
        <v>Heat pump electric air source</v>
      </c>
      <c r="D319" s="228"/>
      <c r="E319" s="355"/>
      <c r="F319" s="228" t="s">
        <v>39</v>
      </c>
      <c r="G319" s="5"/>
      <c r="H319" s="265">
        <v>2000</v>
      </c>
      <c r="I319" s="356">
        <f t="shared" ref="I319:R321" si="43">H319</f>
        <v>2000</v>
      </c>
      <c r="J319" s="356">
        <f t="shared" si="43"/>
        <v>2000</v>
      </c>
      <c r="K319" s="356">
        <f t="shared" si="43"/>
        <v>2000</v>
      </c>
      <c r="L319" s="356">
        <f t="shared" si="43"/>
        <v>2000</v>
      </c>
      <c r="M319" s="356">
        <f t="shared" si="43"/>
        <v>2000</v>
      </c>
      <c r="N319" s="356">
        <f t="shared" si="43"/>
        <v>2000</v>
      </c>
      <c r="O319" s="356">
        <f t="shared" si="43"/>
        <v>2000</v>
      </c>
      <c r="P319" s="356">
        <f t="shared" si="43"/>
        <v>2000</v>
      </c>
      <c r="Q319" s="356">
        <f t="shared" si="43"/>
        <v>2000</v>
      </c>
      <c r="R319" s="356">
        <f t="shared" si="43"/>
        <v>2000</v>
      </c>
      <c r="S319" s="5"/>
      <c r="T319" s="25"/>
      <c r="U319" s="5"/>
    </row>
    <row r="320" spans="1:21" s="3" customFormat="1" hidden="1" outlineLevel="2">
      <c r="A320" s="21"/>
      <c r="B320" s="228" t="s">
        <v>36</v>
      </c>
      <c r="C320" s="273" t="str">
        <f t="shared" ref="C320:C347" si="44">C319</f>
        <v>Heat pump electric air source</v>
      </c>
      <c r="D320" s="228"/>
      <c r="E320" s="355"/>
      <c r="F320" s="228" t="s">
        <v>39</v>
      </c>
      <c r="G320" s="5"/>
      <c r="H320" s="265">
        <v>2100</v>
      </c>
      <c r="I320" s="356">
        <f t="shared" si="43"/>
        <v>2100</v>
      </c>
      <c r="J320" s="356">
        <f t="shared" si="43"/>
        <v>2100</v>
      </c>
      <c r="K320" s="356">
        <f t="shared" si="43"/>
        <v>2100</v>
      </c>
      <c r="L320" s="356">
        <f t="shared" si="43"/>
        <v>2100</v>
      </c>
      <c r="M320" s="356">
        <f t="shared" si="43"/>
        <v>2100</v>
      </c>
      <c r="N320" s="356">
        <f t="shared" si="43"/>
        <v>2100</v>
      </c>
      <c r="O320" s="356">
        <f t="shared" si="43"/>
        <v>2100</v>
      </c>
      <c r="P320" s="356">
        <f t="shared" si="43"/>
        <v>2100</v>
      </c>
      <c r="Q320" s="356">
        <f t="shared" si="43"/>
        <v>2100</v>
      </c>
      <c r="R320" s="356">
        <f t="shared" si="43"/>
        <v>2100</v>
      </c>
      <c r="S320" s="5"/>
      <c r="T320" s="25"/>
      <c r="U320" s="5"/>
    </row>
    <row r="321" spans="1:21" s="3" customFormat="1" hidden="1" outlineLevel="2">
      <c r="A321" s="21"/>
      <c r="B321" s="228" t="s">
        <v>38</v>
      </c>
      <c r="C321" s="273" t="str">
        <f t="shared" si="44"/>
        <v>Heat pump electric air source</v>
      </c>
      <c r="D321" s="228"/>
      <c r="E321" s="355"/>
      <c r="F321" s="228" t="s">
        <v>10</v>
      </c>
      <c r="G321" s="5"/>
      <c r="H321" s="55">
        <v>12</v>
      </c>
      <c r="I321" s="357">
        <f t="shared" si="43"/>
        <v>12</v>
      </c>
      <c r="J321" s="357">
        <f t="shared" si="43"/>
        <v>12</v>
      </c>
      <c r="K321" s="357">
        <f t="shared" si="43"/>
        <v>12</v>
      </c>
      <c r="L321" s="357">
        <f t="shared" si="43"/>
        <v>12</v>
      </c>
      <c r="M321" s="357">
        <f t="shared" si="43"/>
        <v>12</v>
      </c>
      <c r="N321" s="357">
        <f t="shared" si="43"/>
        <v>12</v>
      </c>
      <c r="O321" s="357">
        <f t="shared" si="43"/>
        <v>12</v>
      </c>
      <c r="P321" s="357">
        <f t="shared" si="43"/>
        <v>12</v>
      </c>
      <c r="Q321" s="357">
        <f t="shared" si="43"/>
        <v>12</v>
      </c>
      <c r="R321" s="357">
        <f t="shared" si="43"/>
        <v>12</v>
      </c>
      <c r="S321" s="5"/>
      <c r="T321" s="25"/>
      <c r="U321" s="5"/>
    </row>
    <row r="322" spans="1:21" s="3" customFormat="1" hidden="1" outlineLevel="2">
      <c r="A322" s="21"/>
      <c r="B322" s="228" t="s">
        <v>353</v>
      </c>
      <c r="C322" s="273" t="str">
        <f t="shared" si="44"/>
        <v>Heat pump electric air source</v>
      </c>
      <c r="D322" s="228"/>
      <c r="E322" s="355"/>
      <c r="F322" s="228" t="s">
        <v>10</v>
      </c>
      <c r="G322" s="5"/>
      <c r="H322" s="55"/>
      <c r="I322" s="55"/>
      <c r="J322" s="55"/>
      <c r="K322" s="55"/>
      <c r="L322" s="55"/>
      <c r="M322" s="55"/>
      <c r="N322" s="55"/>
      <c r="O322" s="55"/>
      <c r="P322" s="55"/>
      <c r="Q322" s="55"/>
      <c r="R322" s="55"/>
      <c r="S322" s="5"/>
      <c r="T322" s="25"/>
      <c r="U322" s="5"/>
    </row>
    <row r="323" spans="1:21" s="3" customFormat="1" hidden="1" outlineLevel="2">
      <c r="A323" s="21"/>
      <c r="B323" s="228" t="s">
        <v>304</v>
      </c>
      <c r="C323" s="273" t="str">
        <f t="shared" si="44"/>
        <v>Heat pump electric air source</v>
      </c>
      <c r="D323" s="228"/>
      <c r="E323" s="355"/>
      <c r="F323" s="228" t="s">
        <v>96</v>
      </c>
      <c r="G323" s="5"/>
      <c r="H323" s="261">
        <v>0.05</v>
      </c>
      <c r="I323" s="352">
        <f t="shared" ref="I323:R325" si="45">H323</f>
        <v>0.05</v>
      </c>
      <c r="J323" s="352">
        <f t="shared" si="45"/>
        <v>0.05</v>
      </c>
      <c r="K323" s="352">
        <f t="shared" si="45"/>
        <v>0.05</v>
      </c>
      <c r="L323" s="352">
        <f t="shared" si="45"/>
        <v>0.05</v>
      </c>
      <c r="M323" s="352">
        <f t="shared" si="45"/>
        <v>0.05</v>
      </c>
      <c r="N323" s="352">
        <f t="shared" si="45"/>
        <v>0.05</v>
      </c>
      <c r="O323" s="352">
        <f t="shared" si="45"/>
        <v>0.05</v>
      </c>
      <c r="P323" s="352">
        <f t="shared" si="45"/>
        <v>0.05</v>
      </c>
      <c r="Q323" s="352">
        <f t="shared" si="45"/>
        <v>0.05</v>
      </c>
      <c r="R323" s="352">
        <f t="shared" si="45"/>
        <v>0.05</v>
      </c>
      <c r="S323" s="5"/>
      <c r="T323" s="25"/>
      <c r="U323" s="5"/>
    </row>
    <row r="324" spans="1:21" s="3" customFormat="1" hidden="1" outlineLevel="2">
      <c r="A324" s="21"/>
      <c r="B324" s="228" t="s">
        <v>350</v>
      </c>
      <c r="C324" s="273" t="str">
        <f t="shared" si="44"/>
        <v>Heat pump electric air source</v>
      </c>
      <c r="D324" s="228"/>
      <c r="E324" s="355"/>
      <c r="F324" s="228" t="s">
        <v>96</v>
      </c>
      <c r="G324" s="5"/>
      <c r="H324" s="261">
        <v>0</v>
      </c>
      <c r="I324" s="352">
        <f t="shared" si="45"/>
        <v>0</v>
      </c>
      <c r="J324" s="352">
        <f t="shared" si="45"/>
        <v>0</v>
      </c>
      <c r="K324" s="352">
        <f t="shared" si="45"/>
        <v>0</v>
      </c>
      <c r="L324" s="352">
        <f t="shared" si="45"/>
        <v>0</v>
      </c>
      <c r="M324" s="352">
        <f t="shared" si="45"/>
        <v>0</v>
      </c>
      <c r="N324" s="352">
        <f t="shared" si="45"/>
        <v>0</v>
      </c>
      <c r="O324" s="352">
        <f t="shared" si="45"/>
        <v>0</v>
      </c>
      <c r="P324" s="352">
        <f t="shared" si="45"/>
        <v>0</v>
      </c>
      <c r="Q324" s="352">
        <f t="shared" si="45"/>
        <v>0</v>
      </c>
      <c r="R324" s="352">
        <f t="shared" si="45"/>
        <v>0</v>
      </c>
      <c r="S324" s="5"/>
      <c r="T324" s="25"/>
      <c r="U324" s="5"/>
    </row>
    <row r="325" spans="1:21" s="3" customFormat="1" hidden="1" outlineLevel="2">
      <c r="A325" s="21"/>
      <c r="B325" s="228" t="s">
        <v>349</v>
      </c>
      <c r="C325" s="273" t="str">
        <f t="shared" si="44"/>
        <v>Heat pump electric air source</v>
      </c>
      <c r="D325" s="228"/>
      <c r="E325" s="355"/>
      <c r="F325" s="228" t="s">
        <v>96</v>
      </c>
      <c r="G325" s="5"/>
      <c r="H325" s="261">
        <v>0.25</v>
      </c>
      <c r="I325" s="352">
        <f t="shared" si="45"/>
        <v>0.25</v>
      </c>
      <c r="J325" s="352">
        <f t="shared" si="45"/>
        <v>0.25</v>
      </c>
      <c r="K325" s="352">
        <f t="shared" si="45"/>
        <v>0.25</v>
      </c>
      <c r="L325" s="352">
        <f t="shared" si="45"/>
        <v>0.25</v>
      </c>
      <c r="M325" s="352">
        <f t="shared" si="45"/>
        <v>0.25</v>
      </c>
      <c r="N325" s="352">
        <f t="shared" si="45"/>
        <v>0.25</v>
      </c>
      <c r="O325" s="352">
        <f t="shared" si="45"/>
        <v>0.25</v>
      </c>
      <c r="P325" s="352">
        <f t="shared" si="45"/>
        <v>0.25</v>
      </c>
      <c r="Q325" s="352">
        <f t="shared" si="45"/>
        <v>0.25</v>
      </c>
      <c r="R325" s="352">
        <f t="shared" si="45"/>
        <v>0.25</v>
      </c>
      <c r="S325" s="5"/>
      <c r="T325" s="25"/>
      <c r="U325" s="5"/>
    </row>
    <row r="326" spans="1:21" s="3" customFormat="1" hidden="1" outlineLevel="2">
      <c r="A326" s="21"/>
      <c r="B326" s="228" t="s">
        <v>74</v>
      </c>
      <c r="C326" s="273" t="str">
        <f t="shared" si="44"/>
        <v>Heat pump electric air source</v>
      </c>
      <c r="D326" s="228"/>
      <c r="E326" s="355"/>
      <c r="F326" s="228" t="s">
        <v>96</v>
      </c>
      <c r="G326" s="5"/>
      <c r="H326" s="261">
        <v>0.01</v>
      </c>
      <c r="I326" s="261"/>
      <c r="J326" s="261"/>
      <c r="K326" s="261"/>
      <c r="L326" s="261"/>
      <c r="M326" s="261"/>
      <c r="N326" s="261"/>
      <c r="O326" s="261"/>
      <c r="P326" s="261"/>
      <c r="Q326" s="261"/>
      <c r="R326" s="261"/>
      <c r="S326" s="5"/>
      <c r="T326" s="25"/>
      <c r="U326" s="5"/>
    </row>
    <row r="327" spans="1:21" s="3" customFormat="1" hidden="1" outlineLevel="2">
      <c r="A327" s="21"/>
      <c r="B327" s="358" t="s">
        <v>146</v>
      </c>
      <c r="C327" s="273" t="str">
        <f t="shared" si="44"/>
        <v>Heat pump electric air source</v>
      </c>
      <c r="D327" s="359"/>
      <c r="E327" s="360"/>
      <c r="F327" s="358" t="s">
        <v>96</v>
      </c>
      <c r="G327" s="5"/>
      <c r="H327" s="261"/>
      <c r="I327" s="261"/>
      <c r="J327" s="261"/>
      <c r="K327" s="261"/>
      <c r="L327" s="261"/>
      <c r="M327" s="261"/>
      <c r="N327" s="261"/>
      <c r="O327" s="261"/>
      <c r="P327" s="261"/>
      <c r="Q327" s="261"/>
      <c r="R327" s="261"/>
      <c r="S327" s="5"/>
      <c r="T327" s="25"/>
      <c r="U327" s="5"/>
    </row>
    <row r="328" spans="1:21" s="3" customFormat="1" hidden="1" outlineLevel="2">
      <c r="A328" s="21"/>
      <c r="B328" s="358" t="s">
        <v>147</v>
      </c>
      <c r="C328" s="273" t="str">
        <f t="shared" si="44"/>
        <v>Heat pump electric air source</v>
      </c>
      <c r="D328" s="359"/>
      <c r="E328" s="360"/>
      <c r="F328" s="358" t="s">
        <v>96</v>
      </c>
      <c r="G328" s="5"/>
      <c r="H328" s="261"/>
      <c r="I328" s="261"/>
      <c r="J328" s="261"/>
      <c r="K328" s="261"/>
      <c r="L328" s="261"/>
      <c r="M328" s="261"/>
      <c r="N328" s="261"/>
      <c r="O328" s="261"/>
      <c r="P328" s="261"/>
      <c r="Q328" s="261"/>
      <c r="R328" s="261"/>
      <c r="S328" s="5"/>
      <c r="T328" s="25"/>
      <c r="U328" s="5"/>
    </row>
    <row r="329" spans="1:21" s="3" customFormat="1" hidden="1" outlineLevel="2">
      <c r="A329" s="21"/>
      <c r="B329" s="358" t="s">
        <v>362</v>
      </c>
      <c r="C329" s="273" t="str">
        <f t="shared" si="44"/>
        <v>Heat pump electric air source</v>
      </c>
      <c r="D329" s="359"/>
      <c r="E329" s="360"/>
      <c r="F329" s="358" t="s">
        <v>96</v>
      </c>
      <c r="G329" s="5"/>
      <c r="H329" s="261"/>
      <c r="I329" s="261"/>
      <c r="J329" s="261"/>
      <c r="K329" s="261"/>
      <c r="L329" s="261"/>
      <c r="M329" s="261"/>
      <c r="N329" s="261"/>
      <c r="O329" s="261"/>
      <c r="P329" s="261"/>
      <c r="Q329" s="261"/>
      <c r="R329" s="261"/>
      <c r="S329" s="5"/>
      <c r="T329" s="25"/>
      <c r="U329" s="5"/>
    </row>
    <row r="330" spans="1:21" s="3" customFormat="1" hidden="1" outlineLevel="2">
      <c r="A330" s="21"/>
      <c r="B330" s="358" t="s">
        <v>363</v>
      </c>
      <c r="C330" s="273" t="str">
        <f t="shared" si="44"/>
        <v>Heat pump electric air source</v>
      </c>
      <c r="D330" s="359"/>
      <c r="E330" s="360"/>
      <c r="F330" s="358" t="s">
        <v>96</v>
      </c>
      <c r="G330" s="5"/>
      <c r="H330" s="261"/>
      <c r="I330" s="261"/>
      <c r="J330" s="261"/>
      <c r="K330" s="261"/>
      <c r="L330" s="261"/>
      <c r="M330" s="261"/>
      <c r="N330" s="261"/>
      <c r="O330" s="261"/>
      <c r="P330" s="261"/>
      <c r="Q330" s="261"/>
      <c r="R330" s="261"/>
      <c r="S330" s="5"/>
      <c r="T330" s="25"/>
      <c r="U330" s="5"/>
    </row>
    <row r="331" spans="1:21" s="3" customFormat="1" hidden="1" outlineLevel="2">
      <c r="A331" s="21"/>
      <c r="B331" s="228" t="s">
        <v>332</v>
      </c>
      <c r="C331" s="273" t="str">
        <f t="shared" si="44"/>
        <v>Heat pump electric air source</v>
      </c>
      <c r="D331" s="228"/>
      <c r="E331" s="355"/>
      <c r="F331" s="228" t="s">
        <v>33</v>
      </c>
      <c r="G331" s="5"/>
      <c r="H331" s="29">
        <v>87.534999999999997</v>
      </c>
      <c r="I331" s="362">
        <f t="shared" ref="I331:R332" si="46">H331</f>
        <v>87.534999999999997</v>
      </c>
      <c r="J331" s="362">
        <f t="shared" si="46"/>
        <v>87.534999999999997</v>
      </c>
      <c r="K331" s="362">
        <f t="shared" si="46"/>
        <v>87.534999999999997</v>
      </c>
      <c r="L331" s="362">
        <f t="shared" si="46"/>
        <v>87.534999999999997</v>
      </c>
      <c r="M331" s="362">
        <f t="shared" si="46"/>
        <v>87.534999999999997</v>
      </c>
      <c r="N331" s="362">
        <f t="shared" si="46"/>
        <v>87.534999999999997</v>
      </c>
      <c r="O331" s="362">
        <f t="shared" si="46"/>
        <v>87.534999999999997</v>
      </c>
      <c r="P331" s="362">
        <f t="shared" si="46"/>
        <v>87.534999999999997</v>
      </c>
      <c r="Q331" s="362">
        <f t="shared" si="46"/>
        <v>87.534999999999997</v>
      </c>
      <c r="R331" s="362">
        <f t="shared" si="46"/>
        <v>87.534999999999997</v>
      </c>
      <c r="S331" s="5"/>
      <c r="T331" s="25"/>
      <c r="U331" s="5"/>
    </row>
    <row r="332" spans="1:21" s="3" customFormat="1" hidden="1" outlineLevel="2">
      <c r="A332" s="21"/>
      <c r="B332" s="228" t="s">
        <v>470</v>
      </c>
      <c r="C332" s="273" t="str">
        <f t="shared" si="44"/>
        <v>Heat pump electric air source</v>
      </c>
      <c r="D332" s="228"/>
      <c r="E332" s="355"/>
      <c r="F332" s="228" t="s">
        <v>316</v>
      </c>
      <c r="G332" s="5"/>
      <c r="H332" s="54">
        <v>4886.7560000000003</v>
      </c>
      <c r="I332" s="269">
        <f>H332</f>
        <v>4886.7560000000003</v>
      </c>
      <c r="J332" s="269">
        <f t="shared" si="46"/>
        <v>4886.7560000000003</v>
      </c>
      <c r="K332" s="269">
        <f t="shared" si="46"/>
        <v>4886.7560000000003</v>
      </c>
      <c r="L332" s="269">
        <f t="shared" si="46"/>
        <v>4886.7560000000003</v>
      </c>
      <c r="M332" s="269">
        <f t="shared" si="46"/>
        <v>4886.7560000000003</v>
      </c>
      <c r="N332" s="269">
        <f t="shared" si="46"/>
        <v>4886.7560000000003</v>
      </c>
      <c r="O332" s="269">
        <f t="shared" si="46"/>
        <v>4886.7560000000003</v>
      </c>
      <c r="P332" s="269">
        <f t="shared" si="46"/>
        <v>4886.7560000000003</v>
      </c>
      <c r="Q332" s="269">
        <f t="shared" si="46"/>
        <v>4886.7560000000003</v>
      </c>
      <c r="R332" s="269">
        <f t="shared" si="46"/>
        <v>4886.7560000000003</v>
      </c>
      <c r="S332" s="5"/>
      <c r="T332" s="25"/>
      <c r="U332" s="5"/>
    </row>
    <row r="333" spans="1:21" s="3" customFormat="1" hidden="1" outlineLevel="2">
      <c r="A333" s="21"/>
      <c r="B333" s="228" t="s">
        <v>375</v>
      </c>
      <c r="C333" s="273" t="str">
        <f t="shared" si="44"/>
        <v>Heat pump electric air source</v>
      </c>
      <c r="D333" s="228"/>
      <c r="E333" s="355"/>
      <c r="F333" s="228" t="s">
        <v>96</v>
      </c>
      <c r="G333" s="5"/>
      <c r="H333" s="261">
        <v>0.8</v>
      </c>
      <c r="I333" s="264">
        <f t="shared" ref="I333:R340" si="47">H333</f>
        <v>0.8</v>
      </c>
      <c r="J333" s="264">
        <f t="shared" si="47"/>
        <v>0.8</v>
      </c>
      <c r="K333" s="264">
        <f t="shared" si="47"/>
        <v>0.8</v>
      </c>
      <c r="L333" s="264">
        <f t="shared" si="47"/>
        <v>0.8</v>
      </c>
      <c r="M333" s="264">
        <f t="shared" si="47"/>
        <v>0.8</v>
      </c>
      <c r="N333" s="264">
        <f t="shared" si="47"/>
        <v>0.8</v>
      </c>
      <c r="O333" s="264">
        <f t="shared" si="47"/>
        <v>0.8</v>
      </c>
      <c r="P333" s="264">
        <f t="shared" si="47"/>
        <v>0.8</v>
      </c>
      <c r="Q333" s="264">
        <f t="shared" si="47"/>
        <v>0.8</v>
      </c>
      <c r="R333" s="264">
        <f t="shared" si="47"/>
        <v>0.8</v>
      </c>
      <c r="S333" s="5"/>
      <c r="T333" s="25"/>
      <c r="U333" s="5"/>
    </row>
    <row r="334" spans="1:21" s="3" customFormat="1" hidden="1" outlineLevel="2">
      <c r="A334" s="21"/>
      <c r="B334" s="228" t="s">
        <v>432</v>
      </c>
      <c r="C334" s="273" t="str">
        <f t="shared" si="44"/>
        <v>Heat pump electric air source</v>
      </c>
      <c r="D334" s="228"/>
      <c r="E334" s="355"/>
      <c r="F334" s="228" t="s">
        <v>33</v>
      </c>
      <c r="G334" s="5"/>
      <c r="H334" s="55">
        <v>138305084</v>
      </c>
      <c r="I334" s="253">
        <f t="shared" si="47"/>
        <v>138305084</v>
      </c>
      <c r="J334" s="253">
        <f t="shared" si="47"/>
        <v>138305084</v>
      </c>
      <c r="K334" s="253">
        <f t="shared" si="47"/>
        <v>138305084</v>
      </c>
      <c r="L334" s="253">
        <f t="shared" si="47"/>
        <v>138305084</v>
      </c>
      <c r="M334" s="253">
        <f t="shared" si="47"/>
        <v>138305084</v>
      </c>
      <c r="N334" s="253">
        <f t="shared" si="47"/>
        <v>138305084</v>
      </c>
      <c r="O334" s="253">
        <f t="shared" si="47"/>
        <v>138305084</v>
      </c>
      <c r="P334" s="253">
        <f t="shared" si="47"/>
        <v>138305084</v>
      </c>
      <c r="Q334" s="253">
        <f t="shared" si="47"/>
        <v>138305084</v>
      </c>
      <c r="R334" s="253">
        <f t="shared" si="47"/>
        <v>138305084</v>
      </c>
      <c r="S334" s="5"/>
      <c r="T334" s="25"/>
      <c r="U334" s="5"/>
    </row>
    <row r="335" spans="1:21" s="3" customFormat="1" hidden="1" outlineLevel="2">
      <c r="A335" s="21"/>
      <c r="B335" s="228" t="s">
        <v>379</v>
      </c>
      <c r="C335" s="273" t="str">
        <f t="shared" si="44"/>
        <v>Heat pump electric air source</v>
      </c>
      <c r="D335" s="228"/>
      <c r="E335" s="355"/>
      <c r="F335" s="228"/>
      <c r="G335" s="5"/>
      <c r="H335" s="54">
        <v>0.9</v>
      </c>
      <c r="I335" s="270">
        <f t="shared" si="47"/>
        <v>0.9</v>
      </c>
      <c r="J335" s="270">
        <f t="shared" si="47"/>
        <v>0.9</v>
      </c>
      <c r="K335" s="270">
        <f t="shared" si="47"/>
        <v>0.9</v>
      </c>
      <c r="L335" s="270">
        <f t="shared" si="47"/>
        <v>0.9</v>
      </c>
      <c r="M335" s="270">
        <f t="shared" si="47"/>
        <v>0.9</v>
      </c>
      <c r="N335" s="270">
        <f t="shared" si="47"/>
        <v>0.9</v>
      </c>
      <c r="O335" s="270">
        <f t="shared" si="47"/>
        <v>0.9</v>
      </c>
      <c r="P335" s="270">
        <f t="shared" si="47"/>
        <v>0.9</v>
      </c>
      <c r="Q335" s="270">
        <f t="shared" si="47"/>
        <v>0.9</v>
      </c>
      <c r="R335" s="270">
        <f t="shared" si="47"/>
        <v>0.9</v>
      </c>
      <c r="S335" s="5"/>
      <c r="T335" s="25"/>
      <c r="U335" s="5"/>
    </row>
    <row r="336" spans="1:21" s="3" customFormat="1" hidden="1" outlineLevel="2">
      <c r="A336" s="21"/>
      <c r="B336" s="228" t="s">
        <v>361</v>
      </c>
      <c r="C336" s="273" t="str">
        <f t="shared" si="44"/>
        <v>Heat pump electric air source</v>
      </c>
      <c r="D336" s="228"/>
      <c r="E336" s="355"/>
      <c r="F336" s="228" t="s">
        <v>96</v>
      </c>
      <c r="G336" s="5"/>
      <c r="H336" s="261">
        <v>0</v>
      </c>
      <c r="I336" s="264">
        <f t="shared" si="47"/>
        <v>0</v>
      </c>
      <c r="J336" s="264">
        <f t="shared" si="47"/>
        <v>0</v>
      </c>
      <c r="K336" s="264">
        <f t="shared" si="47"/>
        <v>0</v>
      </c>
      <c r="L336" s="264">
        <f t="shared" si="47"/>
        <v>0</v>
      </c>
      <c r="M336" s="264">
        <f t="shared" si="47"/>
        <v>0</v>
      </c>
      <c r="N336" s="264">
        <f t="shared" si="47"/>
        <v>0</v>
      </c>
      <c r="O336" s="264">
        <f t="shared" si="47"/>
        <v>0</v>
      </c>
      <c r="P336" s="264">
        <f t="shared" si="47"/>
        <v>0</v>
      </c>
      <c r="Q336" s="264">
        <f t="shared" si="47"/>
        <v>0</v>
      </c>
      <c r="R336" s="264">
        <f t="shared" si="47"/>
        <v>0</v>
      </c>
      <c r="S336" s="5"/>
      <c r="T336" s="25"/>
      <c r="U336" s="5"/>
    </row>
    <row r="337" spans="1:21" s="3" customFormat="1" hidden="1" outlineLevel="2">
      <c r="A337" s="21"/>
      <c r="B337" s="228" t="s">
        <v>384</v>
      </c>
      <c r="C337" s="273" t="str">
        <f t="shared" si="44"/>
        <v>Heat pump electric air source</v>
      </c>
      <c r="D337" s="228"/>
      <c r="E337" s="355"/>
      <c r="F337" s="228" t="s">
        <v>316</v>
      </c>
      <c r="G337" s="5"/>
      <c r="H337" s="55">
        <v>366.50700000000001</v>
      </c>
      <c r="I337" s="253">
        <f t="shared" si="47"/>
        <v>366.50700000000001</v>
      </c>
      <c r="J337" s="253">
        <f t="shared" si="47"/>
        <v>366.50700000000001</v>
      </c>
      <c r="K337" s="253">
        <f t="shared" si="47"/>
        <v>366.50700000000001</v>
      </c>
      <c r="L337" s="253">
        <f t="shared" si="47"/>
        <v>366.50700000000001</v>
      </c>
      <c r="M337" s="253">
        <f t="shared" si="47"/>
        <v>366.50700000000001</v>
      </c>
      <c r="N337" s="253">
        <f t="shared" si="47"/>
        <v>366.50700000000001</v>
      </c>
      <c r="O337" s="253">
        <f t="shared" si="47"/>
        <v>366.50700000000001</v>
      </c>
      <c r="P337" s="253">
        <f t="shared" si="47"/>
        <v>366.50700000000001</v>
      </c>
      <c r="Q337" s="253">
        <f t="shared" si="47"/>
        <v>366.50700000000001</v>
      </c>
      <c r="R337" s="253">
        <f t="shared" si="47"/>
        <v>366.50700000000001</v>
      </c>
      <c r="S337" s="5"/>
      <c r="T337" s="25"/>
      <c r="U337" s="5"/>
    </row>
    <row r="338" spans="1:21" s="3" customFormat="1" hidden="1" outlineLevel="2">
      <c r="A338" s="21"/>
      <c r="B338" s="228" t="s">
        <v>386</v>
      </c>
      <c r="C338" s="273" t="str">
        <f t="shared" si="44"/>
        <v>Heat pump electric air source</v>
      </c>
      <c r="D338" s="228"/>
      <c r="E338" s="355"/>
      <c r="F338" s="228" t="s">
        <v>316</v>
      </c>
      <c r="G338" s="5"/>
      <c r="H338" s="55">
        <v>1221.6890000000001</v>
      </c>
      <c r="I338" s="253">
        <f t="shared" si="47"/>
        <v>1221.6890000000001</v>
      </c>
      <c r="J338" s="253">
        <f t="shared" si="47"/>
        <v>1221.6890000000001</v>
      </c>
      <c r="K338" s="253">
        <f t="shared" si="47"/>
        <v>1221.6890000000001</v>
      </c>
      <c r="L338" s="253">
        <f t="shared" si="47"/>
        <v>1221.6890000000001</v>
      </c>
      <c r="M338" s="253">
        <f t="shared" si="47"/>
        <v>1221.6890000000001</v>
      </c>
      <c r="N338" s="253">
        <f t="shared" si="47"/>
        <v>1221.6890000000001</v>
      </c>
      <c r="O338" s="253">
        <f t="shared" si="47"/>
        <v>1221.6890000000001</v>
      </c>
      <c r="P338" s="253">
        <f t="shared" si="47"/>
        <v>1221.6890000000001</v>
      </c>
      <c r="Q338" s="253">
        <f t="shared" si="47"/>
        <v>1221.6890000000001</v>
      </c>
      <c r="R338" s="253">
        <f t="shared" si="47"/>
        <v>1221.6890000000001</v>
      </c>
      <c r="S338" s="5"/>
      <c r="T338" s="25"/>
      <c r="U338" s="5"/>
    </row>
    <row r="339" spans="1:21" s="3" customFormat="1" hidden="1" outlineLevel="2">
      <c r="A339" s="21"/>
      <c r="B339" s="228" t="s">
        <v>387</v>
      </c>
      <c r="C339" s="273" t="str">
        <f t="shared" si="44"/>
        <v>Heat pump electric air source</v>
      </c>
      <c r="D339" s="228"/>
      <c r="E339" s="355"/>
      <c r="F339" s="228"/>
      <c r="G339" s="5"/>
      <c r="H339" s="261">
        <v>0.65</v>
      </c>
      <c r="I339" s="264">
        <f t="shared" si="47"/>
        <v>0.65</v>
      </c>
      <c r="J339" s="264">
        <f t="shared" si="47"/>
        <v>0.65</v>
      </c>
      <c r="K339" s="264">
        <f t="shared" si="47"/>
        <v>0.65</v>
      </c>
      <c r="L339" s="264">
        <f t="shared" si="47"/>
        <v>0.65</v>
      </c>
      <c r="M339" s="264">
        <f t="shared" si="47"/>
        <v>0.65</v>
      </c>
      <c r="N339" s="264">
        <f t="shared" si="47"/>
        <v>0.65</v>
      </c>
      <c r="O339" s="264">
        <f t="shared" si="47"/>
        <v>0.65</v>
      </c>
      <c r="P339" s="264">
        <f t="shared" si="47"/>
        <v>0.65</v>
      </c>
      <c r="Q339" s="264">
        <f t="shared" si="47"/>
        <v>0.65</v>
      </c>
      <c r="R339" s="264">
        <f t="shared" si="47"/>
        <v>0.65</v>
      </c>
      <c r="S339" s="5"/>
      <c r="T339" s="25"/>
      <c r="U339" s="5"/>
    </row>
    <row r="340" spans="1:21" s="3" customFormat="1" hidden="1" outlineLevel="2">
      <c r="A340" s="21"/>
      <c r="B340" s="228" t="s">
        <v>388</v>
      </c>
      <c r="C340" s="273" t="str">
        <f t="shared" si="44"/>
        <v>Heat pump electric air source</v>
      </c>
      <c r="D340" s="228"/>
      <c r="E340" s="355"/>
      <c r="F340" s="228"/>
      <c r="G340" s="5"/>
      <c r="H340" s="29">
        <v>0.4</v>
      </c>
      <c r="I340" s="362">
        <f t="shared" si="47"/>
        <v>0.4</v>
      </c>
      <c r="J340" s="362">
        <f t="shared" si="47"/>
        <v>0.4</v>
      </c>
      <c r="K340" s="362">
        <f t="shared" si="47"/>
        <v>0.4</v>
      </c>
      <c r="L340" s="362">
        <f t="shared" si="47"/>
        <v>0.4</v>
      </c>
      <c r="M340" s="362">
        <f t="shared" si="47"/>
        <v>0.4</v>
      </c>
      <c r="N340" s="362">
        <f t="shared" si="47"/>
        <v>0.4</v>
      </c>
      <c r="O340" s="362">
        <f t="shared" si="47"/>
        <v>0.4</v>
      </c>
      <c r="P340" s="362">
        <f t="shared" si="47"/>
        <v>0.4</v>
      </c>
      <c r="Q340" s="362">
        <f t="shared" si="47"/>
        <v>0.4</v>
      </c>
      <c r="R340" s="362">
        <f t="shared" si="47"/>
        <v>0.4</v>
      </c>
      <c r="S340" s="5"/>
      <c r="T340" s="25"/>
      <c r="U340" s="5"/>
    </row>
    <row r="341" spans="1:21" s="3" customFormat="1" hidden="1" outlineLevel="2">
      <c r="A341" s="21"/>
      <c r="B341" s="228" t="s">
        <v>385</v>
      </c>
      <c r="C341" s="273" t="str">
        <f t="shared" si="44"/>
        <v>Heat pump electric air source</v>
      </c>
      <c r="D341" s="228"/>
      <c r="E341" s="355"/>
      <c r="F341" s="228" t="s">
        <v>317</v>
      </c>
      <c r="G341" s="5"/>
      <c r="H341" s="54"/>
      <c r="I341" s="54"/>
      <c r="J341" s="54"/>
      <c r="K341" s="54"/>
      <c r="L341" s="54"/>
      <c r="M341" s="54"/>
      <c r="N341" s="54"/>
      <c r="O341" s="54"/>
      <c r="P341" s="54"/>
      <c r="Q341" s="54"/>
      <c r="R341" s="54"/>
      <c r="S341" s="5"/>
      <c r="T341" s="25"/>
      <c r="U341" s="5"/>
    </row>
    <row r="342" spans="1:21" s="3" customFormat="1" hidden="1" outlineLevel="2">
      <c r="A342" s="21"/>
      <c r="B342" s="228" t="s">
        <v>389</v>
      </c>
      <c r="C342" s="273" t="str">
        <f t="shared" si="44"/>
        <v>Heat pump electric air source</v>
      </c>
      <c r="D342" s="228"/>
      <c r="E342" s="355"/>
      <c r="F342" s="228" t="s">
        <v>317</v>
      </c>
      <c r="G342" s="5"/>
      <c r="H342" s="55"/>
      <c r="I342" s="55"/>
      <c r="J342" s="55"/>
      <c r="K342" s="55"/>
      <c r="L342" s="55"/>
      <c r="M342" s="55"/>
      <c r="N342" s="55"/>
      <c r="O342" s="55"/>
      <c r="P342" s="55"/>
      <c r="Q342" s="55"/>
      <c r="R342" s="55"/>
      <c r="S342" s="5"/>
      <c r="T342" s="25"/>
      <c r="U342" s="5"/>
    </row>
    <row r="343" spans="1:21" s="3" customFormat="1" hidden="1" outlineLevel="2">
      <c r="A343" s="21"/>
      <c r="B343" s="228" t="s">
        <v>390</v>
      </c>
      <c r="C343" s="273" t="str">
        <f t="shared" si="44"/>
        <v>Heat pump electric air source</v>
      </c>
      <c r="D343" s="228"/>
      <c r="E343" s="355"/>
      <c r="F343" s="228"/>
      <c r="G343" s="5"/>
      <c r="H343" s="261"/>
      <c r="I343" s="261"/>
      <c r="J343" s="261"/>
      <c r="K343" s="261"/>
      <c r="L343" s="261"/>
      <c r="M343" s="261"/>
      <c r="N343" s="261"/>
      <c r="O343" s="261"/>
      <c r="P343" s="261"/>
      <c r="Q343" s="261"/>
      <c r="R343" s="261"/>
      <c r="S343" s="5"/>
      <c r="T343" s="25"/>
      <c r="U343" s="5"/>
    </row>
    <row r="344" spans="1:21" s="3" customFormat="1" hidden="1" outlineLevel="2">
      <c r="A344" s="21"/>
      <c r="B344" s="228" t="s">
        <v>391</v>
      </c>
      <c r="C344" s="273" t="str">
        <f t="shared" si="44"/>
        <v>Heat pump electric air source</v>
      </c>
      <c r="D344" s="228"/>
      <c r="E344" s="355"/>
      <c r="F344" s="228"/>
      <c r="G344" s="5"/>
      <c r="H344" s="55"/>
      <c r="I344" s="55"/>
      <c r="J344" s="55"/>
      <c r="K344" s="55"/>
      <c r="L344" s="55"/>
      <c r="M344" s="55"/>
      <c r="N344" s="55"/>
      <c r="O344" s="55"/>
      <c r="P344" s="55"/>
      <c r="Q344" s="55"/>
      <c r="R344" s="55"/>
      <c r="S344" s="5"/>
      <c r="T344" s="25"/>
      <c r="U344" s="5"/>
    </row>
    <row r="345" spans="1:21" s="3" customFormat="1" hidden="1" outlineLevel="2">
      <c r="A345" s="21"/>
      <c r="B345" s="228" t="s">
        <v>305</v>
      </c>
      <c r="C345" s="273" t="str">
        <f t="shared" si="44"/>
        <v>Heat pump electric air source</v>
      </c>
      <c r="D345" s="228"/>
      <c r="E345" s="355"/>
      <c r="F345" s="228" t="s">
        <v>317</v>
      </c>
      <c r="G345" s="5"/>
      <c r="H345" s="54"/>
      <c r="I345" s="54"/>
      <c r="J345" s="54"/>
      <c r="K345" s="54"/>
      <c r="L345" s="54"/>
      <c r="M345" s="54"/>
      <c r="N345" s="54"/>
      <c r="O345" s="54"/>
      <c r="P345" s="54"/>
      <c r="Q345" s="54"/>
      <c r="R345" s="54"/>
      <c r="S345" s="5"/>
      <c r="T345" s="25"/>
      <c r="U345" s="5"/>
    </row>
    <row r="346" spans="1:21" s="3" customFormat="1" hidden="1" outlineLevel="2">
      <c r="A346" s="21"/>
      <c r="B346" s="228" t="s">
        <v>352</v>
      </c>
      <c r="C346" s="273" t="str">
        <f t="shared" si="44"/>
        <v>Heat pump electric air source</v>
      </c>
      <c r="D346" s="228"/>
      <c r="E346" s="355"/>
      <c r="F346" s="228" t="s">
        <v>316</v>
      </c>
      <c r="G346" s="5"/>
      <c r="H346" s="132">
        <v>-416.596</v>
      </c>
      <c r="I346" s="364">
        <f>H346</f>
        <v>-416.596</v>
      </c>
      <c r="J346" s="364">
        <f t="shared" ref="J346:R347" si="48">I346</f>
        <v>-416.596</v>
      </c>
      <c r="K346" s="364">
        <f t="shared" si="48"/>
        <v>-416.596</v>
      </c>
      <c r="L346" s="364">
        <f t="shared" si="48"/>
        <v>-416.596</v>
      </c>
      <c r="M346" s="364">
        <f t="shared" si="48"/>
        <v>-416.596</v>
      </c>
      <c r="N346" s="364">
        <f t="shared" si="48"/>
        <v>-416.596</v>
      </c>
      <c r="O346" s="364">
        <f t="shared" si="48"/>
        <v>-416.596</v>
      </c>
      <c r="P346" s="364">
        <f t="shared" si="48"/>
        <v>-416.596</v>
      </c>
      <c r="Q346" s="364">
        <f t="shared" si="48"/>
        <v>-416.596</v>
      </c>
      <c r="R346" s="364">
        <f t="shared" si="48"/>
        <v>-416.596</v>
      </c>
      <c r="S346" s="5"/>
      <c r="T346" s="25"/>
      <c r="U346" s="5"/>
    </row>
    <row r="347" spans="1:21" s="3" customFormat="1" hidden="1" outlineLevel="2">
      <c r="A347" s="21"/>
      <c r="B347" s="67" t="s">
        <v>301</v>
      </c>
      <c r="C347" s="273" t="str">
        <f t="shared" si="44"/>
        <v>Heat pump electric air source</v>
      </c>
      <c r="D347" s="273" t="s">
        <v>454</v>
      </c>
      <c r="E347" s="347"/>
      <c r="F347" s="67" t="s">
        <v>33</v>
      </c>
      <c r="G347" s="5"/>
      <c r="H347" s="350">
        <f>1/1.9</f>
        <v>0.52631578947368418</v>
      </c>
      <c r="I347" s="363">
        <f>H347</f>
        <v>0.52631578947368418</v>
      </c>
      <c r="J347" s="363">
        <f t="shared" si="48"/>
        <v>0.52631578947368418</v>
      </c>
      <c r="K347" s="363">
        <f t="shared" si="48"/>
        <v>0.52631578947368418</v>
      </c>
      <c r="L347" s="363">
        <f t="shared" si="48"/>
        <v>0.52631578947368418</v>
      </c>
      <c r="M347" s="363">
        <f t="shared" si="48"/>
        <v>0.52631578947368418</v>
      </c>
      <c r="N347" s="363">
        <f t="shared" si="48"/>
        <v>0.52631578947368418</v>
      </c>
      <c r="O347" s="363">
        <f t="shared" si="48"/>
        <v>0.52631578947368418</v>
      </c>
      <c r="P347" s="363">
        <f t="shared" si="48"/>
        <v>0.52631578947368418</v>
      </c>
      <c r="Q347" s="363">
        <f t="shared" si="48"/>
        <v>0.52631578947368418</v>
      </c>
      <c r="R347" s="363">
        <f t="shared" si="48"/>
        <v>0.52631578947368418</v>
      </c>
      <c r="S347" s="5"/>
      <c r="T347" s="25"/>
      <c r="U347" s="5"/>
    </row>
    <row r="348" spans="1:21" s="3" customFormat="1" hidden="1" outlineLevel="2">
      <c r="A348" s="21"/>
      <c r="B348" s="67" t="s">
        <v>50</v>
      </c>
      <c r="C348" s="273" t="s">
        <v>473</v>
      </c>
      <c r="D348" s="4"/>
      <c r="E348" s="347"/>
      <c r="G348" s="5"/>
      <c r="H348" s="4"/>
      <c r="I348" s="4"/>
      <c r="J348" s="4"/>
      <c r="K348" s="4"/>
      <c r="L348" s="4"/>
      <c r="M348" s="4"/>
      <c r="N348" s="4"/>
      <c r="O348" s="4"/>
      <c r="P348" s="4"/>
      <c r="Q348" s="4"/>
      <c r="R348" s="4"/>
      <c r="S348" s="5"/>
      <c r="T348" s="25"/>
      <c r="U348" s="5"/>
    </row>
    <row r="349" spans="1:21" s="3" customFormat="1" hidden="1" outlineLevel="2">
      <c r="A349" s="21"/>
      <c r="B349" s="228" t="s">
        <v>37</v>
      </c>
      <c r="C349" s="273" t="str">
        <f>C348</f>
        <v>Heat pump - ground source</v>
      </c>
      <c r="D349" s="228"/>
      <c r="E349" s="355"/>
      <c r="F349" s="228" t="s">
        <v>39</v>
      </c>
      <c r="G349" s="5"/>
      <c r="H349" s="265">
        <v>2010</v>
      </c>
      <c r="I349" s="356">
        <f t="shared" ref="I349:R351" si="49">H349</f>
        <v>2010</v>
      </c>
      <c r="J349" s="356">
        <f t="shared" si="49"/>
        <v>2010</v>
      </c>
      <c r="K349" s="356">
        <f t="shared" si="49"/>
        <v>2010</v>
      </c>
      <c r="L349" s="356">
        <f t="shared" si="49"/>
        <v>2010</v>
      </c>
      <c r="M349" s="356">
        <f t="shared" si="49"/>
        <v>2010</v>
      </c>
      <c r="N349" s="356">
        <f t="shared" si="49"/>
        <v>2010</v>
      </c>
      <c r="O349" s="356">
        <f t="shared" si="49"/>
        <v>2010</v>
      </c>
      <c r="P349" s="356">
        <f t="shared" si="49"/>
        <v>2010</v>
      </c>
      <c r="Q349" s="356">
        <f t="shared" si="49"/>
        <v>2010</v>
      </c>
      <c r="R349" s="356">
        <f t="shared" si="49"/>
        <v>2010</v>
      </c>
      <c r="S349" s="5"/>
      <c r="T349" s="25"/>
      <c r="U349" s="5"/>
    </row>
    <row r="350" spans="1:21" s="3" customFormat="1" hidden="1" outlineLevel="2">
      <c r="A350" s="21"/>
      <c r="B350" s="228" t="s">
        <v>36</v>
      </c>
      <c r="C350" s="273" t="str">
        <f t="shared" ref="C350:C377" si="50">C349</f>
        <v>Heat pump - ground source</v>
      </c>
      <c r="D350" s="228"/>
      <c r="E350" s="355"/>
      <c r="F350" s="228" t="s">
        <v>39</v>
      </c>
      <c r="G350" s="5"/>
      <c r="H350" s="265">
        <v>2100</v>
      </c>
      <c r="I350" s="356">
        <f t="shared" si="49"/>
        <v>2100</v>
      </c>
      <c r="J350" s="356">
        <f t="shared" si="49"/>
        <v>2100</v>
      </c>
      <c r="K350" s="356">
        <f t="shared" si="49"/>
        <v>2100</v>
      </c>
      <c r="L350" s="356">
        <f t="shared" si="49"/>
        <v>2100</v>
      </c>
      <c r="M350" s="356">
        <f t="shared" si="49"/>
        <v>2100</v>
      </c>
      <c r="N350" s="356">
        <f t="shared" si="49"/>
        <v>2100</v>
      </c>
      <c r="O350" s="356">
        <f t="shared" si="49"/>
        <v>2100</v>
      </c>
      <c r="P350" s="356">
        <f t="shared" si="49"/>
        <v>2100</v>
      </c>
      <c r="Q350" s="356">
        <f t="shared" si="49"/>
        <v>2100</v>
      </c>
      <c r="R350" s="356">
        <f t="shared" si="49"/>
        <v>2100</v>
      </c>
      <c r="S350" s="5"/>
      <c r="T350" s="25"/>
      <c r="U350" s="5"/>
    </row>
    <row r="351" spans="1:21" s="3" customFormat="1" hidden="1" outlineLevel="2">
      <c r="A351" s="21"/>
      <c r="B351" s="228" t="s">
        <v>38</v>
      </c>
      <c r="C351" s="273" t="str">
        <f t="shared" si="50"/>
        <v>Heat pump - ground source</v>
      </c>
      <c r="D351" s="228"/>
      <c r="E351" s="355"/>
      <c r="F351" s="228" t="s">
        <v>10</v>
      </c>
      <c r="G351" s="5"/>
      <c r="H351" s="55">
        <v>75</v>
      </c>
      <c r="I351" s="357">
        <f t="shared" si="49"/>
        <v>75</v>
      </c>
      <c r="J351" s="357">
        <f t="shared" si="49"/>
        <v>75</v>
      </c>
      <c r="K351" s="357">
        <f t="shared" si="49"/>
        <v>75</v>
      </c>
      <c r="L351" s="357">
        <f t="shared" si="49"/>
        <v>75</v>
      </c>
      <c r="M351" s="357">
        <f t="shared" si="49"/>
        <v>75</v>
      </c>
      <c r="N351" s="357">
        <f t="shared" si="49"/>
        <v>75</v>
      </c>
      <c r="O351" s="357">
        <f t="shared" si="49"/>
        <v>75</v>
      </c>
      <c r="P351" s="357">
        <f t="shared" si="49"/>
        <v>75</v>
      </c>
      <c r="Q351" s="357">
        <f t="shared" si="49"/>
        <v>75</v>
      </c>
      <c r="R351" s="357">
        <f t="shared" si="49"/>
        <v>75</v>
      </c>
      <c r="S351" s="5"/>
      <c r="T351" s="25"/>
      <c r="U351" s="5"/>
    </row>
    <row r="352" spans="1:21" s="3" customFormat="1" hidden="1" outlineLevel="2">
      <c r="A352" s="21"/>
      <c r="B352" s="228" t="s">
        <v>353</v>
      </c>
      <c r="C352" s="273" t="str">
        <f t="shared" si="50"/>
        <v>Heat pump - ground source</v>
      </c>
      <c r="D352" s="228"/>
      <c r="E352" s="355"/>
      <c r="F352" s="228" t="s">
        <v>10</v>
      </c>
      <c r="G352" s="5"/>
      <c r="H352" s="55"/>
      <c r="I352" s="55"/>
      <c r="J352" s="55"/>
      <c r="K352" s="55"/>
      <c r="L352" s="55"/>
      <c r="M352" s="55"/>
      <c r="N352" s="55"/>
      <c r="O352" s="55"/>
      <c r="P352" s="55"/>
      <c r="Q352" s="55"/>
      <c r="R352" s="55"/>
      <c r="S352" s="5"/>
      <c r="T352" s="25"/>
      <c r="U352" s="5"/>
    </row>
    <row r="353" spans="1:21" s="3" customFormat="1" hidden="1" outlineLevel="2">
      <c r="A353" s="21"/>
      <c r="B353" s="228" t="s">
        <v>304</v>
      </c>
      <c r="C353" s="273" t="str">
        <f t="shared" si="50"/>
        <v>Heat pump - ground source</v>
      </c>
      <c r="D353" s="228"/>
      <c r="E353" s="355"/>
      <c r="F353" s="228" t="s">
        <v>96</v>
      </c>
      <c r="G353" s="5"/>
      <c r="H353" s="261">
        <v>0.05</v>
      </c>
      <c r="I353" s="352">
        <f t="shared" ref="I353:R355" si="51">H353</f>
        <v>0.05</v>
      </c>
      <c r="J353" s="352">
        <f t="shared" si="51"/>
        <v>0.05</v>
      </c>
      <c r="K353" s="352">
        <f t="shared" si="51"/>
        <v>0.05</v>
      </c>
      <c r="L353" s="352">
        <f t="shared" si="51"/>
        <v>0.05</v>
      </c>
      <c r="M353" s="352">
        <f t="shared" si="51"/>
        <v>0.05</v>
      </c>
      <c r="N353" s="352">
        <f t="shared" si="51"/>
        <v>0.05</v>
      </c>
      <c r="O353" s="352">
        <f t="shared" si="51"/>
        <v>0.05</v>
      </c>
      <c r="P353" s="352">
        <f t="shared" si="51"/>
        <v>0.05</v>
      </c>
      <c r="Q353" s="352">
        <f t="shared" si="51"/>
        <v>0.05</v>
      </c>
      <c r="R353" s="352">
        <f t="shared" si="51"/>
        <v>0.05</v>
      </c>
      <c r="S353" s="5"/>
      <c r="T353" s="25"/>
      <c r="U353" s="5"/>
    </row>
    <row r="354" spans="1:21" s="3" customFormat="1" hidden="1" outlineLevel="2">
      <c r="A354" s="21"/>
      <c r="B354" s="228" t="s">
        <v>350</v>
      </c>
      <c r="C354" s="273" t="str">
        <f t="shared" si="50"/>
        <v>Heat pump - ground source</v>
      </c>
      <c r="D354" s="228"/>
      <c r="E354" s="355"/>
      <c r="F354" s="228" t="s">
        <v>96</v>
      </c>
      <c r="G354" s="5"/>
      <c r="H354" s="261">
        <v>0</v>
      </c>
      <c r="I354" s="352">
        <f t="shared" si="51"/>
        <v>0</v>
      </c>
      <c r="J354" s="352">
        <f t="shared" si="51"/>
        <v>0</v>
      </c>
      <c r="K354" s="352">
        <f t="shared" si="51"/>
        <v>0</v>
      </c>
      <c r="L354" s="352">
        <f t="shared" si="51"/>
        <v>0</v>
      </c>
      <c r="M354" s="352">
        <f t="shared" si="51"/>
        <v>0</v>
      </c>
      <c r="N354" s="352">
        <f t="shared" si="51"/>
        <v>0</v>
      </c>
      <c r="O354" s="352">
        <f t="shared" si="51"/>
        <v>0</v>
      </c>
      <c r="P354" s="352">
        <f t="shared" si="51"/>
        <v>0</v>
      </c>
      <c r="Q354" s="352">
        <f t="shared" si="51"/>
        <v>0</v>
      </c>
      <c r="R354" s="352">
        <f t="shared" si="51"/>
        <v>0</v>
      </c>
      <c r="S354" s="5"/>
      <c r="T354" s="25"/>
      <c r="U354" s="5"/>
    </row>
    <row r="355" spans="1:21" s="3" customFormat="1" hidden="1" outlineLevel="2">
      <c r="A355" s="21"/>
      <c r="B355" s="228" t="s">
        <v>349</v>
      </c>
      <c r="C355" s="273" t="str">
        <f t="shared" si="50"/>
        <v>Heat pump - ground source</v>
      </c>
      <c r="D355" s="228"/>
      <c r="E355" s="355"/>
      <c r="F355" s="228" t="s">
        <v>96</v>
      </c>
      <c r="G355" s="5"/>
      <c r="H355" s="261">
        <v>0.25</v>
      </c>
      <c r="I355" s="352">
        <f t="shared" si="51"/>
        <v>0.25</v>
      </c>
      <c r="J355" s="352">
        <f t="shared" si="51"/>
        <v>0.25</v>
      </c>
      <c r="K355" s="352">
        <f t="shared" si="51"/>
        <v>0.25</v>
      </c>
      <c r="L355" s="352">
        <f t="shared" si="51"/>
        <v>0.25</v>
      </c>
      <c r="M355" s="352">
        <f t="shared" si="51"/>
        <v>0.25</v>
      </c>
      <c r="N355" s="352">
        <f t="shared" si="51"/>
        <v>0.25</v>
      </c>
      <c r="O355" s="352">
        <f t="shared" si="51"/>
        <v>0.25</v>
      </c>
      <c r="P355" s="352">
        <f t="shared" si="51"/>
        <v>0.25</v>
      </c>
      <c r="Q355" s="352">
        <f t="shared" si="51"/>
        <v>0.25</v>
      </c>
      <c r="R355" s="352">
        <f t="shared" si="51"/>
        <v>0.25</v>
      </c>
      <c r="S355" s="5"/>
      <c r="T355" s="25"/>
      <c r="U355" s="5"/>
    </row>
    <row r="356" spans="1:21" s="3" customFormat="1" hidden="1" outlineLevel="2">
      <c r="A356" s="21"/>
      <c r="B356" s="228" t="s">
        <v>74</v>
      </c>
      <c r="C356" s="273" t="str">
        <f t="shared" si="50"/>
        <v>Heat pump - ground source</v>
      </c>
      <c r="D356" s="228"/>
      <c r="E356" s="355"/>
      <c r="F356" s="228" t="s">
        <v>96</v>
      </c>
      <c r="G356" s="5"/>
      <c r="H356" s="261">
        <v>0</v>
      </c>
      <c r="I356" s="261"/>
      <c r="J356" s="261"/>
      <c r="K356" s="261"/>
      <c r="L356" s="261"/>
      <c r="M356" s="261"/>
      <c r="N356" s="261"/>
      <c r="O356" s="261"/>
      <c r="P356" s="261"/>
      <c r="Q356" s="261"/>
      <c r="R356" s="261"/>
      <c r="S356" s="5"/>
      <c r="T356" s="25"/>
      <c r="U356" s="5"/>
    </row>
    <row r="357" spans="1:21" s="3" customFormat="1" hidden="1" outlineLevel="2">
      <c r="A357" s="21"/>
      <c r="B357" s="358" t="s">
        <v>146</v>
      </c>
      <c r="C357" s="273" t="str">
        <f t="shared" si="50"/>
        <v>Heat pump - ground source</v>
      </c>
      <c r="D357" s="359"/>
      <c r="E357" s="360"/>
      <c r="F357" s="358" t="s">
        <v>96</v>
      </c>
      <c r="G357" s="5"/>
      <c r="H357" s="261"/>
      <c r="I357" s="261"/>
      <c r="J357" s="261"/>
      <c r="K357" s="261"/>
      <c r="L357" s="261"/>
      <c r="M357" s="261"/>
      <c r="N357" s="261"/>
      <c r="O357" s="261"/>
      <c r="P357" s="261"/>
      <c r="Q357" s="261"/>
      <c r="R357" s="261"/>
      <c r="S357" s="5"/>
      <c r="T357" s="25"/>
      <c r="U357" s="5"/>
    </row>
    <row r="358" spans="1:21" s="3" customFormat="1" hidden="1" outlineLevel="2">
      <c r="A358" s="21"/>
      <c r="B358" s="358" t="s">
        <v>147</v>
      </c>
      <c r="C358" s="273" t="str">
        <f t="shared" si="50"/>
        <v>Heat pump - ground source</v>
      </c>
      <c r="D358" s="359"/>
      <c r="E358" s="360"/>
      <c r="F358" s="358" t="s">
        <v>96</v>
      </c>
      <c r="G358" s="5"/>
      <c r="H358" s="261"/>
      <c r="I358" s="261"/>
      <c r="J358" s="261"/>
      <c r="K358" s="261"/>
      <c r="L358" s="261"/>
      <c r="M358" s="261"/>
      <c r="N358" s="261"/>
      <c r="O358" s="261"/>
      <c r="P358" s="261"/>
      <c r="Q358" s="261"/>
      <c r="R358" s="261"/>
      <c r="S358" s="5"/>
      <c r="T358" s="25"/>
      <c r="U358" s="5"/>
    </row>
    <row r="359" spans="1:21" s="3" customFormat="1" hidden="1" outlineLevel="2">
      <c r="A359" s="21"/>
      <c r="B359" s="358" t="s">
        <v>362</v>
      </c>
      <c r="C359" s="273" t="str">
        <f t="shared" si="50"/>
        <v>Heat pump - ground source</v>
      </c>
      <c r="D359" s="359"/>
      <c r="E359" s="360"/>
      <c r="F359" s="358" t="s">
        <v>96</v>
      </c>
      <c r="G359" s="5"/>
      <c r="H359" s="261"/>
      <c r="I359" s="261"/>
      <c r="J359" s="261"/>
      <c r="K359" s="261"/>
      <c r="L359" s="261"/>
      <c r="M359" s="261"/>
      <c r="N359" s="261"/>
      <c r="O359" s="261"/>
      <c r="P359" s="261"/>
      <c r="Q359" s="261"/>
      <c r="R359" s="261"/>
      <c r="S359" s="5"/>
      <c r="T359" s="25"/>
      <c r="U359" s="5"/>
    </row>
    <row r="360" spans="1:21" s="3" customFormat="1" hidden="1" outlineLevel="2">
      <c r="A360" s="21"/>
      <c r="B360" s="358" t="s">
        <v>363</v>
      </c>
      <c r="C360" s="273" t="str">
        <f t="shared" si="50"/>
        <v>Heat pump - ground source</v>
      </c>
      <c r="D360" s="359"/>
      <c r="E360" s="360"/>
      <c r="F360" s="358" t="s">
        <v>96</v>
      </c>
      <c r="G360" s="5"/>
      <c r="H360" s="261"/>
      <c r="I360" s="261"/>
      <c r="J360" s="261"/>
      <c r="K360" s="261"/>
      <c r="L360" s="261"/>
      <c r="M360" s="261"/>
      <c r="N360" s="261"/>
      <c r="O360" s="261"/>
      <c r="P360" s="261"/>
      <c r="Q360" s="261"/>
      <c r="R360" s="261"/>
      <c r="S360" s="5"/>
      <c r="T360" s="25"/>
      <c r="U360" s="5"/>
    </row>
    <row r="361" spans="1:21" s="3" customFormat="1" hidden="1" outlineLevel="2">
      <c r="A361" s="21"/>
      <c r="B361" s="228" t="s">
        <v>332</v>
      </c>
      <c r="C361" s="273" t="str">
        <f t="shared" si="50"/>
        <v>Heat pump - ground source</v>
      </c>
      <c r="D361" s="228"/>
      <c r="E361" s="355"/>
      <c r="F361" s="228" t="s">
        <v>33</v>
      </c>
      <c r="G361" s="5"/>
      <c r="H361" s="29">
        <v>87.534999999999997</v>
      </c>
      <c r="I361" s="362">
        <f t="shared" ref="I361:R362" si="52">H361</f>
        <v>87.534999999999997</v>
      </c>
      <c r="J361" s="362">
        <f t="shared" si="52"/>
        <v>87.534999999999997</v>
      </c>
      <c r="K361" s="362">
        <f t="shared" si="52"/>
        <v>87.534999999999997</v>
      </c>
      <c r="L361" s="362">
        <f t="shared" si="52"/>
        <v>87.534999999999997</v>
      </c>
      <c r="M361" s="362">
        <f t="shared" si="52"/>
        <v>87.534999999999997</v>
      </c>
      <c r="N361" s="362">
        <f t="shared" si="52"/>
        <v>87.534999999999997</v>
      </c>
      <c r="O361" s="362">
        <f t="shared" si="52"/>
        <v>87.534999999999997</v>
      </c>
      <c r="P361" s="362">
        <f t="shared" si="52"/>
        <v>87.534999999999997</v>
      </c>
      <c r="Q361" s="362">
        <f t="shared" si="52"/>
        <v>87.534999999999997</v>
      </c>
      <c r="R361" s="362">
        <f t="shared" si="52"/>
        <v>87.534999999999997</v>
      </c>
      <c r="S361" s="5"/>
      <c r="T361" s="25"/>
      <c r="U361" s="5"/>
    </row>
    <row r="362" spans="1:21" s="3" customFormat="1" hidden="1" outlineLevel="2">
      <c r="A362" s="21"/>
      <c r="B362" s="228" t="s">
        <v>470</v>
      </c>
      <c r="C362" s="273" t="str">
        <f t="shared" si="50"/>
        <v>Heat pump - ground source</v>
      </c>
      <c r="D362" s="228"/>
      <c r="E362" s="355"/>
      <c r="F362" s="228" t="s">
        <v>316</v>
      </c>
      <c r="G362" s="5"/>
      <c r="H362" s="54">
        <v>15521.56</v>
      </c>
      <c r="I362" s="269">
        <f>H362</f>
        <v>15521.56</v>
      </c>
      <c r="J362" s="269">
        <f t="shared" si="52"/>
        <v>15521.56</v>
      </c>
      <c r="K362" s="269">
        <f t="shared" si="52"/>
        <v>15521.56</v>
      </c>
      <c r="L362" s="269">
        <f t="shared" si="52"/>
        <v>15521.56</v>
      </c>
      <c r="M362" s="269">
        <f t="shared" si="52"/>
        <v>15521.56</v>
      </c>
      <c r="N362" s="269">
        <f t="shared" si="52"/>
        <v>15521.56</v>
      </c>
      <c r="O362" s="269">
        <f t="shared" si="52"/>
        <v>15521.56</v>
      </c>
      <c r="P362" s="269">
        <f t="shared" si="52"/>
        <v>15521.56</v>
      </c>
      <c r="Q362" s="269">
        <f t="shared" si="52"/>
        <v>15521.56</v>
      </c>
      <c r="R362" s="269">
        <f t="shared" si="52"/>
        <v>15521.56</v>
      </c>
      <c r="S362" s="5"/>
      <c r="T362" s="25"/>
      <c r="U362" s="5"/>
    </row>
    <row r="363" spans="1:21" s="3" customFormat="1" hidden="1" outlineLevel="2">
      <c r="A363" s="21"/>
      <c r="B363" s="228" t="s">
        <v>375</v>
      </c>
      <c r="C363" s="273" t="str">
        <f t="shared" si="50"/>
        <v>Heat pump - ground source</v>
      </c>
      <c r="D363" s="228"/>
      <c r="E363" s="355"/>
      <c r="F363" s="228" t="s">
        <v>96</v>
      </c>
      <c r="G363" s="5"/>
      <c r="H363" s="261">
        <v>0.6</v>
      </c>
      <c r="I363" s="264">
        <f t="shared" ref="I363:R370" si="53">H363</f>
        <v>0.6</v>
      </c>
      <c r="J363" s="264">
        <f t="shared" si="53"/>
        <v>0.6</v>
      </c>
      <c r="K363" s="264">
        <f t="shared" si="53"/>
        <v>0.6</v>
      </c>
      <c r="L363" s="264">
        <f t="shared" si="53"/>
        <v>0.6</v>
      </c>
      <c r="M363" s="264">
        <f t="shared" si="53"/>
        <v>0.6</v>
      </c>
      <c r="N363" s="264">
        <f t="shared" si="53"/>
        <v>0.6</v>
      </c>
      <c r="O363" s="264">
        <f t="shared" si="53"/>
        <v>0.6</v>
      </c>
      <c r="P363" s="264">
        <f t="shared" si="53"/>
        <v>0.6</v>
      </c>
      <c r="Q363" s="264">
        <f t="shared" si="53"/>
        <v>0.6</v>
      </c>
      <c r="R363" s="264">
        <f t="shared" si="53"/>
        <v>0.6</v>
      </c>
      <c r="S363" s="5"/>
      <c r="T363" s="25"/>
      <c r="U363" s="5"/>
    </row>
    <row r="364" spans="1:21" s="3" customFormat="1" hidden="1" outlineLevel="2">
      <c r="A364" s="21"/>
      <c r="B364" s="228" t="s">
        <v>432</v>
      </c>
      <c r="C364" s="273" t="str">
        <f t="shared" si="50"/>
        <v>Heat pump - ground source</v>
      </c>
      <c r="D364" s="228"/>
      <c r="E364" s="355"/>
      <c r="F364" s="228" t="s">
        <v>33</v>
      </c>
      <c r="G364" s="5"/>
      <c r="H364" s="55">
        <v>3457627</v>
      </c>
      <c r="I364" s="253">
        <f t="shared" si="53"/>
        <v>3457627</v>
      </c>
      <c r="J364" s="253">
        <f t="shared" si="53"/>
        <v>3457627</v>
      </c>
      <c r="K364" s="253">
        <f t="shared" si="53"/>
        <v>3457627</v>
      </c>
      <c r="L364" s="253">
        <f t="shared" si="53"/>
        <v>3457627</v>
      </c>
      <c r="M364" s="253">
        <f t="shared" si="53"/>
        <v>3457627</v>
      </c>
      <c r="N364" s="253">
        <f t="shared" si="53"/>
        <v>3457627</v>
      </c>
      <c r="O364" s="253">
        <f t="shared" si="53"/>
        <v>3457627</v>
      </c>
      <c r="P364" s="253">
        <f t="shared" si="53"/>
        <v>3457627</v>
      </c>
      <c r="Q364" s="253">
        <f t="shared" si="53"/>
        <v>3457627</v>
      </c>
      <c r="R364" s="253">
        <f t="shared" si="53"/>
        <v>3457627</v>
      </c>
      <c r="S364" s="5"/>
      <c r="T364" s="25"/>
      <c r="U364" s="5"/>
    </row>
    <row r="365" spans="1:21" s="3" customFormat="1" hidden="1" outlineLevel="2">
      <c r="A365" s="21"/>
      <c r="B365" s="228" t="s">
        <v>379</v>
      </c>
      <c r="C365" s="273" t="str">
        <f t="shared" si="50"/>
        <v>Heat pump - ground source</v>
      </c>
      <c r="D365" s="228"/>
      <c r="E365" s="355"/>
      <c r="F365" s="228"/>
      <c r="G365" s="5"/>
      <c r="H365" s="54">
        <v>0.75</v>
      </c>
      <c r="I365" s="270">
        <f t="shared" si="53"/>
        <v>0.75</v>
      </c>
      <c r="J365" s="270">
        <f t="shared" si="53"/>
        <v>0.75</v>
      </c>
      <c r="K365" s="270">
        <f t="shared" si="53"/>
        <v>0.75</v>
      </c>
      <c r="L365" s="270">
        <f t="shared" si="53"/>
        <v>0.75</v>
      </c>
      <c r="M365" s="270">
        <f t="shared" si="53"/>
        <v>0.75</v>
      </c>
      <c r="N365" s="270">
        <f t="shared" si="53"/>
        <v>0.75</v>
      </c>
      <c r="O365" s="270">
        <f t="shared" si="53"/>
        <v>0.75</v>
      </c>
      <c r="P365" s="270">
        <f t="shared" si="53"/>
        <v>0.75</v>
      </c>
      <c r="Q365" s="270">
        <f t="shared" si="53"/>
        <v>0.75</v>
      </c>
      <c r="R365" s="270">
        <f t="shared" si="53"/>
        <v>0.75</v>
      </c>
      <c r="S365" s="5"/>
      <c r="T365" s="25"/>
      <c r="U365" s="5"/>
    </row>
    <row r="366" spans="1:21" s="3" customFormat="1" hidden="1" outlineLevel="2">
      <c r="A366" s="21"/>
      <c r="B366" s="228" t="s">
        <v>361</v>
      </c>
      <c r="C366" s="273" t="str">
        <f t="shared" si="50"/>
        <v>Heat pump - ground source</v>
      </c>
      <c r="D366" s="228"/>
      <c r="E366" s="355"/>
      <c r="F366" s="228" t="s">
        <v>96</v>
      </c>
      <c r="G366" s="5"/>
      <c r="H366" s="261">
        <v>7.4999999999999997E-3</v>
      </c>
      <c r="I366" s="264">
        <f t="shared" si="53"/>
        <v>7.4999999999999997E-3</v>
      </c>
      <c r="J366" s="264">
        <f t="shared" si="53"/>
        <v>7.4999999999999997E-3</v>
      </c>
      <c r="K366" s="264">
        <f t="shared" si="53"/>
        <v>7.4999999999999997E-3</v>
      </c>
      <c r="L366" s="264">
        <f t="shared" si="53"/>
        <v>7.4999999999999997E-3</v>
      </c>
      <c r="M366" s="264">
        <f t="shared" si="53"/>
        <v>7.4999999999999997E-3</v>
      </c>
      <c r="N366" s="264">
        <f t="shared" si="53"/>
        <v>7.4999999999999997E-3</v>
      </c>
      <c r="O366" s="264">
        <f t="shared" si="53"/>
        <v>7.4999999999999997E-3</v>
      </c>
      <c r="P366" s="264">
        <f t="shared" si="53"/>
        <v>7.4999999999999997E-3</v>
      </c>
      <c r="Q366" s="264">
        <f t="shared" si="53"/>
        <v>7.4999999999999997E-3</v>
      </c>
      <c r="R366" s="264">
        <f t="shared" si="53"/>
        <v>7.4999999999999997E-3</v>
      </c>
      <c r="S366" s="5"/>
      <c r="T366" s="25"/>
      <c r="U366" s="5"/>
    </row>
    <row r="367" spans="1:21" s="3" customFormat="1" hidden="1" outlineLevel="2">
      <c r="A367" s="21"/>
      <c r="B367" s="228" t="s">
        <v>384</v>
      </c>
      <c r="C367" s="273" t="str">
        <f t="shared" si="50"/>
        <v>Heat pump - ground source</v>
      </c>
      <c r="D367" s="228"/>
      <c r="E367" s="355"/>
      <c r="F367" s="228" t="s">
        <v>316</v>
      </c>
      <c r="G367" s="5"/>
      <c r="H367" s="55">
        <v>733.01300000000003</v>
      </c>
      <c r="I367" s="253">
        <f t="shared" si="53"/>
        <v>733.01300000000003</v>
      </c>
      <c r="J367" s="253">
        <f t="shared" si="53"/>
        <v>733.01300000000003</v>
      </c>
      <c r="K367" s="253">
        <f t="shared" si="53"/>
        <v>733.01300000000003</v>
      </c>
      <c r="L367" s="253">
        <f t="shared" si="53"/>
        <v>733.01300000000003</v>
      </c>
      <c r="M367" s="253">
        <f t="shared" si="53"/>
        <v>733.01300000000003</v>
      </c>
      <c r="N367" s="253">
        <f t="shared" si="53"/>
        <v>733.01300000000003</v>
      </c>
      <c r="O367" s="253">
        <f t="shared" si="53"/>
        <v>733.01300000000003</v>
      </c>
      <c r="P367" s="253">
        <f t="shared" si="53"/>
        <v>733.01300000000003</v>
      </c>
      <c r="Q367" s="253">
        <f t="shared" si="53"/>
        <v>733.01300000000003</v>
      </c>
      <c r="R367" s="253">
        <f t="shared" si="53"/>
        <v>733.01300000000003</v>
      </c>
      <c r="S367" s="5"/>
      <c r="T367" s="25"/>
      <c r="U367" s="5"/>
    </row>
    <row r="368" spans="1:21" s="3" customFormat="1" hidden="1" outlineLevel="2">
      <c r="A368" s="21"/>
      <c r="B368" s="228" t="s">
        <v>386</v>
      </c>
      <c r="C368" s="273" t="str">
        <f t="shared" si="50"/>
        <v>Heat pump - ground source</v>
      </c>
      <c r="D368" s="228"/>
      <c r="E368" s="355"/>
      <c r="F368" s="228" t="s">
        <v>316</v>
      </c>
      <c r="G368" s="5"/>
      <c r="H368" s="55">
        <v>733.01300000000003</v>
      </c>
      <c r="I368" s="253">
        <f t="shared" si="53"/>
        <v>733.01300000000003</v>
      </c>
      <c r="J368" s="253">
        <f t="shared" si="53"/>
        <v>733.01300000000003</v>
      </c>
      <c r="K368" s="253">
        <f t="shared" si="53"/>
        <v>733.01300000000003</v>
      </c>
      <c r="L368" s="253">
        <f t="shared" si="53"/>
        <v>733.01300000000003</v>
      </c>
      <c r="M368" s="253">
        <f t="shared" si="53"/>
        <v>733.01300000000003</v>
      </c>
      <c r="N368" s="253">
        <f t="shared" si="53"/>
        <v>733.01300000000003</v>
      </c>
      <c r="O368" s="253">
        <f t="shared" si="53"/>
        <v>733.01300000000003</v>
      </c>
      <c r="P368" s="253">
        <f t="shared" si="53"/>
        <v>733.01300000000003</v>
      </c>
      <c r="Q368" s="253">
        <f t="shared" si="53"/>
        <v>733.01300000000003</v>
      </c>
      <c r="R368" s="253">
        <f t="shared" si="53"/>
        <v>733.01300000000003</v>
      </c>
      <c r="S368" s="5"/>
      <c r="T368" s="25"/>
      <c r="U368" s="5"/>
    </row>
    <row r="369" spans="1:21" s="3" customFormat="1" hidden="1" outlineLevel="2">
      <c r="A369" s="21"/>
      <c r="B369" s="228" t="s">
        <v>387</v>
      </c>
      <c r="C369" s="273" t="str">
        <f t="shared" si="50"/>
        <v>Heat pump - ground source</v>
      </c>
      <c r="D369" s="228"/>
      <c r="E369" s="355"/>
      <c r="F369" s="228"/>
      <c r="G369" s="5"/>
      <c r="H369" s="261">
        <v>0.65</v>
      </c>
      <c r="I369" s="264">
        <f t="shared" si="53"/>
        <v>0.65</v>
      </c>
      <c r="J369" s="264">
        <f t="shared" si="53"/>
        <v>0.65</v>
      </c>
      <c r="K369" s="264">
        <f t="shared" si="53"/>
        <v>0.65</v>
      </c>
      <c r="L369" s="264">
        <f t="shared" si="53"/>
        <v>0.65</v>
      </c>
      <c r="M369" s="264">
        <f t="shared" si="53"/>
        <v>0.65</v>
      </c>
      <c r="N369" s="264">
        <f t="shared" si="53"/>
        <v>0.65</v>
      </c>
      <c r="O369" s="264">
        <f t="shared" si="53"/>
        <v>0.65</v>
      </c>
      <c r="P369" s="264">
        <f t="shared" si="53"/>
        <v>0.65</v>
      </c>
      <c r="Q369" s="264">
        <f t="shared" si="53"/>
        <v>0.65</v>
      </c>
      <c r="R369" s="264">
        <f t="shared" si="53"/>
        <v>0.65</v>
      </c>
      <c r="S369" s="5"/>
      <c r="T369" s="25"/>
      <c r="U369" s="5"/>
    </row>
    <row r="370" spans="1:21" s="3" customFormat="1" hidden="1" outlineLevel="2">
      <c r="A370" s="21"/>
      <c r="B370" s="228" t="s">
        <v>388</v>
      </c>
      <c r="C370" s="273" t="str">
        <f t="shared" si="50"/>
        <v>Heat pump - ground source</v>
      </c>
      <c r="D370" s="228"/>
      <c r="E370" s="355"/>
      <c r="F370" s="228"/>
      <c r="G370" s="5"/>
      <c r="H370" s="29">
        <v>0.4</v>
      </c>
      <c r="I370" s="362">
        <f t="shared" si="53"/>
        <v>0.4</v>
      </c>
      <c r="J370" s="362">
        <f t="shared" si="53"/>
        <v>0.4</v>
      </c>
      <c r="K370" s="362">
        <f t="shared" si="53"/>
        <v>0.4</v>
      </c>
      <c r="L370" s="362">
        <f t="shared" si="53"/>
        <v>0.4</v>
      </c>
      <c r="M370" s="362">
        <f t="shared" si="53"/>
        <v>0.4</v>
      </c>
      <c r="N370" s="362">
        <f t="shared" si="53"/>
        <v>0.4</v>
      </c>
      <c r="O370" s="362">
        <f t="shared" si="53"/>
        <v>0.4</v>
      </c>
      <c r="P370" s="362">
        <f t="shared" si="53"/>
        <v>0.4</v>
      </c>
      <c r="Q370" s="362">
        <f t="shared" si="53"/>
        <v>0.4</v>
      </c>
      <c r="R370" s="362">
        <f t="shared" si="53"/>
        <v>0.4</v>
      </c>
      <c r="S370" s="5"/>
      <c r="T370" s="25"/>
      <c r="U370" s="5"/>
    </row>
    <row r="371" spans="1:21" s="3" customFormat="1" hidden="1" outlineLevel="2">
      <c r="A371" s="21"/>
      <c r="B371" s="228" t="s">
        <v>385</v>
      </c>
      <c r="C371" s="273" t="str">
        <f t="shared" si="50"/>
        <v>Heat pump - ground source</v>
      </c>
      <c r="D371" s="228"/>
      <c r="E371" s="355"/>
      <c r="F371" s="228" t="s">
        <v>317</v>
      </c>
      <c r="G371" s="5"/>
      <c r="H371" s="54"/>
      <c r="I371" s="54"/>
      <c r="J371" s="54"/>
      <c r="K371" s="54"/>
      <c r="L371" s="54"/>
      <c r="M371" s="54"/>
      <c r="N371" s="54"/>
      <c r="O371" s="54"/>
      <c r="P371" s="54"/>
      <c r="Q371" s="54"/>
      <c r="R371" s="54"/>
      <c r="S371" s="5"/>
      <c r="T371" s="25"/>
      <c r="U371" s="5"/>
    </row>
    <row r="372" spans="1:21" s="3" customFormat="1" hidden="1" outlineLevel="2">
      <c r="A372" s="21"/>
      <c r="B372" s="228" t="s">
        <v>389</v>
      </c>
      <c r="C372" s="273" t="str">
        <f t="shared" si="50"/>
        <v>Heat pump - ground source</v>
      </c>
      <c r="D372" s="228"/>
      <c r="E372" s="355"/>
      <c r="F372" s="228" t="s">
        <v>317</v>
      </c>
      <c r="G372" s="5"/>
      <c r="H372" s="55"/>
      <c r="I372" s="55"/>
      <c r="J372" s="55"/>
      <c r="K372" s="55"/>
      <c r="L372" s="55"/>
      <c r="M372" s="55"/>
      <c r="N372" s="55"/>
      <c r="O372" s="55"/>
      <c r="P372" s="55"/>
      <c r="Q372" s="55"/>
      <c r="R372" s="55"/>
      <c r="S372" s="5"/>
      <c r="T372" s="25"/>
      <c r="U372" s="5"/>
    </row>
    <row r="373" spans="1:21" s="3" customFormat="1" hidden="1" outlineLevel="2">
      <c r="A373" s="21"/>
      <c r="B373" s="228" t="s">
        <v>390</v>
      </c>
      <c r="C373" s="273" t="str">
        <f t="shared" si="50"/>
        <v>Heat pump - ground source</v>
      </c>
      <c r="D373" s="228"/>
      <c r="E373" s="355"/>
      <c r="F373" s="228"/>
      <c r="G373" s="5"/>
      <c r="H373" s="261"/>
      <c r="I373" s="261"/>
      <c r="J373" s="261"/>
      <c r="K373" s="261"/>
      <c r="L373" s="261"/>
      <c r="M373" s="261"/>
      <c r="N373" s="261"/>
      <c r="O373" s="261"/>
      <c r="P373" s="261"/>
      <c r="Q373" s="261"/>
      <c r="R373" s="261"/>
      <c r="S373" s="5"/>
      <c r="T373" s="25"/>
      <c r="U373" s="5"/>
    </row>
    <row r="374" spans="1:21" s="3" customFormat="1" hidden="1" outlineLevel="2">
      <c r="A374" s="21"/>
      <c r="B374" s="228" t="s">
        <v>391</v>
      </c>
      <c r="C374" s="273" t="str">
        <f t="shared" si="50"/>
        <v>Heat pump - ground source</v>
      </c>
      <c r="D374" s="228"/>
      <c r="E374" s="355"/>
      <c r="F374" s="228"/>
      <c r="G374" s="5"/>
      <c r="H374" s="55"/>
      <c r="I374" s="55"/>
      <c r="J374" s="55"/>
      <c r="K374" s="55"/>
      <c r="L374" s="55"/>
      <c r="M374" s="55"/>
      <c r="N374" s="55"/>
      <c r="O374" s="55"/>
      <c r="P374" s="55"/>
      <c r="Q374" s="55"/>
      <c r="R374" s="55"/>
      <c r="S374" s="5"/>
      <c r="T374" s="25"/>
      <c r="U374" s="5"/>
    </row>
    <row r="375" spans="1:21" s="3" customFormat="1" hidden="1" outlineLevel="2">
      <c r="A375" s="21"/>
      <c r="B375" s="228" t="s">
        <v>305</v>
      </c>
      <c r="C375" s="273" t="str">
        <f t="shared" si="50"/>
        <v>Heat pump - ground source</v>
      </c>
      <c r="D375" s="228"/>
      <c r="E375" s="355"/>
      <c r="F375" s="228" t="s">
        <v>317</v>
      </c>
      <c r="G375" s="5"/>
      <c r="H375" s="54"/>
      <c r="I375" s="54"/>
      <c r="J375" s="54"/>
      <c r="K375" s="54"/>
      <c r="L375" s="54"/>
      <c r="M375" s="54"/>
      <c r="N375" s="54"/>
      <c r="O375" s="54"/>
      <c r="P375" s="54"/>
      <c r="Q375" s="54"/>
      <c r="R375" s="54"/>
      <c r="S375" s="5"/>
      <c r="T375" s="25"/>
      <c r="U375" s="5"/>
    </row>
    <row r="376" spans="1:21" s="3" customFormat="1" hidden="1" outlineLevel="2">
      <c r="A376" s="21"/>
      <c r="B376" s="228" t="s">
        <v>352</v>
      </c>
      <c r="C376" s="273" t="str">
        <f t="shared" si="50"/>
        <v>Heat pump - ground source</v>
      </c>
      <c r="D376" s="228"/>
      <c r="E376" s="355"/>
      <c r="F376" s="228" t="s">
        <v>316</v>
      </c>
      <c r="G376" s="5"/>
      <c r="H376" s="132">
        <v>-3643.0770000000002</v>
      </c>
      <c r="I376" s="364">
        <f>H376</f>
        <v>-3643.0770000000002</v>
      </c>
      <c r="J376" s="364">
        <f t="shared" ref="J376:R377" si="54">I376</f>
        <v>-3643.0770000000002</v>
      </c>
      <c r="K376" s="364">
        <f t="shared" si="54"/>
        <v>-3643.0770000000002</v>
      </c>
      <c r="L376" s="364">
        <f t="shared" si="54"/>
        <v>-3643.0770000000002</v>
      </c>
      <c r="M376" s="364">
        <f t="shared" si="54"/>
        <v>-3643.0770000000002</v>
      </c>
      <c r="N376" s="364">
        <f t="shared" si="54"/>
        <v>-3643.0770000000002</v>
      </c>
      <c r="O376" s="364">
        <f t="shared" si="54"/>
        <v>-3643.0770000000002</v>
      </c>
      <c r="P376" s="364">
        <f t="shared" si="54"/>
        <v>-3643.0770000000002</v>
      </c>
      <c r="Q376" s="364">
        <f t="shared" si="54"/>
        <v>-3643.0770000000002</v>
      </c>
      <c r="R376" s="364">
        <f t="shared" si="54"/>
        <v>-3643.0770000000002</v>
      </c>
      <c r="S376" s="5"/>
      <c r="T376" s="25"/>
      <c r="U376" s="5"/>
    </row>
    <row r="377" spans="1:21" s="3" customFormat="1" hidden="1" outlineLevel="2">
      <c r="A377" s="21"/>
      <c r="B377" s="67" t="s">
        <v>301</v>
      </c>
      <c r="C377" s="273" t="str">
        <f t="shared" si="50"/>
        <v>Heat pump - ground source</v>
      </c>
      <c r="D377" s="273" t="s">
        <v>454</v>
      </c>
      <c r="E377" s="347"/>
      <c r="F377" s="67" t="s">
        <v>33</v>
      </c>
      <c r="G377" s="5"/>
      <c r="H377" s="350">
        <v>0.312</v>
      </c>
      <c r="I377" s="363">
        <f>H377</f>
        <v>0.312</v>
      </c>
      <c r="J377" s="363">
        <f t="shared" si="54"/>
        <v>0.312</v>
      </c>
      <c r="K377" s="363">
        <f t="shared" si="54"/>
        <v>0.312</v>
      </c>
      <c r="L377" s="363">
        <f t="shared" si="54"/>
        <v>0.312</v>
      </c>
      <c r="M377" s="363">
        <f t="shared" si="54"/>
        <v>0.312</v>
      </c>
      <c r="N377" s="363">
        <f t="shared" si="54"/>
        <v>0.312</v>
      </c>
      <c r="O377" s="363">
        <f t="shared" si="54"/>
        <v>0.312</v>
      </c>
      <c r="P377" s="363">
        <f t="shared" si="54"/>
        <v>0.312</v>
      </c>
      <c r="Q377" s="363">
        <f t="shared" si="54"/>
        <v>0.312</v>
      </c>
      <c r="R377" s="363">
        <f t="shared" si="54"/>
        <v>0.312</v>
      </c>
      <c r="S377" s="5"/>
      <c r="T377" s="25"/>
      <c r="U377" s="5"/>
    </row>
    <row r="378" spans="1:21" s="3" customFormat="1" hidden="1" outlineLevel="2">
      <c r="A378" s="21"/>
      <c r="B378" s="67" t="s">
        <v>50</v>
      </c>
      <c r="C378" s="273" t="s">
        <v>474</v>
      </c>
      <c r="D378" s="4"/>
      <c r="E378" s="347"/>
      <c r="G378" s="5"/>
      <c r="H378" s="4"/>
      <c r="I378" s="4"/>
      <c r="J378" s="4"/>
      <c r="K378" s="4"/>
      <c r="L378" s="4"/>
      <c r="M378" s="4"/>
      <c r="N378" s="4"/>
      <c r="O378" s="4"/>
      <c r="P378" s="4"/>
      <c r="Q378" s="4"/>
      <c r="R378" s="4"/>
      <c r="S378" s="5"/>
      <c r="T378" s="25"/>
      <c r="U378" s="5"/>
    </row>
    <row r="379" spans="1:21" s="3" customFormat="1" hidden="1" outlineLevel="2">
      <c r="A379" s="21"/>
      <c r="B379" s="228" t="s">
        <v>37</v>
      </c>
      <c r="C379" s="273" t="str">
        <f>C378</f>
        <v>Natural Gas efficient</v>
      </c>
      <c r="D379" s="228"/>
      <c r="E379" s="355"/>
      <c r="F379" s="228" t="s">
        <v>39</v>
      </c>
      <c r="G379" s="5"/>
      <c r="H379" s="265">
        <v>2000</v>
      </c>
      <c r="I379" s="356">
        <f t="shared" ref="I379:R381" si="55">H379</f>
        <v>2000</v>
      </c>
      <c r="J379" s="356">
        <f t="shared" si="55"/>
        <v>2000</v>
      </c>
      <c r="K379" s="356">
        <f t="shared" si="55"/>
        <v>2000</v>
      </c>
      <c r="L379" s="356">
        <f t="shared" si="55"/>
        <v>2000</v>
      </c>
      <c r="M379" s="356">
        <f t="shared" si="55"/>
        <v>2000</v>
      </c>
      <c r="N379" s="356">
        <f t="shared" si="55"/>
        <v>2000</v>
      </c>
      <c r="O379" s="356">
        <f t="shared" si="55"/>
        <v>2000</v>
      </c>
      <c r="P379" s="356">
        <f t="shared" si="55"/>
        <v>2000</v>
      </c>
      <c r="Q379" s="356">
        <f t="shared" si="55"/>
        <v>2000</v>
      </c>
      <c r="R379" s="356">
        <f t="shared" si="55"/>
        <v>2000</v>
      </c>
      <c r="S379" s="5"/>
      <c r="T379" s="25"/>
      <c r="U379" s="5"/>
    </row>
    <row r="380" spans="1:21" s="3" customFormat="1" hidden="1" outlineLevel="2">
      <c r="A380" s="21"/>
      <c r="B380" s="228" t="s">
        <v>36</v>
      </c>
      <c r="C380" s="273" t="str">
        <f t="shared" ref="C380:C407" si="56">C379</f>
        <v>Natural Gas efficient</v>
      </c>
      <c r="D380" s="228"/>
      <c r="E380" s="355"/>
      <c r="F380" s="228" t="s">
        <v>39</v>
      </c>
      <c r="G380" s="5"/>
      <c r="H380" s="265">
        <v>2100</v>
      </c>
      <c r="I380" s="356">
        <f t="shared" si="55"/>
        <v>2100</v>
      </c>
      <c r="J380" s="356">
        <f t="shared" si="55"/>
        <v>2100</v>
      </c>
      <c r="K380" s="356">
        <f t="shared" si="55"/>
        <v>2100</v>
      </c>
      <c r="L380" s="356">
        <f t="shared" si="55"/>
        <v>2100</v>
      </c>
      <c r="M380" s="356">
        <f t="shared" si="55"/>
        <v>2100</v>
      </c>
      <c r="N380" s="356">
        <f t="shared" si="55"/>
        <v>2100</v>
      </c>
      <c r="O380" s="356">
        <f t="shared" si="55"/>
        <v>2100</v>
      </c>
      <c r="P380" s="356">
        <f t="shared" si="55"/>
        <v>2100</v>
      </c>
      <c r="Q380" s="356">
        <f t="shared" si="55"/>
        <v>2100</v>
      </c>
      <c r="R380" s="356">
        <f t="shared" si="55"/>
        <v>2100</v>
      </c>
      <c r="S380" s="5"/>
      <c r="T380" s="25"/>
      <c r="U380" s="5"/>
    </row>
    <row r="381" spans="1:21" s="3" customFormat="1" hidden="1" outlineLevel="2">
      <c r="A381" s="21"/>
      <c r="B381" s="228" t="s">
        <v>38</v>
      </c>
      <c r="C381" s="273" t="str">
        <f t="shared" si="56"/>
        <v>Natural Gas efficient</v>
      </c>
      <c r="D381" s="228"/>
      <c r="E381" s="355"/>
      <c r="F381" s="228" t="s">
        <v>10</v>
      </c>
      <c r="G381" s="5"/>
      <c r="H381" s="55">
        <v>18</v>
      </c>
      <c r="I381" s="357">
        <f t="shared" si="55"/>
        <v>18</v>
      </c>
      <c r="J381" s="357">
        <f t="shared" si="55"/>
        <v>18</v>
      </c>
      <c r="K381" s="357">
        <f t="shared" si="55"/>
        <v>18</v>
      </c>
      <c r="L381" s="357">
        <f t="shared" si="55"/>
        <v>18</v>
      </c>
      <c r="M381" s="357">
        <f t="shared" si="55"/>
        <v>18</v>
      </c>
      <c r="N381" s="357">
        <f t="shared" si="55"/>
        <v>18</v>
      </c>
      <c r="O381" s="357">
        <f t="shared" si="55"/>
        <v>18</v>
      </c>
      <c r="P381" s="357">
        <f t="shared" si="55"/>
        <v>18</v>
      </c>
      <c r="Q381" s="357">
        <f t="shared" si="55"/>
        <v>18</v>
      </c>
      <c r="R381" s="357">
        <f t="shared" si="55"/>
        <v>18</v>
      </c>
      <c r="S381" s="5"/>
      <c r="T381" s="25"/>
      <c r="U381" s="5"/>
    </row>
    <row r="382" spans="1:21" s="3" customFormat="1" hidden="1" outlineLevel="2">
      <c r="A382" s="21"/>
      <c r="B382" s="228" t="s">
        <v>353</v>
      </c>
      <c r="C382" s="273" t="str">
        <f t="shared" si="56"/>
        <v>Natural Gas efficient</v>
      </c>
      <c r="D382" s="228"/>
      <c r="E382" s="355"/>
      <c r="F382" s="228" t="s">
        <v>10</v>
      </c>
      <c r="G382" s="5"/>
      <c r="H382" s="55"/>
      <c r="I382" s="55"/>
      <c r="J382" s="55"/>
      <c r="K382" s="55"/>
      <c r="L382" s="55"/>
      <c r="M382" s="55"/>
      <c r="N382" s="55"/>
      <c r="O382" s="55"/>
      <c r="P382" s="55"/>
      <c r="Q382" s="55"/>
      <c r="R382" s="55"/>
      <c r="S382" s="5"/>
      <c r="T382" s="25"/>
      <c r="U382" s="5"/>
    </row>
    <row r="383" spans="1:21" s="3" customFormat="1" hidden="1" outlineLevel="2">
      <c r="A383" s="21"/>
      <c r="B383" s="228" t="s">
        <v>304</v>
      </c>
      <c r="C383" s="273" t="str">
        <f t="shared" si="56"/>
        <v>Natural Gas efficient</v>
      </c>
      <c r="D383" s="228"/>
      <c r="E383" s="355"/>
      <c r="F383" s="228" t="s">
        <v>96</v>
      </c>
      <c r="G383" s="5"/>
      <c r="H383" s="261">
        <v>0.05</v>
      </c>
      <c r="I383" s="352">
        <f t="shared" ref="I383:R385" si="57">H383</f>
        <v>0.05</v>
      </c>
      <c r="J383" s="352">
        <f t="shared" si="57"/>
        <v>0.05</v>
      </c>
      <c r="K383" s="352">
        <f t="shared" si="57"/>
        <v>0.05</v>
      </c>
      <c r="L383" s="352">
        <f t="shared" si="57"/>
        <v>0.05</v>
      </c>
      <c r="M383" s="352">
        <f t="shared" si="57"/>
        <v>0.05</v>
      </c>
      <c r="N383" s="352">
        <f t="shared" si="57"/>
        <v>0.05</v>
      </c>
      <c r="O383" s="352">
        <f t="shared" si="57"/>
        <v>0.05</v>
      </c>
      <c r="P383" s="352">
        <f t="shared" si="57"/>
        <v>0.05</v>
      </c>
      <c r="Q383" s="352">
        <f t="shared" si="57"/>
        <v>0.05</v>
      </c>
      <c r="R383" s="352">
        <f t="shared" si="57"/>
        <v>0.05</v>
      </c>
      <c r="S383" s="5"/>
      <c r="T383" s="25"/>
      <c r="U383" s="5"/>
    </row>
    <row r="384" spans="1:21" s="3" customFormat="1" hidden="1" outlineLevel="2">
      <c r="A384" s="21"/>
      <c r="B384" s="228" t="s">
        <v>350</v>
      </c>
      <c r="C384" s="273" t="str">
        <f t="shared" si="56"/>
        <v>Natural Gas efficient</v>
      </c>
      <c r="D384" s="228"/>
      <c r="E384" s="355"/>
      <c r="F384" s="228" t="s">
        <v>96</v>
      </c>
      <c r="G384" s="5"/>
      <c r="H384" s="261">
        <v>0</v>
      </c>
      <c r="I384" s="352">
        <f t="shared" si="57"/>
        <v>0</v>
      </c>
      <c r="J384" s="352">
        <f t="shared" si="57"/>
        <v>0</v>
      </c>
      <c r="K384" s="352">
        <f t="shared" si="57"/>
        <v>0</v>
      </c>
      <c r="L384" s="352">
        <f t="shared" si="57"/>
        <v>0</v>
      </c>
      <c r="M384" s="352">
        <f t="shared" si="57"/>
        <v>0</v>
      </c>
      <c r="N384" s="352">
        <f t="shared" si="57"/>
        <v>0</v>
      </c>
      <c r="O384" s="352">
        <f t="shared" si="57"/>
        <v>0</v>
      </c>
      <c r="P384" s="352">
        <f t="shared" si="57"/>
        <v>0</v>
      </c>
      <c r="Q384" s="352">
        <f t="shared" si="57"/>
        <v>0</v>
      </c>
      <c r="R384" s="352">
        <f t="shared" si="57"/>
        <v>0</v>
      </c>
      <c r="S384" s="5"/>
      <c r="T384" s="25"/>
      <c r="U384" s="5"/>
    </row>
    <row r="385" spans="1:21" s="3" customFormat="1" hidden="1" outlineLevel="2">
      <c r="A385" s="21"/>
      <c r="B385" s="228" t="s">
        <v>349</v>
      </c>
      <c r="C385" s="273" t="str">
        <f t="shared" si="56"/>
        <v>Natural Gas efficient</v>
      </c>
      <c r="D385" s="228"/>
      <c r="E385" s="355"/>
      <c r="F385" s="228" t="s">
        <v>96</v>
      </c>
      <c r="G385" s="5"/>
      <c r="H385" s="261">
        <v>0.25</v>
      </c>
      <c r="I385" s="352">
        <f t="shared" si="57"/>
        <v>0.25</v>
      </c>
      <c r="J385" s="352">
        <f t="shared" si="57"/>
        <v>0.25</v>
      </c>
      <c r="K385" s="352">
        <f t="shared" si="57"/>
        <v>0.25</v>
      </c>
      <c r="L385" s="352">
        <f t="shared" si="57"/>
        <v>0.25</v>
      </c>
      <c r="M385" s="352">
        <f t="shared" si="57"/>
        <v>0.25</v>
      </c>
      <c r="N385" s="352">
        <f t="shared" si="57"/>
        <v>0.25</v>
      </c>
      <c r="O385" s="352">
        <f t="shared" si="57"/>
        <v>0.25</v>
      </c>
      <c r="P385" s="352">
        <f t="shared" si="57"/>
        <v>0.25</v>
      </c>
      <c r="Q385" s="352">
        <f t="shared" si="57"/>
        <v>0.25</v>
      </c>
      <c r="R385" s="352">
        <f t="shared" si="57"/>
        <v>0.25</v>
      </c>
      <c r="S385" s="5"/>
      <c r="T385" s="25"/>
      <c r="U385" s="5"/>
    </row>
    <row r="386" spans="1:21" s="3" customFormat="1" hidden="1" outlineLevel="2">
      <c r="A386" s="21"/>
      <c r="B386" s="228" t="s">
        <v>74</v>
      </c>
      <c r="C386" s="273" t="str">
        <f t="shared" si="56"/>
        <v>Natural Gas efficient</v>
      </c>
      <c r="D386" s="228"/>
      <c r="E386" s="355"/>
      <c r="F386" s="228" t="s">
        <v>96</v>
      </c>
      <c r="G386" s="5"/>
      <c r="H386" s="261">
        <v>0.1</v>
      </c>
      <c r="I386" s="261"/>
      <c r="J386" s="261"/>
      <c r="K386" s="261"/>
      <c r="L386" s="261"/>
      <c r="M386" s="261"/>
      <c r="N386" s="261"/>
      <c r="O386" s="261"/>
      <c r="P386" s="261"/>
      <c r="Q386" s="261"/>
      <c r="R386" s="261"/>
      <c r="S386" s="5"/>
      <c r="T386" s="25"/>
      <c r="U386" s="5"/>
    </row>
    <row r="387" spans="1:21" s="3" customFormat="1" hidden="1" outlineLevel="2">
      <c r="A387" s="21"/>
      <c r="B387" s="358" t="s">
        <v>146</v>
      </c>
      <c r="C387" s="273" t="str">
        <f t="shared" si="56"/>
        <v>Natural Gas efficient</v>
      </c>
      <c r="D387" s="359"/>
      <c r="E387" s="360"/>
      <c r="F387" s="358" t="s">
        <v>96</v>
      </c>
      <c r="G387" s="5"/>
      <c r="H387" s="261"/>
      <c r="I387" s="261"/>
      <c r="J387" s="261"/>
      <c r="K387" s="261"/>
      <c r="L387" s="261"/>
      <c r="M387" s="261"/>
      <c r="N387" s="261"/>
      <c r="O387" s="261"/>
      <c r="P387" s="261"/>
      <c r="Q387" s="261"/>
      <c r="R387" s="261"/>
      <c r="S387" s="5"/>
      <c r="T387" s="25"/>
      <c r="U387" s="5"/>
    </row>
    <row r="388" spans="1:21" s="3" customFormat="1" hidden="1" outlineLevel="2">
      <c r="A388" s="21"/>
      <c r="B388" s="358" t="s">
        <v>147</v>
      </c>
      <c r="C388" s="273" t="str">
        <f t="shared" si="56"/>
        <v>Natural Gas efficient</v>
      </c>
      <c r="D388" s="359"/>
      <c r="E388" s="360"/>
      <c r="F388" s="358" t="s">
        <v>96</v>
      </c>
      <c r="G388" s="5"/>
      <c r="H388" s="261"/>
      <c r="I388" s="261"/>
      <c r="J388" s="261"/>
      <c r="K388" s="261"/>
      <c r="L388" s="261"/>
      <c r="M388" s="261"/>
      <c r="N388" s="261"/>
      <c r="O388" s="261"/>
      <c r="P388" s="261"/>
      <c r="Q388" s="261"/>
      <c r="R388" s="261"/>
      <c r="S388" s="5"/>
      <c r="T388" s="25"/>
      <c r="U388" s="5"/>
    </row>
    <row r="389" spans="1:21" s="3" customFormat="1" hidden="1" outlineLevel="2">
      <c r="A389" s="21"/>
      <c r="B389" s="358" t="s">
        <v>362</v>
      </c>
      <c r="C389" s="273" t="str">
        <f t="shared" si="56"/>
        <v>Natural Gas efficient</v>
      </c>
      <c r="D389" s="359"/>
      <c r="E389" s="360"/>
      <c r="F389" s="358" t="s">
        <v>96</v>
      </c>
      <c r="G389" s="5"/>
      <c r="H389" s="261"/>
      <c r="I389" s="261"/>
      <c r="J389" s="261"/>
      <c r="K389" s="261"/>
      <c r="L389" s="261"/>
      <c r="M389" s="261"/>
      <c r="N389" s="261"/>
      <c r="O389" s="261"/>
      <c r="P389" s="261"/>
      <c r="Q389" s="261"/>
      <c r="R389" s="261"/>
      <c r="S389" s="5"/>
      <c r="T389" s="25"/>
      <c r="U389" s="5"/>
    </row>
    <row r="390" spans="1:21" s="3" customFormat="1" hidden="1" outlineLevel="2">
      <c r="A390" s="21"/>
      <c r="B390" s="358" t="s">
        <v>363</v>
      </c>
      <c r="C390" s="273" t="str">
        <f t="shared" si="56"/>
        <v>Natural Gas efficient</v>
      </c>
      <c r="D390" s="359"/>
      <c r="E390" s="360"/>
      <c r="F390" s="358" t="s">
        <v>96</v>
      </c>
      <c r="G390" s="5"/>
      <c r="H390" s="261"/>
      <c r="I390" s="261"/>
      <c r="J390" s="261"/>
      <c r="K390" s="261"/>
      <c r="L390" s="261"/>
      <c r="M390" s="261"/>
      <c r="N390" s="261"/>
      <c r="O390" s="261"/>
      <c r="P390" s="261"/>
      <c r="Q390" s="261"/>
      <c r="R390" s="261"/>
      <c r="S390" s="5"/>
      <c r="T390" s="25"/>
      <c r="U390" s="5"/>
    </row>
    <row r="391" spans="1:21" s="3" customFormat="1" hidden="1" outlineLevel="2">
      <c r="A391" s="21"/>
      <c r="B391" s="228" t="s">
        <v>332</v>
      </c>
      <c r="C391" s="273" t="str">
        <f t="shared" si="56"/>
        <v>Natural Gas efficient</v>
      </c>
      <c r="D391" s="228"/>
      <c r="E391" s="355"/>
      <c r="F391" s="228" t="s">
        <v>33</v>
      </c>
      <c r="G391" s="5"/>
      <c r="H391" s="29">
        <v>87.534999999999997</v>
      </c>
      <c r="I391" s="362">
        <f t="shared" ref="I391:R392" si="58">H391</f>
        <v>87.534999999999997</v>
      </c>
      <c r="J391" s="362">
        <f t="shared" si="58"/>
        <v>87.534999999999997</v>
      </c>
      <c r="K391" s="362">
        <f t="shared" si="58"/>
        <v>87.534999999999997</v>
      </c>
      <c r="L391" s="362">
        <f t="shared" si="58"/>
        <v>87.534999999999997</v>
      </c>
      <c r="M391" s="362">
        <f t="shared" si="58"/>
        <v>87.534999999999997</v>
      </c>
      <c r="N391" s="362">
        <f t="shared" si="58"/>
        <v>87.534999999999997</v>
      </c>
      <c r="O391" s="362">
        <f t="shared" si="58"/>
        <v>87.534999999999997</v>
      </c>
      <c r="P391" s="362">
        <f t="shared" si="58"/>
        <v>87.534999999999997</v>
      </c>
      <c r="Q391" s="362">
        <f t="shared" si="58"/>
        <v>87.534999999999997</v>
      </c>
      <c r="R391" s="362">
        <f t="shared" si="58"/>
        <v>87.534999999999997</v>
      </c>
      <c r="S391" s="5"/>
      <c r="T391" s="25"/>
      <c r="U391" s="5"/>
    </row>
    <row r="392" spans="1:21" s="3" customFormat="1" hidden="1" outlineLevel="2">
      <c r="A392" s="21"/>
      <c r="B392" s="228" t="s">
        <v>470</v>
      </c>
      <c r="C392" s="273" t="str">
        <f t="shared" si="56"/>
        <v>Natural Gas efficient</v>
      </c>
      <c r="D392" s="228"/>
      <c r="E392" s="355"/>
      <c r="F392" s="228" t="s">
        <v>316</v>
      </c>
      <c r="G392" s="5"/>
      <c r="H392" s="54">
        <v>2987.28</v>
      </c>
      <c r="I392" s="269">
        <f>H392</f>
        <v>2987.28</v>
      </c>
      <c r="J392" s="269">
        <f t="shared" si="58"/>
        <v>2987.28</v>
      </c>
      <c r="K392" s="269">
        <f t="shared" si="58"/>
        <v>2987.28</v>
      </c>
      <c r="L392" s="269">
        <f t="shared" si="58"/>
        <v>2987.28</v>
      </c>
      <c r="M392" s="269">
        <f t="shared" si="58"/>
        <v>2987.28</v>
      </c>
      <c r="N392" s="269">
        <f t="shared" si="58"/>
        <v>2987.28</v>
      </c>
      <c r="O392" s="269">
        <f t="shared" si="58"/>
        <v>2987.28</v>
      </c>
      <c r="P392" s="269">
        <f t="shared" si="58"/>
        <v>2987.28</v>
      </c>
      <c r="Q392" s="269">
        <f t="shared" si="58"/>
        <v>2987.28</v>
      </c>
      <c r="R392" s="269">
        <f t="shared" si="58"/>
        <v>2987.28</v>
      </c>
      <c r="S392" s="5"/>
      <c r="T392" s="25"/>
      <c r="U392" s="5"/>
    </row>
    <row r="393" spans="1:21" s="3" customFormat="1" hidden="1" outlineLevel="2">
      <c r="A393" s="21"/>
      <c r="B393" s="228" t="s">
        <v>375</v>
      </c>
      <c r="C393" s="273" t="str">
        <f t="shared" si="56"/>
        <v>Natural Gas efficient</v>
      </c>
      <c r="D393" s="228"/>
      <c r="E393" s="355"/>
      <c r="F393" s="228" t="s">
        <v>96</v>
      </c>
      <c r="G393" s="5"/>
      <c r="H393" s="261"/>
      <c r="I393" s="261"/>
      <c r="J393" s="261"/>
      <c r="K393" s="261"/>
      <c r="L393" s="261"/>
      <c r="M393" s="261"/>
      <c r="N393" s="261"/>
      <c r="O393" s="261"/>
      <c r="P393" s="261"/>
      <c r="Q393" s="261"/>
      <c r="R393" s="261"/>
      <c r="S393" s="5"/>
      <c r="T393" s="25"/>
      <c r="U393" s="5"/>
    </row>
    <row r="394" spans="1:21" s="3" customFormat="1" hidden="1" outlineLevel="2">
      <c r="A394" s="21"/>
      <c r="B394" s="228" t="s">
        <v>432</v>
      </c>
      <c r="C394" s="273" t="str">
        <f t="shared" si="56"/>
        <v>Natural Gas efficient</v>
      </c>
      <c r="D394" s="228"/>
      <c r="E394" s="355"/>
      <c r="F394" s="228" t="s">
        <v>33</v>
      </c>
      <c r="G394" s="5"/>
      <c r="H394" s="55"/>
      <c r="I394" s="55"/>
      <c r="J394" s="55"/>
      <c r="K394" s="55"/>
      <c r="L394" s="55"/>
      <c r="M394" s="55"/>
      <c r="N394" s="55"/>
      <c r="O394" s="55"/>
      <c r="P394" s="55"/>
      <c r="Q394" s="55"/>
      <c r="R394" s="55"/>
      <c r="S394" s="5"/>
      <c r="T394" s="25"/>
      <c r="U394" s="5"/>
    </row>
    <row r="395" spans="1:21" s="3" customFormat="1" hidden="1" outlineLevel="2">
      <c r="A395" s="21"/>
      <c r="B395" s="228" t="s">
        <v>379</v>
      </c>
      <c r="C395" s="273" t="str">
        <f t="shared" si="56"/>
        <v>Natural Gas efficient</v>
      </c>
      <c r="D395" s="228"/>
      <c r="E395" s="355"/>
      <c r="F395" s="228"/>
      <c r="G395" s="5"/>
      <c r="H395" s="54"/>
      <c r="I395" s="54"/>
      <c r="J395" s="54"/>
      <c r="K395" s="54"/>
      <c r="L395" s="54"/>
      <c r="M395" s="54"/>
      <c r="N395" s="54"/>
      <c r="O395" s="54"/>
      <c r="P395" s="54"/>
      <c r="Q395" s="54"/>
      <c r="R395" s="54"/>
      <c r="S395" s="5"/>
      <c r="T395" s="25"/>
      <c r="U395" s="5"/>
    </row>
    <row r="396" spans="1:21" s="3" customFormat="1" hidden="1" outlineLevel="2">
      <c r="A396" s="21"/>
      <c r="B396" s="228" t="s">
        <v>361</v>
      </c>
      <c r="C396" s="273" t="str">
        <f t="shared" si="56"/>
        <v>Natural Gas efficient</v>
      </c>
      <c r="D396" s="228"/>
      <c r="E396" s="355"/>
      <c r="F396" s="228" t="s">
        <v>96</v>
      </c>
      <c r="G396" s="5"/>
      <c r="H396" s="261"/>
      <c r="I396" s="261"/>
      <c r="J396" s="261"/>
      <c r="K396" s="261"/>
      <c r="L396" s="261"/>
      <c r="M396" s="261"/>
      <c r="N396" s="261"/>
      <c r="O396" s="261"/>
      <c r="P396" s="261"/>
      <c r="Q396" s="261"/>
      <c r="R396" s="261"/>
      <c r="S396" s="5"/>
      <c r="T396" s="25"/>
      <c r="U396" s="5"/>
    </row>
    <row r="397" spans="1:21" s="3" customFormat="1" hidden="1" outlineLevel="2">
      <c r="A397" s="21"/>
      <c r="B397" s="228" t="s">
        <v>384</v>
      </c>
      <c r="C397" s="273" t="str">
        <f t="shared" si="56"/>
        <v>Natural Gas efficient</v>
      </c>
      <c r="D397" s="228"/>
      <c r="E397" s="355"/>
      <c r="F397" s="228" t="s">
        <v>316</v>
      </c>
      <c r="G397" s="5"/>
      <c r="H397" s="54"/>
      <c r="I397" s="54"/>
      <c r="J397" s="54"/>
      <c r="K397" s="54"/>
      <c r="L397" s="54"/>
      <c r="M397" s="54"/>
      <c r="N397" s="54"/>
      <c r="O397" s="54"/>
      <c r="P397" s="54"/>
      <c r="Q397" s="54"/>
      <c r="R397" s="54"/>
      <c r="S397" s="5"/>
      <c r="T397" s="25"/>
      <c r="U397" s="5"/>
    </row>
    <row r="398" spans="1:21" s="3" customFormat="1" hidden="1" outlineLevel="2">
      <c r="A398" s="21"/>
      <c r="B398" s="228" t="s">
        <v>386</v>
      </c>
      <c r="C398" s="273" t="str">
        <f t="shared" si="56"/>
        <v>Natural Gas efficient</v>
      </c>
      <c r="D398" s="228"/>
      <c r="E398" s="355"/>
      <c r="F398" s="228" t="s">
        <v>316</v>
      </c>
      <c r="G398" s="5"/>
      <c r="H398" s="55"/>
      <c r="I398" s="55"/>
      <c r="J398" s="55"/>
      <c r="K398" s="55"/>
      <c r="L398" s="55"/>
      <c r="M398" s="55"/>
      <c r="N398" s="55"/>
      <c r="O398" s="55"/>
      <c r="P398" s="55"/>
      <c r="Q398" s="55"/>
      <c r="R398" s="55"/>
      <c r="S398" s="5"/>
      <c r="T398" s="25"/>
      <c r="U398" s="5"/>
    </row>
    <row r="399" spans="1:21" s="3" customFormat="1" hidden="1" outlineLevel="2">
      <c r="A399" s="21"/>
      <c r="B399" s="228" t="s">
        <v>387</v>
      </c>
      <c r="C399" s="273" t="str">
        <f t="shared" si="56"/>
        <v>Natural Gas efficient</v>
      </c>
      <c r="D399" s="228"/>
      <c r="E399" s="355"/>
      <c r="F399" s="228"/>
      <c r="G399" s="5"/>
      <c r="H399" s="261"/>
      <c r="I399" s="261"/>
      <c r="J399" s="261"/>
      <c r="K399" s="261"/>
      <c r="L399" s="261"/>
      <c r="M399" s="261"/>
      <c r="N399" s="261"/>
      <c r="O399" s="261"/>
      <c r="P399" s="261"/>
      <c r="Q399" s="261"/>
      <c r="R399" s="261"/>
      <c r="S399" s="5"/>
      <c r="T399" s="25"/>
      <c r="U399" s="5"/>
    </row>
    <row r="400" spans="1:21" s="3" customFormat="1" hidden="1" outlineLevel="2">
      <c r="A400" s="21"/>
      <c r="B400" s="228" t="s">
        <v>388</v>
      </c>
      <c r="C400" s="273" t="str">
        <f t="shared" si="56"/>
        <v>Natural Gas efficient</v>
      </c>
      <c r="D400" s="228"/>
      <c r="E400" s="355"/>
      <c r="F400" s="228"/>
      <c r="G400" s="5"/>
      <c r="H400" s="55"/>
      <c r="I400" s="55"/>
      <c r="J400" s="55"/>
      <c r="K400" s="55"/>
      <c r="L400" s="55"/>
      <c r="M400" s="55"/>
      <c r="N400" s="55"/>
      <c r="O400" s="55"/>
      <c r="P400" s="55"/>
      <c r="Q400" s="55"/>
      <c r="R400" s="55"/>
      <c r="S400" s="5"/>
      <c r="T400" s="25"/>
      <c r="U400" s="5"/>
    </row>
    <row r="401" spans="1:21" s="3" customFormat="1" hidden="1" outlineLevel="2">
      <c r="A401" s="21"/>
      <c r="B401" s="228" t="s">
        <v>385</v>
      </c>
      <c r="C401" s="273" t="str">
        <f t="shared" si="56"/>
        <v>Natural Gas efficient</v>
      </c>
      <c r="D401" s="228"/>
      <c r="E401" s="355"/>
      <c r="F401" s="228" t="s">
        <v>317</v>
      </c>
      <c r="G401" s="5"/>
      <c r="H401" s="54"/>
      <c r="I401" s="54"/>
      <c r="J401" s="54"/>
      <c r="K401" s="54"/>
      <c r="L401" s="54"/>
      <c r="M401" s="54"/>
      <c r="N401" s="54"/>
      <c r="O401" s="54"/>
      <c r="P401" s="54"/>
      <c r="Q401" s="54"/>
      <c r="R401" s="54"/>
      <c r="S401" s="5"/>
      <c r="T401" s="25"/>
      <c r="U401" s="5"/>
    </row>
    <row r="402" spans="1:21" s="3" customFormat="1" hidden="1" outlineLevel="2">
      <c r="A402" s="21"/>
      <c r="B402" s="228" t="s">
        <v>389</v>
      </c>
      <c r="C402" s="273" t="str">
        <f t="shared" si="56"/>
        <v>Natural Gas efficient</v>
      </c>
      <c r="D402" s="228"/>
      <c r="E402" s="355"/>
      <c r="F402" s="228" t="s">
        <v>317</v>
      </c>
      <c r="G402" s="5"/>
      <c r="H402" s="55"/>
      <c r="I402" s="55"/>
      <c r="J402" s="55"/>
      <c r="K402" s="55"/>
      <c r="L402" s="55"/>
      <c r="M402" s="55"/>
      <c r="N402" s="55"/>
      <c r="O402" s="55"/>
      <c r="P402" s="55"/>
      <c r="Q402" s="55"/>
      <c r="R402" s="55"/>
      <c r="S402" s="5"/>
      <c r="T402" s="25"/>
      <c r="U402" s="5"/>
    </row>
    <row r="403" spans="1:21" s="3" customFormat="1" hidden="1" outlineLevel="2">
      <c r="A403" s="21"/>
      <c r="B403" s="228" t="s">
        <v>390</v>
      </c>
      <c r="C403" s="273" t="str">
        <f t="shared" si="56"/>
        <v>Natural Gas efficient</v>
      </c>
      <c r="D403" s="228"/>
      <c r="E403" s="355"/>
      <c r="F403" s="228"/>
      <c r="G403" s="5"/>
      <c r="H403" s="261"/>
      <c r="I403" s="261"/>
      <c r="J403" s="261"/>
      <c r="K403" s="261"/>
      <c r="L403" s="261"/>
      <c r="M403" s="261"/>
      <c r="N403" s="261"/>
      <c r="O403" s="261"/>
      <c r="P403" s="261"/>
      <c r="Q403" s="261"/>
      <c r="R403" s="261"/>
      <c r="S403" s="5"/>
      <c r="T403" s="25"/>
      <c r="U403" s="5"/>
    </row>
    <row r="404" spans="1:21" s="3" customFormat="1" hidden="1" outlineLevel="2">
      <c r="A404" s="21"/>
      <c r="B404" s="228" t="s">
        <v>391</v>
      </c>
      <c r="C404" s="273" t="str">
        <f t="shared" si="56"/>
        <v>Natural Gas efficient</v>
      </c>
      <c r="D404" s="228"/>
      <c r="E404" s="355"/>
      <c r="F404" s="228"/>
      <c r="G404" s="5"/>
      <c r="H404" s="55"/>
      <c r="I404" s="55"/>
      <c r="J404" s="55"/>
      <c r="K404" s="55"/>
      <c r="L404" s="55"/>
      <c r="M404" s="55"/>
      <c r="N404" s="55"/>
      <c r="O404" s="55"/>
      <c r="P404" s="55"/>
      <c r="Q404" s="55"/>
      <c r="R404" s="55"/>
      <c r="S404" s="5"/>
      <c r="T404" s="25"/>
      <c r="U404" s="5"/>
    </row>
    <row r="405" spans="1:21" s="3" customFormat="1" hidden="1" outlineLevel="2">
      <c r="A405" s="21"/>
      <c r="B405" s="228" t="s">
        <v>305</v>
      </c>
      <c r="C405" s="273" t="str">
        <f t="shared" si="56"/>
        <v>Natural Gas efficient</v>
      </c>
      <c r="D405" s="228"/>
      <c r="E405" s="355"/>
      <c r="F405" s="228" t="s">
        <v>317</v>
      </c>
      <c r="G405" s="5"/>
      <c r="H405" s="54"/>
      <c r="I405" s="54"/>
      <c r="J405" s="54"/>
      <c r="K405" s="54"/>
      <c r="L405" s="54"/>
      <c r="M405" s="54"/>
      <c r="N405" s="54"/>
      <c r="O405" s="54"/>
      <c r="P405" s="54"/>
      <c r="Q405" s="54"/>
      <c r="R405" s="54"/>
      <c r="S405" s="5"/>
      <c r="T405" s="25"/>
      <c r="U405" s="5"/>
    </row>
    <row r="406" spans="1:21" s="3" customFormat="1" hidden="1" outlineLevel="2">
      <c r="A406" s="21"/>
      <c r="B406" s="228" t="s">
        <v>352</v>
      </c>
      <c r="C406" s="273" t="str">
        <f t="shared" si="56"/>
        <v>Natural Gas efficient</v>
      </c>
      <c r="D406" s="228"/>
      <c r="E406" s="355"/>
      <c r="F406" s="228" t="s">
        <v>316</v>
      </c>
      <c r="G406" s="5"/>
      <c r="H406" s="54"/>
      <c r="I406" s="54"/>
      <c r="J406" s="54"/>
      <c r="K406" s="54"/>
      <c r="L406" s="54"/>
      <c r="M406" s="54"/>
      <c r="N406" s="54"/>
      <c r="O406" s="54"/>
      <c r="P406" s="54"/>
      <c r="Q406" s="54"/>
      <c r="R406" s="54"/>
      <c r="S406" s="5"/>
      <c r="T406" s="25"/>
      <c r="U406" s="5"/>
    </row>
    <row r="407" spans="1:21" s="3" customFormat="1" hidden="1" outlineLevel="2">
      <c r="A407" s="21"/>
      <c r="B407" s="67" t="s">
        <v>301</v>
      </c>
      <c r="C407" s="273" t="str">
        <f t="shared" si="56"/>
        <v>Natural Gas efficient</v>
      </c>
      <c r="D407" s="273" t="s">
        <v>460</v>
      </c>
      <c r="E407" s="347"/>
      <c r="F407" s="67" t="s">
        <v>33</v>
      </c>
      <c r="G407" s="5"/>
      <c r="H407" s="350">
        <v>1.111</v>
      </c>
      <c r="I407" s="363">
        <f t="shared" ref="I407:R407" si="59">H407</f>
        <v>1.111</v>
      </c>
      <c r="J407" s="363">
        <f t="shared" si="59"/>
        <v>1.111</v>
      </c>
      <c r="K407" s="363">
        <f t="shared" si="59"/>
        <v>1.111</v>
      </c>
      <c r="L407" s="363">
        <f t="shared" si="59"/>
        <v>1.111</v>
      </c>
      <c r="M407" s="363">
        <f t="shared" si="59"/>
        <v>1.111</v>
      </c>
      <c r="N407" s="363">
        <f t="shared" si="59"/>
        <v>1.111</v>
      </c>
      <c r="O407" s="363">
        <f t="shared" si="59"/>
        <v>1.111</v>
      </c>
      <c r="P407" s="363">
        <f t="shared" si="59"/>
        <v>1.111</v>
      </c>
      <c r="Q407" s="363">
        <f t="shared" si="59"/>
        <v>1.111</v>
      </c>
      <c r="R407" s="363">
        <f t="shared" si="59"/>
        <v>1.111</v>
      </c>
      <c r="S407" s="5"/>
      <c r="T407" s="25"/>
      <c r="U407" s="5"/>
    </row>
    <row r="408" spans="1:21" s="3" customFormat="1" hidden="1" outlineLevel="2">
      <c r="A408" s="21" t="s">
        <v>436</v>
      </c>
      <c r="B408" s="4"/>
      <c r="C408" s="13"/>
      <c r="D408" s="4"/>
      <c r="E408" s="4"/>
      <c r="F408" s="9"/>
      <c r="G408" s="13"/>
      <c r="H408" s="4"/>
      <c r="I408" s="4"/>
      <c r="J408" s="4"/>
      <c r="K408" s="4"/>
      <c r="L408" s="4"/>
      <c r="M408" s="4"/>
      <c r="N408" s="4"/>
      <c r="O408" s="4"/>
      <c r="P408" s="4"/>
      <c r="Q408" s="4"/>
      <c r="R408" s="4"/>
      <c r="S408" s="5"/>
      <c r="T408" s="13"/>
      <c r="U408" s="5"/>
    </row>
    <row r="409" spans="1:21" s="401" customFormat="1" collapsed="1">
      <c r="A409" s="401" t="s">
        <v>68</v>
      </c>
      <c r="B409" s="402"/>
      <c r="C409" s="403"/>
      <c r="D409" s="402"/>
      <c r="E409" s="402"/>
      <c r="F409" s="404"/>
      <c r="G409" s="403"/>
      <c r="H409" s="402"/>
      <c r="I409" s="402"/>
      <c r="J409" s="402"/>
      <c r="K409" s="402"/>
      <c r="L409" s="402"/>
      <c r="M409" s="402"/>
      <c r="N409" s="402"/>
      <c r="O409" s="402"/>
      <c r="P409" s="402"/>
      <c r="Q409" s="402"/>
      <c r="R409" s="402"/>
      <c r="T409" s="403"/>
    </row>
    <row r="410" spans="1:21" s="3" customFormat="1" hidden="1" outlineLevel="2">
      <c r="A410" s="21"/>
      <c r="B410" s="67" t="s">
        <v>300</v>
      </c>
      <c r="C410" s="273" t="str">
        <f>A409</f>
        <v>Water heating</v>
      </c>
      <c r="D410" s="273" t="s">
        <v>475</v>
      </c>
      <c r="E410" s="347"/>
      <c r="F410" s="67" t="s">
        <v>33</v>
      </c>
      <c r="G410" s="5"/>
      <c r="H410" s="55"/>
      <c r="I410" s="55"/>
      <c r="J410" s="55"/>
      <c r="K410" s="55"/>
      <c r="L410" s="55"/>
      <c r="M410" s="55"/>
      <c r="N410" s="55"/>
      <c r="O410" s="55"/>
      <c r="P410" s="55"/>
      <c r="Q410" s="55"/>
      <c r="R410" s="55"/>
      <c r="S410" s="5"/>
      <c r="T410" s="25"/>
      <c r="U410" s="5"/>
    </row>
    <row r="411" spans="1:21" s="3" customFormat="1" ht="16" hidden="1" customHeight="1" outlineLevel="1">
      <c r="A411" s="21"/>
      <c r="B411" s="67" t="s">
        <v>466</v>
      </c>
      <c r="C411" s="273" t="s">
        <v>110</v>
      </c>
      <c r="D411" s="273"/>
      <c r="E411" s="347"/>
      <c r="F411" s="67"/>
      <c r="G411" s="5"/>
      <c r="H411" s="55"/>
      <c r="I411" s="55"/>
      <c r="J411" s="55"/>
      <c r="K411" s="55"/>
      <c r="L411" s="55"/>
      <c r="M411" s="55"/>
      <c r="N411" s="55"/>
      <c r="O411" s="55"/>
      <c r="P411" s="55"/>
      <c r="Q411" s="55"/>
      <c r="R411" s="55"/>
      <c r="S411" s="5"/>
      <c r="T411" s="25"/>
      <c r="U411" s="5"/>
    </row>
    <row r="412" spans="1:21" s="3" customFormat="1" hidden="1" outlineLevel="1">
      <c r="A412" s="21"/>
      <c r="B412" s="67" t="s">
        <v>46</v>
      </c>
      <c r="C412" s="273" t="s">
        <v>20</v>
      </c>
      <c r="D412" s="4"/>
      <c r="E412" s="347"/>
      <c r="G412" s="5"/>
      <c r="H412" s="4"/>
      <c r="I412" s="4"/>
      <c r="J412" s="4"/>
      <c r="K412" s="4"/>
      <c r="L412" s="4"/>
      <c r="M412" s="4"/>
      <c r="N412" s="4"/>
      <c r="O412" s="4"/>
      <c r="P412" s="4"/>
      <c r="Q412" s="4"/>
      <c r="R412" s="4"/>
      <c r="S412" s="5"/>
      <c r="T412" s="25"/>
      <c r="U412" s="5"/>
    </row>
    <row r="413" spans="1:21" s="3" customFormat="1" hidden="1" outlineLevel="1">
      <c r="A413" s="21"/>
      <c r="B413" s="67" t="s">
        <v>65</v>
      </c>
      <c r="C413" s="273" t="s">
        <v>34</v>
      </c>
      <c r="D413" s="4"/>
      <c r="E413" s="347"/>
      <c r="G413" s="5"/>
      <c r="H413" s="4">
        <v>10</v>
      </c>
      <c r="I413" s="354">
        <f t="shared" ref="I413:R413" si="60">H413</f>
        <v>10</v>
      </c>
      <c r="J413" s="354">
        <f t="shared" si="60"/>
        <v>10</v>
      </c>
      <c r="K413" s="354">
        <f t="shared" si="60"/>
        <v>10</v>
      </c>
      <c r="L413" s="354">
        <f t="shared" si="60"/>
        <v>10</v>
      </c>
      <c r="M413" s="354">
        <f t="shared" si="60"/>
        <v>10</v>
      </c>
      <c r="N413" s="354">
        <f t="shared" si="60"/>
        <v>10</v>
      </c>
      <c r="O413" s="354">
        <f t="shared" si="60"/>
        <v>10</v>
      </c>
      <c r="P413" s="354">
        <f t="shared" si="60"/>
        <v>10</v>
      </c>
      <c r="Q413" s="354">
        <f t="shared" si="60"/>
        <v>10</v>
      </c>
      <c r="R413" s="354">
        <f t="shared" si="60"/>
        <v>10</v>
      </c>
      <c r="S413" s="5"/>
      <c r="T413" s="25"/>
      <c r="U413" s="5"/>
    </row>
    <row r="414" spans="1:21" s="3" customFormat="1" hidden="1" outlineLevel="1">
      <c r="A414" s="21"/>
      <c r="B414" s="67" t="s">
        <v>50</v>
      </c>
      <c r="C414" s="273" t="s">
        <v>471</v>
      </c>
      <c r="D414" s="4"/>
      <c r="E414" s="347"/>
      <c r="G414" s="5"/>
      <c r="H414" s="4"/>
      <c r="I414" s="4"/>
      <c r="J414" s="4"/>
      <c r="K414" s="4"/>
      <c r="L414" s="4"/>
      <c r="M414" s="4"/>
      <c r="N414" s="4"/>
      <c r="O414" s="4"/>
      <c r="P414" s="4"/>
      <c r="Q414" s="4"/>
      <c r="R414" s="4"/>
      <c r="S414" s="5"/>
      <c r="T414" s="25"/>
      <c r="U414" s="5"/>
    </row>
    <row r="415" spans="1:21" s="3" customFormat="1" hidden="1" outlineLevel="1">
      <c r="A415" s="21"/>
      <c r="B415" s="228" t="s">
        <v>37</v>
      </c>
      <c r="C415" s="273" t="str">
        <f>C414</f>
        <v>Natural Gas existing</v>
      </c>
      <c r="D415" s="228"/>
      <c r="E415" s="355"/>
      <c r="F415" s="228" t="s">
        <v>39</v>
      </c>
      <c r="G415" s="5"/>
      <c r="H415" s="265">
        <v>1990</v>
      </c>
      <c r="I415" s="356">
        <f t="shared" ref="I415:R416" si="61">H415</f>
        <v>1990</v>
      </c>
      <c r="J415" s="356">
        <f t="shared" si="61"/>
        <v>1990</v>
      </c>
      <c r="K415" s="356">
        <f t="shared" si="61"/>
        <v>1990</v>
      </c>
      <c r="L415" s="356">
        <f t="shared" si="61"/>
        <v>1990</v>
      </c>
      <c r="M415" s="356">
        <f t="shared" si="61"/>
        <v>1990</v>
      </c>
      <c r="N415" s="356">
        <f t="shared" si="61"/>
        <v>1990</v>
      </c>
      <c r="O415" s="356">
        <f t="shared" si="61"/>
        <v>1990</v>
      </c>
      <c r="P415" s="356">
        <f t="shared" si="61"/>
        <v>1990</v>
      </c>
      <c r="Q415" s="356">
        <f t="shared" si="61"/>
        <v>1990</v>
      </c>
      <c r="R415" s="356">
        <f t="shared" si="61"/>
        <v>1990</v>
      </c>
      <c r="S415" s="5"/>
      <c r="T415" s="25"/>
      <c r="U415" s="5"/>
    </row>
    <row r="416" spans="1:21" s="3" customFormat="1" hidden="1" outlineLevel="1">
      <c r="A416" s="21"/>
      <c r="B416" s="228" t="s">
        <v>36</v>
      </c>
      <c r="C416" s="273" t="str">
        <f t="shared" ref="C416:C443" si="62">C415</f>
        <v>Natural Gas existing</v>
      </c>
      <c r="D416" s="228"/>
      <c r="E416" s="355"/>
      <c r="F416" s="228" t="s">
        <v>39</v>
      </c>
      <c r="G416" s="5"/>
      <c r="H416" s="265">
        <v>2000</v>
      </c>
      <c r="I416" s="356">
        <f t="shared" si="61"/>
        <v>2000</v>
      </c>
      <c r="J416" s="356">
        <f t="shared" si="61"/>
        <v>2000</v>
      </c>
      <c r="K416" s="356">
        <f t="shared" si="61"/>
        <v>2000</v>
      </c>
      <c r="L416" s="356">
        <f t="shared" si="61"/>
        <v>2000</v>
      </c>
      <c r="M416" s="356">
        <f t="shared" si="61"/>
        <v>2000</v>
      </c>
      <c r="N416" s="356">
        <f t="shared" si="61"/>
        <v>2000</v>
      </c>
      <c r="O416" s="356">
        <f t="shared" si="61"/>
        <v>2000</v>
      </c>
      <c r="P416" s="356">
        <f t="shared" si="61"/>
        <v>2000</v>
      </c>
      <c r="Q416" s="356">
        <f t="shared" si="61"/>
        <v>2000</v>
      </c>
      <c r="R416" s="356">
        <f t="shared" si="61"/>
        <v>2000</v>
      </c>
      <c r="S416" s="5"/>
      <c r="T416" s="25"/>
      <c r="U416" s="5"/>
    </row>
    <row r="417" spans="1:21" s="3" customFormat="1" hidden="1" outlineLevel="1">
      <c r="A417" s="21"/>
      <c r="B417" s="228" t="s">
        <v>38</v>
      </c>
      <c r="C417" s="273" t="str">
        <f t="shared" si="62"/>
        <v>Natural Gas existing</v>
      </c>
      <c r="D417" s="228"/>
      <c r="E417" s="355"/>
      <c r="F417" s="228" t="s">
        <v>10</v>
      </c>
      <c r="G417" s="5"/>
      <c r="H417" s="55">
        <v>9</v>
      </c>
      <c r="I417" s="55"/>
      <c r="J417" s="55"/>
      <c r="K417" s="55"/>
      <c r="L417" s="55"/>
      <c r="M417" s="55"/>
      <c r="N417" s="55"/>
      <c r="O417" s="55"/>
      <c r="P417" s="55"/>
      <c r="Q417" s="55"/>
      <c r="R417" s="55"/>
      <c r="S417" s="5"/>
      <c r="T417" s="25"/>
      <c r="U417" s="5"/>
    </row>
    <row r="418" spans="1:21" s="3" customFormat="1" hidden="1" outlineLevel="1">
      <c r="A418" s="21"/>
      <c r="B418" s="228" t="s">
        <v>353</v>
      </c>
      <c r="C418" s="273" t="str">
        <f t="shared" si="62"/>
        <v>Natural Gas existing</v>
      </c>
      <c r="D418" s="228"/>
      <c r="E418" s="355"/>
      <c r="F418" s="228" t="s">
        <v>10</v>
      </c>
      <c r="G418" s="5"/>
      <c r="H418" s="55"/>
      <c r="I418" s="55"/>
      <c r="J418" s="55"/>
      <c r="K418" s="55"/>
      <c r="L418" s="55"/>
      <c r="M418" s="55"/>
      <c r="N418" s="55"/>
      <c r="O418" s="55"/>
      <c r="P418" s="55"/>
      <c r="Q418" s="55"/>
      <c r="R418" s="55"/>
      <c r="S418" s="5"/>
      <c r="T418" s="25"/>
      <c r="U418" s="5"/>
    </row>
    <row r="419" spans="1:21" s="3" customFormat="1" hidden="1" outlineLevel="1">
      <c r="A419" s="21"/>
      <c r="B419" s="228" t="s">
        <v>304</v>
      </c>
      <c r="C419" s="273" t="str">
        <f t="shared" si="62"/>
        <v>Natural Gas existing</v>
      </c>
      <c r="D419" s="228"/>
      <c r="E419" s="355"/>
      <c r="F419" s="228" t="s">
        <v>96</v>
      </c>
      <c r="G419" s="5"/>
      <c r="H419" s="261">
        <v>0.1</v>
      </c>
      <c r="I419" s="264">
        <f t="shared" ref="I419:R421" si="63">H419</f>
        <v>0.1</v>
      </c>
      <c r="J419" s="264">
        <f t="shared" si="63"/>
        <v>0.1</v>
      </c>
      <c r="K419" s="264">
        <f t="shared" si="63"/>
        <v>0.1</v>
      </c>
      <c r="L419" s="264">
        <f t="shared" si="63"/>
        <v>0.1</v>
      </c>
      <c r="M419" s="264">
        <f t="shared" si="63"/>
        <v>0.1</v>
      </c>
      <c r="N419" s="264">
        <f t="shared" si="63"/>
        <v>0.1</v>
      </c>
      <c r="O419" s="264">
        <f t="shared" si="63"/>
        <v>0.1</v>
      </c>
      <c r="P419" s="264">
        <f t="shared" si="63"/>
        <v>0.1</v>
      </c>
      <c r="Q419" s="264">
        <f t="shared" si="63"/>
        <v>0.1</v>
      </c>
      <c r="R419" s="264">
        <f t="shared" si="63"/>
        <v>0.1</v>
      </c>
      <c r="S419" s="5"/>
      <c r="T419" s="25"/>
      <c r="U419" s="5"/>
    </row>
    <row r="420" spans="1:21" s="3" customFormat="1" hidden="1" outlineLevel="1">
      <c r="A420" s="21"/>
      <c r="B420" s="228" t="s">
        <v>350</v>
      </c>
      <c r="C420" s="273" t="str">
        <f t="shared" si="62"/>
        <v>Natural Gas existing</v>
      </c>
      <c r="D420" s="228"/>
      <c r="E420" s="355"/>
      <c r="F420" s="228" t="s">
        <v>96</v>
      </c>
      <c r="G420" s="5"/>
      <c r="H420" s="261">
        <v>0.65</v>
      </c>
      <c r="I420" s="264">
        <f t="shared" si="63"/>
        <v>0.65</v>
      </c>
      <c r="J420" s="264">
        <f t="shared" si="63"/>
        <v>0.65</v>
      </c>
      <c r="K420" s="264">
        <f t="shared" si="63"/>
        <v>0.65</v>
      </c>
      <c r="L420" s="264">
        <f t="shared" si="63"/>
        <v>0.65</v>
      </c>
      <c r="M420" s="264">
        <f t="shared" si="63"/>
        <v>0.65</v>
      </c>
      <c r="N420" s="264">
        <f t="shared" si="63"/>
        <v>0.65</v>
      </c>
      <c r="O420" s="264">
        <f t="shared" si="63"/>
        <v>0.65</v>
      </c>
      <c r="P420" s="264">
        <f t="shared" si="63"/>
        <v>0.65</v>
      </c>
      <c r="Q420" s="264">
        <f t="shared" si="63"/>
        <v>0.65</v>
      </c>
      <c r="R420" s="264">
        <f t="shared" si="63"/>
        <v>0.65</v>
      </c>
      <c r="S420" s="5"/>
      <c r="T420" s="25"/>
      <c r="U420" s="5"/>
    </row>
    <row r="421" spans="1:21" s="3" customFormat="1" hidden="1" outlineLevel="1">
      <c r="A421" s="21"/>
      <c r="B421" s="228" t="s">
        <v>349</v>
      </c>
      <c r="C421" s="273" t="str">
        <f t="shared" si="62"/>
        <v>Natural Gas existing</v>
      </c>
      <c r="D421" s="228"/>
      <c r="E421" s="355"/>
      <c r="F421" s="228" t="s">
        <v>96</v>
      </c>
      <c r="G421" s="5"/>
      <c r="H421" s="261">
        <v>0.3</v>
      </c>
      <c r="I421" s="264">
        <f t="shared" si="63"/>
        <v>0.3</v>
      </c>
      <c r="J421" s="264">
        <f t="shared" si="63"/>
        <v>0.3</v>
      </c>
      <c r="K421" s="264">
        <f t="shared" si="63"/>
        <v>0.3</v>
      </c>
      <c r="L421" s="264">
        <f t="shared" si="63"/>
        <v>0.3</v>
      </c>
      <c r="M421" s="264">
        <f t="shared" si="63"/>
        <v>0.3</v>
      </c>
      <c r="N421" s="264">
        <f t="shared" si="63"/>
        <v>0.3</v>
      </c>
      <c r="O421" s="264">
        <f t="shared" si="63"/>
        <v>0.3</v>
      </c>
      <c r="P421" s="264">
        <f t="shared" si="63"/>
        <v>0.3</v>
      </c>
      <c r="Q421" s="264">
        <f t="shared" si="63"/>
        <v>0.3</v>
      </c>
      <c r="R421" s="264">
        <f t="shared" si="63"/>
        <v>0.3</v>
      </c>
      <c r="S421" s="5"/>
      <c r="T421" s="25"/>
      <c r="U421" s="5"/>
    </row>
    <row r="422" spans="1:21" s="3" customFormat="1" hidden="1" outlineLevel="1">
      <c r="A422" s="21"/>
      <c r="B422" s="228" t="s">
        <v>74</v>
      </c>
      <c r="C422" s="273" t="str">
        <f t="shared" si="62"/>
        <v>Natural Gas existing</v>
      </c>
      <c r="D422" s="228"/>
      <c r="E422" s="355"/>
      <c r="F422" s="228" t="s">
        <v>96</v>
      </c>
      <c r="G422" s="5"/>
      <c r="H422" s="261">
        <v>0.92100000000000004</v>
      </c>
      <c r="I422" s="261"/>
      <c r="J422" s="261"/>
      <c r="K422" s="261"/>
      <c r="L422" s="261"/>
      <c r="M422" s="261"/>
      <c r="N422" s="261"/>
      <c r="O422" s="261"/>
      <c r="P422" s="261"/>
      <c r="Q422" s="261"/>
      <c r="R422" s="261"/>
      <c r="S422" s="5"/>
      <c r="T422" s="25"/>
      <c r="U422" s="5"/>
    </row>
    <row r="423" spans="1:21" s="3" customFormat="1" hidden="1" outlineLevel="1">
      <c r="A423" s="21"/>
      <c r="B423" s="358" t="s">
        <v>146</v>
      </c>
      <c r="C423" s="273" t="str">
        <f t="shared" si="62"/>
        <v>Natural Gas existing</v>
      </c>
      <c r="D423" s="359"/>
      <c r="E423" s="360"/>
      <c r="F423" s="358" t="s">
        <v>96</v>
      </c>
      <c r="G423" s="5"/>
      <c r="H423" s="261"/>
      <c r="I423" s="261"/>
      <c r="J423" s="261"/>
      <c r="K423" s="261"/>
      <c r="L423" s="261"/>
      <c r="M423" s="261"/>
      <c r="N423" s="261"/>
      <c r="O423" s="261"/>
      <c r="P423" s="261"/>
      <c r="Q423" s="261"/>
      <c r="R423" s="261"/>
      <c r="S423" s="5"/>
      <c r="T423" s="25"/>
      <c r="U423" s="5"/>
    </row>
    <row r="424" spans="1:21" s="3" customFormat="1" hidden="1" outlineLevel="1">
      <c r="A424" s="21"/>
      <c r="B424" s="358" t="s">
        <v>147</v>
      </c>
      <c r="C424" s="273" t="str">
        <f t="shared" si="62"/>
        <v>Natural Gas existing</v>
      </c>
      <c r="D424" s="359"/>
      <c r="E424" s="360"/>
      <c r="F424" s="358" t="s">
        <v>96</v>
      </c>
      <c r="G424" s="5"/>
      <c r="H424" s="261"/>
      <c r="I424" s="261"/>
      <c r="J424" s="261"/>
      <c r="K424" s="261"/>
      <c r="L424" s="261"/>
      <c r="M424" s="261"/>
      <c r="N424" s="261"/>
      <c r="O424" s="261"/>
      <c r="P424" s="261"/>
      <c r="Q424" s="261"/>
      <c r="R424" s="261"/>
      <c r="S424" s="5"/>
      <c r="T424" s="25"/>
      <c r="U424" s="5"/>
    </row>
    <row r="425" spans="1:21" s="3" customFormat="1" hidden="1" outlineLevel="1">
      <c r="A425" s="21"/>
      <c r="B425" s="358" t="s">
        <v>362</v>
      </c>
      <c r="C425" s="273" t="str">
        <f t="shared" si="62"/>
        <v>Natural Gas existing</v>
      </c>
      <c r="D425" s="359"/>
      <c r="E425" s="360"/>
      <c r="F425" s="358" t="s">
        <v>96</v>
      </c>
      <c r="G425" s="5"/>
      <c r="H425" s="261"/>
      <c r="I425" s="261"/>
      <c r="J425" s="261"/>
      <c r="K425" s="261"/>
      <c r="L425" s="261"/>
      <c r="M425" s="261"/>
      <c r="N425" s="261"/>
      <c r="O425" s="261"/>
      <c r="P425" s="261"/>
      <c r="Q425" s="261"/>
      <c r="R425" s="261"/>
      <c r="S425" s="5"/>
      <c r="T425" s="25"/>
      <c r="U425" s="5"/>
    </row>
    <row r="426" spans="1:21" s="3" customFormat="1" hidden="1" outlineLevel="1">
      <c r="A426" s="21"/>
      <c r="B426" s="358" t="s">
        <v>363</v>
      </c>
      <c r="C426" s="273" t="str">
        <f t="shared" si="62"/>
        <v>Natural Gas existing</v>
      </c>
      <c r="D426" s="359"/>
      <c r="E426" s="360"/>
      <c r="F426" s="358" t="s">
        <v>96</v>
      </c>
      <c r="G426" s="5"/>
      <c r="H426" s="261"/>
      <c r="I426" s="261"/>
      <c r="J426" s="261"/>
      <c r="K426" s="261"/>
      <c r="L426" s="261"/>
      <c r="M426" s="261"/>
      <c r="N426" s="261"/>
      <c r="O426" s="261"/>
      <c r="P426" s="261"/>
      <c r="Q426" s="261"/>
      <c r="R426" s="261"/>
      <c r="S426" s="5"/>
      <c r="T426" s="25"/>
      <c r="U426" s="5"/>
    </row>
    <row r="427" spans="1:21" s="3" customFormat="1" hidden="1" outlineLevel="1">
      <c r="A427" s="21"/>
      <c r="B427" s="228" t="s">
        <v>332</v>
      </c>
      <c r="C427" s="273" t="str">
        <f t="shared" si="62"/>
        <v>Natural Gas existing</v>
      </c>
      <c r="D427" s="228"/>
      <c r="E427" s="355"/>
      <c r="F427" s="228" t="s">
        <v>33</v>
      </c>
      <c r="G427" s="5"/>
      <c r="H427" s="29">
        <v>68.62</v>
      </c>
      <c r="I427" s="362">
        <f t="shared" ref="I427:R428" si="64">H427</f>
        <v>68.62</v>
      </c>
      <c r="J427" s="362">
        <f t="shared" si="64"/>
        <v>68.62</v>
      </c>
      <c r="K427" s="362">
        <f t="shared" si="64"/>
        <v>68.62</v>
      </c>
      <c r="L427" s="362">
        <f t="shared" si="64"/>
        <v>68.62</v>
      </c>
      <c r="M427" s="362">
        <f t="shared" si="64"/>
        <v>68.62</v>
      </c>
      <c r="N427" s="362">
        <f t="shared" si="64"/>
        <v>68.62</v>
      </c>
      <c r="O427" s="362">
        <f t="shared" si="64"/>
        <v>68.62</v>
      </c>
      <c r="P427" s="362">
        <f t="shared" si="64"/>
        <v>68.62</v>
      </c>
      <c r="Q427" s="362">
        <f t="shared" si="64"/>
        <v>68.62</v>
      </c>
      <c r="R427" s="362">
        <f t="shared" si="64"/>
        <v>68.62</v>
      </c>
      <c r="S427" s="5"/>
      <c r="T427" s="25"/>
      <c r="U427" s="5"/>
    </row>
    <row r="428" spans="1:21" s="3" customFormat="1" hidden="1" outlineLevel="1">
      <c r="A428" s="21"/>
      <c r="B428" s="228" t="s">
        <v>470</v>
      </c>
      <c r="C428" s="273" t="str">
        <f t="shared" si="62"/>
        <v>Natural Gas existing</v>
      </c>
      <c r="D428" s="228"/>
      <c r="E428" s="355"/>
      <c r="F428" s="228" t="s">
        <v>316</v>
      </c>
      <c r="G428" s="5"/>
      <c r="H428" s="54">
        <v>592.51900000000001</v>
      </c>
      <c r="I428" s="270">
        <f t="shared" si="64"/>
        <v>592.51900000000001</v>
      </c>
      <c r="J428" s="270">
        <f t="shared" si="64"/>
        <v>592.51900000000001</v>
      </c>
      <c r="K428" s="270">
        <f t="shared" si="64"/>
        <v>592.51900000000001</v>
      </c>
      <c r="L428" s="270">
        <f t="shared" si="64"/>
        <v>592.51900000000001</v>
      </c>
      <c r="M428" s="270">
        <f t="shared" si="64"/>
        <v>592.51900000000001</v>
      </c>
      <c r="N428" s="270">
        <f t="shared" si="64"/>
        <v>592.51900000000001</v>
      </c>
      <c r="O428" s="270">
        <f t="shared" si="64"/>
        <v>592.51900000000001</v>
      </c>
      <c r="P428" s="270">
        <f t="shared" si="64"/>
        <v>592.51900000000001</v>
      </c>
      <c r="Q428" s="270">
        <f t="shared" si="64"/>
        <v>592.51900000000001</v>
      </c>
      <c r="R428" s="270">
        <f t="shared" si="64"/>
        <v>592.51900000000001</v>
      </c>
      <c r="S428" s="5"/>
      <c r="T428" s="25"/>
      <c r="U428" s="5"/>
    </row>
    <row r="429" spans="1:21" s="3" customFormat="1" hidden="1" outlineLevel="1">
      <c r="A429" s="21"/>
      <c r="B429" s="228" t="s">
        <v>375</v>
      </c>
      <c r="C429" s="273" t="str">
        <f t="shared" si="62"/>
        <v>Natural Gas existing</v>
      </c>
      <c r="D429" s="228"/>
      <c r="E429" s="355"/>
      <c r="F429" s="228" t="s">
        <v>96</v>
      </c>
      <c r="G429" s="5"/>
      <c r="H429" s="261"/>
      <c r="I429" s="261"/>
      <c r="J429" s="261"/>
      <c r="K429" s="261"/>
      <c r="L429" s="261"/>
      <c r="M429" s="261"/>
      <c r="N429" s="261"/>
      <c r="O429" s="261"/>
      <c r="P429" s="261"/>
      <c r="Q429" s="261"/>
      <c r="R429" s="261"/>
      <c r="S429" s="5"/>
      <c r="T429" s="25"/>
      <c r="U429" s="5"/>
    </row>
    <row r="430" spans="1:21" s="3" customFormat="1" hidden="1" outlineLevel="1">
      <c r="A430" s="21"/>
      <c r="B430" s="228" t="s">
        <v>432</v>
      </c>
      <c r="C430" s="273" t="str">
        <f t="shared" si="62"/>
        <v>Natural Gas existing</v>
      </c>
      <c r="D430" s="228"/>
      <c r="E430" s="355"/>
      <c r="F430" s="228" t="s">
        <v>33</v>
      </c>
      <c r="G430" s="5"/>
      <c r="H430" s="55"/>
      <c r="I430" s="55"/>
      <c r="J430" s="55"/>
      <c r="K430" s="55"/>
      <c r="L430" s="55"/>
      <c r="M430" s="55"/>
      <c r="N430" s="55"/>
      <c r="O430" s="55"/>
      <c r="P430" s="55"/>
      <c r="Q430" s="55"/>
      <c r="R430" s="55"/>
      <c r="S430" s="5"/>
      <c r="T430" s="25"/>
      <c r="U430" s="5"/>
    </row>
    <row r="431" spans="1:21" s="3" customFormat="1" hidden="1" outlineLevel="1">
      <c r="A431" s="21"/>
      <c r="B431" s="228" t="s">
        <v>379</v>
      </c>
      <c r="C431" s="273" t="str">
        <f t="shared" si="62"/>
        <v>Natural Gas existing</v>
      </c>
      <c r="D431" s="228"/>
      <c r="E431" s="355"/>
      <c r="F431" s="228"/>
      <c r="G431" s="5"/>
      <c r="H431" s="54"/>
      <c r="I431" s="54"/>
      <c r="J431" s="54"/>
      <c r="K431" s="54"/>
      <c r="L431" s="54"/>
      <c r="M431" s="54"/>
      <c r="N431" s="54"/>
      <c r="O431" s="54"/>
      <c r="P431" s="54"/>
      <c r="Q431" s="54"/>
      <c r="R431" s="54"/>
      <c r="S431" s="5"/>
      <c r="T431" s="25"/>
      <c r="U431" s="5"/>
    </row>
    <row r="432" spans="1:21" s="3" customFormat="1" hidden="1" outlineLevel="1">
      <c r="A432" s="21"/>
      <c r="B432" s="228" t="s">
        <v>361</v>
      </c>
      <c r="C432" s="273" t="str">
        <f t="shared" si="62"/>
        <v>Natural Gas existing</v>
      </c>
      <c r="D432" s="228"/>
      <c r="E432" s="355"/>
      <c r="F432" s="228" t="s">
        <v>96</v>
      </c>
      <c r="G432" s="5"/>
      <c r="H432" s="261"/>
      <c r="I432" s="261"/>
      <c r="J432" s="261"/>
      <c r="K432" s="261"/>
      <c r="L432" s="261"/>
      <c r="M432" s="261"/>
      <c r="N432" s="261"/>
      <c r="O432" s="261"/>
      <c r="P432" s="261"/>
      <c r="Q432" s="261"/>
      <c r="R432" s="261"/>
      <c r="S432" s="5"/>
      <c r="T432" s="25"/>
      <c r="U432" s="5"/>
    </row>
    <row r="433" spans="1:21" s="3" customFormat="1" hidden="1" outlineLevel="1">
      <c r="A433" s="21"/>
      <c r="B433" s="228" t="s">
        <v>384</v>
      </c>
      <c r="C433" s="273" t="str">
        <f t="shared" si="62"/>
        <v>Natural Gas existing</v>
      </c>
      <c r="D433" s="228"/>
      <c r="E433" s="355"/>
      <c r="F433" s="228" t="s">
        <v>316</v>
      </c>
      <c r="G433" s="5"/>
      <c r="H433" s="54"/>
      <c r="I433" s="54"/>
      <c r="J433" s="54"/>
      <c r="K433" s="54"/>
      <c r="L433" s="54"/>
      <c r="M433" s="54"/>
      <c r="N433" s="54"/>
      <c r="O433" s="54"/>
      <c r="P433" s="54"/>
      <c r="Q433" s="54"/>
      <c r="R433" s="54"/>
      <c r="S433" s="5"/>
      <c r="T433" s="25"/>
      <c r="U433" s="5"/>
    </row>
    <row r="434" spans="1:21" s="3" customFormat="1" hidden="1" outlineLevel="1">
      <c r="A434" s="21"/>
      <c r="B434" s="228" t="s">
        <v>386</v>
      </c>
      <c r="C434" s="273" t="str">
        <f t="shared" si="62"/>
        <v>Natural Gas existing</v>
      </c>
      <c r="D434" s="228"/>
      <c r="E434" s="355"/>
      <c r="F434" s="228" t="s">
        <v>316</v>
      </c>
      <c r="G434" s="5"/>
      <c r="H434" s="55"/>
      <c r="I434" s="55"/>
      <c r="J434" s="55"/>
      <c r="K434" s="55"/>
      <c r="L434" s="55"/>
      <c r="M434" s="55"/>
      <c r="N434" s="55"/>
      <c r="O434" s="55"/>
      <c r="P434" s="55"/>
      <c r="Q434" s="55"/>
      <c r="R434" s="55"/>
      <c r="S434" s="5"/>
      <c r="T434" s="25"/>
      <c r="U434" s="5"/>
    </row>
    <row r="435" spans="1:21" s="3" customFormat="1" hidden="1" outlineLevel="1">
      <c r="A435" s="21"/>
      <c r="B435" s="228" t="s">
        <v>387</v>
      </c>
      <c r="C435" s="273" t="str">
        <f t="shared" si="62"/>
        <v>Natural Gas existing</v>
      </c>
      <c r="D435" s="228"/>
      <c r="E435" s="355"/>
      <c r="F435" s="228"/>
      <c r="G435" s="5"/>
      <c r="H435" s="261"/>
      <c r="I435" s="261"/>
      <c r="J435" s="261"/>
      <c r="K435" s="261"/>
      <c r="L435" s="261"/>
      <c r="M435" s="261"/>
      <c r="N435" s="261"/>
      <c r="O435" s="261"/>
      <c r="P435" s="261"/>
      <c r="Q435" s="261"/>
      <c r="R435" s="261"/>
      <c r="S435" s="5"/>
      <c r="T435" s="25"/>
      <c r="U435" s="5"/>
    </row>
    <row r="436" spans="1:21" s="3" customFormat="1" hidden="1" outlineLevel="1">
      <c r="A436" s="21"/>
      <c r="B436" s="228" t="s">
        <v>388</v>
      </c>
      <c r="C436" s="273" t="str">
        <f t="shared" si="62"/>
        <v>Natural Gas existing</v>
      </c>
      <c r="D436" s="228"/>
      <c r="E436" s="355"/>
      <c r="F436" s="228"/>
      <c r="G436" s="5"/>
      <c r="H436" s="55"/>
      <c r="I436" s="55"/>
      <c r="J436" s="55"/>
      <c r="K436" s="55"/>
      <c r="L436" s="55"/>
      <c r="M436" s="55"/>
      <c r="N436" s="55"/>
      <c r="O436" s="55"/>
      <c r="P436" s="55"/>
      <c r="Q436" s="55"/>
      <c r="R436" s="55"/>
      <c r="S436" s="5"/>
      <c r="T436" s="25"/>
      <c r="U436" s="5"/>
    </row>
    <row r="437" spans="1:21" s="3" customFormat="1" hidden="1" outlineLevel="1">
      <c r="A437" s="21"/>
      <c r="B437" s="228" t="s">
        <v>385</v>
      </c>
      <c r="C437" s="273" t="str">
        <f t="shared" si="62"/>
        <v>Natural Gas existing</v>
      </c>
      <c r="D437" s="228"/>
      <c r="E437" s="355"/>
      <c r="F437" s="228" t="s">
        <v>317</v>
      </c>
      <c r="G437" s="5"/>
      <c r="H437" s="54"/>
      <c r="I437" s="54"/>
      <c r="J437" s="54"/>
      <c r="K437" s="54"/>
      <c r="L437" s="54"/>
      <c r="M437" s="54"/>
      <c r="N437" s="54"/>
      <c r="O437" s="54"/>
      <c r="P437" s="54"/>
      <c r="Q437" s="54"/>
      <c r="R437" s="54"/>
      <c r="S437" s="5"/>
      <c r="T437" s="25"/>
      <c r="U437" s="5"/>
    </row>
    <row r="438" spans="1:21" s="3" customFormat="1" hidden="1" outlineLevel="1">
      <c r="A438" s="21"/>
      <c r="B438" s="228" t="s">
        <v>389</v>
      </c>
      <c r="C438" s="273" t="str">
        <f t="shared" si="62"/>
        <v>Natural Gas existing</v>
      </c>
      <c r="D438" s="228"/>
      <c r="E438" s="355"/>
      <c r="F438" s="228" t="s">
        <v>317</v>
      </c>
      <c r="G438" s="5"/>
      <c r="H438" s="55"/>
      <c r="I438" s="55"/>
      <c r="J438" s="55"/>
      <c r="K438" s="55"/>
      <c r="L438" s="55"/>
      <c r="M438" s="55"/>
      <c r="N438" s="55"/>
      <c r="O438" s="55"/>
      <c r="P438" s="55"/>
      <c r="Q438" s="55"/>
      <c r="R438" s="55"/>
      <c r="S438" s="5"/>
      <c r="T438" s="25"/>
      <c r="U438" s="5"/>
    </row>
    <row r="439" spans="1:21" s="3" customFormat="1" hidden="1" outlineLevel="1">
      <c r="A439" s="21"/>
      <c r="B439" s="228" t="s">
        <v>390</v>
      </c>
      <c r="C439" s="273" t="str">
        <f t="shared" si="62"/>
        <v>Natural Gas existing</v>
      </c>
      <c r="D439" s="228"/>
      <c r="E439" s="355"/>
      <c r="F439" s="228"/>
      <c r="G439" s="5"/>
      <c r="H439" s="261"/>
      <c r="I439" s="261"/>
      <c r="J439" s="261"/>
      <c r="K439" s="261"/>
      <c r="L439" s="261"/>
      <c r="M439" s="261"/>
      <c r="N439" s="261"/>
      <c r="O439" s="261"/>
      <c r="P439" s="261"/>
      <c r="Q439" s="261"/>
      <c r="R439" s="261"/>
      <c r="S439" s="5"/>
      <c r="T439" s="25"/>
      <c r="U439" s="5"/>
    </row>
    <row r="440" spans="1:21" s="3" customFormat="1" hidden="1" outlineLevel="1">
      <c r="A440" s="21"/>
      <c r="B440" s="228" t="s">
        <v>391</v>
      </c>
      <c r="C440" s="273" t="str">
        <f t="shared" si="62"/>
        <v>Natural Gas existing</v>
      </c>
      <c r="D440" s="228"/>
      <c r="E440" s="355"/>
      <c r="F440" s="228"/>
      <c r="G440" s="5"/>
      <c r="H440" s="55"/>
      <c r="I440" s="55"/>
      <c r="J440" s="55"/>
      <c r="K440" s="55"/>
      <c r="L440" s="55"/>
      <c r="M440" s="55"/>
      <c r="N440" s="55"/>
      <c r="O440" s="55"/>
      <c r="P440" s="55"/>
      <c r="Q440" s="55"/>
      <c r="R440" s="55"/>
      <c r="S440" s="5"/>
      <c r="T440" s="25"/>
      <c r="U440" s="5"/>
    </row>
    <row r="441" spans="1:21" s="3" customFormat="1" hidden="1" outlineLevel="1">
      <c r="A441" s="21"/>
      <c r="B441" s="228" t="s">
        <v>305</v>
      </c>
      <c r="C441" s="273" t="str">
        <f t="shared" si="62"/>
        <v>Natural Gas existing</v>
      </c>
      <c r="D441" s="228"/>
      <c r="E441" s="355"/>
      <c r="F441" s="228" t="s">
        <v>317</v>
      </c>
      <c r="G441" s="5"/>
      <c r="H441" s="54">
        <v>12.217000000000001</v>
      </c>
      <c r="I441" s="270">
        <f t="shared" ref="I441:R441" si="65">H441</f>
        <v>12.217000000000001</v>
      </c>
      <c r="J441" s="270">
        <f t="shared" si="65"/>
        <v>12.217000000000001</v>
      </c>
      <c r="K441" s="270">
        <f t="shared" si="65"/>
        <v>12.217000000000001</v>
      </c>
      <c r="L441" s="270">
        <f t="shared" si="65"/>
        <v>12.217000000000001</v>
      </c>
      <c r="M441" s="270">
        <f t="shared" si="65"/>
        <v>12.217000000000001</v>
      </c>
      <c r="N441" s="270">
        <f t="shared" si="65"/>
        <v>12.217000000000001</v>
      </c>
      <c r="O441" s="270">
        <f t="shared" si="65"/>
        <v>12.217000000000001</v>
      </c>
      <c r="P441" s="270">
        <f t="shared" si="65"/>
        <v>12.217000000000001</v>
      </c>
      <c r="Q441" s="270">
        <f t="shared" si="65"/>
        <v>12.217000000000001</v>
      </c>
      <c r="R441" s="270">
        <f t="shared" si="65"/>
        <v>12.217000000000001</v>
      </c>
      <c r="S441" s="5"/>
      <c r="T441" s="25"/>
      <c r="U441" s="5"/>
    </row>
    <row r="442" spans="1:21" s="3" customFormat="1" hidden="1" outlineLevel="1">
      <c r="A442" s="21"/>
      <c r="B442" s="228" t="s">
        <v>352</v>
      </c>
      <c r="C442" s="273" t="str">
        <f t="shared" si="62"/>
        <v>Natural Gas existing</v>
      </c>
      <c r="D442" s="228"/>
      <c r="E442" s="355"/>
      <c r="F442" s="228" t="s">
        <v>316</v>
      </c>
      <c r="G442" s="5"/>
      <c r="H442" s="54"/>
      <c r="I442" s="54"/>
      <c r="J442" s="54"/>
      <c r="K442" s="54"/>
      <c r="L442" s="54"/>
      <c r="M442" s="54"/>
      <c r="N442" s="54"/>
      <c r="O442" s="54"/>
      <c r="P442" s="54"/>
      <c r="Q442" s="54"/>
      <c r="R442" s="54"/>
      <c r="S442" s="5"/>
      <c r="T442" s="25"/>
      <c r="U442" s="5"/>
    </row>
    <row r="443" spans="1:21" s="3" customFormat="1" hidden="1" outlineLevel="1">
      <c r="A443" s="21"/>
      <c r="B443" s="67" t="s">
        <v>301</v>
      </c>
      <c r="C443" s="273" t="str">
        <f t="shared" si="62"/>
        <v>Natural Gas existing</v>
      </c>
      <c r="D443" s="4" t="s">
        <v>460</v>
      </c>
      <c r="E443" s="347"/>
      <c r="F443" s="67" t="s">
        <v>33</v>
      </c>
      <c r="G443" s="5"/>
      <c r="H443" s="350">
        <v>0.34100000000000003</v>
      </c>
      <c r="I443" s="363">
        <f t="shared" ref="I443:R443" si="66">H443</f>
        <v>0.34100000000000003</v>
      </c>
      <c r="J443" s="363">
        <f t="shared" si="66"/>
        <v>0.34100000000000003</v>
      </c>
      <c r="K443" s="363">
        <f t="shared" si="66"/>
        <v>0.34100000000000003</v>
      </c>
      <c r="L443" s="363">
        <f t="shared" si="66"/>
        <v>0.34100000000000003</v>
      </c>
      <c r="M443" s="363">
        <f t="shared" si="66"/>
        <v>0.34100000000000003</v>
      </c>
      <c r="N443" s="363">
        <f t="shared" si="66"/>
        <v>0.34100000000000003</v>
      </c>
      <c r="O443" s="363">
        <f t="shared" si="66"/>
        <v>0.34100000000000003</v>
      </c>
      <c r="P443" s="363">
        <f t="shared" si="66"/>
        <v>0.34100000000000003</v>
      </c>
      <c r="Q443" s="363">
        <f t="shared" si="66"/>
        <v>0.34100000000000003</v>
      </c>
      <c r="R443" s="363">
        <f t="shared" si="66"/>
        <v>0.34100000000000003</v>
      </c>
      <c r="S443" s="5"/>
      <c r="T443" s="25"/>
      <c r="U443" s="5"/>
    </row>
    <row r="444" spans="1:21" s="3" customFormat="1" hidden="1" outlineLevel="1">
      <c r="A444" s="21"/>
      <c r="B444" s="67" t="s">
        <v>50</v>
      </c>
      <c r="C444" s="273" t="s">
        <v>476</v>
      </c>
      <c r="D444" s="4"/>
      <c r="E444" s="347"/>
      <c r="G444" s="5"/>
      <c r="H444" s="4"/>
      <c r="I444" s="4"/>
      <c r="J444" s="4"/>
      <c r="K444" s="4"/>
      <c r="L444" s="4"/>
      <c r="M444" s="4"/>
      <c r="N444" s="4"/>
      <c r="O444" s="4"/>
      <c r="P444" s="4"/>
      <c r="Q444" s="4"/>
      <c r="R444" s="4"/>
      <c r="S444" s="5"/>
      <c r="T444" s="25"/>
      <c r="U444" s="5"/>
    </row>
    <row r="445" spans="1:21" s="3" customFormat="1" hidden="1" outlineLevel="1">
      <c r="A445" s="21"/>
      <c r="B445" s="228" t="s">
        <v>37</v>
      </c>
      <c r="C445" s="273" t="str">
        <f>C444</f>
        <v>Electric existing</v>
      </c>
      <c r="D445" s="228"/>
      <c r="E445" s="355"/>
      <c r="F445" s="228" t="s">
        <v>39</v>
      </c>
      <c r="G445" s="5"/>
      <c r="H445" s="265">
        <v>1990</v>
      </c>
      <c r="I445" s="356">
        <f t="shared" ref="I445:R447" si="67">H445</f>
        <v>1990</v>
      </c>
      <c r="J445" s="356">
        <f t="shared" si="67"/>
        <v>1990</v>
      </c>
      <c r="K445" s="356">
        <f t="shared" si="67"/>
        <v>1990</v>
      </c>
      <c r="L445" s="356">
        <f t="shared" si="67"/>
        <v>1990</v>
      </c>
      <c r="M445" s="356">
        <f t="shared" si="67"/>
        <v>1990</v>
      </c>
      <c r="N445" s="356">
        <f t="shared" si="67"/>
        <v>1990</v>
      </c>
      <c r="O445" s="356">
        <f t="shared" si="67"/>
        <v>1990</v>
      </c>
      <c r="P445" s="356">
        <f t="shared" si="67"/>
        <v>1990</v>
      </c>
      <c r="Q445" s="356">
        <f t="shared" si="67"/>
        <v>1990</v>
      </c>
      <c r="R445" s="356">
        <f t="shared" si="67"/>
        <v>1990</v>
      </c>
      <c r="S445" s="5"/>
      <c r="T445" s="25"/>
      <c r="U445" s="5"/>
    </row>
    <row r="446" spans="1:21" s="3" customFormat="1" hidden="1" outlineLevel="1">
      <c r="A446" s="21"/>
      <c r="B446" s="228" t="s">
        <v>36</v>
      </c>
      <c r="C446" s="273" t="str">
        <f t="shared" ref="C446:C473" si="68">C445</f>
        <v>Electric existing</v>
      </c>
      <c r="D446" s="228"/>
      <c r="E446" s="355"/>
      <c r="F446" s="228" t="s">
        <v>39</v>
      </c>
      <c r="G446" s="5"/>
      <c r="H446" s="265">
        <v>2000</v>
      </c>
      <c r="I446" s="356">
        <f t="shared" si="67"/>
        <v>2000</v>
      </c>
      <c r="J446" s="356">
        <f t="shared" si="67"/>
        <v>2000</v>
      </c>
      <c r="K446" s="356">
        <f t="shared" si="67"/>
        <v>2000</v>
      </c>
      <c r="L446" s="356">
        <f t="shared" si="67"/>
        <v>2000</v>
      </c>
      <c r="M446" s="356">
        <f t="shared" si="67"/>
        <v>2000</v>
      </c>
      <c r="N446" s="356">
        <f t="shared" si="67"/>
        <v>2000</v>
      </c>
      <c r="O446" s="356">
        <f t="shared" si="67"/>
        <v>2000</v>
      </c>
      <c r="P446" s="356">
        <f t="shared" si="67"/>
        <v>2000</v>
      </c>
      <c r="Q446" s="356">
        <f t="shared" si="67"/>
        <v>2000</v>
      </c>
      <c r="R446" s="356">
        <f t="shared" si="67"/>
        <v>2000</v>
      </c>
      <c r="S446" s="5"/>
      <c r="T446" s="25"/>
      <c r="U446" s="5"/>
    </row>
    <row r="447" spans="1:21" s="3" customFormat="1" hidden="1" outlineLevel="1">
      <c r="A447" s="21"/>
      <c r="B447" s="228" t="s">
        <v>38</v>
      </c>
      <c r="C447" s="273" t="str">
        <f t="shared" si="68"/>
        <v>Electric existing</v>
      </c>
      <c r="D447" s="228"/>
      <c r="E447" s="355"/>
      <c r="F447" s="228" t="s">
        <v>10</v>
      </c>
      <c r="G447" s="5"/>
      <c r="H447" s="55">
        <v>9</v>
      </c>
      <c r="I447" s="253">
        <f t="shared" si="67"/>
        <v>9</v>
      </c>
      <c r="J447" s="253">
        <f t="shared" si="67"/>
        <v>9</v>
      </c>
      <c r="K447" s="253">
        <f t="shared" si="67"/>
        <v>9</v>
      </c>
      <c r="L447" s="253">
        <f t="shared" si="67"/>
        <v>9</v>
      </c>
      <c r="M447" s="253">
        <f t="shared" si="67"/>
        <v>9</v>
      </c>
      <c r="N447" s="253">
        <f t="shared" si="67"/>
        <v>9</v>
      </c>
      <c r="O447" s="253">
        <f t="shared" si="67"/>
        <v>9</v>
      </c>
      <c r="P447" s="253">
        <f t="shared" si="67"/>
        <v>9</v>
      </c>
      <c r="Q447" s="253">
        <f t="shared" si="67"/>
        <v>9</v>
      </c>
      <c r="R447" s="253">
        <f t="shared" si="67"/>
        <v>9</v>
      </c>
      <c r="S447" s="5"/>
      <c r="T447" s="25"/>
      <c r="U447" s="5"/>
    </row>
    <row r="448" spans="1:21" s="3" customFormat="1" hidden="1" outlineLevel="1">
      <c r="A448" s="21"/>
      <c r="B448" s="228" t="s">
        <v>353</v>
      </c>
      <c r="C448" s="273" t="str">
        <f t="shared" si="68"/>
        <v>Electric existing</v>
      </c>
      <c r="D448" s="228"/>
      <c r="E448" s="355"/>
      <c r="F448" s="228" t="s">
        <v>10</v>
      </c>
      <c r="G448" s="5"/>
      <c r="H448" s="55"/>
      <c r="I448" s="55"/>
      <c r="J448" s="55"/>
      <c r="K448" s="55"/>
      <c r="L448" s="55"/>
      <c r="M448" s="55"/>
      <c r="N448" s="55"/>
      <c r="O448" s="55"/>
      <c r="P448" s="55"/>
      <c r="Q448" s="55"/>
      <c r="R448" s="55"/>
      <c r="S448" s="5"/>
      <c r="T448" s="25"/>
      <c r="U448" s="5"/>
    </row>
    <row r="449" spans="1:21" s="3" customFormat="1" hidden="1" outlineLevel="1">
      <c r="A449" s="21"/>
      <c r="B449" s="228" t="s">
        <v>304</v>
      </c>
      <c r="C449" s="273" t="str">
        <f t="shared" si="68"/>
        <v>Electric existing</v>
      </c>
      <c r="D449" s="228"/>
      <c r="E449" s="355"/>
      <c r="F449" s="228" t="s">
        <v>96</v>
      </c>
      <c r="G449" s="5"/>
      <c r="H449" s="261">
        <v>0.1</v>
      </c>
      <c r="I449" s="264">
        <f t="shared" ref="I449:R451" si="69">H449</f>
        <v>0.1</v>
      </c>
      <c r="J449" s="264">
        <f t="shared" si="69"/>
        <v>0.1</v>
      </c>
      <c r="K449" s="264">
        <f t="shared" si="69"/>
        <v>0.1</v>
      </c>
      <c r="L449" s="264">
        <f t="shared" si="69"/>
        <v>0.1</v>
      </c>
      <c r="M449" s="264">
        <f t="shared" si="69"/>
        <v>0.1</v>
      </c>
      <c r="N449" s="264">
        <f t="shared" si="69"/>
        <v>0.1</v>
      </c>
      <c r="O449" s="264">
        <f t="shared" si="69"/>
        <v>0.1</v>
      </c>
      <c r="P449" s="264">
        <f t="shared" si="69"/>
        <v>0.1</v>
      </c>
      <c r="Q449" s="264">
        <f t="shared" si="69"/>
        <v>0.1</v>
      </c>
      <c r="R449" s="264">
        <f t="shared" si="69"/>
        <v>0.1</v>
      </c>
      <c r="S449" s="5"/>
      <c r="T449" s="25"/>
      <c r="U449" s="5"/>
    </row>
    <row r="450" spans="1:21" s="3" customFormat="1" hidden="1" outlineLevel="1">
      <c r="A450" s="21"/>
      <c r="B450" s="228" t="s">
        <v>350</v>
      </c>
      <c r="C450" s="273" t="str">
        <f t="shared" si="68"/>
        <v>Electric existing</v>
      </c>
      <c r="D450" s="228"/>
      <c r="E450" s="355"/>
      <c r="F450" s="228" t="s">
        <v>96</v>
      </c>
      <c r="G450" s="5"/>
      <c r="H450" s="261">
        <v>0.65</v>
      </c>
      <c r="I450" s="264">
        <f t="shared" si="69"/>
        <v>0.65</v>
      </c>
      <c r="J450" s="264">
        <f t="shared" si="69"/>
        <v>0.65</v>
      </c>
      <c r="K450" s="264">
        <f t="shared" si="69"/>
        <v>0.65</v>
      </c>
      <c r="L450" s="264">
        <f t="shared" si="69"/>
        <v>0.65</v>
      </c>
      <c r="M450" s="264">
        <f t="shared" si="69"/>
        <v>0.65</v>
      </c>
      <c r="N450" s="264">
        <f t="shared" si="69"/>
        <v>0.65</v>
      </c>
      <c r="O450" s="264">
        <f t="shared" si="69"/>
        <v>0.65</v>
      </c>
      <c r="P450" s="264">
        <f t="shared" si="69"/>
        <v>0.65</v>
      </c>
      <c r="Q450" s="264">
        <f t="shared" si="69"/>
        <v>0.65</v>
      </c>
      <c r="R450" s="264">
        <f t="shared" si="69"/>
        <v>0.65</v>
      </c>
      <c r="S450" s="5"/>
      <c r="T450" s="25"/>
      <c r="U450" s="5"/>
    </row>
    <row r="451" spans="1:21" s="3" customFormat="1" hidden="1" outlineLevel="1">
      <c r="A451" s="21"/>
      <c r="B451" s="228" t="s">
        <v>349</v>
      </c>
      <c r="C451" s="273" t="str">
        <f t="shared" si="68"/>
        <v>Electric existing</v>
      </c>
      <c r="D451" s="228"/>
      <c r="E451" s="355"/>
      <c r="F451" s="228" t="s">
        <v>96</v>
      </c>
      <c r="G451" s="5"/>
      <c r="H451" s="261">
        <v>0.3</v>
      </c>
      <c r="I451" s="264">
        <f t="shared" si="69"/>
        <v>0.3</v>
      </c>
      <c r="J451" s="264">
        <f t="shared" si="69"/>
        <v>0.3</v>
      </c>
      <c r="K451" s="264">
        <f t="shared" si="69"/>
        <v>0.3</v>
      </c>
      <c r="L451" s="264">
        <f t="shared" si="69"/>
        <v>0.3</v>
      </c>
      <c r="M451" s="264">
        <f t="shared" si="69"/>
        <v>0.3</v>
      </c>
      <c r="N451" s="264">
        <f t="shared" si="69"/>
        <v>0.3</v>
      </c>
      <c r="O451" s="264">
        <f t="shared" si="69"/>
        <v>0.3</v>
      </c>
      <c r="P451" s="264">
        <f t="shared" si="69"/>
        <v>0.3</v>
      </c>
      <c r="Q451" s="264">
        <f t="shared" si="69"/>
        <v>0.3</v>
      </c>
      <c r="R451" s="264">
        <f t="shared" si="69"/>
        <v>0.3</v>
      </c>
      <c r="S451" s="5"/>
      <c r="T451" s="25"/>
      <c r="U451" s="5"/>
    </row>
    <row r="452" spans="1:21" s="3" customFormat="1" hidden="1" outlineLevel="1">
      <c r="A452" s="21"/>
      <c r="B452" s="228" t="s">
        <v>74</v>
      </c>
      <c r="C452" s="273" t="str">
        <f t="shared" si="68"/>
        <v>Electric existing</v>
      </c>
      <c r="D452" s="228"/>
      <c r="E452" s="355"/>
      <c r="F452" s="228" t="s">
        <v>96</v>
      </c>
      <c r="G452" s="5"/>
      <c r="H452" s="261">
        <v>0.06</v>
      </c>
      <c r="I452" s="261"/>
      <c r="J452" s="261"/>
      <c r="K452" s="261"/>
      <c r="L452" s="261"/>
      <c r="M452" s="261"/>
      <c r="N452" s="261"/>
      <c r="O452" s="261"/>
      <c r="P452" s="261"/>
      <c r="Q452" s="261"/>
      <c r="R452" s="261"/>
      <c r="S452" s="5"/>
      <c r="T452" s="25"/>
      <c r="U452" s="5"/>
    </row>
    <row r="453" spans="1:21" s="3" customFormat="1" hidden="1" outlineLevel="1">
      <c r="A453" s="21"/>
      <c r="B453" s="358" t="s">
        <v>146</v>
      </c>
      <c r="C453" s="273" t="str">
        <f t="shared" si="68"/>
        <v>Electric existing</v>
      </c>
      <c r="D453" s="359"/>
      <c r="E453" s="360"/>
      <c r="F453" s="358" t="s">
        <v>96</v>
      </c>
      <c r="G453" s="5"/>
      <c r="H453" s="261"/>
      <c r="I453" s="261"/>
      <c r="J453" s="261"/>
      <c r="K453" s="261"/>
      <c r="L453" s="261"/>
      <c r="M453" s="261"/>
      <c r="N453" s="261"/>
      <c r="O453" s="261"/>
      <c r="P453" s="261"/>
      <c r="Q453" s="261"/>
      <c r="R453" s="261"/>
      <c r="S453" s="5"/>
      <c r="T453" s="25"/>
      <c r="U453" s="5"/>
    </row>
    <row r="454" spans="1:21" s="3" customFormat="1" hidden="1" outlineLevel="1">
      <c r="A454" s="21"/>
      <c r="B454" s="358" t="s">
        <v>147</v>
      </c>
      <c r="C454" s="273" t="str">
        <f t="shared" si="68"/>
        <v>Electric existing</v>
      </c>
      <c r="D454" s="359"/>
      <c r="E454" s="360"/>
      <c r="F454" s="358" t="s">
        <v>96</v>
      </c>
      <c r="G454" s="5"/>
      <c r="H454" s="261"/>
      <c r="I454" s="261"/>
      <c r="J454" s="261"/>
      <c r="K454" s="261"/>
      <c r="L454" s="261"/>
      <c r="M454" s="261"/>
      <c r="N454" s="261"/>
      <c r="O454" s="261"/>
      <c r="P454" s="261"/>
      <c r="Q454" s="261"/>
      <c r="R454" s="261"/>
      <c r="S454" s="5"/>
      <c r="T454" s="25"/>
      <c r="U454" s="5"/>
    </row>
    <row r="455" spans="1:21" s="3" customFormat="1" hidden="1" outlineLevel="1">
      <c r="A455" s="21"/>
      <c r="B455" s="358" t="s">
        <v>362</v>
      </c>
      <c r="C455" s="273" t="str">
        <f t="shared" si="68"/>
        <v>Electric existing</v>
      </c>
      <c r="D455" s="359"/>
      <c r="E455" s="360"/>
      <c r="F455" s="358" t="s">
        <v>96</v>
      </c>
      <c r="G455" s="5"/>
      <c r="H455" s="261"/>
      <c r="I455" s="261"/>
      <c r="J455" s="261"/>
      <c r="K455" s="261"/>
      <c r="L455" s="261"/>
      <c r="M455" s="261"/>
      <c r="N455" s="261"/>
      <c r="O455" s="261"/>
      <c r="P455" s="261"/>
      <c r="Q455" s="261"/>
      <c r="R455" s="261"/>
      <c r="S455" s="5"/>
      <c r="T455" s="25"/>
      <c r="U455" s="5"/>
    </row>
    <row r="456" spans="1:21" s="3" customFormat="1" hidden="1" outlineLevel="1">
      <c r="A456" s="21"/>
      <c r="B456" s="358" t="s">
        <v>363</v>
      </c>
      <c r="C456" s="273" t="str">
        <f t="shared" si="68"/>
        <v>Electric existing</v>
      </c>
      <c r="D456" s="359"/>
      <c r="E456" s="360"/>
      <c r="F456" s="358" t="s">
        <v>96</v>
      </c>
      <c r="G456" s="5"/>
      <c r="H456" s="261"/>
      <c r="I456" s="261"/>
      <c r="J456" s="261"/>
      <c r="K456" s="261"/>
      <c r="L456" s="261"/>
      <c r="M456" s="261"/>
      <c r="N456" s="261"/>
      <c r="O456" s="261"/>
      <c r="P456" s="261"/>
      <c r="Q456" s="261"/>
      <c r="R456" s="261"/>
      <c r="S456" s="5"/>
      <c r="T456" s="25"/>
      <c r="U456" s="5"/>
    </row>
    <row r="457" spans="1:21" s="3" customFormat="1" hidden="1" outlineLevel="1">
      <c r="A457" s="21"/>
      <c r="B457" s="228" t="s">
        <v>332</v>
      </c>
      <c r="C457" s="273" t="str">
        <f t="shared" si="68"/>
        <v>Electric existing</v>
      </c>
      <c r="D457" s="228"/>
      <c r="E457" s="355"/>
      <c r="F457" s="228" t="s">
        <v>33</v>
      </c>
      <c r="G457" s="5"/>
      <c r="H457" s="29">
        <v>68.62</v>
      </c>
      <c r="I457" s="362">
        <f t="shared" ref="I457:R458" si="70">H457</f>
        <v>68.62</v>
      </c>
      <c r="J457" s="362">
        <f t="shared" si="70"/>
        <v>68.62</v>
      </c>
      <c r="K457" s="362">
        <f t="shared" si="70"/>
        <v>68.62</v>
      </c>
      <c r="L457" s="362">
        <f t="shared" si="70"/>
        <v>68.62</v>
      </c>
      <c r="M457" s="362">
        <f t="shared" si="70"/>
        <v>68.62</v>
      </c>
      <c r="N457" s="362">
        <f t="shared" si="70"/>
        <v>68.62</v>
      </c>
      <c r="O457" s="362">
        <f t="shared" si="70"/>
        <v>68.62</v>
      </c>
      <c r="P457" s="362">
        <f t="shared" si="70"/>
        <v>68.62</v>
      </c>
      <c r="Q457" s="362">
        <f t="shared" si="70"/>
        <v>68.62</v>
      </c>
      <c r="R457" s="362">
        <f t="shared" si="70"/>
        <v>68.62</v>
      </c>
      <c r="S457" s="5"/>
      <c r="T457" s="25"/>
      <c r="U457" s="5"/>
    </row>
    <row r="458" spans="1:21" s="3" customFormat="1" hidden="1" outlineLevel="1">
      <c r="A458" s="21"/>
      <c r="B458" s="228" t="s">
        <v>470</v>
      </c>
      <c r="C458" s="273" t="str">
        <f t="shared" si="68"/>
        <v>Electric existing</v>
      </c>
      <c r="D458" s="228"/>
      <c r="E458" s="355"/>
      <c r="F458" s="228" t="s">
        <v>316</v>
      </c>
      <c r="G458" s="5"/>
      <c r="H458" s="54">
        <v>529.58299999999997</v>
      </c>
      <c r="I458" s="270">
        <f t="shared" si="70"/>
        <v>529.58299999999997</v>
      </c>
      <c r="J458" s="270">
        <f t="shared" si="70"/>
        <v>529.58299999999997</v>
      </c>
      <c r="K458" s="270">
        <f t="shared" si="70"/>
        <v>529.58299999999997</v>
      </c>
      <c r="L458" s="270">
        <f t="shared" si="70"/>
        <v>529.58299999999997</v>
      </c>
      <c r="M458" s="270">
        <f t="shared" si="70"/>
        <v>529.58299999999997</v>
      </c>
      <c r="N458" s="270">
        <f t="shared" si="70"/>
        <v>529.58299999999997</v>
      </c>
      <c r="O458" s="270">
        <f t="shared" si="70"/>
        <v>529.58299999999997</v>
      </c>
      <c r="P458" s="270">
        <f t="shared" si="70"/>
        <v>529.58299999999997</v>
      </c>
      <c r="Q458" s="270">
        <f t="shared" si="70"/>
        <v>529.58299999999997</v>
      </c>
      <c r="R458" s="270">
        <f t="shared" si="70"/>
        <v>529.58299999999997</v>
      </c>
      <c r="S458" s="5"/>
      <c r="T458" s="25"/>
      <c r="U458" s="5"/>
    </row>
    <row r="459" spans="1:21" s="3" customFormat="1" hidden="1" outlineLevel="1">
      <c r="A459" s="21"/>
      <c r="B459" s="228" t="s">
        <v>375</v>
      </c>
      <c r="C459" s="273" t="str">
        <f t="shared" si="68"/>
        <v>Electric existing</v>
      </c>
      <c r="D459" s="228"/>
      <c r="E459" s="355"/>
      <c r="F459" s="228" t="s">
        <v>96</v>
      </c>
      <c r="G459" s="5"/>
      <c r="H459" s="261"/>
      <c r="I459" s="261"/>
      <c r="J459" s="261"/>
      <c r="K459" s="261"/>
      <c r="L459" s="261"/>
      <c r="M459" s="261"/>
      <c r="N459" s="261"/>
      <c r="O459" s="261"/>
      <c r="P459" s="261"/>
      <c r="Q459" s="261"/>
      <c r="R459" s="261"/>
      <c r="S459" s="5"/>
      <c r="T459" s="25"/>
      <c r="U459" s="5"/>
    </row>
    <row r="460" spans="1:21" s="3" customFormat="1" hidden="1" outlineLevel="1">
      <c r="A460" s="21"/>
      <c r="B460" s="228" t="s">
        <v>432</v>
      </c>
      <c r="C460" s="273" t="str">
        <f t="shared" si="68"/>
        <v>Electric existing</v>
      </c>
      <c r="D460" s="228"/>
      <c r="E460" s="355"/>
      <c r="F460" s="228" t="s">
        <v>33</v>
      </c>
      <c r="G460" s="5"/>
      <c r="H460" s="55"/>
      <c r="I460" s="55"/>
      <c r="J460" s="55"/>
      <c r="K460" s="55"/>
      <c r="L460" s="55"/>
      <c r="M460" s="55"/>
      <c r="N460" s="55"/>
      <c r="O460" s="55"/>
      <c r="P460" s="55"/>
      <c r="Q460" s="55"/>
      <c r="R460" s="55"/>
      <c r="S460" s="5"/>
      <c r="T460" s="25"/>
      <c r="U460" s="5"/>
    </row>
    <row r="461" spans="1:21" s="3" customFormat="1" hidden="1" outlineLevel="1">
      <c r="A461" s="21"/>
      <c r="B461" s="228" t="s">
        <v>379</v>
      </c>
      <c r="C461" s="273" t="str">
        <f t="shared" si="68"/>
        <v>Electric existing</v>
      </c>
      <c r="D461" s="228"/>
      <c r="E461" s="355"/>
      <c r="F461" s="228"/>
      <c r="G461" s="5"/>
      <c r="H461" s="54"/>
      <c r="I461" s="54"/>
      <c r="J461" s="54"/>
      <c r="K461" s="54"/>
      <c r="L461" s="54"/>
      <c r="M461" s="54"/>
      <c r="N461" s="54"/>
      <c r="O461" s="54"/>
      <c r="P461" s="54"/>
      <c r="Q461" s="54"/>
      <c r="R461" s="54"/>
      <c r="S461" s="5"/>
      <c r="T461" s="25"/>
      <c r="U461" s="5"/>
    </row>
    <row r="462" spans="1:21" s="3" customFormat="1" hidden="1" outlineLevel="1">
      <c r="A462" s="21"/>
      <c r="B462" s="228" t="s">
        <v>361</v>
      </c>
      <c r="C462" s="273" t="str">
        <f t="shared" si="68"/>
        <v>Electric existing</v>
      </c>
      <c r="D462" s="228"/>
      <c r="E462" s="355"/>
      <c r="F462" s="228" t="s">
        <v>96</v>
      </c>
      <c r="G462" s="5"/>
      <c r="H462" s="261"/>
      <c r="I462" s="261"/>
      <c r="J462" s="261"/>
      <c r="K462" s="261"/>
      <c r="L462" s="261"/>
      <c r="M462" s="261"/>
      <c r="N462" s="261"/>
      <c r="O462" s="261"/>
      <c r="P462" s="261"/>
      <c r="Q462" s="261"/>
      <c r="R462" s="261"/>
      <c r="S462" s="5"/>
      <c r="T462" s="25"/>
      <c r="U462" s="5"/>
    </row>
    <row r="463" spans="1:21" s="3" customFormat="1" hidden="1" outlineLevel="1">
      <c r="A463" s="21"/>
      <c r="B463" s="228" t="s">
        <v>384</v>
      </c>
      <c r="C463" s="273" t="str">
        <f t="shared" si="68"/>
        <v>Electric existing</v>
      </c>
      <c r="D463" s="228"/>
      <c r="E463" s="355"/>
      <c r="F463" s="228" t="s">
        <v>316</v>
      </c>
      <c r="G463" s="5"/>
      <c r="H463" s="54">
        <v>244.33799999999999</v>
      </c>
      <c r="I463" s="270">
        <f t="shared" ref="I463:R463" si="71">H463</f>
        <v>244.33799999999999</v>
      </c>
      <c r="J463" s="270">
        <f t="shared" si="71"/>
        <v>244.33799999999999</v>
      </c>
      <c r="K463" s="270">
        <f t="shared" si="71"/>
        <v>244.33799999999999</v>
      </c>
      <c r="L463" s="270">
        <f t="shared" si="71"/>
        <v>244.33799999999999</v>
      </c>
      <c r="M463" s="270">
        <f t="shared" si="71"/>
        <v>244.33799999999999</v>
      </c>
      <c r="N463" s="270">
        <f t="shared" si="71"/>
        <v>244.33799999999999</v>
      </c>
      <c r="O463" s="270">
        <f t="shared" si="71"/>
        <v>244.33799999999999</v>
      </c>
      <c r="P463" s="270">
        <f t="shared" si="71"/>
        <v>244.33799999999999</v>
      </c>
      <c r="Q463" s="270">
        <f t="shared" si="71"/>
        <v>244.33799999999999</v>
      </c>
      <c r="R463" s="270">
        <f t="shared" si="71"/>
        <v>244.33799999999999</v>
      </c>
      <c r="S463" s="5"/>
      <c r="T463" s="25"/>
      <c r="U463" s="5"/>
    </row>
    <row r="464" spans="1:21" s="3" customFormat="1" hidden="1" outlineLevel="1">
      <c r="A464" s="21"/>
      <c r="B464" s="228" t="s">
        <v>386</v>
      </c>
      <c r="C464" s="273" t="str">
        <f t="shared" si="68"/>
        <v>Electric existing</v>
      </c>
      <c r="D464" s="228"/>
      <c r="E464" s="355"/>
      <c r="F464" s="228" t="s">
        <v>316</v>
      </c>
      <c r="G464" s="5"/>
      <c r="H464" s="55"/>
      <c r="I464" s="55"/>
      <c r="J464" s="55"/>
      <c r="K464" s="55"/>
      <c r="L464" s="55"/>
      <c r="M464" s="55"/>
      <c r="N464" s="55"/>
      <c r="O464" s="55"/>
      <c r="P464" s="55"/>
      <c r="Q464" s="55"/>
      <c r="R464" s="55"/>
      <c r="S464" s="5"/>
      <c r="T464" s="25"/>
      <c r="U464" s="5"/>
    </row>
    <row r="465" spans="1:21" s="3" customFormat="1" hidden="1" outlineLevel="1">
      <c r="A465" s="21"/>
      <c r="B465" s="228" t="s">
        <v>387</v>
      </c>
      <c r="C465" s="273" t="str">
        <f t="shared" si="68"/>
        <v>Electric existing</v>
      </c>
      <c r="D465" s="228"/>
      <c r="E465" s="355"/>
      <c r="F465" s="228"/>
      <c r="G465" s="5"/>
      <c r="H465" s="261"/>
      <c r="I465" s="261"/>
      <c r="J465" s="261"/>
      <c r="K465" s="261"/>
      <c r="L465" s="261"/>
      <c r="M465" s="261"/>
      <c r="N465" s="261"/>
      <c r="O465" s="261"/>
      <c r="P465" s="261"/>
      <c r="Q465" s="261"/>
      <c r="R465" s="261"/>
      <c r="S465" s="5"/>
      <c r="T465" s="25"/>
      <c r="U465" s="5"/>
    </row>
    <row r="466" spans="1:21" s="3" customFormat="1" hidden="1" outlineLevel="1">
      <c r="A466" s="21"/>
      <c r="B466" s="228" t="s">
        <v>388</v>
      </c>
      <c r="C466" s="273" t="str">
        <f t="shared" si="68"/>
        <v>Electric existing</v>
      </c>
      <c r="D466" s="228"/>
      <c r="E466" s="355"/>
      <c r="F466" s="228"/>
      <c r="G466" s="5"/>
      <c r="H466" s="55"/>
      <c r="I466" s="55"/>
      <c r="J466" s="55"/>
      <c r="K466" s="55"/>
      <c r="L466" s="55"/>
      <c r="M466" s="55"/>
      <c r="N466" s="55"/>
      <c r="O466" s="55"/>
      <c r="P466" s="55"/>
      <c r="Q466" s="55"/>
      <c r="R466" s="55"/>
      <c r="S466" s="5"/>
      <c r="T466" s="25"/>
      <c r="U466" s="5"/>
    </row>
    <row r="467" spans="1:21" s="3" customFormat="1" hidden="1" outlineLevel="1">
      <c r="A467" s="21"/>
      <c r="B467" s="228" t="s">
        <v>385</v>
      </c>
      <c r="C467" s="273" t="str">
        <f t="shared" si="68"/>
        <v>Electric existing</v>
      </c>
      <c r="D467" s="228"/>
      <c r="E467" s="355"/>
      <c r="F467" s="228" t="s">
        <v>317</v>
      </c>
      <c r="G467" s="5"/>
      <c r="H467" s="54"/>
      <c r="I467" s="54"/>
      <c r="J467" s="54"/>
      <c r="K467" s="54"/>
      <c r="L467" s="54"/>
      <c r="M467" s="54"/>
      <c r="N467" s="54"/>
      <c r="O467" s="54"/>
      <c r="P467" s="54"/>
      <c r="Q467" s="54"/>
      <c r="R467" s="54"/>
      <c r="S467" s="5"/>
      <c r="T467" s="25"/>
      <c r="U467" s="5"/>
    </row>
    <row r="468" spans="1:21" s="3" customFormat="1" hidden="1" outlineLevel="1">
      <c r="A468" s="21"/>
      <c r="B468" s="228" t="s">
        <v>389</v>
      </c>
      <c r="C468" s="273" t="str">
        <f t="shared" si="68"/>
        <v>Electric existing</v>
      </c>
      <c r="D468" s="228"/>
      <c r="E468" s="355"/>
      <c r="F468" s="228" t="s">
        <v>317</v>
      </c>
      <c r="G468" s="5"/>
      <c r="H468" s="55"/>
      <c r="I468" s="55"/>
      <c r="J468" s="55"/>
      <c r="K468" s="55"/>
      <c r="L468" s="55"/>
      <c r="M468" s="55"/>
      <c r="N468" s="55"/>
      <c r="O468" s="55"/>
      <c r="P468" s="55"/>
      <c r="Q468" s="55"/>
      <c r="R468" s="55"/>
      <c r="S468" s="5"/>
      <c r="T468" s="25"/>
      <c r="U468" s="5"/>
    </row>
    <row r="469" spans="1:21" s="3" customFormat="1" hidden="1" outlineLevel="1">
      <c r="A469" s="21"/>
      <c r="B469" s="228" t="s">
        <v>390</v>
      </c>
      <c r="C469" s="273" t="str">
        <f t="shared" si="68"/>
        <v>Electric existing</v>
      </c>
      <c r="D469" s="228"/>
      <c r="E469" s="355"/>
      <c r="F469" s="228"/>
      <c r="G469" s="5"/>
      <c r="H469" s="261"/>
      <c r="I469" s="261"/>
      <c r="J469" s="261"/>
      <c r="K469" s="261"/>
      <c r="L469" s="261"/>
      <c r="M469" s="261"/>
      <c r="N469" s="261"/>
      <c r="O469" s="261"/>
      <c r="P469" s="261"/>
      <c r="Q469" s="261"/>
      <c r="R469" s="261"/>
      <c r="S469" s="5"/>
      <c r="T469" s="25"/>
      <c r="U469" s="5"/>
    </row>
    <row r="470" spans="1:21" s="3" customFormat="1" hidden="1" outlineLevel="1">
      <c r="A470" s="21"/>
      <c r="B470" s="228" t="s">
        <v>391</v>
      </c>
      <c r="C470" s="273" t="str">
        <f t="shared" si="68"/>
        <v>Electric existing</v>
      </c>
      <c r="D470" s="228"/>
      <c r="E470" s="355"/>
      <c r="F470" s="228"/>
      <c r="G470" s="5"/>
      <c r="H470" s="55"/>
      <c r="I470" s="55"/>
      <c r="J470" s="55"/>
      <c r="K470" s="55"/>
      <c r="L470" s="55"/>
      <c r="M470" s="55"/>
      <c r="N470" s="55"/>
      <c r="O470" s="55"/>
      <c r="P470" s="55"/>
      <c r="Q470" s="55"/>
      <c r="R470" s="55"/>
      <c r="S470" s="5"/>
      <c r="T470" s="25"/>
      <c r="U470" s="5"/>
    </row>
    <row r="471" spans="1:21" s="3" customFormat="1" hidden="1" outlineLevel="1">
      <c r="A471" s="21"/>
      <c r="B471" s="228" t="s">
        <v>305</v>
      </c>
      <c r="C471" s="273" t="str">
        <f t="shared" si="68"/>
        <v>Electric existing</v>
      </c>
      <c r="D471" s="228"/>
      <c r="E471" s="355"/>
      <c r="F471" s="228" t="s">
        <v>317</v>
      </c>
      <c r="G471" s="5"/>
      <c r="H471" s="54">
        <v>12.217000000000001</v>
      </c>
      <c r="I471" s="270">
        <f t="shared" ref="I471:R471" si="72">H471</f>
        <v>12.217000000000001</v>
      </c>
      <c r="J471" s="270">
        <f t="shared" si="72"/>
        <v>12.217000000000001</v>
      </c>
      <c r="K471" s="270">
        <f t="shared" si="72"/>
        <v>12.217000000000001</v>
      </c>
      <c r="L471" s="270">
        <f t="shared" si="72"/>
        <v>12.217000000000001</v>
      </c>
      <c r="M471" s="270">
        <f t="shared" si="72"/>
        <v>12.217000000000001</v>
      </c>
      <c r="N471" s="270">
        <f t="shared" si="72"/>
        <v>12.217000000000001</v>
      </c>
      <c r="O471" s="270">
        <f t="shared" si="72"/>
        <v>12.217000000000001</v>
      </c>
      <c r="P471" s="270">
        <f t="shared" si="72"/>
        <v>12.217000000000001</v>
      </c>
      <c r="Q471" s="270">
        <f t="shared" si="72"/>
        <v>12.217000000000001</v>
      </c>
      <c r="R471" s="270">
        <f t="shared" si="72"/>
        <v>12.217000000000001</v>
      </c>
      <c r="S471" s="5"/>
      <c r="T471" s="25"/>
      <c r="U471" s="5"/>
    </row>
    <row r="472" spans="1:21" s="3" customFormat="1" hidden="1" outlineLevel="1">
      <c r="A472" s="21"/>
      <c r="B472" s="228" t="s">
        <v>352</v>
      </c>
      <c r="C472" s="273" t="str">
        <f t="shared" si="68"/>
        <v>Electric existing</v>
      </c>
      <c r="D472" s="228"/>
      <c r="E472" s="355"/>
      <c r="F472" s="228" t="s">
        <v>316</v>
      </c>
      <c r="G472" s="5"/>
      <c r="H472" s="54"/>
      <c r="I472" s="54"/>
      <c r="J472" s="54"/>
      <c r="K472" s="54"/>
      <c r="L472" s="54"/>
      <c r="M472" s="54"/>
      <c r="N472" s="54"/>
      <c r="O472" s="54"/>
      <c r="P472" s="54"/>
      <c r="Q472" s="54"/>
      <c r="R472" s="54"/>
      <c r="S472" s="5"/>
      <c r="T472" s="25"/>
      <c r="U472" s="5"/>
    </row>
    <row r="473" spans="1:21" s="3" customFormat="1" hidden="1" outlineLevel="1">
      <c r="A473" s="21"/>
      <c r="B473" s="67" t="s">
        <v>301</v>
      </c>
      <c r="C473" s="273" t="str">
        <f t="shared" si="68"/>
        <v>Electric existing</v>
      </c>
      <c r="D473" s="4" t="s">
        <v>454</v>
      </c>
      <c r="E473" s="347"/>
      <c r="F473" s="67" t="s">
        <v>33</v>
      </c>
      <c r="G473" s="5"/>
      <c r="H473" s="350">
        <v>0.20899999999999999</v>
      </c>
      <c r="I473" s="363">
        <f t="shared" ref="I473:R473" si="73">H473</f>
        <v>0.20899999999999999</v>
      </c>
      <c r="J473" s="363">
        <f t="shared" si="73"/>
        <v>0.20899999999999999</v>
      </c>
      <c r="K473" s="363">
        <f t="shared" si="73"/>
        <v>0.20899999999999999</v>
      </c>
      <c r="L473" s="363">
        <f t="shared" si="73"/>
        <v>0.20899999999999999</v>
      </c>
      <c r="M473" s="363">
        <f t="shared" si="73"/>
        <v>0.20899999999999999</v>
      </c>
      <c r="N473" s="363">
        <f t="shared" si="73"/>
        <v>0.20899999999999999</v>
      </c>
      <c r="O473" s="363">
        <f t="shared" si="73"/>
        <v>0.20899999999999999</v>
      </c>
      <c r="P473" s="363">
        <f t="shared" si="73"/>
        <v>0.20899999999999999</v>
      </c>
      <c r="Q473" s="363">
        <f t="shared" si="73"/>
        <v>0.20899999999999999</v>
      </c>
      <c r="R473" s="363">
        <f t="shared" si="73"/>
        <v>0.20899999999999999</v>
      </c>
      <c r="S473" s="5"/>
      <c r="T473" s="25"/>
      <c r="U473" s="5"/>
    </row>
    <row r="474" spans="1:21" s="3" customFormat="1" ht="16" hidden="1" customHeight="1" outlineLevel="1">
      <c r="A474" s="21"/>
      <c r="B474" s="67" t="s">
        <v>50</v>
      </c>
      <c r="C474" s="273" t="s">
        <v>477</v>
      </c>
      <c r="D474" s="4"/>
      <c r="E474" s="347"/>
      <c r="G474" s="5"/>
      <c r="H474" s="4"/>
      <c r="I474" s="4"/>
      <c r="J474" s="4"/>
      <c r="K474" s="4"/>
      <c r="L474" s="4"/>
      <c r="M474" s="4"/>
      <c r="N474" s="4"/>
      <c r="O474" s="4"/>
      <c r="P474" s="4"/>
      <c r="Q474" s="4"/>
      <c r="R474" s="4"/>
      <c r="S474" s="5"/>
      <c r="T474" s="25"/>
      <c r="U474" s="5"/>
    </row>
    <row r="475" spans="1:21" s="3" customFormat="1" hidden="1" outlineLevel="1">
      <c r="A475" s="21"/>
      <c r="B475" s="228" t="s">
        <v>37</v>
      </c>
      <c r="C475" s="273" t="str">
        <f t="shared" ref="C475:C503" si="74">C474</f>
        <v>Natural Gas standard</v>
      </c>
      <c r="D475" s="228"/>
      <c r="E475" s="355"/>
      <c r="F475" s="228" t="s">
        <v>39</v>
      </c>
      <c r="G475" s="5"/>
      <c r="H475" s="265">
        <v>2000</v>
      </c>
      <c r="I475" s="356">
        <f t="shared" ref="I475:R477" si="75">H475</f>
        <v>2000</v>
      </c>
      <c r="J475" s="356">
        <f t="shared" si="75"/>
        <v>2000</v>
      </c>
      <c r="K475" s="356">
        <f t="shared" si="75"/>
        <v>2000</v>
      </c>
      <c r="L475" s="356">
        <f t="shared" si="75"/>
        <v>2000</v>
      </c>
      <c r="M475" s="356">
        <f t="shared" si="75"/>
        <v>2000</v>
      </c>
      <c r="N475" s="356">
        <f t="shared" si="75"/>
        <v>2000</v>
      </c>
      <c r="O475" s="356">
        <f t="shared" si="75"/>
        <v>2000</v>
      </c>
      <c r="P475" s="356">
        <f t="shared" si="75"/>
        <v>2000</v>
      </c>
      <c r="Q475" s="356">
        <f t="shared" si="75"/>
        <v>2000</v>
      </c>
      <c r="R475" s="356">
        <f t="shared" si="75"/>
        <v>2000</v>
      </c>
      <c r="S475" s="5"/>
      <c r="T475" s="25"/>
      <c r="U475" s="5"/>
    </row>
    <row r="476" spans="1:21" s="3" customFormat="1" hidden="1" outlineLevel="1">
      <c r="A476" s="21"/>
      <c r="B476" s="228" t="s">
        <v>36</v>
      </c>
      <c r="C476" s="273" t="str">
        <f t="shared" si="74"/>
        <v>Natural Gas standard</v>
      </c>
      <c r="D476" s="228"/>
      <c r="E476" s="355"/>
      <c r="F476" s="228" t="s">
        <v>39</v>
      </c>
      <c r="G476" s="5"/>
      <c r="H476" s="265">
        <v>2100</v>
      </c>
      <c r="I476" s="356">
        <f t="shared" si="75"/>
        <v>2100</v>
      </c>
      <c r="J476" s="356">
        <f t="shared" si="75"/>
        <v>2100</v>
      </c>
      <c r="K476" s="356">
        <f t="shared" si="75"/>
        <v>2100</v>
      </c>
      <c r="L476" s="356">
        <f t="shared" si="75"/>
        <v>2100</v>
      </c>
      <c r="M476" s="356">
        <f t="shared" si="75"/>
        <v>2100</v>
      </c>
      <c r="N476" s="356">
        <f t="shared" si="75"/>
        <v>2100</v>
      </c>
      <c r="O476" s="356">
        <f t="shared" si="75"/>
        <v>2100</v>
      </c>
      <c r="P476" s="356">
        <f t="shared" si="75"/>
        <v>2100</v>
      </c>
      <c r="Q476" s="356">
        <f t="shared" si="75"/>
        <v>2100</v>
      </c>
      <c r="R476" s="356">
        <f t="shared" si="75"/>
        <v>2100</v>
      </c>
      <c r="S476" s="5"/>
      <c r="T476" s="25"/>
      <c r="U476" s="5"/>
    </row>
    <row r="477" spans="1:21" s="3" customFormat="1" hidden="1" outlineLevel="1">
      <c r="A477" s="21"/>
      <c r="B477" s="228" t="s">
        <v>38</v>
      </c>
      <c r="C477" s="273" t="str">
        <f t="shared" si="74"/>
        <v>Natural Gas standard</v>
      </c>
      <c r="D477" s="228"/>
      <c r="E477" s="355"/>
      <c r="F477" s="228" t="s">
        <v>10</v>
      </c>
      <c r="G477" s="5"/>
      <c r="H477" s="55">
        <v>9</v>
      </c>
      <c r="I477" s="253">
        <f t="shared" si="75"/>
        <v>9</v>
      </c>
      <c r="J477" s="253">
        <f t="shared" si="75"/>
        <v>9</v>
      </c>
      <c r="K477" s="253">
        <f t="shared" si="75"/>
        <v>9</v>
      </c>
      <c r="L477" s="253">
        <f t="shared" si="75"/>
        <v>9</v>
      </c>
      <c r="M477" s="253">
        <f t="shared" si="75"/>
        <v>9</v>
      </c>
      <c r="N477" s="253">
        <f t="shared" si="75"/>
        <v>9</v>
      </c>
      <c r="O477" s="253">
        <f t="shared" si="75"/>
        <v>9</v>
      </c>
      <c r="P477" s="253">
        <f t="shared" si="75"/>
        <v>9</v>
      </c>
      <c r="Q477" s="253">
        <f t="shared" si="75"/>
        <v>9</v>
      </c>
      <c r="R477" s="253">
        <f t="shared" si="75"/>
        <v>9</v>
      </c>
      <c r="S477" s="5"/>
      <c r="T477" s="25"/>
      <c r="U477" s="5"/>
    </row>
    <row r="478" spans="1:21" s="3" customFormat="1" hidden="1" outlineLevel="1">
      <c r="A478" s="21"/>
      <c r="B478" s="228" t="s">
        <v>353</v>
      </c>
      <c r="C478" s="273" t="str">
        <f t="shared" si="74"/>
        <v>Natural Gas standard</v>
      </c>
      <c r="D478" s="228"/>
      <c r="E478" s="355"/>
      <c r="F478" s="228" t="s">
        <v>10</v>
      </c>
      <c r="G478" s="5"/>
      <c r="H478" s="55"/>
      <c r="I478" s="55"/>
      <c r="J478" s="55"/>
      <c r="K478" s="55"/>
      <c r="L478" s="55"/>
      <c r="M478" s="55"/>
      <c r="N478" s="55"/>
      <c r="O478" s="55"/>
      <c r="P478" s="55"/>
      <c r="Q478" s="55"/>
      <c r="R478" s="55"/>
      <c r="S478" s="5"/>
      <c r="T478" s="25"/>
      <c r="U478" s="5"/>
    </row>
    <row r="479" spans="1:21" s="3" customFormat="1" hidden="1" outlineLevel="1">
      <c r="A479" s="21"/>
      <c r="B479" s="228" t="s">
        <v>304</v>
      </c>
      <c r="C479" s="273" t="str">
        <f t="shared" si="74"/>
        <v>Natural Gas standard</v>
      </c>
      <c r="D479" s="228"/>
      <c r="E479" s="355"/>
      <c r="F479" s="228" t="s">
        <v>96</v>
      </c>
      <c r="G479" s="5"/>
      <c r="H479" s="261">
        <v>0.1</v>
      </c>
      <c r="I479" s="264">
        <f t="shared" ref="I479:R481" si="76">H479</f>
        <v>0.1</v>
      </c>
      <c r="J479" s="264">
        <f t="shared" si="76"/>
        <v>0.1</v>
      </c>
      <c r="K479" s="264">
        <f t="shared" si="76"/>
        <v>0.1</v>
      </c>
      <c r="L479" s="264">
        <f t="shared" si="76"/>
        <v>0.1</v>
      </c>
      <c r="M479" s="264">
        <f t="shared" si="76"/>
        <v>0.1</v>
      </c>
      <c r="N479" s="264">
        <f t="shared" si="76"/>
        <v>0.1</v>
      </c>
      <c r="O479" s="264">
        <f t="shared" si="76"/>
        <v>0.1</v>
      </c>
      <c r="P479" s="264">
        <f t="shared" si="76"/>
        <v>0.1</v>
      </c>
      <c r="Q479" s="264">
        <f t="shared" si="76"/>
        <v>0.1</v>
      </c>
      <c r="R479" s="264">
        <f t="shared" si="76"/>
        <v>0.1</v>
      </c>
      <c r="S479" s="5"/>
      <c r="T479" s="25"/>
      <c r="U479" s="5"/>
    </row>
    <row r="480" spans="1:21" s="3" customFormat="1" hidden="1" outlineLevel="1">
      <c r="A480" s="21"/>
      <c r="B480" s="228" t="s">
        <v>350</v>
      </c>
      <c r="C480" s="273" t="str">
        <f t="shared" si="74"/>
        <v>Natural Gas standard</v>
      </c>
      <c r="D480" s="228"/>
      <c r="E480" s="355"/>
      <c r="F480" s="228" t="s">
        <v>96</v>
      </c>
      <c r="G480" s="5"/>
      <c r="H480" s="261">
        <v>0.65</v>
      </c>
      <c r="I480" s="264">
        <f t="shared" si="76"/>
        <v>0.65</v>
      </c>
      <c r="J480" s="264">
        <f t="shared" si="76"/>
        <v>0.65</v>
      </c>
      <c r="K480" s="264">
        <f t="shared" si="76"/>
        <v>0.65</v>
      </c>
      <c r="L480" s="264">
        <f t="shared" si="76"/>
        <v>0.65</v>
      </c>
      <c r="M480" s="264">
        <f t="shared" si="76"/>
        <v>0.65</v>
      </c>
      <c r="N480" s="264">
        <f t="shared" si="76"/>
        <v>0.65</v>
      </c>
      <c r="O480" s="264">
        <f t="shared" si="76"/>
        <v>0.65</v>
      </c>
      <c r="P480" s="264">
        <f t="shared" si="76"/>
        <v>0.65</v>
      </c>
      <c r="Q480" s="264">
        <f t="shared" si="76"/>
        <v>0.65</v>
      </c>
      <c r="R480" s="264">
        <f t="shared" si="76"/>
        <v>0.65</v>
      </c>
      <c r="S480" s="5"/>
      <c r="T480" s="25"/>
      <c r="U480" s="5"/>
    </row>
    <row r="481" spans="1:21" s="3" customFormat="1" hidden="1" outlineLevel="1">
      <c r="A481" s="21"/>
      <c r="B481" s="228" t="s">
        <v>349</v>
      </c>
      <c r="C481" s="273" t="str">
        <f t="shared" si="74"/>
        <v>Natural Gas standard</v>
      </c>
      <c r="D481" s="228"/>
      <c r="E481" s="355"/>
      <c r="F481" s="228" t="s">
        <v>96</v>
      </c>
      <c r="G481" s="5"/>
      <c r="H481" s="261">
        <v>0.3</v>
      </c>
      <c r="I481" s="264">
        <f t="shared" si="76"/>
        <v>0.3</v>
      </c>
      <c r="J481" s="264">
        <f t="shared" si="76"/>
        <v>0.3</v>
      </c>
      <c r="K481" s="264">
        <f t="shared" si="76"/>
        <v>0.3</v>
      </c>
      <c r="L481" s="264">
        <f t="shared" si="76"/>
        <v>0.3</v>
      </c>
      <c r="M481" s="264">
        <f t="shared" si="76"/>
        <v>0.3</v>
      </c>
      <c r="N481" s="264">
        <f t="shared" si="76"/>
        <v>0.3</v>
      </c>
      <c r="O481" s="264">
        <f t="shared" si="76"/>
        <v>0.3</v>
      </c>
      <c r="P481" s="264">
        <f t="shared" si="76"/>
        <v>0.3</v>
      </c>
      <c r="Q481" s="264">
        <f t="shared" si="76"/>
        <v>0.3</v>
      </c>
      <c r="R481" s="264">
        <f t="shared" si="76"/>
        <v>0.3</v>
      </c>
      <c r="S481" s="5"/>
      <c r="T481" s="25"/>
      <c r="U481" s="5"/>
    </row>
    <row r="482" spans="1:21" s="3" customFormat="1" hidden="1" outlineLevel="1">
      <c r="A482" s="21"/>
      <c r="B482" s="228" t="s">
        <v>74</v>
      </c>
      <c r="C482" s="273" t="str">
        <f t="shared" si="74"/>
        <v>Natural Gas standard</v>
      </c>
      <c r="D482" s="228"/>
      <c r="E482" s="355"/>
      <c r="F482" s="228" t="s">
        <v>96</v>
      </c>
      <c r="G482" s="5"/>
      <c r="H482" s="261">
        <v>0</v>
      </c>
      <c r="I482" s="261"/>
      <c r="J482" s="261"/>
      <c r="K482" s="261"/>
      <c r="L482" s="261"/>
      <c r="M482" s="261"/>
      <c r="N482" s="261"/>
      <c r="O482" s="261"/>
      <c r="P482" s="261"/>
      <c r="Q482" s="261"/>
      <c r="R482" s="261"/>
      <c r="S482" s="5"/>
      <c r="T482" s="25"/>
      <c r="U482" s="5"/>
    </row>
    <row r="483" spans="1:21" s="3" customFormat="1" hidden="1" outlineLevel="1">
      <c r="A483" s="21"/>
      <c r="B483" s="358" t="s">
        <v>146</v>
      </c>
      <c r="C483" s="273" t="str">
        <f t="shared" si="74"/>
        <v>Natural Gas standard</v>
      </c>
      <c r="D483" s="359"/>
      <c r="E483" s="360"/>
      <c r="F483" s="358" t="s">
        <v>96</v>
      </c>
      <c r="G483" s="5"/>
      <c r="H483" s="261"/>
      <c r="I483" s="261"/>
      <c r="J483" s="261"/>
      <c r="K483" s="261"/>
      <c r="L483" s="261"/>
      <c r="M483" s="261"/>
      <c r="N483" s="261"/>
      <c r="O483" s="261"/>
      <c r="P483" s="261"/>
      <c r="Q483" s="261"/>
      <c r="R483" s="261"/>
      <c r="S483" s="5"/>
      <c r="T483" s="25"/>
      <c r="U483" s="5"/>
    </row>
    <row r="484" spans="1:21" s="3" customFormat="1" hidden="1" outlineLevel="1">
      <c r="A484" s="21"/>
      <c r="B484" s="358" t="s">
        <v>147</v>
      </c>
      <c r="C484" s="273" t="str">
        <f t="shared" si="74"/>
        <v>Natural Gas standard</v>
      </c>
      <c r="D484" s="359"/>
      <c r="E484" s="360"/>
      <c r="F484" s="358" t="s">
        <v>96</v>
      </c>
      <c r="G484" s="5"/>
      <c r="H484" s="261"/>
      <c r="I484" s="261"/>
      <c r="J484" s="261"/>
      <c r="K484" s="261"/>
      <c r="L484" s="261"/>
      <c r="M484" s="261"/>
      <c r="N484" s="261"/>
      <c r="O484" s="261"/>
      <c r="P484" s="261"/>
      <c r="Q484" s="261"/>
      <c r="R484" s="261"/>
      <c r="S484" s="5"/>
      <c r="T484" s="25"/>
      <c r="U484" s="5"/>
    </row>
    <row r="485" spans="1:21" s="3" customFormat="1" hidden="1" outlineLevel="1">
      <c r="A485" s="21"/>
      <c r="B485" s="358" t="s">
        <v>362</v>
      </c>
      <c r="C485" s="273" t="str">
        <f t="shared" si="74"/>
        <v>Natural Gas standard</v>
      </c>
      <c r="D485" s="359"/>
      <c r="E485" s="360"/>
      <c r="F485" s="358" t="s">
        <v>96</v>
      </c>
      <c r="G485" s="5"/>
      <c r="H485" s="261"/>
      <c r="I485" s="261"/>
      <c r="J485" s="261"/>
      <c r="K485" s="261"/>
      <c r="L485" s="261"/>
      <c r="M485" s="261"/>
      <c r="N485" s="261"/>
      <c r="O485" s="261"/>
      <c r="P485" s="261"/>
      <c r="Q485" s="261"/>
      <c r="R485" s="261"/>
      <c r="S485" s="5"/>
      <c r="T485" s="25"/>
      <c r="U485" s="5"/>
    </row>
    <row r="486" spans="1:21" s="3" customFormat="1" hidden="1" outlineLevel="1">
      <c r="A486" s="21"/>
      <c r="B486" s="358" t="s">
        <v>363</v>
      </c>
      <c r="C486" s="273" t="str">
        <f t="shared" si="74"/>
        <v>Natural Gas standard</v>
      </c>
      <c r="D486" s="359"/>
      <c r="E486" s="360"/>
      <c r="F486" s="358" t="s">
        <v>96</v>
      </c>
      <c r="G486" s="5"/>
      <c r="H486" s="261"/>
      <c r="I486" s="261"/>
      <c r="J486" s="261"/>
      <c r="K486" s="261"/>
      <c r="L486" s="261"/>
      <c r="M486" s="261"/>
      <c r="N486" s="261"/>
      <c r="O486" s="261"/>
      <c r="P486" s="261"/>
      <c r="Q486" s="261"/>
      <c r="R486" s="261"/>
      <c r="S486" s="5"/>
      <c r="T486" s="25"/>
      <c r="U486" s="5"/>
    </row>
    <row r="487" spans="1:21" s="3" customFormat="1" hidden="1" outlineLevel="1">
      <c r="A487" s="21"/>
      <c r="B487" s="228" t="s">
        <v>332</v>
      </c>
      <c r="C487" s="273" t="str">
        <f t="shared" si="74"/>
        <v>Natural Gas standard</v>
      </c>
      <c r="D487" s="228"/>
      <c r="E487" s="355"/>
      <c r="F487" s="228" t="s">
        <v>33</v>
      </c>
      <c r="G487" s="5"/>
      <c r="H487" s="29">
        <v>68.62</v>
      </c>
      <c r="I487" s="362">
        <f t="shared" ref="I487:R488" si="77">H487</f>
        <v>68.62</v>
      </c>
      <c r="J487" s="362">
        <f t="shared" si="77"/>
        <v>68.62</v>
      </c>
      <c r="K487" s="362">
        <f t="shared" si="77"/>
        <v>68.62</v>
      </c>
      <c r="L487" s="362">
        <f t="shared" si="77"/>
        <v>68.62</v>
      </c>
      <c r="M487" s="362">
        <f t="shared" si="77"/>
        <v>68.62</v>
      </c>
      <c r="N487" s="362">
        <f t="shared" si="77"/>
        <v>68.62</v>
      </c>
      <c r="O487" s="362">
        <f t="shared" si="77"/>
        <v>68.62</v>
      </c>
      <c r="P487" s="362">
        <f t="shared" si="77"/>
        <v>68.62</v>
      </c>
      <c r="Q487" s="362">
        <f t="shared" si="77"/>
        <v>68.62</v>
      </c>
      <c r="R487" s="362">
        <f t="shared" si="77"/>
        <v>68.62</v>
      </c>
      <c r="S487" s="5"/>
      <c r="T487" s="25"/>
      <c r="U487" s="5"/>
    </row>
    <row r="488" spans="1:21" s="3" customFormat="1" hidden="1" outlineLevel="1">
      <c r="A488" s="21"/>
      <c r="B488" s="228" t="s">
        <v>470</v>
      </c>
      <c r="C488" s="273" t="str">
        <f t="shared" si="74"/>
        <v>Natural Gas standard</v>
      </c>
      <c r="D488" s="228"/>
      <c r="E488" s="355"/>
      <c r="F488" s="228" t="s">
        <v>316</v>
      </c>
      <c r="G488" s="5"/>
      <c r="H488" s="54">
        <v>529.51900000000001</v>
      </c>
      <c r="I488" s="270">
        <f t="shared" si="77"/>
        <v>529.51900000000001</v>
      </c>
      <c r="J488" s="270">
        <f t="shared" si="77"/>
        <v>529.51900000000001</v>
      </c>
      <c r="K488" s="270">
        <f t="shared" si="77"/>
        <v>529.51900000000001</v>
      </c>
      <c r="L488" s="270">
        <f t="shared" si="77"/>
        <v>529.51900000000001</v>
      </c>
      <c r="M488" s="270">
        <f t="shared" si="77"/>
        <v>529.51900000000001</v>
      </c>
      <c r="N488" s="270">
        <f t="shared" si="77"/>
        <v>529.51900000000001</v>
      </c>
      <c r="O488" s="270">
        <f t="shared" si="77"/>
        <v>529.51900000000001</v>
      </c>
      <c r="P488" s="270">
        <f t="shared" si="77"/>
        <v>529.51900000000001</v>
      </c>
      <c r="Q488" s="270">
        <f t="shared" si="77"/>
        <v>529.51900000000001</v>
      </c>
      <c r="R488" s="270">
        <f t="shared" si="77"/>
        <v>529.51900000000001</v>
      </c>
      <c r="S488" s="5"/>
      <c r="T488" s="25"/>
      <c r="U488" s="5"/>
    </row>
    <row r="489" spans="1:21" s="3" customFormat="1" hidden="1" outlineLevel="1">
      <c r="A489" s="21"/>
      <c r="B489" s="228" t="s">
        <v>375</v>
      </c>
      <c r="C489" s="273" t="str">
        <f t="shared" si="74"/>
        <v>Natural Gas standard</v>
      </c>
      <c r="D489" s="228"/>
      <c r="E489" s="355"/>
      <c r="F489" s="228" t="s">
        <v>96</v>
      </c>
      <c r="G489" s="5"/>
      <c r="H489" s="261"/>
      <c r="I489" s="261"/>
      <c r="J489" s="261"/>
      <c r="K489" s="261"/>
      <c r="L489" s="261"/>
      <c r="M489" s="261"/>
      <c r="N489" s="261"/>
      <c r="O489" s="261"/>
      <c r="P489" s="261"/>
      <c r="Q489" s="261"/>
      <c r="R489" s="261"/>
      <c r="S489" s="5"/>
      <c r="T489" s="25"/>
      <c r="U489" s="5"/>
    </row>
    <row r="490" spans="1:21" s="3" customFormat="1" hidden="1" outlineLevel="1">
      <c r="A490" s="21"/>
      <c r="B490" s="228" t="s">
        <v>432</v>
      </c>
      <c r="C490" s="273" t="str">
        <f t="shared" si="74"/>
        <v>Natural Gas standard</v>
      </c>
      <c r="D490" s="228"/>
      <c r="E490" s="355"/>
      <c r="F490" s="228" t="s">
        <v>33</v>
      </c>
      <c r="G490" s="5"/>
      <c r="H490" s="55"/>
      <c r="I490" s="55"/>
      <c r="J490" s="55"/>
      <c r="K490" s="55"/>
      <c r="L490" s="55"/>
      <c r="M490" s="55"/>
      <c r="N490" s="55"/>
      <c r="O490" s="55"/>
      <c r="P490" s="55"/>
      <c r="Q490" s="55"/>
      <c r="R490" s="55"/>
      <c r="S490" s="5"/>
      <c r="T490" s="25"/>
      <c r="U490" s="5"/>
    </row>
    <row r="491" spans="1:21" s="3" customFormat="1" hidden="1" outlineLevel="1">
      <c r="A491" s="21"/>
      <c r="B491" s="228" t="s">
        <v>379</v>
      </c>
      <c r="C491" s="273" t="str">
        <f t="shared" si="74"/>
        <v>Natural Gas standard</v>
      </c>
      <c r="D491" s="228"/>
      <c r="E491" s="355"/>
      <c r="F491" s="228"/>
      <c r="G491" s="5"/>
      <c r="H491" s="54"/>
      <c r="I491" s="54"/>
      <c r="J491" s="54"/>
      <c r="K491" s="54"/>
      <c r="L491" s="54"/>
      <c r="M491" s="54"/>
      <c r="N491" s="54"/>
      <c r="O491" s="54"/>
      <c r="P491" s="54"/>
      <c r="Q491" s="54"/>
      <c r="R491" s="54"/>
      <c r="S491" s="5"/>
      <c r="T491" s="25"/>
      <c r="U491" s="5"/>
    </row>
    <row r="492" spans="1:21" s="3" customFormat="1" hidden="1" outlineLevel="1">
      <c r="A492" s="21"/>
      <c r="B492" s="228" t="s">
        <v>361</v>
      </c>
      <c r="C492" s="273" t="str">
        <f t="shared" si="74"/>
        <v>Natural Gas standard</v>
      </c>
      <c r="D492" s="228"/>
      <c r="E492" s="355"/>
      <c r="F492" s="228" t="s">
        <v>96</v>
      </c>
      <c r="G492" s="5"/>
      <c r="H492" s="261"/>
      <c r="I492" s="261"/>
      <c r="J492" s="261"/>
      <c r="K492" s="261"/>
      <c r="L492" s="261"/>
      <c r="M492" s="261"/>
      <c r="N492" s="261"/>
      <c r="O492" s="261"/>
      <c r="P492" s="261"/>
      <c r="Q492" s="261"/>
      <c r="R492" s="261"/>
      <c r="S492" s="5"/>
      <c r="T492" s="25"/>
      <c r="U492" s="5"/>
    </row>
    <row r="493" spans="1:21" s="3" customFormat="1" hidden="1" outlineLevel="1">
      <c r="A493" s="21"/>
      <c r="B493" s="228" t="s">
        <v>384</v>
      </c>
      <c r="C493" s="273" t="str">
        <f t="shared" si="74"/>
        <v>Natural Gas standard</v>
      </c>
      <c r="D493" s="228"/>
      <c r="E493" s="355"/>
      <c r="F493" s="228" t="s">
        <v>316</v>
      </c>
      <c r="G493" s="5"/>
      <c r="H493" s="54"/>
      <c r="I493" s="54"/>
      <c r="J493" s="54"/>
      <c r="K493" s="54"/>
      <c r="L493" s="54"/>
      <c r="M493" s="54"/>
      <c r="N493" s="54"/>
      <c r="O493" s="54"/>
      <c r="P493" s="54"/>
      <c r="Q493" s="54"/>
      <c r="R493" s="54"/>
      <c r="S493" s="5"/>
      <c r="T493" s="25"/>
      <c r="U493" s="5"/>
    </row>
    <row r="494" spans="1:21" s="3" customFormat="1" hidden="1" outlineLevel="1">
      <c r="A494" s="21"/>
      <c r="B494" s="228" t="s">
        <v>386</v>
      </c>
      <c r="C494" s="273" t="str">
        <f t="shared" si="74"/>
        <v>Natural Gas standard</v>
      </c>
      <c r="D494" s="228"/>
      <c r="E494" s="355"/>
      <c r="F494" s="228" t="s">
        <v>316</v>
      </c>
      <c r="G494" s="5"/>
      <c r="H494" s="55"/>
      <c r="I494" s="55"/>
      <c r="J494" s="55"/>
      <c r="K494" s="55"/>
      <c r="L494" s="55"/>
      <c r="M494" s="55"/>
      <c r="N494" s="55"/>
      <c r="O494" s="55"/>
      <c r="P494" s="55"/>
      <c r="Q494" s="55"/>
      <c r="R494" s="55"/>
      <c r="S494" s="5"/>
      <c r="T494" s="25"/>
      <c r="U494" s="5"/>
    </row>
    <row r="495" spans="1:21" s="3" customFormat="1" hidden="1" outlineLevel="1">
      <c r="A495" s="21"/>
      <c r="B495" s="228" t="s">
        <v>387</v>
      </c>
      <c r="C495" s="273" t="str">
        <f t="shared" si="74"/>
        <v>Natural Gas standard</v>
      </c>
      <c r="D495" s="228"/>
      <c r="E495" s="355"/>
      <c r="F495" s="228"/>
      <c r="G495" s="5"/>
      <c r="H495" s="261"/>
      <c r="I495" s="261"/>
      <c r="J495" s="261"/>
      <c r="K495" s="261"/>
      <c r="L495" s="261"/>
      <c r="M495" s="261"/>
      <c r="N495" s="261"/>
      <c r="O495" s="261"/>
      <c r="P495" s="261"/>
      <c r="Q495" s="261"/>
      <c r="R495" s="261"/>
      <c r="S495" s="5"/>
      <c r="T495" s="25"/>
      <c r="U495" s="5"/>
    </row>
    <row r="496" spans="1:21" s="3" customFormat="1" hidden="1" outlineLevel="1">
      <c r="A496" s="21"/>
      <c r="B496" s="228" t="s">
        <v>388</v>
      </c>
      <c r="C496" s="273" t="str">
        <f t="shared" si="74"/>
        <v>Natural Gas standard</v>
      </c>
      <c r="D496" s="228"/>
      <c r="E496" s="355"/>
      <c r="F496" s="228"/>
      <c r="G496" s="5"/>
      <c r="H496" s="55"/>
      <c r="I496" s="55"/>
      <c r="J496" s="55"/>
      <c r="K496" s="55"/>
      <c r="L496" s="55"/>
      <c r="M496" s="55"/>
      <c r="N496" s="55"/>
      <c r="O496" s="55"/>
      <c r="P496" s="55"/>
      <c r="Q496" s="55"/>
      <c r="R496" s="55"/>
      <c r="S496" s="5"/>
      <c r="T496" s="25"/>
      <c r="U496" s="5"/>
    </row>
    <row r="497" spans="1:21" s="3" customFormat="1" hidden="1" outlineLevel="1">
      <c r="A497" s="21"/>
      <c r="B497" s="228" t="s">
        <v>385</v>
      </c>
      <c r="C497" s="273" t="str">
        <f t="shared" si="74"/>
        <v>Natural Gas standard</v>
      </c>
      <c r="D497" s="228"/>
      <c r="E497" s="355"/>
      <c r="F497" s="228" t="s">
        <v>317</v>
      </c>
      <c r="G497" s="5"/>
      <c r="H497" s="54"/>
      <c r="I497" s="54"/>
      <c r="J497" s="54"/>
      <c r="K497" s="54"/>
      <c r="L497" s="54"/>
      <c r="M497" s="54"/>
      <c r="N497" s="54"/>
      <c r="O497" s="54"/>
      <c r="P497" s="54"/>
      <c r="Q497" s="54"/>
      <c r="R497" s="54"/>
      <c r="S497" s="5"/>
      <c r="T497" s="25"/>
      <c r="U497" s="5"/>
    </row>
    <row r="498" spans="1:21" s="3" customFormat="1" hidden="1" outlineLevel="1">
      <c r="A498" s="21"/>
      <c r="B498" s="228" t="s">
        <v>389</v>
      </c>
      <c r="C498" s="273" t="str">
        <f t="shared" si="74"/>
        <v>Natural Gas standard</v>
      </c>
      <c r="D498" s="228"/>
      <c r="E498" s="355"/>
      <c r="F498" s="228" t="s">
        <v>317</v>
      </c>
      <c r="G498" s="5"/>
      <c r="H498" s="55"/>
      <c r="I498" s="55"/>
      <c r="J498" s="55"/>
      <c r="K498" s="55"/>
      <c r="L498" s="55"/>
      <c r="M498" s="55"/>
      <c r="N498" s="55"/>
      <c r="O498" s="55"/>
      <c r="P498" s="55"/>
      <c r="Q498" s="55"/>
      <c r="R498" s="55"/>
      <c r="S498" s="5"/>
      <c r="T498" s="25"/>
      <c r="U498" s="5"/>
    </row>
    <row r="499" spans="1:21" s="3" customFormat="1" hidden="1" outlineLevel="1">
      <c r="A499" s="21"/>
      <c r="B499" s="228" t="s">
        <v>390</v>
      </c>
      <c r="C499" s="273" t="str">
        <f t="shared" si="74"/>
        <v>Natural Gas standard</v>
      </c>
      <c r="D499" s="228"/>
      <c r="E499" s="355"/>
      <c r="F499" s="228"/>
      <c r="G499" s="5"/>
      <c r="H499" s="261"/>
      <c r="I499" s="261"/>
      <c r="J499" s="261"/>
      <c r="K499" s="261"/>
      <c r="L499" s="261"/>
      <c r="M499" s="261"/>
      <c r="N499" s="261"/>
      <c r="O499" s="261"/>
      <c r="P499" s="261"/>
      <c r="Q499" s="261"/>
      <c r="R499" s="261"/>
      <c r="S499" s="5"/>
      <c r="T499" s="25"/>
      <c r="U499" s="5"/>
    </row>
    <row r="500" spans="1:21" s="3" customFormat="1" hidden="1" outlineLevel="1">
      <c r="A500" s="21"/>
      <c r="B500" s="228" t="s">
        <v>391</v>
      </c>
      <c r="C500" s="273" t="str">
        <f t="shared" si="74"/>
        <v>Natural Gas standard</v>
      </c>
      <c r="D500" s="228"/>
      <c r="E500" s="355"/>
      <c r="F500" s="228"/>
      <c r="G500" s="5"/>
      <c r="H500" s="55"/>
      <c r="I500" s="55"/>
      <c r="J500" s="55"/>
      <c r="K500" s="55"/>
      <c r="L500" s="55"/>
      <c r="M500" s="55"/>
      <c r="N500" s="55"/>
      <c r="O500" s="55"/>
      <c r="P500" s="55"/>
      <c r="Q500" s="55"/>
      <c r="R500" s="55"/>
      <c r="S500" s="5"/>
      <c r="T500" s="25"/>
      <c r="U500" s="5"/>
    </row>
    <row r="501" spans="1:21" s="3" customFormat="1" hidden="1" outlineLevel="1">
      <c r="A501" s="21"/>
      <c r="B501" s="228" t="s">
        <v>305</v>
      </c>
      <c r="C501" s="273" t="str">
        <f t="shared" si="74"/>
        <v>Natural Gas standard</v>
      </c>
      <c r="D501" s="228"/>
      <c r="E501" s="355"/>
      <c r="F501" s="228" t="s">
        <v>317</v>
      </c>
      <c r="G501" s="5"/>
      <c r="H501" s="54">
        <v>12.217000000000001</v>
      </c>
      <c r="I501" s="270">
        <f t="shared" ref="I501:R501" si="78">H501</f>
        <v>12.217000000000001</v>
      </c>
      <c r="J501" s="270">
        <f t="shared" si="78"/>
        <v>12.217000000000001</v>
      </c>
      <c r="K501" s="270">
        <f t="shared" si="78"/>
        <v>12.217000000000001</v>
      </c>
      <c r="L501" s="270">
        <f t="shared" si="78"/>
        <v>12.217000000000001</v>
      </c>
      <c r="M501" s="270">
        <f t="shared" si="78"/>
        <v>12.217000000000001</v>
      </c>
      <c r="N501" s="270">
        <f t="shared" si="78"/>
        <v>12.217000000000001</v>
      </c>
      <c r="O501" s="270">
        <f t="shared" si="78"/>
        <v>12.217000000000001</v>
      </c>
      <c r="P501" s="270">
        <f t="shared" si="78"/>
        <v>12.217000000000001</v>
      </c>
      <c r="Q501" s="270">
        <f t="shared" si="78"/>
        <v>12.217000000000001</v>
      </c>
      <c r="R501" s="270">
        <f t="shared" si="78"/>
        <v>12.217000000000001</v>
      </c>
      <c r="S501" s="5"/>
      <c r="T501" s="25"/>
      <c r="U501" s="5"/>
    </row>
    <row r="502" spans="1:21" s="3" customFormat="1" hidden="1" outlineLevel="1">
      <c r="A502" s="21"/>
      <c r="B502" s="228" t="s">
        <v>352</v>
      </c>
      <c r="C502" s="273" t="str">
        <f t="shared" si="74"/>
        <v>Natural Gas standard</v>
      </c>
      <c r="D502" s="228"/>
      <c r="E502" s="355"/>
      <c r="F502" s="228" t="s">
        <v>316</v>
      </c>
      <c r="G502" s="5"/>
      <c r="H502" s="54"/>
      <c r="I502" s="54"/>
      <c r="J502" s="54"/>
      <c r="K502" s="54"/>
      <c r="L502" s="54"/>
      <c r="M502" s="54"/>
      <c r="N502" s="54"/>
      <c r="O502" s="54"/>
      <c r="P502" s="54"/>
      <c r="Q502" s="54"/>
      <c r="R502" s="54"/>
      <c r="S502" s="5"/>
      <c r="T502" s="25"/>
      <c r="U502" s="5"/>
    </row>
    <row r="503" spans="1:21" s="3" customFormat="1" hidden="1" outlineLevel="1">
      <c r="A503" s="21"/>
      <c r="B503" s="67" t="s">
        <v>301</v>
      </c>
      <c r="C503" s="273" t="str">
        <f t="shared" si="74"/>
        <v>Natural Gas standard</v>
      </c>
      <c r="D503" s="4" t="s">
        <v>460</v>
      </c>
      <c r="E503" s="347"/>
      <c r="F503" s="67" t="s">
        <v>33</v>
      </c>
      <c r="G503" s="5"/>
      <c r="H503" s="350">
        <v>0.31</v>
      </c>
      <c r="I503" s="363">
        <f t="shared" ref="I503:R503" si="79">H503</f>
        <v>0.31</v>
      </c>
      <c r="J503" s="363">
        <f t="shared" si="79"/>
        <v>0.31</v>
      </c>
      <c r="K503" s="363">
        <f t="shared" si="79"/>
        <v>0.31</v>
      </c>
      <c r="L503" s="363">
        <f t="shared" si="79"/>
        <v>0.31</v>
      </c>
      <c r="M503" s="363">
        <f t="shared" si="79"/>
        <v>0.31</v>
      </c>
      <c r="N503" s="363">
        <f t="shared" si="79"/>
        <v>0.31</v>
      </c>
      <c r="O503" s="363">
        <f t="shared" si="79"/>
        <v>0.31</v>
      </c>
      <c r="P503" s="363">
        <f t="shared" si="79"/>
        <v>0.31</v>
      </c>
      <c r="Q503" s="363">
        <f t="shared" si="79"/>
        <v>0.31</v>
      </c>
      <c r="R503" s="363">
        <f t="shared" si="79"/>
        <v>0.31</v>
      </c>
      <c r="S503" s="5"/>
      <c r="T503" s="25"/>
      <c r="U503" s="5"/>
    </row>
    <row r="504" spans="1:21" s="3" customFormat="1" hidden="1" outlineLevel="1">
      <c r="A504" s="21"/>
      <c r="B504" s="67" t="s">
        <v>50</v>
      </c>
      <c r="C504" s="273" t="s">
        <v>478</v>
      </c>
      <c r="D504" s="4"/>
      <c r="E504" s="347"/>
      <c r="G504" s="5"/>
      <c r="H504" s="4"/>
      <c r="I504" s="4"/>
      <c r="J504" s="4"/>
      <c r="K504" s="4"/>
      <c r="L504" s="4"/>
      <c r="M504" s="4"/>
      <c r="N504" s="4"/>
      <c r="O504" s="4"/>
      <c r="P504" s="4"/>
      <c r="Q504" s="4"/>
      <c r="R504" s="4"/>
      <c r="S504" s="5"/>
      <c r="T504" s="25"/>
      <c r="U504" s="5"/>
    </row>
    <row r="505" spans="1:21" s="3" customFormat="1" hidden="1" outlineLevel="1">
      <c r="A505" s="21"/>
      <c r="B505" s="228" t="s">
        <v>37</v>
      </c>
      <c r="C505" s="273" t="str">
        <f>C504</f>
        <v>Electric standard</v>
      </c>
      <c r="D505" s="228"/>
      <c r="E505" s="355"/>
      <c r="F505" s="228" t="s">
        <v>39</v>
      </c>
      <c r="G505" s="5"/>
      <c r="H505" s="265">
        <v>2000</v>
      </c>
      <c r="I505" s="356">
        <f t="shared" ref="I505:R507" si="80">H505</f>
        <v>2000</v>
      </c>
      <c r="J505" s="356">
        <f t="shared" si="80"/>
        <v>2000</v>
      </c>
      <c r="K505" s="356">
        <f t="shared" si="80"/>
        <v>2000</v>
      </c>
      <c r="L505" s="356">
        <f t="shared" si="80"/>
        <v>2000</v>
      </c>
      <c r="M505" s="356">
        <f t="shared" si="80"/>
        <v>2000</v>
      </c>
      <c r="N505" s="356">
        <f t="shared" si="80"/>
        <v>2000</v>
      </c>
      <c r="O505" s="356">
        <f t="shared" si="80"/>
        <v>2000</v>
      </c>
      <c r="P505" s="356">
        <f t="shared" si="80"/>
        <v>2000</v>
      </c>
      <c r="Q505" s="356">
        <f t="shared" si="80"/>
        <v>2000</v>
      </c>
      <c r="R505" s="356">
        <f t="shared" si="80"/>
        <v>2000</v>
      </c>
      <c r="S505" s="5"/>
      <c r="T505" s="25"/>
      <c r="U505" s="5"/>
    </row>
    <row r="506" spans="1:21" s="3" customFormat="1" hidden="1" outlineLevel="1">
      <c r="A506" s="21"/>
      <c r="B506" s="228" t="s">
        <v>36</v>
      </c>
      <c r="C506" s="273" t="str">
        <f t="shared" ref="C506:C533" si="81">C505</f>
        <v>Electric standard</v>
      </c>
      <c r="D506" s="228"/>
      <c r="E506" s="355"/>
      <c r="F506" s="228" t="s">
        <v>39</v>
      </c>
      <c r="G506" s="5"/>
      <c r="H506" s="265">
        <v>2100</v>
      </c>
      <c r="I506" s="356">
        <f t="shared" si="80"/>
        <v>2100</v>
      </c>
      <c r="J506" s="356">
        <f t="shared" si="80"/>
        <v>2100</v>
      </c>
      <c r="K506" s="356">
        <f t="shared" si="80"/>
        <v>2100</v>
      </c>
      <c r="L506" s="356">
        <f t="shared" si="80"/>
        <v>2100</v>
      </c>
      <c r="M506" s="356">
        <f t="shared" si="80"/>
        <v>2100</v>
      </c>
      <c r="N506" s="356">
        <f t="shared" si="80"/>
        <v>2100</v>
      </c>
      <c r="O506" s="356">
        <f t="shared" si="80"/>
        <v>2100</v>
      </c>
      <c r="P506" s="356">
        <f t="shared" si="80"/>
        <v>2100</v>
      </c>
      <c r="Q506" s="356">
        <f t="shared" si="80"/>
        <v>2100</v>
      </c>
      <c r="R506" s="356">
        <f t="shared" si="80"/>
        <v>2100</v>
      </c>
      <c r="S506" s="5"/>
      <c r="T506" s="25"/>
      <c r="U506" s="5"/>
    </row>
    <row r="507" spans="1:21" s="3" customFormat="1" hidden="1" outlineLevel="1">
      <c r="A507" s="21"/>
      <c r="B507" s="228" t="s">
        <v>38</v>
      </c>
      <c r="C507" s="273" t="str">
        <f t="shared" si="81"/>
        <v>Electric standard</v>
      </c>
      <c r="D507" s="228"/>
      <c r="E507" s="355"/>
      <c r="F507" s="228" t="s">
        <v>10</v>
      </c>
      <c r="G507" s="5"/>
      <c r="H507" s="55">
        <v>9</v>
      </c>
      <c r="I507" s="253">
        <f t="shared" si="80"/>
        <v>9</v>
      </c>
      <c r="J507" s="253">
        <f t="shared" si="80"/>
        <v>9</v>
      </c>
      <c r="K507" s="253">
        <f t="shared" si="80"/>
        <v>9</v>
      </c>
      <c r="L507" s="253">
        <f t="shared" si="80"/>
        <v>9</v>
      </c>
      <c r="M507" s="253">
        <f t="shared" si="80"/>
        <v>9</v>
      </c>
      <c r="N507" s="253">
        <f t="shared" si="80"/>
        <v>9</v>
      </c>
      <c r="O507" s="253">
        <f t="shared" si="80"/>
        <v>9</v>
      </c>
      <c r="P507" s="253">
        <f t="shared" si="80"/>
        <v>9</v>
      </c>
      <c r="Q507" s="253">
        <f t="shared" si="80"/>
        <v>9</v>
      </c>
      <c r="R507" s="253">
        <f t="shared" si="80"/>
        <v>9</v>
      </c>
      <c r="S507" s="5"/>
      <c r="T507" s="25"/>
      <c r="U507" s="5"/>
    </row>
    <row r="508" spans="1:21" s="3" customFormat="1" hidden="1" outlineLevel="1">
      <c r="A508" s="21"/>
      <c r="B508" s="228" t="s">
        <v>353</v>
      </c>
      <c r="C508" s="273" t="str">
        <f t="shared" si="81"/>
        <v>Electric standard</v>
      </c>
      <c r="D508" s="228"/>
      <c r="E508" s="355"/>
      <c r="F508" s="228" t="s">
        <v>10</v>
      </c>
      <c r="G508" s="5"/>
      <c r="H508" s="55"/>
      <c r="I508" s="55"/>
      <c r="J508" s="55"/>
      <c r="K508" s="55"/>
      <c r="L508" s="55"/>
      <c r="M508" s="55"/>
      <c r="N508" s="55"/>
      <c r="O508" s="55"/>
      <c r="P508" s="55"/>
      <c r="Q508" s="55"/>
      <c r="R508" s="55"/>
      <c r="S508" s="5"/>
      <c r="T508" s="25"/>
      <c r="U508" s="5"/>
    </row>
    <row r="509" spans="1:21" s="3" customFormat="1" hidden="1" outlineLevel="1">
      <c r="A509" s="21"/>
      <c r="B509" s="228" t="s">
        <v>304</v>
      </c>
      <c r="C509" s="273" t="str">
        <f t="shared" si="81"/>
        <v>Electric standard</v>
      </c>
      <c r="D509" s="228"/>
      <c r="E509" s="355"/>
      <c r="F509" s="228" t="s">
        <v>96</v>
      </c>
      <c r="G509" s="5"/>
      <c r="H509" s="261">
        <v>0.1</v>
      </c>
      <c r="I509" s="264">
        <f t="shared" ref="I509:R511" si="82">H509</f>
        <v>0.1</v>
      </c>
      <c r="J509" s="264">
        <f t="shared" si="82"/>
        <v>0.1</v>
      </c>
      <c r="K509" s="264">
        <f t="shared" si="82"/>
        <v>0.1</v>
      </c>
      <c r="L509" s="264">
        <f t="shared" si="82"/>
        <v>0.1</v>
      </c>
      <c r="M509" s="264">
        <f t="shared" si="82"/>
        <v>0.1</v>
      </c>
      <c r="N509" s="264">
        <f t="shared" si="82"/>
        <v>0.1</v>
      </c>
      <c r="O509" s="264">
        <f t="shared" si="82"/>
        <v>0.1</v>
      </c>
      <c r="P509" s="264">
        <f t="shared" si="82"/>
        <v>0.1</v>
      </c>
      <c r="Q509" s="264">
        <f t="shared" si="82"/>
        <v>0.1</v>
      </c>
      <c r="R509" s="264">
        <f t="shared" si="82"/>
        <v>0.1</v>
      </c>
      <c r="S509" s="5"/>
      <c r="T509" s="25"/>
      <c r="U509" s="5"/>
    </row>
    <row r="510" spans="1:21" s="3" customFormat="1" hidden="1" outlineLevel="1">
      <c r="A510" s="21"/>
      <c r="B510" s="228" t="s">
        <v>350</v>
      </c>
      <c r="C510" s="273" t="str">
        <f t="shared" si="81"/>
        <v>Electric standard</v>
      </c>
      <c r="D510" s="228"/>
      <c r="E510" s="355"/>
      <c r="F510" s="228" t="s">
        <v>96</v>
      </c>
      <c r="G510" s="5"/>
      <c r="H510" s="261">
        <v>0.65</v>
      </c>
      <c r="I510" s="264">
        <f t="shared" si="82"/>
        <v>0.65</v>
      </c>
      <c r="J510" s="264">
        <f t="shared" si="82"/>
        <v>0.65</v>
      </c>
      <c r="K510" s="264">
        <f t="shared" si="82"/>
        <v>0.65</v>
      </c>
      <c r="L510" s="264">
        <f t="shared" si="82"/>
        <v>0.65</v>
      </c>
      <c r="M510" s="264">
        <f t="shared" si="82"/>
        <v>0.65</v>
      </c>
      <c r="N510" s="264">
        <f t="shared" si="82"/>
        <v>0.65</v>
      </c>
      <c r="O510" s="264">
        <f t="shared" si="82"/>
        <v>0.65</v>
      </c>
      <c r="P510" s="264">
        <f t="shared" si="82"/>
        <v>0.65</v>
      </c>
      <c r="Q510" s="264">
        <f t="shared" si="82"/>
        <v>0.65</v>
      </c>
      <c r="R510" s="264">
        <f t="shared" si="82"/>
        <v>0.65</v>
      </c>
      <c r="S510" s="5"/>
      <c r="T510" s="25"/>
      <c r="U510" s="5"/>
    </row>
    <row r="511" spans="1:21" s="3" customFormat="1" hidden="1" outlineLevel="1">
      <c r="A511" s="21"/>
      <c r="B511" s="228" t="s">
        <v>349</v>
      </c>
      <c r="C511" s="273" t="str">
        <f t="shared" si="81"/>
        <v>Electric standard</v>
      </c>
      <c r="D511" s="228"/>
      <c r="E511" s="355"/>
      <c r="F511" s="228" t="s">
        <v>96</v>
      </c>
      <c r="G511" s="5"/>
      <c r="H511" s="261">
        <v>0.3</v>
      </c>
      <c r="I511" s="264">
        <f t="shared" si="82"/>
        <v>0.3</v>
      </c>
      <c r="J511" s="264">
        <f t="shared" si="82"/>
        <v>0.3</v>
      </c>
      <c r="K511" s="264">
        <f t="shared" si="82"/>
        <v>0.3</v>
      </c>
      <c r="L511" s="264">
        <f t="shared" si="82"/>
        <v>0.3</v>
      </c>
      <c r="M511" s="264">
        <f t="shared" si="82"/>
        <v>0.3</v>
      </c>
      <c r="N511" s="264">
        <f t="shared" si="82"/>
        <v>0.3</v>
      </c>
      <c r="O511" s="264">
        <f t="shared" si="82"/>
        <v>0.3</v>
      </c>
      <c r="P511" s="264">
        <f t="shared" si="82"/>
        <v>0.3</v>
      </c>
      <c r="Q511" s="264">
        <f t="shared" si="82"/>
        <v>0.3</v>
      </c>
      <c r="R511" s="264">
        <f t="shared" si="82"/>
        <v>0.3</v>
      </c>
      <c r="S511" s="5"/>
      <c r="T511" s="25"/>
      <c r="U511" s="5"/>
    </row>
    <row r="512" spans="1:21" s="3" customFormat="1" hidden="1" outlineLevel="1">
      <c r="A512" s="21"/>
      <c r="B512" s="228" t="s">
        <v>74</v>
      </c>
      <c r="C512" s="273" t="str">
        <f t="shared" si="81"/>
        <v>Electric standard</v>
      </c>
      <c r="D512" s="228"/>
      <c r="E512" s="355"/>
      <c r="F512" s="228" t="s">
        <v>96</v>
      </c>
      <c r="G512" s="5"/>
      <c r="H512" s="261">
        <v>0</v>
      </c>
      <c r="I512" s="261"/>
      <c r="J512" s="261"/>
      <c r="K512" s="261"/>
      <c r="L512" s="261"/>
      <c r="M512" s="261"/>
      <c r="N512" s="261"/>
      <c r="O512" s="261"/>
      <c r="P512" s="261"/>
      <c r="Q512" s="261"/>
      <c r="R512" s="261"/>
      <c r="S512" s="5"/>
      <c r="T512" s="25"/>
      <c r="U512" s="5"/>
    </row>
    <row r="513" spans="1:21" s="3" customFormat="1" hidden="1" outlineLevel="1">
      <c r="A513" s="21"/>
      <c r="B513" s="358" t="s">
        <v>146</v>
      </c>
      <c r="C513" s="273" t="str">
        <f t="shared" si="81"/>
        <v>Electric standard</v>
      </c>
      <c r="D513" s="359"/>
      <c r="E513" s="360"/>
      <c r="F513" s="358" t="s">
        <v>96</v>
      </c>
      <c r="G513" s="5"/>
      <c r="H513" s="261"/>
      <c r="I513" s="261"/>
      <c r="J513" s="261"/>
      <c r="K513" s="261"/>
      <c r="L513" s="261"/>
      <c r="M513" s="261"/>
      <c r="N513" s="261"/>
      <c r="O513" s="261"/>
      <c r="P513" s="261"/>
      <c r="Q513" s="261"/>
      <c r="R513" s="261"/>
      <c r="S513" s="5"/>
      <c r="T513" s="25"/>
      <c r="U513" s="5"/>
    </row>
    <row r="514" spans="1:21" s="3" customFormat="1" hidden="1" outlineLevel="1">
      <c r="A514" s="21"/>
      <c r="B514" s="358" t="s">
        <v>147</v>
      </c>
      <c r="C514" s="273" t="str">
        <f t="shared" si="81"/>
        <v>Electric standard</v>
      </c>
      <c r="D514" s="359"/>
      <c r="E514" s="360"/>
      <c r="F514" s="358" t="s">
        <v>96</v>
      </c>
      <c r="G514" s="5"/>
      <c r="H514" s="261"/>
      <c r="I514" s="261"/>
      <c r="J514" s="261"/>
      <c r="K514" s="261"/>
      <c r="L514" s="261"/>
      <c r="M514" s="261"/>
      <c r="N514" s="261"/>
      <c r="O514" s="261"/>
      <c r="P514" s="261"/>
      <c r="Q514" s="261"/>
      <c r="R514" s="261"/>
      <c r="S514" s="5"/>
      <c r="T514" s="25"/>
      <c r="U514" s="5"/>
    </row>
    <row r="515" spans="1:21" s="3" customFormat="1" hidden="1" outlineLevel="1">
      <c r="A515" s="21"/>
      <c r="B515" s="358" t="s">
        <v>362</v>
      </c>
      <c r="C515" s="273" t="str">
        <f t="shared" si="81"/>
        <v>Electric standard</v>
      </c>
      <c r="D515" s="359"/>
      <c r="E515" s="360"/>
      <c r="F515" s="358" t="s">
        <v>96</v>
      </c>
      <c r="G515" s="5"/>
      <c r="H515" s="261"/>
      <c r="I515" s="261"/>
      <c r="J515" s="261"/>
      <c r="K515" s="261"/>
      <c r="L515" s="261"/>
      <c r="M515" s="261"/>
      <c r="N515" s="261"/>
      <c r="O515" s="261"/>
      <c r="P515" s="261"/>
      <c r="Q515" s="261"/>
      <c r="R515" s="261"/>
      <c r="S515" s="5"/>
      <c r="T515" s="25"/>
      <c r="U515" s="5"/>
    </row>
    <row r="516" spans="1:21" s="3" customFormat="1" hidden="1" outlineLevel="1">
      <c r="A516" s="21"/>
      <c r="B516" s="358" t="s">
        <v>363</v>
      </c>
      <c r="C516" s="273" t="str">
        <f t="shared" si="81"/>
        <v>Electric standard</v>
      </c>
      <c r="D516" s="359"/>
      <c r="E516" s="360"/>
      <c r="F516" s="358" t="s">
        <v>96</v>
      </c>
      <c r="G516" s="5"/>
      <c r="H516" s="261"/>
      <c r="I516" s="261"/>
      <c r="J516" s="261"/>
      <c r="K516" s="261"/>
      <c r="L516" s="261"/>
      <c r="M516" s="261"/>
      <c r="N516" s="261"/>
      <c r="O516" s="261"/>
      <c r="P516" s="261"/>
      <c r="Q516" s="261"/>
      <c r="R516" s="261"/>
      <c r="S516" s="5"/>
      <c r="T516" s="25"/>
      <c r="U516" s="5"/>
    </row>
    <row r="517" spans="1:21" s="3" customFormat="1" hidden="1" outlineLevel="1">
      <c r="A517" s="21"/>
      <c r="B517" s="228" t="s">
        <v>332</v>
      </c>
      <c r="C517" s="273" t="str">
        <f t="shared" si="81"/>
        <v>Electric standard</v>
      </c>
      <c r="D517" s="228"/>
      <c r="E517" s="355"/>
      <c r="F517" s="228" t="s">
        <v>33</v>
      </c>
      <c r="G517" s="5"/>
      <c r="H517" s="29">
        <v>68.62</v>
      </c>
      <c r="I517" s="362">
        <f t="shared" ref="I517:R518" si="83">H517</f>
        <v>68.62</v>
      </c>
      <c r="J517" s="362">
        <f t="shared" si="83"/>
        <v>68.62</v>
      </c>
      <c r="K517" s="362">
        <f t="shared" si="83"/>
        <v>68.62</v>
      </c>
      <c r="L517" s="362">
        <f t="shared" si="83"/>
        <v>68.62</v>
      </c>
      <c r="M517" s="362">
        <f t="shared" si="83"/>
        <v>68.62</v>
      </c>
      <c r="N517" s="362">
        <f t="shared" si="83"/>
        <v>68.62</v>
      </c>
      <c r="O517" s="362">
        <f t="shared" si="83"/>
        <v>68.62</v>
      </c>
      <c r="P517" s="362">
        <f t="shared" si="83"/>
        <v>68.62</v>
      </c>
      <c r="Q517" s="362">
        <f t="shared" si="83"/>
        <v>68.62</v>
      </c>
      <c r="R517" s="362">
        <f t="shared" si="83"/>
        <v>68.62</v>
      </c>
      <c r="S517" s="5"/>
      <c r="T517" s="25"/>
      <c r="U517" s="5"/>
    </row>
    <row r="518" spans="1:21" s="3" customFormat="1" hidden="1" outlineLevel="1">
      <c r="A518" s="21"/>
      <c r="B518" s="228" t="s">
        <v>470</v>
      </c>
      <c r="C518" s="273" t="str">
        <f t="shared" si="81"/>
        <v>Electric standard</v>
      </c>
      <c r="D518" s="228"/>
      <c r="E518" s="355"/>
      <c r="F518" s="228" t="s">
        <v>316</v>
      </c>
      <c r="G518" s="5"/>
      <c r="H518" s="54">
        <v>529.58299999999997</v>
      </c>
      <c r="I518" s="270">
        <f t="shared" si="83"/>
        <v>529.58299999999997</v>
      </c>
      <c r="J518" s="270">
        <f t="shared" si="83"/>
        <v>529.58299999999997</v>
      </c>
      <c r="K518" s="270">
        <f t="shared" si="83"/>
        <v>529.58299999999997</v>
      </c>
      <c r="L518" s="270">
        <f t="shared" si="83"/>
        <v>529.58299999999997</v>
      </c>
      <c r="M518" s="270">
        <f t="shared" si="83"/>
        <v>529.58299999999997</v>
      </c>
      <c r="N518" s="270">
        <f t="shared" si="83"/>
        <v>529.58299999999997</v>
      </c>
      <c r="O518" s="270">
        <f t="shared" si="83"/>
        <v>529.58299999999997</v>
      </c>
      <c r="P518" s="270">
        <f t="shared" si="83"/>
        <v>529.58299999999997</v>
      </c>
      <c r="Q518" s="270">
        <f t="shared" si="83"/>
        <v>529.58299999999997</v>
      </c>
      <c r="R518" s="270">
        <f t="shared" si="83"/>
        <v>529.58299999999997</v>
      </c>
      <c r="S518" s="5"/>
      <c r="T518" s="25"/>
      <c r="U518" s="5"/>
    </row>
    <row r="519" spans="1:21" s="3" customFormat="1" hidden="1" outlineLevel="1">
      <c r="A519" s="21"/>
      <c r="B519" s="228" t="s">
        <v>375</v>
      </c>
      <c r="C519" s="273" t="str">
        <f t="shared" si="81"/>
        <v>Electric standard</v>
      </c>
      <c r="D519" s="228"/>
      <c r="E519" s="355"/>
      <c r="F519" s="228" t="s">
        <v>96</v>
      </c>
      <c r="G519" s="5"/>
      <c r="H519" s="261"/>
      <c r="I519" s="261"/>
      <c r="J519" s="261"/>
      <c r="K519" s="261"/>
      <c r="L519" s="261"/>
      <c r="M519" s="261"/>
      <c r="N519" s="261"/>
      <c r="O519" s="261"/>
      <c r="P519" s="261"/>
      <c r="Q519" s="261"/>
      <c r="R519" s="261"/>
      <c r="S519" s="5"/>
      <c r="T519" s="25"/>
      <c r="U519" s="5"/>
    </row>
    <row r="520" spans="1:21" s="3" customFormat="1" hidden="1" outlineLevel="1">
      <c r="A520" s="21"/>
      <c r="B520" s="228" t="s">
        <v>432</v>
      </c>
      <c r="C520" s="273" t="str">
        <f t="shared" si="81"/>
        <v>Electric standard</v>
      </c>
      <c r="D520" s="228"/>
      <c r="E520" s="355"/>
      <c r="F520" s="228" t="s">
        <v>33</v>
      </c>
      <c r="G520" s="5"/>
      <c r="H520" s="55"/>
      <c r="I520" s="55"/>
      <c r="J520" s="55"/>
      <c r="K520" s="55"/>
      <c r="L520" s="55"/>
      <c r="M520" s="55"/>
      <c r="N520" s="55"/>
      <c r="O520" s="55"/>
      <c r="P520" s="55"/>
      <c r="Q520" s="55"/>
      <c r="R520" s="55"/>
      <c r="S520" s="5"/>
      <c r="T520" s="25"/>
      <c r="U520" s="5"/>
    </row>
    <row r="521" spans="1:21" s="3" customFormat="1" hidden="1" outlineLevel="1">
      <c r="A521" s="21"/>
      <c r="B521" s="228" t="s">
        <v>379</v>
      </c>
      <c r="C521" s="273" t="str">
        <f t="shared" si="81"/>
        <v>Electric standard</v>
      </c>
      <c r="D521" s="228"/>
      <c r="E521" s="355"/>
      <c r="F521" s="228"/>
      <c r="G521" s="5"/>
      <c r="H521" s="54"/>
      <c r="I521" s="54"/>
      <c r="J521" s="54"/>
      <c r="K521" s="54"/>
      <c r="L521" s="54"/>
      <c r="M521" s="54"/>
      <c r="N521" s="54"/>
      <c r="O521" s="54"/>
      <c r="P521" s="54"/>
      <c r="Q521" s="54"/>
      <c r="R521" s="54"/>
      <c r="S521" s="5"/>
      <c r="T521" s="25"/>
      <c r="U521" s="5"/>
    </row>
    <row r="522" spans="1:21" s="3" customFormat="1" hidden="1" outlineLevel="1">
      <c r="A522" s="21"/>
      <c r="B522" s="228" t="s">
        <v>361</v>
      </c>
      <c r="C522" s="273" t="str">
        <f t="shared" si="81"/>
        <v>Electric standard</v>
      </c>
      <c r="D522" s="228"/>
      <c r="E522" s="355"/>
      <c r="F522" s="228" t="s">
        <v>96</v>
      </c>
      <c r="G522" s="5"/>
      <c r="H522" s="261"/>
      <c r="I522" s="261"/>
      <c r="J522" s="261"/>
      <c r="K522" s="261"/>
      <c r="L522" s="261"/>
      <c r="M522" s="261"/>
      <c r="N522" s="261"/>
      <c r="O522" s="261"/>
      <c r="P522" s="261"/>
      <c r="Q522" s="261"/>
      <c r="R522" s="261"/>
      <c r="S522" s="5"/>
      <c r="T522" s="25"/>
      <c r="U522" s="5"/>
    </row>
    <row r="523" spans="1:21" s="3" customFormat="1" hidden="1" outlineLevel="1">
      <c r="A523" s="21"/>
      <c r="B523" s="228" t="s">
        <v>384</v>
      </c>
      <c r="C523" s="273" t="str">
        <f t="shared" si="81"/>
        <v>Electric standard</v>
      </c>
      <c r="D523" s="228"/>
      <c r="E523" s="355"/>
      <c r="F523" s="228" t="s">
        <v>316</v>
      </c>
      <c r="G523" s="5"/>
      <c r="H523" s="54">
        <v>180</v>
      </c>
      <c r="I523" s="270">
        <f t="shared" ref="I523:R523" si="84">H523</f>
        <v>180</v>
      </c>
      <c r="J523" s="270">
        <f t="shared" si="84"/>
        <v>180</v>
      </c>
      <c r="K523" s="270">
        <f t="shared" si="84"/>
        <v>180</v>
      </c>
      <c r="L523" s="270">
        <f t="shared" si="84"/>
        <v>180</v>
      </c>
      <c r="M523" s="270">
        <f t="shared" si="84"/>
        <v>180</v>
      </c>
      <c r="N523" s="270">
        <f t="shared" si="84"/>
        <v>180</v>
      </c>
      <c r="O523" s="270">
        <f t="shared" si="84"/>
        <v>180</v>
      </c>
      <c r="P523" s="270">
        <f t="shared" si="84"/>
        <v>180</v>
      </c>
      <c r="Q523" s="270">
        <f t="shared" si="84"/>
        <v>180</v>
      </c>
      <c r="R523" s="270">
        <f t="shared" si="84"/>
        <v>180</v>
      </c>
      <c r="S523" s="5"/>
      <c r="T523" s="25"/>
      <c r="U523" s="5"/>
    </row>
    <row r="524" spans="1:21" s="3" customFormat="1" hidden="1" outlineLevel="1">
      <c r="A524" s="21"/>
      <c r="B524" s="228" t="s">
        <v>386</v>
      </c>
      <c r="C524" s="273" t="str">
        <f t="shared" si="81"/>
        <v>Electric standard</v>
      </c>
      <c r="D524" s="228"/>
      <c r="E524" s="355"/>
      <c r="F524" s="228" t="s">
        <v>316</v>
      </c>
      <c r="G524" s="5"/>
      <c r="H524" s="55"/>
      <c r="I524" s="55"/>
      <c r="J524" s="55"/>
      <c r="K524" s="55"/>
      <c r="L524" s="55"/>
      <c r="M524" s="55"/>
      <c r="N524" s="55"/>
      <c r="O524" s="55"/>
      <c r="P524" s="55"/>
      <c r="Q524" s="55"/>
      <c r="R524" s="55"/>
      <c r="S524" s="5"/>
      <c r="T524" s="25"/>
      <c r="U524" s="5"/>
    </row>
    <row r="525" spans="1:21" s="3" customFormat="1" hidden="1" outlineLevel="1">
      <c r="A525" s="21"/>
      <c r="B525" s="228" t="s">
        <v>387</v>
      </c>
      <c r="C525" s="273" t="str">
        <f t="shared" si="81"/>
        <v>Electric standard</v>
      </c>
      <c r="D525" s="228"/>
      <c r="E525" s="355"/>
      <c r="F525" s="228"/>
      <c r="G525" s="5"/>
      <c r="H525" s="261"/>
      <c r="I525" s="261"/>
      <c r="J525" s="261"/>
      <c r="K525" s="261"/>
      <c r="L525" s="261"/>
      <c r="M525" s="261"/>
      <c r="N525" s="261"/>
      <c r="O525" s="261"/>
      <c r="P525" s="261"/>
      <c r="Q525" s="261"/>
      <c r="R525" s="261"/>
      <c r="S525" s="5"/>
      <c r="T525" s="25"/>
      <c r="U525" s="5"/>
    </row>
    <row r="526" spans="1:21" s="3" customFormat="1" hidden="1" outlineLevel="1">
      <c r="A526" s="21"/>
      <c r="B526" s="228" t="s">
        <v>388</v>
      </c>
      <c r="C526" s="273" t="str">
        <f t="shared" si="81"/>
        <v>Electric standard</v>
      </c>
      <c r="D526" s="228"/>
      <c r="E526" s="355"/>
      <c r="F526" s="228"/>
      <c r="G526" s="5"/>
      <c r="H526" s="55"/>
      <c r="I526" s="55"/>
      <c r="J526" s="55"/>
      <c r="K526" s="55"/>
      <c r="L526" s="55"/>
      <c r="M526" s="55"/>
      <c r="N526" s="55"/>
      <c r="O526" s="55"/>
      <c r="P526" s="55"/>
      <c r="Q526" s="55"/>
      <c r="R526" s="55"/>
      <c r="S526" s="5"/>
      <c r="T526" s="25"/>
      <c r="U526" s="5"/>
    </row>
    <row r="527" spans="1:21" s="3" customFormat="1" hidden="1" outlineLevel="1">
      <c r="A527" s="21"/>
      <c r="B527" s="228" t="s">
        <v>385</v>
      </c>
      <c r="C527" s="273" t="str">
        <f t="shared" si="81"/>
        <v>Electric standard</v>
      </c>
      <c r="D527" s="228"/>
      <c r="E527" s="355"/>
      <c r="F527" s="228" t="s">
        <v>317</v>
      </c>
      <c r="G527" s="5"/>
      <c r="H527" s="54"/>
      <c r="I527" s="54"/>
      <c r="J527" s="54"/>
      <c r="K527" s="54"/>
      <c r="L527" s="54"/>
      <c r="M527" s="54"/>
      <c r="N527" s="54"/>
      <c r="O527" s="54"/>
      <c r="P527" s="54"/>
      <c r="Q527" s="54"/>
      <c r="R527" s="54"/>
      <c r="S527" s="5"/>
      <c r="T527" s="25"/>
      <c r="U527" s="5"/>
    </row>
    <row r="528" spans="1:21" s="3" customFormat="1" hidden="1" outlineLevel="1">
      <c r="A528" s="21"/>
      <c r="B528" s="228" t="s">
        <v>389</v>
      </c>
      <c r="C528" s="273" t="str">
        <f t="shared" si="81"/>
        <v>Electric standard</v>
      </c>
      <c r="D528" s="228"/>
      <c r="E528" s="355"/>
      <c r="F528" s="228" t="s">
        <v>317</v>
      </c>
      <c r="G528" s="5"/>
      <c r="H528" s="55"/>
      <c r="I528" s="55"/>
      <c r="J528" s="55"/>
      <c r="K528" s="55"/>
      <c r="L528" s="55"/>
      <c r="M528" s="55"/>
      <c r="N528" s="55"/>
      <c r="O528" s="55"/>
      <c r="P528" s="55"/>
      <c r="Q528" s="55"/>
      <c r="R528" s="55"/>
      <c r="S528" s="5"/>
      <c r="T528" s="25"/>
      <c r="U528" s="5"/>
    </row>
    <row r="529" spans="1:21" s="3" customFormat="1" hidden="1" outlineLevel="1">
      <c r="A529" s="21"/>
      <c r="B529" s="228" t="s">
        <v>390</v>
      </c>
      <c r="C529" s="273" t="str">
        <f t="shared" si="81"/>
        <v>Electric standard</v>
      </c>
      <c r="D529" s="228"/>
      <c r="E529" s="355"/>
      <c r="F529" s="228"/>
      <c r="G529" s="5"/>
      <c r="H529" s="261"/>
      <c r="I529" s="261"/>
      <c r="J529" s="261"/>
      <c r="K529" s="261"/>
      <c r="L529" s="261"/>
      <c r="M529" s="261"/>
      <c r="N529" s="261"/>
      <c r="O529" s="261"/>
      <c r="P529" s="261"/>
      <c r="Q529" s="261"/>
      <c r="R529" s="261"/>
      <c r="S529" s="5"/>
      <c r="T529" s="25"/>
      <c r="U529" s="5"/>
    </row>
    <row r="530" spans="1:21" s="3" customFormat="1" hidden="1" outlineLevel="1">
      <c r="A530" s="21"/>
      <c r="B530" s="228" t="s">
        <v>391</v>
      </c>
      <c r="C530" s="273" t="str">
        <f t="shared" si="81"/>
        <v>Electric standard</v>
      </c>
      <c r="D530" s="228"/>
      <c r="E530" s="355"/>
      <c r="F530" s="228"/>
      <c r="G530" s="5"/>
      <c r="H530" s="55"/>
      <c r="I530" s="55"/>
      <c r="J530" s="55"/>
      <c r="K530" s="55"/>
      <c r="L530" s="55"/>
      <c r="M530" s="55"/>
      <c r="N530" s="55"/>
      <c r="O530" s="55"/>
      <c r="P530" s="55"/>
      <c r="Q530" s="55"/>
      <c r="R530" s="55"/>
      <c r="S530" s="5"/>
      <c r="T530" s="25"/>
      <c r="U530" s="5"/>
    </row>
    <row r="531" spans="1:21" s="3" customFormat="1" hidden="1" outlineLevel="1">
      <c r="A531" s="21"/>
      <c r="B531" s="228" t="s">
        <v>305</v>
      </c>
      <c r="C531" s="273" t="str">
        <f t="shared" si="81"/>
        <v>Electric standard</v>
      </c>
      <c r="D531" s="228"/>
      <c r="E531" s="355"/>
      <c r="F531" s="228" t="s">
        <v>317</v>
      </c>
      <c r="G531" s="5"/>
      <c r="H531" s="54">
        <v>12.217000000000001</v>
      </c>
      <c r="I531" s="270">
        <f t="shared" ref="I531:R531" si="85">H531</f>
        <v>12.217000000000001</v>
      </c>
      <c r="J531" s="270">
        <f t="shared" si="85"/>
        <v>12.217000000000001</v>
      </c>
      <c r="K531" s="270">
        <f t="shared" si="85"/>
        <v>12.217000000000001</v>
      </c>
      <c r="L531" s="270">
        <f t="shared" si="85"/>
        <v>12.217000000000001</v>
      </c>
      <c r="M531" s="270">
        <f t="shared" si="85"/>
        <v>12.217000000000001</v>
      </c>
      <c r="N531" s="270">
        <f t="shared" si="85"/>
        <v>12.217000000000001</v>
      </c>
      <c r="O531" s="270">
        <f t="shared" si="85"/>
        <v>12.217000000000001</v>
      </c>
      <c r="P531" s="270">
        <f t="shared" si="85"/>
        <v>12.217000000000001</v>
      </c>
      <c r="Q531" s="270">
        <f t="shared" si="85"/>
        <v>12.217000000000001</v>
      </c>
      <c r="R531" s="270">
        <f t="shared" si="85"/>
        <v>12.217000000000001</v>
      </c>
      <c r="S531" s="5"/>
      <c r="T531" s="25"/>
      <c r="U531" s="5"/>
    </row>
    <row r="532" spans="1:21" s="3" customFormat="1" hidden="1" outlineLevel="1">
      <c r="A532" s="21"/>
      <c r="B532" s="228" t="s">
        <v>352</v>
      </c>
      <c r="C532" s="273" t="str">
        <f t="shared" si="81"/>
        <v>Electric standard</v>
      </c>
      <c r="D532" s="228"/>
      <c r="E532" s="355"/>
      <c r="F532" s="228" t="s">
        <v>316</v>
      </c>
      <c r="G532" s="5"/>
      <c r="H532" s="54"/>
      <c r="I532" s="54"/>
      <c r="J532" s="54"/>
      <c r="K532" s="54"/>
      <c r="L532" s="54"/>
      <c r="M532" s="54"/>
      <c r="N532" s="54"/>
      <c r="O532" s="54"/>
      <c r="P532" s="54"/>
      <c r="Q532" s="54"/>
      <c r="R532" s="54"/>
      <c r="S532" s="5"/>
      <c r="T532" s="25"/>
      <c r="U532" s="5"/>
    </row>
    <row r="533" spans="1:21" s="3" customFormat="1" hidden="1" outlineLevel="1">
      <c r="A533" s="21"/>
      <c r="B533" s="67" t="s">
        <v>301</v>
      </c>
      <c r="C533" s="273" t="str">
        <f t="shared" si="81"/>
        <v>Electric standard</v>
      </c>
      <c r="D533" s="4" t="s">
        <v>454</v>
      </c>
      <c r="E533" s="347"/>
      <c r="F533" s="67" t="s">
        <v>33</v>
      </c>
      <c r="G533" s="5"/>
      <c r="H533" s="350">
        <v>0.20599999999999999</v>
      </c>
      <c r="I533" s="363">
        <f t="shared" ref="I533:R533" si="86">H533</f>
        <v>0.20599999999999999</v>
      </c>
      <c r="J533" s="363">
        <f t="shared" si="86"/>
        <v>0.20599999999999999</v>
      </c>
      <c r="K533" s="363">
        <f t="shared" si="86"/>
        <v>0.20599999999999999</v>
      </c>
      <c r="L533" s="363">
        <f t="shared" si="86"/>
        <v>0.20599999999999999</v>
      </c>
      <c r="M533" s="363">
        <f t="shared" si="86"/>
        <v>0.20599999999999999</v>
      </c>
      <c r="N533" s="363">
        <f t="shared" si="86"/>
        <v>0.20599999999999999</v>
      </c>
      <c r="O533" s="363">
        <f t="shared" si="86"/>
        <v>0.20599999999999999</v>
      </c>
      <c r="P533" s="363">
        <f t="shared" si="86"/>
        <v>0.20599999999999999</v>
      </c>
      <c r="Q533" s="363">
        <f t="shared" si="86"/>
        <v>0.20599999999999999</v>
      </c>
      <c r="R533" s="363">
        <f t="shared" si="86"/>
        <v>0.20599999999999999</v>
      </c>
      <c r="S533" s="5"/>
      <c r="T533" s="25"/>
      <c r="U533" s="5"/>
    </row>
    <row r="534" spans="1:21" s="3" customFormat="1" hidden="1" outlineLevel="1">
      <c r="A534" s="21"/>
      <c r="B534" s="67" t="s">
        <v>50</v>
      </c>
      <c r="C534" s="273" t="s">
        <v>471</v>
      </c>
      <c r="D534" s="4"/>
      <c r="E534" s="347"/>
      <c r="G534" s="5"/>
      <c r="H534" s="4"/>
      <c r="I534" s="4"/>
      <c r="J534" s="4"/>
      <c r="K534" s="4"/>
      <c r="L534" s="4"/>
      <c r="M534" s="4"/>
      <c r="N534" s="4"/>
      <c r="O534" s="4"/>
      <c r="P534" s="4"/>
      <c r="Q534" s="4"/>
      <c r="R534" s="4"/>
      <c r="S534" s="5"/>
      <c r="T534" s="25"/>
      <c r="U534" s="5"/>
    </row>
    <row r="535" spans="1:21" s="3" customFormat="1" hidden="1" outlineLevel="1">
      <c r="A535" s="21"/>
      <c r="B535" s="228" t="s">
        <v>37</v>
      </c>
      <c r="C535" s="273" t="str">
        <f>C534</f>
        <v>Natural Gas existing</v>
      </c>
      <c r="D535" s="228"/>
      <c r="E535" s="355"/>
      <c r="F535" s="228" t="s">
        <v>39</v>
      </c>
      <c r="G535" s="5"/>
      <c r="H535" s="265">
        <v>1990</v>
      </c>
      <c r="I535" s="356">
        <f t="shared" ref="I535:R536" si="87">H535</f>
        <v>1990</v>
      </c>
      <c r="J535" s="356">
        <f t="shared" si="87"/>
        <v>1990</v>
      </c>
      <c r="K535" s="356">
        <f t="shared" si="87"/>
        <v>1990</v>
      </c>
      <c r="L535" s="356">
        <f t="shared" si="87"/>
        <v>1990</v>
      </c>
      <c r="M535" s="356">
        <f t="shared" si="87"/>
        <v>1990</v>
      </c>
      <c r="N535" s="356">
        <f t="shared" si="87"/>
        <v>1990</v>
      </c>
      <c r="O535" s="356">
        <f t="shared" si="87"/>
        <v>1990</v>
      </c>
      <c r="P535" s="356">
        <f t="shared" si="87"/>
        <v>1990</v>
      </c>
      <c r="Q535" s="356">
        <f t="shared" si="87"/>
        <v>1990</v>
      </c>
      <c r="R535" s="356">
        <f t="shared" si="87"/>
        <v>1990</v>
      </c>
      <c r="S535" s="5"/>
      <c r="T535" s="25"/>
      <c r="U535" s="5"/>
    </row>
    <row r="536" spans="1:21" s="3" customFormat="1" hidden="1" outlineLevel="1">
      <c r="A536" s="21"/>
      <c r="B536" s="228" t="s">
        <v>36</v>
      </c>
      <c r="C536" s="273" t="str">
        <f t="shared" ref="C536:C563" si="88">C535</f>
        <v>Natural Gas existing</v>
      </c>
      <c r="D536" s="228"/>
      <c r="E536" s="355"/>
      <c r="F536" s="228" t="s">
        <v>39</v>
      </c>
      <c r="G536" s="5"/>
      <c r="H536" s="265">
        <v>2000</v>
      </c>
      <c r="I536" s="356">
        <f t="shared" si="87"/>
        <v>2000</v>
      </c>
      <c r="J536" s="356">
        <f t="shared" si="87"/>
        <v>2000</v>
      </c>
      <c r="K536" s="356">
        <f t="shared" si="87"/>
        <v>2000</v>
      </c>
      <c r="L536" s="356">
        <f t="shared" si="87"/>
        <v>2000</v>
      </c>
      <c r="M536" s="356">
        <f t="shared" si="87"/>
        <v>2000</v>
      </c>
      <c r="N536" s="356">
        <f t="shared" si="87"/>
        <v>2000</v>
      </c>
      <c r="O536" s="356">
        <f t="shared" si="87"/>
        <v>2000</v>
      </c>
      <c r="P536" s="356">
        <f t="shared" si="87"/>
        <v>2000</v>
      </c>
      <c r="Q536" s="356">
        <f t="shared" si="87"/>
        <v>2000</v>
      </c>
      <c r="R536" s="356">
        <f t="shared" si="87"/>
        <v>2000</v>
      </c>
      <c r="S536" s="5"/>
      <c r="T536" s="25"/>
      <c r="U536" s="5"/>
    </row>
    <row r="537" spans="1:21" s="3" customFormat="1" hidden="1" outlineLevel="1">
      <c r="A537" s="21"/>
      <c r="B537" s="228" t="s">
        <v>38</v>
      </c>
      <c r="C537" s="273" t="str">
        <f t="shared" si="88"/>
        <v>Natural Gas existing</v>
      </c>
      <c r="D537" s="228"/>
      <c r="E537" s="355"/>
      <c r="F537" s="228" t="s">
        <v>10</v>
      </c>
      <c r="G537" s="5"/>
      <c r="H537" s="55">
        <v>9</v>
      </c>
      <c r="I537" s="55"/>
      <c r="J537" s="55"/>
      <c r="K537" s="55"/>
      <c r="L537" s="55"/>
      <c r="M537" s="55"/>
      <c r="N537" s="55"/>
      <c r="O537" s="55"/>
      <c r="P537" s="55"/>
      <c r="Q537" s="55"/>
      <c r="R537" s="55"/>
      <c r="S537" s="5"/>
      <c r="T537" s="25"/>
      <c r="U537" s="5"/>
    </row>
    <row r="538" spans="1:21" s="3" customFormat="1" hidden="1" outlineLevel="1">
      <c r="A538" s="21"/>
      <c r="B538" s="228" t="s">
        <v>353</v>
      </c>
      <c r="C538" s="273" t="str">
        <f t="shared" si="88"/>
        <v>Natural Gas existing</v>
      </c>
      <c r="D538" s="228"/>
      <c r="E538" s="355"/>
      <c r="F538" s="228" t="s">
        <v>10</v>
      </c>
      <c r="G538" s="5"/>
      <c r="H538" s="55"/>
      <c r="I538" s="55"/>
      <c r="J538" s="55"/>
      <c r="K538" s="55"/>
      <c r="L538" s="55"/>
      <c r="M538" s="55"/>
      <c r="N538" s="55"/>
      <c r="O538" s="55"/>
      <c r="P538" s="55"/>
      <c r="Q538" s="55"/>
      <c r="R538" s="55"/>
      <c r="S538" s="5"/>
      <c r="T538" s="25"/>
      <c r="U538" s="5"/>
    </row>
    <row r="539" spans="1:21" s="3" customFormat="1" hidden="1" outlineLevel="1">
      <c r="A539" s="21"/>
      <c r="B539" s="228" t="s">
        <v>304</v>
      </c>
      <c r="C539" s="273" t="str">
        <f t="shared" si="88"/>
        <v>Natural Gas existing</v>
      </c>
      <c r="D539" s="228"/>
      <c r="E539" s="355"/>
      <c r="F539" s="228" t="s">
        <v>96</v>
      </c>
      <c r="G539" s="5"/>
      <c r="H539" s="261">
        <v>0.1</v>
      </c>
      <c r="I539" s="264">
        <f t="shared" ref="I539:R541" si="89">H539</f>
        <v>0.1</v>
      </c>
      <c r="J539" s="264">
        <f t="shared" si="89"/>
        <v>0.1</v>
      </c>
      <c r="K539" s="264">
        <f t="shared" si="89"/>
        <v>0.1</v>
      </c>
      <c r="L539" s="264">
        <f t="shared" si="89"/>
        <v>0.1</v>
      </c>
      <c r="M539" s="264">
        <f t="shared" si="89"/>
        <v>0.1</v>
      </c>
      <c r="N539" s="264">
        <f t="shared" si="89"/>
        <v>0.1</v>
      </c>
      <c r="O539" s="264">
        <f t="shared" si="89"/>
        <v>0.1</v>
      </c>
      <c r="P539" s="264">
        <f t="shared" si="89"/>
        <v>0.1</v>
      </c>
      <c r="Q539" s="264">
        <f t="shared" si="89"/>
        <v>0.1</v>
      </c>
      <c r="R539" s="264">
        <f t="shared" si="89"/>
        <v>0.1</v>
      </c>
      <c r="S539" s="5"/>
      <c r="T539" s="25"/>
      <c r="U539" s="5"/>
    </row>
    <row r="540" spans="1:21" s="3" customFormat="1" hidden="1" outlineLevel="1">
      <c r="A540" s="21"/>
      <c r="B540" s="228" t="s">
        <v>350</v>
      </c>
      <c r="C540" s="273" t="str">
        <f t="shared" si="88"/>
        <v>Natural Gas existing</v>
      </c>
      <c r="D540" s="228"/>
      <c r="E540" s="355"/>
      <c r="F540" s="228" t="s">
        <v>96</v>
      </c>
      <c r="G540" s="5"/>
      <c r="H540" s="261">
        <v>0.65</v>
      </c>
      <c r="I540" s="264">
        <f t="shared" si="89"/>
        <v>0.65</v>
      </c>
      <c r="J540" s="264">
        <f t="shared" si="89"/>
        <v>0.65</v>
      </c>
      <c r="K540" s="264">
        <f t="shared" si="89"/>
        <v>0.65</v>
      </c>
      <c r="L540" s="264">
        <f t="shared" si="89"/>
        <v>0.65</v>
      </c>
      <c r="M540" s="264">
        <f t="shared" si="89"/>
        <v>0.65</v>
      </c>
      <c r="N540" s="264">
        <f t="shared" si="89"/>
        <v>0.65</v>
      </c>
      <c r="O540" s="264">
        <f t="shared" si="89"/>
        <v>0.65</v>
      </c>
      <c r="P540" s="264">
        <f t="shared" si="89"/>
        <v>0.65</v>
      </c>
      <c r="Q540" s="264">
        <f t="shared" si="89"/>
        <v>0.65</v>
      </c>
      <c r="R540" s="264">
        <f t="shared" si="89"/>
        <v>0.65</v>
      </c>
      <c r="S540" s="5"/>
      <c r="T540" s="25"/>
      <c r="U540" s="5"/>
    </row>
    <row r="541" spans="1:21" s="3" customFormat="1" hidden="1" outlineLevel="1">
      <c r="A541" s="21"/>
      <c r="B541" s="228" t="s">
        <v>349</v>
      </c>
      <c r="C541" s="273" t="str">
        <f t="shared" si="88"/>
        <v>Natural Gas existing</v>
      </c>
      <c r="D541" s="228"/>
      <c r="E541" s="355"/>
      <c r="F541" s="228" t="s">
        <v>96</v>
      </c>
      <c r="G541" s="5"/>
      <c r="H541" s="261">
        <v>0.3</v>
      </c>
      <c r="I541" s="264">
        <f t="shared" si="89"/>
        <v>0.3</v>
      </c>
      <c r="J541" s="264">
        <f t="shared" si="89"/>
        <v>0.3</v>
      </c>
      <c r="K541" s="264">
        <f t="shared" si="89"/>
        <v>0.3</v>
      </c>
      <c r="L541" s="264">
        <f t="shared" si="89"/>
        <v>0.3</v>
      </c>
      <c r="M541" s="264">
        <f t="shared" si="89"/>
        <v>0.3</v>
      </c>
      <c r="N541" s="264">
        <f t="shared" si="89"/>
        <v>0.3</v>
      </c>
      <c r="O541" s="264">
        <f t="shared" si="89"/>
        <v>0.3</v>
      </c>
      <c r="P541" s="264">
        <f t="shared" si="89"/>
        <v>0.3</v>
      </c>
      <c r="Q541" s="264">
        <f t="shared" si="89"/>
        <v>0.3</v>
      </c>
      <c r="R541" s="264">
        <f t="shared" si="89"/>
        <v>0.3</v>
      </c>
      <c r="S541" s="5"/>
      <c r="T541" s="25"/>
      <c r="U541" s="5"/>
    </row>
    <row r="542" spans="1:21" s="3" customFormat="1" hidden="1" outlineLevel="1">
      <c r="A542" s="21"/>
      <c r="B542" s="228" t="s">
        <v>74</v>
      </c>
      <c r="C542" s="273" t="str">
        <f t="shared" si="88"/>
        <v>Natural Gas existing</v>
      </c>
      <c r="D542" s="228"/>
      <c r="E542" s="355"/>
      <c r="F542" s="228" t="s">
        <v>96</v>
      </c>
      <c r="G542" s="5"/>
      <c r="H542" s="261">
        <v>0.95</v>
      </c>
      <c r="I542" s="261"/>
      <c r="J542" s="261"/>
      <c r="K542" s="261"/>
      <c r="L542" s="261"/>
      <c r="M542" s="261"/>
      <c r="N542" s="261"/>
      <c r="O542" s="261"/>
      <c r="P542" s="261"/>
      <c r="Q542" s="261"/>
      <c r="R542" s="261"/>
      <c r="S542" s="5"/>
      <c r="T542" s="25"/>
      <c r="U542" s="5"/>
    </row>
    <row r="543" spans="1:21" s="3" customFormat="1" hidden="1" outlineLevel="1">
      <c r="A543" s="21"/>
      <c r="B543" s="358" t="s">
        <v>146</v>
      </c>
      <c r="C543" s="273" t="str">
        <f t="shared" si="88"/>
        <v>Natural Gas existing</v>
      </c>
      <c r="D543" s="359"/>
      <c r="E543" s="360"/>
      <c r="F543" s="358" t="s">
        <v>96</v>
      </c>
      <c r="G543" s="5"/>
      <c r="H543" s="261"/>
      <c r="I543" s="261"/>
      <c r="J543" s="261"/>
      <c r="K543" s="261"/>
      <c r="L543" s="261"/>
      <c r="M543" s="261"/>
      <c r="N543" s="261"/>
      <c r="O543" s="261"/>
      <c r="P543" s="261"/>
      <c r="Q543" s="261"/>
      <c r="R543" s="261"/>
      <c r="S543" s="5"/>
      <c r="T543" s="25"/>
      <c r="U543" s="5"/>
    </row>
    <row r="544" spans="1:21" s="3" customFormat="1" hidden="1" outlineLevel="1">
      <c r="A544" s="21"/>
      <c r="B544" s="358" t="s">
        <v>147</v>
      </c>
      <c r="C544" s="273" t="str">
        <f t="shared" si="88"/>
        <v>Natural Gas existing</v>
      </c>
      <c r="D544" s="359"/>
      <c r="E544" s="360"/>
      <c r="F544" s="358" t="s">
        <v>96</v>
      </c>
      <c r="G544" s="5"/>
      <c r="H544" s="261"/>
      <c r="I544" s="261"/>
      <c r="J544" s="261"/>
      <c r="K544" s="261"/>
      <c r="L544" s="261"/>
      <c r="M544" s="261"/>
      <c r="N544" s="261"/>
      <c r="O544" s="261"/>
      <c r="P544" s="261"/>
      <c r="Q544" s="261"/>
      <c r="R544" s="261"/>
      <c r="S544" s="5"/>
      <c r="T544" s="25"/>
      <c r="U544" s="5"/>
    </row>
    <row r="545" spans="1:21" s="3" customFormat="1" hidden="1" outlineLevel="1">
      <c r="A545" s="21"/>
      <c r="B545" s="358" t="s">
        <v>362</v>
      </c>
      <c r="C545" s="273" t="str">
        <f t="shared" si="88"/>
        <v>Natural Gas existing</v>
      </c>
      <c r="D545" s="359"/>
      <c r="E545" s="360"/>
      <c r="F545" s="358" t="s">
        <v>96</v>
      </c>
      <c r="G545" s="5"/>
      <c r="H545" s="261"/>
      <c r="I545" s="261"/>
      <c r="J545" s="261"/>
      <c r="K545" s="261"/>
      <c r="L545" s="261"/>
      <c r="M545" s="261"/>
      <c r="N545" s="261"/>
      <c r="O545" s="261"/>
      <c r="P545" s="261"/>
      <c r="Q545" s="261"/>
      <c r="R545" s="261"/>
      <c r="S545" s="5"/>
      <c r="T545" s="25"/>
      <c r="U545" s="5"/>
    </row>
    <row r="546" spans="1:21" s="3" customFormat="1" hidden="1" outlineLevel="1">
      <c r="A546" s="21"/>
      <c r="B546" s="358" t="s">
        <v>363</v>
      </c>
      <c r="C546" s="273" t="str">
        <f t="shared" si="88"/>
        <v>Natural Gas existing</v>
      </c>
      <c r="D546" s="359"/>
      <c r="E546" s="360"/>
      <c r="F546" s="358" t="s">
        <v>96</v>
      </c>
      <c r="G546" s="5"/>
      <c r="H546" s="261"/>
      <c r="I546" s="261"/>
      <c r="J546" s="261"/>
      <c r="K546" s="261"/>
      <c r="L546" s="261"/>
      <c r="M546" s="261"/>
      <c r="N546" s="261"/>
      <c r="O546" s="261"/>
      <c r="P546" s="261"/>
      <c r="Q546" s="261"/>
      <c r="R546" s="261"/>
      <c r="S546" s="5"/>
      <c r="T546" s="25"/>
      <c r="U546" s="5"/>
    </row>
    <row r="547" spans="1:21" s="3" customFormat="1" hidden="1" outlineLevel="1">
      <c r="A547" s="21"/>
      <c r="B547" s="228" t="s">
        <v>332</v>
      </c>
      <c r="C547" s="273" t="str">
        <f t="shared" si="88"/>
        <v>Natural Gas existing</v>
      </c>
      <c r="D547" s="228"/>
      <c r="E547" s="355"/>
      <c r="F547" s="228" t="s">
        <v>33</v>
      </c>
      <c r="G547" s="5"/>
      <c r="H547" s="29">
        <v>642.4</v>
      </c>
      <c r="I547" s="362">
        <f t="shared" ref="I547:R548" si="90">H547</f>
        <v>642.4</v>
      </c>
      <c r="J547" s="362">
        <f t="shared" si="90"/>
        <v>642.4</v>
      </c>
      <c r="K547" s="362">
        <f t="shared" si="90"/>
        <v>642.4</v>
      </c>
      <c r="L547" s="362">
        <f t="shared" si="90"/>
        <v>642.4</v>
      </c>
      <c r="M547" s="362">
        <f t="shared" si="90"/>
        <v>642.4</v>
      </c>
      <c r="N547" s="362">
        <f t="shared" si="90"/>
        <v>642.4</v>
      </c>
      <c r="O547" s="362">
        <f t="shared" si="90"/>
        <v>642.4</v>
      </c>
      <c r="P547" s="362">
        <f t="shared" si="90"/>
        <v>642.4</v>
      </c>
      <c r="Q547" s="362">
        <f t="shared" si="90"/>
        <v>642.4</v>
      </c>
      <c r="R547" s="362">
        <f t="shared" si="90"/>
        <v>642.4</v>
      </c>
      <c r="S547" s="5"/>
      <c r="T547" s="25"/>
      <c r="U547" s="5"/>
    </row>
    <row r="548" spans="1:21" s="3" customFormat="1" hidden="1" outlineLevel="1">
      <c r="A548" s="21"/>
      <c r="B548" s="228" t="s">
        <v>470</v>
      </c>
      <c r="C548" s="273" t="str">
        <f t="shared" si="88"/>
        <v>Natural Gas existing</v>
      </c>
      <c r="D548" s="228"/>
      <c r="E548" s="355"/>
      <c r="F548" s="228" t="s">
        <v>316</v>
      </c>
      <c r="G548" s="5"/>
      <c r="H548" s="54">
        <v>2962.596</v>
      </c>
      <c r="I548" s="270">
        <f t="shared" si="90"/>
        <v>2962.596</v>
      </c>
      <c r="J548" s="270">
        <f t="shared" si="90"/>
        <v>2962.596</v>
      </c>
      <c r="K548" s="270">
        <f t="shared" si="90"/>
        <v>2962.596</v>
      </c>
      <c r="L548" s="270">
        <f t="shared" si="90"/>
        <v>2962.596</v>
      </c>
      <c r="M548" s="270">
        <f t="shared" si="90"/>
        <v>2962.596</v>
      </c>
      <c r="N548" s="270">
        <f t="shared" si="90"/>
        <v>2962.596</v>
      </c>
      <c r="O548" s="270">
        <f t="shared" si="90"/>
        <v>2962.596</v>
      </c>
      <c r="P548" s="270">
        <f t="shared" si="90"/>
        <v>2962.596</v>
      </c>
      <c r="Q548" s="270">
        <f t="shared" si="90"/>
        <v>2962.596</v>
      </c>
      <c r="R548" s="270">
        <f t="shared" si="90"/>
        <v>2962.596</v>
      </c>
      <c r="S548" s="5"/>
      <c r="T548" s="25"/>
      <c r="U548" s="5"/>
    </row>
    <row r="549" spans="1:21" s="3" customFormat="1" hidden="1" outlineLevel="1">
      <c r="A549" s="21"/>
      <c r="B549" s="228" t="s">
        <v>375</v>
      </c>
      <c r="C549" s="273" t="str">
        <f t="shared" si="88"/>
        <v>Natural Gas existing</v>
      </c>
      <c r="D549" s="228"/>
      <c r="E549" s="355"/>
      <c r="F549" s="228" t="s">
        <v>96</v>
      </c>
      <c r="G549" s="5"/>
      <c r="H549" s="261"/>
      <c r="I549" s="261"/>
      <c r="J549" s="261"/>
      <c r="K549" s="261"/>
      <c r="L549" s="261"/>
      <c r="M549" s="261"/>
      <c r="N549" s="261"/>
      <c r="O549" s="261"/>
      <c r="P549" s="261"/>
      <c r="Q549" s="261"/>
      <c r="R549" s="261"/>
      <c r="S549" s="5"/>
      <c r="T549" s="25"/>
      <c r="U549" s="5"/>
    </row>
    <row r="550" spans="1:21" s="3" customFormat="1" hidden="1" outlineLevel="1">
      <c r="A550" s="21"/>
      <c r="B550" s="228" t="s">
        <v>432</v>
      </c>
      <c r="C550" s="273" t="str">
        <f t="shared" si="88"/>
        <v>Natural Gas existing</v>
      </c>
      <c r="D550" s="228"/>
      <c r="E550" s="355"/>
      <c r="F550" s="228" t="s">
        <v>33</v>
      </c>
      <c r="G550" s="5"/>
      <c r="H550" s="55"/>
      <c r="I550" s="55"/>
      <c r="J550" s="55"/>
      <c r="K550" s="55"/>
      <c r="L550" s="55"/>
      <c r="M550" s="55"/>
      <c r="N550" s="55"/>
      <c r="O550" s="55"/>
      <c r="P550" s="55"/>
      <c r="Q550" s="55"/>
      <c r="R550" s="55"/>
      <c r="S550" s="5"/>
      <c r="T550" s="25"/>
      <c r="U550" s="5"/>
    </row>
    <row r="551" spans="1:21" s="3" customFormat="1" hidden="1" outlineLevel="1">
      <c r="A551" s="21"/>
      <c r="B551" s="228" t="s">
        <v>379</v>
      </c>
      <c r="C551" s="273" t="str">
        <f t="shared" si="88"/>
        <v>Natural Gas existing</v>
      </c>
      <c r="D551" s="228"/>
      <c r="E551" s="355"/>
      <c r="F551" s="228"/>
      <c r="G551" s="5"/>
      <c r="H551" s="54"/>
      <c r="I551" s="54"/>
      <c r="J551" s="54"/>
      <c r="K551" s="54"/>
      <c r="L551" s="54"/>
      <c r="M551" s="54"/>
      <c r="N551" s="54"/>
      <c r="O551" s="54"/>
      <c r="P551" s="54"/>
      <c r="Q551" s="54"/>
      <c r="R551" s="54"/>
      <c r="S551" s="5"/>
      <c r="T551" s="25"/>
      <c r="U551" s="5"/>
    </row>
    <row r="552" spans="1:21" s="3" customFormat="1" hidden="1" outlineLevel="1">
      <c r="A552" s="21"/>
      <c r="B552" s="228" t="s">
        <v>361</v>
      </c>
      <c r="C552" s="273" t="str">
        <f t="shared" si="88"/>
        <v>Natural Gas existing</v>
      </c>
      <c r="D552" s="228"/>
      <c r="E552" s="355"/>
      <c r="F552" s="228" t="s">
        <v>96</v>
      </c>
      <c r="G552" s="5"/>
      <c r="H552" s="261"/>
      <c r="I552" s="261"/>
      <c r="J552" s="261"/>
      <c r="K552" s="261"/>
      <c r="L552" s="261"/>
      <c r="M552" s="261"/>
      <c r="N552" s="261"/>
      <c r="O552" s="261"/>
      <c r="P552" s="261"/>
      <c r="Q552" s="261"/>
      <c r="R552" s="261"/>
      <c r="S552" s="5"/>
      <c r="T552" s="25"/>
      <c r="U552" s="5"/>
    </row>
    <row r="553" spans="1:21" s="3" customFormat="1" hidden="1" outlineLevel="1">
      <c r="A553" s="21"/>
      <c r="B553" s="228" t="s">
        <v>384</v>
      </c>
      <c r="C553" s="273" t="str">
        <f t="shared" si="88"/>
        <v>Natural Gas existing</v>
      </c>
      <c r="D553" s="228"/>
      <c r="E553" s="355"/>
      <c r="F553" s="228" t="s">
        <v>316</v>
      </c>
      <c r="G553" s="5"/>
      <c r="H553" s="54"/>
      <c r="I553" s="54"/>
      <c r="J553" s="54"/>
      <c r="K553" s="54"/>
      <c r="L553" s="54"/>
      <c r="M553" s="54"/>
      <c r="N553" s="54"/>
      <c r="O553" s="54"/>
      <c r="P553" s="54"/>
      <c r="Q553" s="54"/>
      <c r="R553" s="54"/>
      <c r="S553" s="5"/>
      <c r="T553" s="25"/>
      <c r="U553" s="5"/>
    </row>
    <row r="554" spans="1:21" s="3" customFormat="1" hidden="1" outlineLevel="1">
      <c r="A554" s="21"/>
      <c r="B554" s="228" t="s">
        <v>386</v>
      </c>
      <c r="C554" s="273" t="str">
        <f t="shared" si="88"/>
        <v>Natural Gas existing</v>
      </c>
      <c r="D554" s="228"/>
      <c r="E554" s="355"/>
      <c r="F554" s="228" t="s">
        <v>316</v>
      </c>
      <c r="G554" s="5"/>
      <c r="H554" s="55"/>
      <c r="I554" s="55"/>
      <c r="J554" s="55"/>
      <c r="K554" s="55"/>
      <c r="L554" s="55"/>
      <c r="M554" s="55"/>
      <c r="N554" s="55"/>
      <c r="O554" s="55"/>
      <c r="P554" s="55"/>
      <c r="Q554" s="55"/>
      <c r="R554" s="55"/>
      <c r="S554" s="5"/>
      <c r="T554" s="25"/>
      <c r="U554" s="5"/>
    </row>
    <row r="555" spans="1:21" s="3" customFormat="1" hidden="1" outlineLevel="1">
      <c r="A555" s="21"/>
      <c r="B555" s="228" t="s">
        <v>387</v>
      </c>
      <c r="C555" s="273" t="str">
        <f t="shared" si="88"/>
        <v>Natural Gas existing</v>
      </c>
      <c r="D555" s="228"/>
      <c r="E555" s="355"/>
      <c r="F555" s="228"/>
      <c r="G555" s="5"/>
      <c r="H555" s="261"/>
      <c r="I555" s="261"/>
      <c r="J555" s="261"/>
      <c r="K555" s="261"/>
      <c r="L555" s="261"/>
      <c r="M555" s="261"/>
      <c r="N555" s="261"/>
      <c r="O555" s="261"/>
      <c r="P555" s="261"/>
      <c r="Q555" s="261"/>
      <c r="R555" s="261"/>
      <c r="S555" s="5"/>
      <c r="T555" s="25"/>
      <c r="U555" s="5"/>
    </row>
    <row r="556" spans="1:21" s="3" customFormat="1" hidden="1" outlineLevel="1">
      <c r="A556" s="21"/>
      <c r="B556" s="228" t="s">
        <v>388</v>
      </c>
      <c r="C556" s="273" t="str">
        <f t="shared" si="88"/>
        <v>Natural Gas existing</v>
      </c>
      <c r="D556" s="228"/>
      <c r="E556" s="355"/>
      <c r="F556" s="228"/>
      <c r="G556" s="5"/>
      <c r="H556" s="55"/>
      <c r="I556" s="55"/>
      <c r="J556" s="55"/>
      <c r="K556" s="55"/>
      <c r="L556" s="55"/>
      <c r="M556" s="55"/>
      <c r="N556" s="55"/>
      <c r="O556" s="55"/>
      <c r="P556" s="55"/>
      <c r="Q556" s="55"/>
      <c r="R556" s="55"/>
      <c r="S556" s="5"/>
      <c r="T556" s="25"/>
      <c r="U556" s="5"/>
    </row>
    <row r="557" spans="1:21" s="3" customFormat="1" hidden="1" outlineLevel="1">
      <c r="A557" s="21"/>
      <c r="B557" s="228" t="s">
        <v>385</v>
      </c>
      <c r="C557" s="273" t="str">
        <f t="shared" si="88"/>
        <v>Natural Gas existing</v>
      </c>
      <c r="D557" s="228"/>
      <c r="E557" s="355"/>
      <c r="F557" s="228" t="s">
        <v>317</v>
      </c>
      <c r="G557" s="5"/>
      <c r="H557" s="54"/>
      <c r="I557" s="54"/>
      <c r="J557" s="54"/>
      <c r="K557" s="54"/>
      <c r="L557" s="54"/>
      <c r="M557" s="54"/>
      <c r="N557" s="54"/>
      <c r="O557" s="54"/>
      <c r="P557" s="54"/>
      <c r="Q557" s="54"/>
      <c r="R557" s="54"/>
      <c r="S557" s="5"/>
      <c r="T557" s="25"/>
      <c r="U557" s="5"/>
    </row>
    <row r="558" spans="1:21" s="3" customFormat="1" hidden="1" outlineLevel="1">
      <c r="A558" s="21"/>
      <c r="B558" s="228" t="s">
        <v>389</v>
      </c>
      <c r="C558" s="273" t="str">
        <f t="shared" si="88"/>
        <v>Natural Gas existing</v>
      </c>
      <c r="D558" s="228"/>
      <c r="E558" s="355"/>
      <c r="F558" s="228" t="s">
        <v>317</v>
      </c>
      <c r="G558" s="5"/>
      <c r="H558" s="55"/>
      <c r="I558" s="55"/>
      <c r="J558" s="55"/>
      <c r="K558" s="55"/>
      <c r="L558" s="55"/>
      <c r="M558" s="55"/>
      <c r="N558" s="55"/>
      <c r="O558" s="55"/>
      <c r="P558" s="55"/>
      <c r="Q558" s="55"/>
      <c r="R558" s="55"/>
      <c r="S558" s="5"/>
      <c r="T558" s="25"/>
      <c r="U558" s="5"/>
    </row>
    <row r="559" spans="1:21" s="3" customFormat="1" hidden="1" outlineLevel="1">
      <c r="A559" s="21"/>
      <c r="B559" s="228" t="s">
        <v>390</v>
      </c>
      <c r="C559" s="273" t="str">
        <f t="shared" si="88"/>
        <v>Natural Gas existing</v>
      </c>
      <c r="D559" s="228"/>
      <c r="E559" s="355"/>
      <c r="F559" s="228"/>
      <c r="G559" s="5"/>
      <c r="H559" s="261"/>
      <c r="I559" s="261"/>
      <c r="J559" s="261"/>
      <c r="K559" s="261"/>
      <c r="L559" s="261"/>
      <c r="M559" s="261"/>
      <c r="N559" s="261"/>
      <c r="O559" s="261"/>
      <c r="P559" s="261"/>
      <c r="Q559" s="261"/>
      <c r="R559" s="261"/>
      <c r="S559" s="5"/>
      <c r="T559" s="25"/>
      <c r="U559" s="5"/>
    </row>
    <row r="560" spans="1:21" s="3" customFormat="1" hidden="1" outlineLevel="1">
      <c r="A560" s="21"/>
      <c r="B560" s="228" t="s">
        <v>391</v>
      </c>
      <c r="C560" s="273" t="str">
        <f t="shared" si="88"/>
        <v>Natural Gas existing</v>
      </c>
      <c r="D560" s="228"/>
      <c r="E560" s="355"/>
      <c r="F560" s="228"/>
      <c r="G560" s="5"/>
      <c r="H560" s="55"/>
      <c r="I560" s="55"/>
      <c r="J560" s="55"/>
      <c r="K560" s="55"/>
      <c r="L560" s="55"/>
      <c r="M560" s="55"/>
      <c r="N560" s="55"/>
      <c r="O560" s="55"/>
      <c r="P560" s="55"/>
      <c r="Q560" s="55"/>
      <c r="R560" s="55"/>
      <c r="S560" s="5"/>
      <c r="T560" s="25"/>
      <c r="U560" s="5"/>
    </row>
    <row r="561" spans="1:21" s="3" customFormat="1" hidden="1" outlineLevel="1">
      <c r="A561" s="21"/>
      <c r="B561" s="228" t="s">
        <v>305</v>
      </c>
      <c r="C561" s="273" t="str">
        <f t="shared" si="88"/>
        <v>Natural Gas existing</v>
      </c>
      <c r="D561" s="228"/>
      <c r="E561" s="355"/>
      <c r="F561" s="228" t="s">
        <v>317</v>
      </c>
      <c r="G561" s="5"/>
      <c r="H561" s="54">
        <v>12.217000000000001</v>
      </c>
      <c r="I561" s="270">
        <f t="shared" ref="I561:R561" si="91">H561</f>
        <v>12.217000000000001</v>
      </c>
      <c r="J561" s="270">
        <f t="shared" si="91"/>
        <v>12.217000000000001</v>
      </c>
      <c r="K561" s="270">
        <f t="shared" si="91"/>
        <v>12.217000000000001</v>
      </c>
      <c r="L561" s="270">
        <f t="shared" si="91"/>
        <v>12.217000000000001</v>
      </c>
      <c r="M561" s="270">
        <f t="shared" si="91"/>
        <v>12.217000000000001</v>
      </c>
      <c r="N561" s="270">
        <f t="shared" si="91"/>
        <v>12.217000000000001</v>
      </c>
      <c r="O561" s="270">
        <f t="shared" si="91"/>
        <v>12.217000000000001</v>
      </c>
      <c r="P561" s="270">
        <f t="shared" si="91"/>
        <v>12.217000000000001</v>
      </c>
      <c r="Q561" s="270">
        <f t="shared" si="91"/>
        <v>12.217000000000001</v>
      </c>
      <c r="R561" s="270">
        <f t="shared" si="91"/>
        <v>12.217000000000001</v>
      </c>
      <c r="S561" s="5"/>
      <c r="T561" s="25"/>
      <c r="U561" s="5"/>
    </row>
    <row r="562" spans="1:21" s="3" customFormat="1" ht="16" hidden="1" customHeight="1" outlineLevel="1">
      <c r="A562" s="21"/>
      <c r="B562" s="228" t="s">
        <v>352</v>
      </c>
      <c r="C562" s="273" t="str">
        <f t="shared" si="88"/>
        <v>Natural Gas existing</v>
      </c>
      <c r="D562" s="228"/>
      <c r="E562" s="355"/>
      <c r="F562" s="228" t="s">
        <v>316</v>
      </c>
      <c r="G562" s="5"/>
      <c r="H562" s="54"/>
      <c r="I562" s="54"/>
      <c r="J562" s="54"/>
      <c r="K562" s="54"/>
      <c r="L562" s="54"/>
      <c r="M562" s="54"/>
      <c r="N562" s="54"/>
      <c r="O562" s="54"/>
      <c r="P562" s="54"/>
      <c r="Q562" s="54"/>
      <c r="R562" s="54"/>
      <c r="S562" s="5"/>
      <c r="T562" s="25"/>
      <c r="U562" s="5"/>
    </row>
    <row r="563" spans="1:21" s="3" customFormat="1" hidden="1" outlineLevel="1">
      <c r="A563" s="21"/>
      <c r="B563" s="67" t="s">
        <v>301</v>
      </c>
      <c r="C563" s="273" t="str">
        <f t="shared" si="88"/>
        <v>Natural Gas existing</v>
      </c>
      <c r="D563" s="4" t="s">
        <v>460</v>
      </c>
      <c r="E563" s="347"/>
      <c r="F563" s="67" t="s">
        <v>33</v>
      </c>
      <c r="G563" s="5"/>
      <c r="H563" s="350">
        <v>0.376</v>
      </c>
      <c r="I563" s="363">
        <f t="shared" ref="I563:R563" si="92">H563</f>
        <v>0.376</v>
      </c>
      <c r="J563" s="363">
        <f t="shared" si="92"/>
        <v>0.376</v>
      </c>
      <c r="K563" s="363">
        <f t="shared" si="92"/>
        <v>0.376</v>
      </c>
      <c r="L563" s="363">
        <f t="shared" si="92"/>
        <v>0.376</v>
      </c>
      <c r="M563" s="363">
        <f t="shared" si="92"/>
        <v>0.376</v>
      </c>
      <c r="N563" s="363">
        <f t="shared" si="92"/>
        <v>0.376</v>
      </c>
      <c r="O563" s="363">
        <f t="shared" si="92"/>
        <v>0.376</v>
      </c>
      <c r="P563" s="363">
        <f t="shared" si="92"/>
        <v>0.376</v>
      </c>
      <c r="Q563" s="363">
        <f t="shared" si="92"/>
        <v>0.376</v>
      </c>
      <c r="R563" s="363">
        <f t="shared" si="92"/>
        <v>0.376</v>
      </c>
      <c r="S563" s="5"/>
      <c r="T563" s="25"/>
      <c r="U563" s="5"/>
    </row>
    <row r="564" spans="1:21" s="3" customFormat="1" hidden="1" outlineLevel="1">
      <c r="A564" s="21"/>
      <c r="B564" s="67" t="s">
        <v>50</v>
      </c>
      <c r="C564" s="273" t="s">
        <v>476</v>
      </c>
      <c r="D564" s="4"/>
      <c r="E564" s="347"/>
      <c r="G564" s="5"/>
      <c r="H564" s="4"/>
      <c r="I564" s="4"/>
      <c r="J564" s="4"/>
      <c r="K564" s="4"/>
      <c r="L564" s="4"/>
      <c r="M564" s="4"/>
      <c r="N564" s="4"/>
      <c r="O564" s="4"/>
      <c r="P564" s="4"/>
      <c r="Q564" s="4"/>
      <c r="R564" s="4"/>
      <c r="S564" s="5"/>
      <c r="T564" s="25"/>
      <c r="U564" s="5"/>
    </row>
    <row r="565" spans="1:21" s="3" customFormat="1" hidden="1" outlineLevel="1">
      <c r="A565" s="21"/>
      <c r="B565" s="228" t="s">
        <v>37</v>
      </c>
      <c r="C565" s="273" t="str">
        <f>C564</f>
        <v>Electric existing</v>
      </c>
      <c r="D565" s="228"/>
      <c r="E565" s="355"/>
      <c r="F565" s="228" t="s">
        <v>39</v>
      </c>
      <c r="G565" s="5"/>
      <c r="H565" s="265">
        <v>1990</v>
      </c>
      <c r="I565" s="356">
        <f t="shared" ref="I565:R567" si="93">H565</f>
        <v>1990</v>
      </c>
      <c r="J565" s="356">
        <f t="shared" si="93"/>
        <v>1990</v>
      </c>
      <c r="K565" s="356">
        <f t="shared" si="93"/>
        <v>1990</v>
      </c>
      <c r="L565" s="356">
        <f t="shared" si="93"/>
        <v>1990</v>
      </c>
      <c r="M565" s="356">
        <f t="shared" si="93"/>
        <v>1990</v>
      </c>
      <c r="N565" s="356">
        <f t="shared" si="93"/>
        <v>1990</v>
      </c>
      <c r="O565" s="356">
        <f t="shared" si="93"/>
        <v>1990</v>
      </c>
      <c r="P565" s="356">
        <f t="shared" si="93"/>
        <v>1990</v>
      </c>
      <c r="Q565" s="356">
        <f t="shared" si="93"/>
        <v>1990</v>
      </c>
      <c r="R565" s="356">
        <f t="shared" si="93"/>
        <v>1990</v>
      </c>
      <c r="S565" s="5"/>
      <c r="T565" s="25"/>
      <c r="U565" s="5"/>
    </row>
    <row r="566" spans="1:21" s="3" customFormat="1" hidden="1" outlineLevel="1">
      <c r="A566" s="21"/>
      <c r="B566" s="228" t="s">
        <v>36</v>
      </c>
      <c r="C566" s="273" t="str">
        <f t="shared" ref="C566:C593" si="94">C565</f>
        <v>Electric existing</v>
      </c>
      <c r="D566" s="228"/>
      <c r="E566" s="355"/>
      <c r="F566" s="228" t="s">
        <v>39</v>
      </c>
      <c r="G566" s="5"/>
      <c r="H566" s="265">
        <v>2000</v>
      </c>
      <c r="I566" s="356">
        <f t="shared" si="93"/>
        <v>2000</v>
      </c>
      <c r="J566" s="356">
        <f t="shared" si="93"/>
        <v>2000</v>
      </c>
      <c r="K566" s="356">
        <f t="shared" si="93"/>
        <v>2000</v>
      </c>
      <c r="L566" s="356">
        <f t="shared" si="93"/>
        <v>2000</v>
      </c>
      <c r="M566" s="356">
        <f t="shared" si="93"/>
        <v>2000</v>
      </c>
      <c r="N566" s="356">
        <f t="shared" si="93"/>
        <v>2000</v>
      </c>
      <c r="O566" s="356">
        <f t="shared" si="93"/>
        <v>2000</v>
      </c>
      <c r="P566" s="356">
        <f t="shared" si="93"/>
        <v>2000</v>
      </c>
      <c r="Q566" s="356">
        <f t="shared" si="93"/>
        <v>2000</v>
      </c>
      <c r="R566" s="356">
        <f t="shared" si="93"/>
        <v>2000</v>
      </c>
      <c r="S566" s="5"/>
      <c r="T566" s="25"/>
      <c r="U566" s="5"/>
    </row>
    <row r="567" spans="1:21" s="3" customFormat="1" hidden="1" outlineLevel="1">
      <c r="A567" s="21"/>
      <c r="B567" s="228" t="s">
        <v>38</v>
      </c>
      <c r="C567" s="273" t="str">
        <f t="shared" si="94"/>
        <v>Electric existing</v>
      </c>
      <c r="D567" s="228"/>
      <c r="E567" s="355"/>
      <c r="F567" s="228" t="s">
        <v>10</v>
      </c>
      <c r="G567" s="5"/>
      <c r="H567" s="55">
        <v>9</v>
      </c>
      <c r="I567" s="253">
        <f t="shared" si="93"/>
        <v>9</v>
      </c>
      <c r="J567" s="253">
        <f t="shared" si="93"/>
        <v>9</v>
      </c>
      <c r="K567" s="253">
        <f t="shared" si="93"/>
        <v>9</v>
      </c>
      <c r="L567" s="253">
        <f t="shared" si="93"/>
        <v>9</v>
      </c>
      <c r="M567" s="253">
        <f t="shared" si="93"/>
        <v>9</v>
      </c>
      <c r="N567" s="253">
        <f t="shared" si="93"/>
        <v>9</v>
      </c>
      <c r="O567" s="253">
        <f t="shared" si="93"/>
        <v>9</v>
      </c>
      <c r="P567" s="253">
        <f t="shared" si="93"/>
        <v>9</v>
      </c>
      <c r="Q567" s="253">
        <f t="shared" si="93"/>
        <v>9</v>
      </c>
      <c r="R567" s="253">
        <f t="shared" si="93"/>
        <v>9</v>
      </c>
      <c r="S567" s="5"/>
      <c r="T567" s="25"/>
      <c r="U567" s="5"/>
    </row>
    <row r="568" spans="1:21" s="3" customFormat="1" hidden="1" outlineLevel="1">
      <c r="A568" s="21"/>
      <c r="B568" s="228" t="s">
        <v>353</v>
      </c>
      <c r="C568" s="273" t="str">
        <f t="shared" si="94"/>
        <v>Electric existing</v>
      </c>
      <c r="D568" s="228"/>
      <c r="E568" s="355"/>
      <c r="F568" s="228" t="s">
        <v>10</v>
      </c>
      <c r="G568" s="5"/>
      <c r="H568" s="55"/>
      <c r="I568" s="55"/>
      <c r="J568" s="55"/>
      <c r="K568" s="55"/>
      <c r="L568" s="55"/>
      <c r="M568" s="55"/>
      <c r="N568" s="55"/>
      <c r="O568" s="55"/>
      <c r="P568" s="55"/>
      <c r="Q568" s="55"/>
      <c r="R568" s="55"/>
      <c r="S568" s="5"/>
      <c r="T568" s="25"/>
      <c r="U568" s="5"/>
    </row>
    <row r="569" spans="1:21" s="3" customFormat="1" hidden="1" outlineLevel="1">
      <c r="A569" s="21"/>
      <c r="B569" s="228" t="s">
        <v>304</v>
      </c>
      <c r="C569" s="273" t="str">
        <f t="shared" si="94"/>
        <v>Electric existing</v>
      </c>
      <c r="D569" s="228"/>
      <c r="E569" s="355"/>
      <c r="F569" s="228" t="s">
        <v>96</v>
      </c>
      <c r="G569" s="5"/>
      <c r="H569" s="261">
        <v>0.1</v>
      </c>
      <c r="I569" s="264">
        <f t="shared" ref="I569:R571" si="95">H569</f>
        <v>0.1</v>
      </c>
      <c r="J569" s="264">
        <f t="shared" si="95"/>
        <v>0.1</v>
      </c>
      <c r="K569" s="264">
        <f t="shared" si="95"/>
        <v>0.1</v>
      </c>
      <c r="L569" s="264">
        <f t="shared" si="95"/>
        <v>0.1</v>
      </c>
      <c r="M569" s="264">
        <f t="shared" si="95"/>
        <v>0.1</v>
      </c>
      <c r="N569" s="264">
        <f t="shared" si="95"/>
        <v>0.1</v>
      </c>
      <c r="O569" s="264">
        <f t="shared" si="95"/>
        <v>0.1</v>
      </c>
      <c r="P569" s="264">
        <f t="shared" si="95"/>
        <v>0.1</v>
      </c>
      <c r="Q569" s="264">
        <f t="shared" si="95"/>
        <v>0.1</v>
      </c>
      <c r="R569" s="264">
        <f t="shared" si="95"/>
        <v>0.1</v>
      </c>
      <c r="S569" s="5"/>
      <c r="T569" s="25"/>
      <c r="U569" s="5"/>
    </row>
    <row r="570" spans="1:21" s="3" customFormat="1" hidden="1" outlineLevel="1">
      <c r="A570" s="21"/>
      <c r="B570" s="228" t="s">
        <v>350</v>
      </c>
      <c r="C570" s="273" t="str">
        <f t="shared" si="94"/>
        <v>Electric existing</v>
      </c>
      <c r="D570" s="228"/>
      <c r="E570" s="355"/>
      <c r="F570" s="228" t="s">
        <v>96</v>
      </c>
      <c r="G570" s="5"/>
      <c r="H570" s="261">
        <v>0.65</v>
      </c>
      <c r="I570" s="264">
        <f t="shared" si="95"/>
        <v>0.65</v>
      </c>
      <c r="J570" s="264">
        <f t="shared" si="95"/>
        <v>0.65</v>
      </c>
      <c r="K570" s="264">
        <f t="shared" si="95"/>
        <v>0.65</v>
      </c>
      <c r="L570" s="264">
        <f t="shared" si="95"/>
        <v>0.65</v>
      </c>
      <c r="M570" s="264">
        <f t="shared" si="95"/>
        <v>0.65</v>
      </c>
      <c r="N570" s="264">
        <f t="shared" si="95"/>
        <v>0.65</v>
      </c>
      <c r="O570" s="264">
        <f t="shared" si="95"/>
        <v>0.65</v>
      </c>
      <c r="P570" s="264">
        <f t="shared" si="95"/>
        <v>0.65</v>
      </c>
      <c r="Q570" s="264">
        <f t="shared" si="95"/>
        <v>0.65</v>
      </c>
      <c r="R570" s="264">
        <f t="shared" si="95"/>
        <v>0.65</v>
      </c>
      <c r="S570" s="5"/>
      <c r="T570" s="25"/>
      <c r="U570" s="5"/>
    </row>
    <row r="571" spans="1:21" s="3" customFormat="1" hidden="1" outlineLevel="1">
      <c r="A571" s="21"/>
      <c r="B571" s="228" t="s">
        <v>349</v>
      </c>
      <c r="C571" s="273" t="str">
        <f t="shared" si="94"/>
        <v>Electric existing</v>
      </c>
      <c r="D571" s="228"/>
      <c r="E571" s="355"/>
      <c r="F571" s="228" t="s">
        <v>96</v>
      </c>
      <c r="G571" s="5"/>
      <c r="H571" s="261">
        <v>0.3</v>
      </c>
      <c r="I571" s="264">
        <f t="shared" si="95"/>
        <v>0.3</v>
      </c>
      <c r="J571" s="264">
        <f t="shared" si="95"/>
        <v>0.3</v>
      </c>
      <c r="K571" s="264">
        <f t="shared" si="95"/>
        <v>0.3</v>
      </c>
      <c r="L571" s="264">
        <f t="shared" si="95"/>
        <v>0.3</v>
      </c>
      <c r="M571" s="264">
        <f t="shared" si="95"/>
        <v>0.3</v>
      </c>
      <c r="N571" s="264">
        <f t="shared" si="95"/>
        <v>0.3</v>
      </c>
      <c r="O571" s="264">
        <f t="shared" si="95"/>
        <v>0.3</v>
      </c>
      <c r="P571" s="264">
        <f t="shared" si="95"/>
        <v>0.3</v>
      </c>
      <c r="Q571" s="264">
        <f t="shared" si="95"/>
        <v>0.3</v>
      </c>
      <c r="R571" s="264">
        <f t="shared" si="95"/>
        <v>0.3</v>
      </c>
      <c r="S571" s="5"/>
      <c r="T571" s="25"/>
      <c r="U571" s="5"/>
    </row>
    <row r="572" spans="1:21" s="3" customFormat="1" hidden="1" outlineLevel="1">
      <c r="A572" s="21"/>
      <c r="B572" s="228" t="s">
        <v>74</v>
      </c>
      <c r="C572" s="273" t="str">
        <f t="shared" si="94"/>
        <v>Electric existing</v>
      </c>
      <c r="D572" s="228"/>
      <c r="E572" s="355"/>
      <c r="F572" s="228" t="s">
        <v>96</v>
      </c>
      <c r="G572" s="5"/>
      <c r="H572" s="261">
        <v>0.05</v>
      </c>
      <c r="I572" s="261"/>
      <c r="J572" s="261"/>
      <c r="K572" s="261"/>
      <c r="L572" s="261"/>
      <c r="M572" s="261"/>
      <c r="N572" s="261"/>
      <c r="O572" s="261"/>
      <c r="P572" s="261"/>
      <c r="Q572" s="261"/>
      <c r="R572" s="261"/>
      <c r="S572" s="5"/>
      <c r="T572" s="25"/>
      <c r="U572" s="5"/>
    </row>
    <row r="573" spans="1:21" s="3" customFormat="1" hidden="1" outlineLevel="1">
      <c r="A573" s="21"/>
      <c r="B573" s="358" t="s">
        <v>146</v>
      </c>
      <c r="C573" s="273" t="str">
        <f t="shared" si="94"/>
        <v>Electric existing</v>
      </c>
      <c r="D573" s="359"/>
      <c r="E573" s="360"/>
      <c r="F573" s="358" t="s">
        <v>96</v>
      </c>
      <c r="G573" s="5"/>
      <c r="H573" s="261"/>
      <c r="I573" s="261"/>
      <c r="J573" s="261"/>
      <c r="K573" s="261"/>
      <c r="L573" s="261"/>
      <c r="M573" s="261"/>
      <c r="N573" s="261"/>
      <c r="O573" s="261"/>
      <c r="P573" s="261"/>
      <c r="Q573" s="261"/>
      <c r="R573" s="261"/>
      <c r="S573" s="5"/>
      <c r="T573" s="25"/>
      <c r="U573" s="5"/>
    </row>
    <row r="574" spans="1:21" s="3" customFormat="1" hidden="1" outlineLevel="1">
      <c r="A574" s="21"/>
      <c r="B574" s="358" t="s">
        <v>147</v>
      </c>
      <c r="C574" s="273" t="str">
        <f t="shared" si="94"/>
        <v>Electric existing</v>
      </c>
      <c r="D574" s="359"/>
      <c r="E574" s="360"/>
      <c r="F574" s="358" t="s">
        <v>96</v>
      </c>
      <c r="G574" s="5"/>
      <c r="H574" s="261"/>
      <c r="I574" s="261"/>
      <c r="J574" s="261"/>
      <c r="K574" s="261"/>
      <c r="L574" s="261"/>
      <c r="M574" s="261"/>
      <c r="N574" s="261"/>
      <c r="O574" s="261"/>
      <c r="P574" s="261"/>
      <c r="Q574" s="261"/>
      <c r="R574" s="261"/>
      <c r="S574" s="5"/>
      <c r="T574" s="25"/>
      <c r="U574" s="5"/>
    </row>
    <row r="575" spans="1:21" s="3" customFormat="1" hidden="1" outlineLevel="1">
      <c r="A575" s="21"/>
      <c r="B575" s="358" t="s">
        <v>362</v>
      </c>
      <c r="C575" s="273" t="str">
        <f t="shared" si="94"/>
        <v>Electric existing</v>
      </c>
      <c r="D575" s="359"/>
      <c r="E575" s="360"/>
      <c r="F575" s="358" t="s">
        <v>96</v>
      </c>
      <c r="G575" s="5"/>
      <c r="H575" s="261"/>
      <c r="I575" s="261"/>
      <c r="J575" s="261"/>
      <c r="K575" s="261"/>
      <c r="L575" s="261"/>
      <c r="M575" s="261"/>
      <c r="N575" s="261"/>
      <c r="O575" s="261"/>
      <c r="P575" s="261"/>
      <c r="Q575" s="261"/>
      <c r="R575" s="261"/>
      <c r="S575" s="5"/>
      <c r="T575" s="25"/>
      <c r="U575" s="5"/>
    </row>
    <row r="576" spans="1:21" s="3" customFormat="1" hidden="1" outlineLevel="1">
      <c r="A576" s="21"/>
      <c r="B576" s="358" t="s">
        <v>363</v>
      </c>
      <c r="C576" s="273" t="str">
        <f t="shared" si="94"/>
        <v>Electric existing</v>
      </c>
      <c r="D576" s="359"/>
      <c r="E576" s="360"/>
      <c r="F576" s="358" t="s">
        <v>96</v>
      </c>
      <c r="G576" s="5"/>
      <c r="H576" s="261"/>
      <c r="I576" s="261"/>
      <c r="J576" s="261"/>
      <c r="K576" s="261"/>
      <c r="L576" s="261"/>
      <c r="M576" s="261"/>
      <c r="N576" s="261"/>
      <c r="O576" s="261"/>
      <c r="P576" s="261"/>
      <c r="Q576" s="261"/>
      <c r="R576" s="261"/>
      <c r="S576" s="5"/>
      <c r="T576" s="25"/>
      <c r="U576" s="5"/>
    </row>
    <row r="577" spans="1:21" s="3" customFormat="1" hidden="1" outlineLevel="1">
      <c r="A577" s="21"/>
      <c r="B577" s="228" t="s">
        <v>332</v>
      </c>
      <c r="C577" s="273" t="str">
        <f t="shared" si="94"/>
        <v>Electric existing</v>
      </c>
      <c r="D577" s="228"/>
      <c r="E577" s="355"/>
      <c r="F577" s="228" t="s">
        <v>33</v>
      </c>
      <c r="G577" s="5"/>
      <c r="H577" s="29">
        <v>642.4</v>
      </c>
      <c r="I577" s="362">
        <f t="shared" ref="I577:R578" si="96">H577</f>
        <v>642.4</v>
      </c>
      <c r="J577" s="362">
        <f t="shared" si="96"/>
        <v>642.4</v>
      </c>
      <c r="K577" s="362">
        <f t="shared" si="96"/>
        <v>642.4</v>
      </c>
      <c r="L577" s="362">
        <f t="shared" si="96"/>
        <v>642.4</v>
      </c>
      <c r="M577" s="362">
        <f t="shared" si="96"/>
        <v>642.4</v>
      </c>
      <c r="N577" s="362">
        <f t="shared" si="96"/>
        <v>642.4</v>
      </c>
      <c r="O577" s="362">
        <f t="shared" si="96"/>
        <v>642.4</v>
      </c>
      <c r="P577" s="362">
        <f t="shared" si="96"/>
        <v>642.4</v>
      </c>
      <c r="Q577" s="362">
        <f t="shared" si="96"/>
        <v>642.4</v>
      </c>
      <c r="R577" s="362">
        <f t="shared" si="96"/>
        <v>642.4</v>
      </c>
      <c r="S577" s="5"/>
      <c r="T577" s="25"/>
      <c r="U577" s="5"/>
    </row>
    <row r="578" spans="1:21" s="3" customFormat="1" hidden="1" outlineLevel="1">
      <c r="A578" s="21"/>
      <c r="B578" s="228" t="s">
        <v>470</v>
      </c>
      <c r="C578" s="273" t="str">
        <f t="shared" si="94"/>
        <v>Electric existing</v>
      </c>
      <c r="D578" s="228"/>
      <c r="E578" s="355"/>
      <c r="F578" s="228" t="s">
        <v>316</v>
      </c>
      <c r="G578" s="5"/>
      <c r="H578" s="54">
        <v>2647.9160000000002</v>
      </c>
      <c r="I578" s="270">
        <f t="shared" si="96"/>
        <v>2647.9160000000002</v>
      </c>
      <c r="J578" s="270">
        <f t="shared" si="96"/>
        <v>2647.9160000000002</v>
      </c>
      <c r="K578" s="270">
        <f t="shared" si="96"/>
        <v>2647.9160000000002</v>
      </c>
      <c r="L578" s="270">
        <f t="shared" si="96"/>
        <v>2647.9160000000002</v>
      </c>
      <c r="M578" s="270">
        <f t="shared" si="96"/>
        <v>2647.9160000000002</v>
      </c>
      <c r="N578" s="270">
        <f t="shared" si="96"/>
        <v>2647.9160000000002</v>
      </c>
      <c r="O578" s="270">
        <f t="shared" si="96"/>
        <v>2647.9160000000002</v>
      </c>
      <c r="P578" s="270">
        <f t="shared" si="96"/>
        <v>2647.9160000000002</v>
      </c>
      <c r="Q578" s="270">
        <f t="shared" si="96"/>
        <v>2647.9160000000002</v>
      </c>
      <c r="R578" s="270">
        <f t="shared" si="96"/>
        <v>2647.9160000000002</v>
      </c>
      <c r="S578" s="5"/>
      <c r="T578" s="25"/>
      <c r="U578" s="5"/>
    </row>
    <row r="579" spans="1:21" s="3" customFormat="1" hidden="1" outlineLevel="1">
      <c r="A579" s="21"/>
      <c r="B579" s="228" t="s">
        <v>375</v>
      </c>
      <c r="C579" s="273" t="str">
        <f t="shared" si="94"/>
        <v>Electric existing</v>
      </c>
      <c r="D579" s="228"/>
      <c r="E579" s="355"/>
      <c r="F579" s="228" t="s">
        <v>96</v>
      </c>
      <c r="G579" s="5"/>
      <c r="H579" s="261"/>
      <c r="I579" s="261"/>
      <c r="J579" s="261"/>
      <c r="K579" s="261"/>
      <c r="L579" s="261"/>
      <c r="M579" s="261"/>
      <c r="N579" s="261"/>
      <c r="O579" s="261"/>
      <c r="P579" s="261"/>
      <c r="Q579" s="261"/>
      <c r="R579" s="261"/>
      <c r="S579" s="5"/>
      <c r="T579" s="25"/>
      <c r="U579" s="5"/>
    </row>
    <row r="580" spans="1:21" s="3" customFormat="1" hidden="1" outlineLevel="1">
      <c r="A580" s="21"/>
      <c r="B580" s="228" t="s">
        <v>432</v>
      </c>
      <c r="C580" s="273" t="str">
        <f t="shared" si="94"/>
        <v>Electric existing</v>
      </c>
      <c r="D580" s="228"/>
      <c r="E580" s="355"/>
      <c r="F580" s="228" t="s">
        <v>33</v>
      </c>
      <c r="G580" s="5"/>
      <c r="H580" s="55"/>
      <c r="I580" s="55"/>
      <c r="J580" s="55"/>
      <c r="K580" s="55"/>
      <c r="L580" s="55"/>
      <c r="M580" s="55"/>
      <c r="N580" s="55"/>
      <c r="O580" s="55"/>
      <c r="P580" s="55"/>
      <c r="Q580" s="55"/>
      <c r="R580" s="55"/>
      <c r="S580" s="5"/>
      <c r="T580" s="25"/>
      <c r="U580" s="5"/>
    </row>
    <row r="581" spans="1:21" s="3" customFormat="1" hidden="1" outlineLevel="1">
      <c r="A581" s="21"/>
      <c r="B581" s="228" t="s">
        <v>379</v>
      </c>
      <c r="C581" s="273" t="str">
        <f t="shared" si="94"/>
        <v>Electric existing</v>
      </c>
      <c r="D581" s="228"/>
      <c r="E581" s="355"/>
      <c r="F581" s="228"/>
      <c r="G581" s="5"/>
      <c r="H581" s="54"/>
      <c r="I581" s="54"/>
      <c r="J581" s="54"/>
      <c r="K581" s="54"/>
      <c r="L581" s="54"/>
      <c r="M581" s="54"/>
      <c r="N581" s="54"/>
      <c r="O581" s="54"/>
      <c r="P581" s="54"/>
      <c r="Q581" s="54"/>
      <c r="R581" s="54"/>
      <c r="S581" s="5"/>
      <c r="T581" s="25"/>
      <c r="U581" s="5"/>
    </row>
    <row r="582" spans="1:21" s="3" customFormat="1" hidden="1" outlineLevel="1">
      <c r="A582" s="21"/>
      <c r="B582" s="228" t="s">
        <v>361</v>
      </c>
      <c r="C582" s="273" t="str">
        <f t="shared" si="94"/>
        <v>Electric existing</v>
      </c>
      <c r="D582" s="228"/>
      <c r="E582" s="355"/>
      <c r="F582" s="228" t="s">
        <v>96</v>
      </c>
      <c r="G582" s="5"/>
      <c r="H582" s="261"/>
      <c r="I582" s="261"/>
      <c r="J582" s="261"/>
      <c r="K582" s="261"/>
      <c r="L582" s="261"/>
      <c r="M582" s="261"/>
      <c r="N582" s="261"/>
      <c r="O582" s="261"/>
      <c r="P582" s="261"/>
      <c r="Q582" s="261"/>
      <c r="R582" s="261"/>
      <c r="S582" s="5"/>
      <c r="T582" s="25"/>
      <c r="U582" s="5"/>
    </row>
    <row r="583" spans="1:21" s="3" customFormat="1" hidden="1" outlineLevel="1">
      <c r="A583" s="21"/>
      <c r="B583" s="228" t="s">
        <v>384</v>
      </c>
      <c r="C583" s="273" t="str">
        <f t="shared" si="94"/>
        <v>Electric existing</v>
      </c>
      <c r="D583" s="228"/>
      <c r="E583" s="355"/>
      <c r="F583" s="228" t="s">
        <v>316</v>
      </c>
      <c r="G583" s="5"/>
      <c r="H583" s="54">
        <v>1221.6890000000001</v>
      </c>
      <c r="I583" s="270">
        <f t="shared" ref="I583:R583" si="97">H583</f>
        <v>1221.6890000000001</v>
      </c>
      <c r="J583" s="270">
        <f t="shared" si="97"/>
        <v>1221.6890000000001</v>
      </c>
      <c r="K583" s="270">
        <f t="shared" si="97"/>
        <v>1221.6890000000001</v>
      </c>
      <c r="L583" s="270">
        <f t="shared" si="97"/>
        <v>1221.6890000000001</v>
      </c>
      <c r="M583" s="270">
        <f t="shared" si="97"/>
        <v>1221.6890000000001</v>
      </c>
      <c r="N583" s="270">
        <f t="shared" si="97"/>
        <v>1221.6890000000001</v>
      </c>
      <c r="O583" s="270">
        <f t="shared" si="97"/>
        <v>1221.6890000000001</v>
      </c>
      <c r="P583" s="270">
        <f t="shared" si="97"/>
        <v>1221.6890000000001</v>
      </c>
      <c r="Q583" s="270">
        <f t="shared" si="97"/>
        <v>1221.6890000000001</v>
      </c>
      <c r="R583" s="270">
        <f t="shared" si="97"/>
        <v>1221.6890000000001</v>
      </c>
      <c r="S583" s="5"/>
      <c r="T583" s="25"/>
      <c r="U583" s="5"/>
    </row>
    <row r="584" spans="1:21" s="3" customFormat="1" hidden="1" outlineLevel="1">
      <c r="A584" s="21"/>
      <c r="B584" s="228" t="s">
        <v>386</v>
      </c>
      <c r="C584" s="273" t="str">
        <f t="shared" si="94"/>
        <v>Electric existing</v>
      </c>
      <c r="D584" s="228"/>
      <c r="E584" s="355"/>
      <c r="F584" s="228" t="s">
        <v>316</v>
      </c>
      <c r="G584" s="5"/>
      <c r="H584" s="55"/>
      <c r="I584" s="55"/>
      <c r="J584" s="55"/>
      <c r="K584" s="55"/>
      <c r="L584" s="55"/>
      <c r="M584" s="55"/>
      <c r="N584" s="55"/>
      <c r="O584" s="55"/>
      <c r="P584" s="55"/>
      <c r="Q584" s="55"/>
      <c r="R584" s="55"/>
      <c r="S584" s="5"/>
      <c r="T584" s="25"/>
      <c r="U584" s="5"/>
    </row>
    <row r="585" spans="1:21" s="3" customFormat="1" hidden="1" outlineLevel="1">
      <c r="A585" s="21"/>
      <c r="B585" s="228" t="s">
        <v>387</v>
      </c>
      <c r="C585" s="273" t="str">
        <f t="shared" si="94"/>
        <v>Electric existing</v>
      </c>
      <c r="D585" s="228"/>
      <c r="E585" s="355"/>
      <c r="F585" s="228"/>
      <c r="G585" s="5"/>
      <c r="H585" s="261"/>
      <c r="I585" s="261"/>
      <c r="J585" s="261"/>
      <c r="K585" s="261"/>
      <c r="L585" s="261"/>
      <c r="M585" s="261"/>
      <c r="N585" s="261"/>
      <c r="O585" s="261"/>
      <c r="P585" s="261"/>
      <c r="Q585" s="261"/>
      <c r="R585" s="261"/>
      <c r="S585" s="5"/>
      <c r="T585" s="25"/>
      <c r="U585" s="5"/>
    </row>
    <row r="586" spans="1:21" s="3" customFormat="1" hidden="1" outlineLevel="1">
      <c r="A586" s="21"/>
      <c r="B586" s="228" t="s">
        <v>388</v>
      </c>
      <c r="C586" s="273" t="str">
        <f t="shared" si="94"/>
        <v>Electric existing</v>
      </c>
      <c r="D586" s="228"/>
      <c r="E586" s="355"/>
      <c r="F586" s="228"/>
      <c r="G586" s="5"/>
      <c r="H586" s="55"/>
      <c r="I586" s="55"/>
      <c r="J586" s="55"/>
      <c r="K586" s="55"/>
      <c r="L586" s="55"/>
      <c r="M586" s="55"/>
      <c r="N586" s="55"/>
      <c r="O586" s="55"/>
      <c r="P586" s="55"/>
      <c r="Q586" s="55"/>
      <c r="R586" s="55"/>
      <c r="S586" s="5"/>
      <c r="T586" s="25"/>
      <c r="U586" s="5"/>
    </row>
    <row r="587" spans="1:21" s="3" customFormat="1" hidden="1" outlineLevel="1">
      <c r="A587" s="21"/>
      <c r="B587" s="228" t="s">
        <v>385</v>
      </c>
      <c r="C587" s="273" t="str">
        <f t="shared" si="94"/>
        <v>Electric existing</v>
      </c>
      <c r="D587" s="228"/>
      <c r="E587" s="355"/>
      <c r="F587" s="228" t="s">
        <v>317</v>
      </c>
      <c r="G587" s="5"/>
      <c r="H587" s="54"/>
      <c r="I587" s="54"/>
      <c r="J587" s="54"/>
      <c r="K587" s="54"/>
      <c r="L587" s="54"/>
      <c r="M587" s="54"/>
      <c r="N587" s="54"/>
      <c r="O587" s="54"/>
      <c r="P587" s="54"/>
      <c r="Q587" s="54"/>
      <c r="R587" s="54"/>
      <c r="S587" s="5"/>
      <c r="T587" s="25"/>
      <c r="U587" s="5"/>
    </row>
    <row r="588" spans="1:21" s="3" customFormat="1" hidden="1" outlineLevel="1">
      <c r="A588" s="21"/>
      <c r="B588" s="228" t="s">
        <v>389</v>
      </c>
      <c r="C588" s="273" t="str">
        <f t="shared" si="94"/>
        <v>Electric existing</v>
      </c>
      <c r="D588" s="228"/>
      <c r="E588" s="355"/>
      <c r="F588" s="228" t="s">
        <v>317</v>
      </c>
      <c r="G588" s="5"/>
      <c r="H588" s="55"/>
      <c r="I588" s="55"/>
      <c r="J588" s="55"/>
      <c r="K588" s="55"/>
      <c r="L588" s="55"/>
      <c r="M588" s="55"/>
      <c r="N588" s="55"/>
      <c r="O588" s="55"/>
      <c r="P588" s="55"/>
      <c r="Q588" s="55"/>
      <c r="R588" s="55"/>
      <c r="S588" s="5"/>
      <c r="T588" s="25"/>
      <c r="U588" s="5"/>
    </row>
    <row r="589" spans="1:21" s="3" customFormat="1" hidden="1" outlineLevel="1">
      <c r="A589" s="21"/>
      <c r="B589" s="228" t="s">
        <v>390</v>
      </c>
      <c r="C589" s="273" t="str">
        <f t="shared" si="94"/>
        <v>Electric existing</v>
      </c>
      <c r="D589" s="228"/>
      <c r="E589" s="355"/>
      <c r="F589" s="228"/>
      <c r="G589" s="5"/>
      <c r="H589" s="261"/>
      <c r="I589" s="261"/>
      <c r="J589" s="261"/>
      <c r="K589" s="261"/>
      <c r="L589" s="261"/>
      <c r="M589" s="261"/>
      <c r="N589" s="261"/>
      <c r="O589" s="261"/>
      <c r="P589" s="261"/>
      <c r="Q589" s="261"/>
      <c r="R589" s="261"/>
      <c r="S589" s="5"/>
      <c r="T589" s="25"/>
      <c r="U589" s="5"/>
    </row>
    <row r="590" spans="1:21" s="3" customFormat="1" hidden="1" outlineLevel="1">
      <c r="A590" s="21"/>
      <c r="B590" s="228" t="s">
        <v>391</v>
      </c>
      <c r="C590" s="273" t="str">
        <f t="shared" si="94"/>
        <v>Electric existing</v>
      </c>
      <c r="D590" s="228"/>
      <c r="E590" s="355"/>
      <c r="F590" s="228"/>
      <c r="G590" s="5"/>
      <c r="H590" s="55"/>
      <c r="I590" s="55"/>
      <c r="J590" s="55"/>
      <c r="K590" s="55"/>
      <c r="L590" s="55"/>
      <c r="M590" s="55"/>
      <c r="N590" s="55"/>
      <c r="O590" s="55"/>
      <c r="P590" s="55"/>
      <c r="Q590" s="55"/>
      <c r="R590" s="55"/>
      <c r="S590" s="5"/>
      <c r="T590" s="25"/>
      <c r="U590" s="5"/>
    </row>
    <row r="591" spans="1:21" s="3" customFormat="1" hidden="1" outlineLevel="1">
      <c r="A591" s="21"/>
      <c r="B591" s="228" t="s">
        <v>305</v>
      </c>
      <c r="C591" s="273" t="str">
        <f t="shared" si="94"/>
        <v>Electric existing</v>
      </c>
      <c r="D591" s="228"/>
      <c r="E591" s="355"/>
      <c r="F591" s="228" t="s">
        <v>317</v>
      </c>
      <c r="G591" s="5"/>
      <c r="H591" s="54">
        <v>12.217000000000001</v>
      </c>
      <c r="I591" s="270">
        <f t="shared" ref="I591:R591" si="98">H591</f>
        <v>12.217000000000001</v>
      </c>
      <c r="J591" s="270">
        <f t="shared" si="98"/>
        <v>12.217000000000001</v>
      </c>
      <c r="K591" s="270">
        <f t="shared" si="98"/>
        <v>12.217000000000001</v>
      </c>
      <c r="L591" s="270">
        <f t="shared" si="98"/>
        <v>12.217000000000001</v>
      </c>
      <c r="M591" s="270">
        <f t="shared" si="98"/>
        <v>12.217000000000001</v>
      </c>
      <c r="N591" s="270">
        <f t="shared" si="98"/>
        <v>12.217000000000001</v>
      </c>
      <c r="O591" s="270">
        <f t="shared" si="98"/>
        <v>12.217000000000001</v>
      </c>
      <c r="P591" s="270">
        <f t="shared" si="98"/>
        <v>12.217000000000001</v>
      </c>
      <c r="Q591" s="270">
        <f t="shared" si="98"/>
        <v>12.217000000000001</v>
      </c>
      <c r="R591" s="270">
        <f t="shared" si="98"/>
        <v>12.217000000000001</v>
      </c>
      <c r="S591" s="5"/>
      <c r="T591" s="25"/>
      <c r="U591" s="5"/>
    </row>
    <row r="592" spans="1:21" s="3" customFormat="1" ht="16" hidden="1" customHeight="1" outlineLevel="1">
      <c r="A592" s="21"/>
      <c r="B592" s="228" t="s">
        <v>352</v>
      </c>
      <c r="C592" s="273" t="str">
        <f t="shared" si="94"/>
        <v>Electric existing</v>
      </c>
      <c r="D592" s="228"/>
      <c r="E592" s="355"/>
      <c r="F592" s="228" t="s">
        <v>316</v>
      </c>
      <c r="G592" s="5"/>
      <c r="H592" s="54"/>
      <c r="I592" s="54"/>
      <c r="J592" s="54"/>
      <c r="K592" s="54"/>
      <c r="L592" s="54"/>
      <c r="M592" s="54"/>
      <c r="N592" s="54"/>
      <c r="O592" s="54"/>
      <c r="P592" s="54"/>
      <c r="Q592" s="54"/>
      <c r="R592" s="54"/>
      <c r="S592" s="5"/>
      <c r="T592" s="25"/>
      <c r="U592" s="5"/>
    </row>
    <row r="593" spans="1:21" s="3" customFormat="1" hidden="1" outlineLevel="1">
      <c r="A593" s="21"/>
      <c r="B593" s="67" t="s">
        <v>301</v>
      </c>
      <c r="C593" s="273" t="str">
        <f t="shared" si="94"/>
        <v>Electric existing</v>
      </c>
      <c r="D593" s="4" t="s">
        <v>454</v>
      </c>
      <c r="E593" s="347"/>
      <c r="F593" s="67" t="s">
        <v>33</v>
      </c>
      <c r="G593" s="5"/>
      <c r="H593" s="350">
        <v>0.23</v>
      </c>
      <c r="I593" s="363">
        <f t="shared" ref="I593:R593" si="99">H593</f>
        <v>0.23</v>
      </c>
      <c r="J593" s="363">
        <f t="shared" si="99"/>
        <v>0.23</v>
      </c>
      <c r="K593" s="363">
        <f t="shared" si="99"/>
        <v>0.23</v>
      </c>
      <c r="L593" s="363">
        <f t="shared" si="99"/>
        <v>0.23</v>
      </c>
      <c r="M593" s="363">
        <f t="shared" si="99"/>
        <v>0.23</v>
      </c>
      <c r="N593" s="363">
        <f t="shared" si="99"/>
        <v>0.23</v>
      </c>
      <c r="O593" s="363">
        <f t="shared" si="99"/>
        <v>0.23</v>
      </c>
      <c r="P593" s="363">
        <f t="shared" si="99"/>
        <v>0.23</v>
      </c>
      <c r="Q593" s="363">
        <f t="shared" si="99"/>
        <v>0.23</v>
      </c>
      <c r="R593" s="363">
        <f t="shared" si="99"/>
        <v>0.23</v>
      </c>
      <c r="S593" s="5"/>
      <c r="T593" s="25"/>
      <c r="U593" s="5"/>
    </row>
    <row r="594" spans="1:21" s="3" customFormat="1" hidden="1" outlineLevel="1">
      <c r="A594" s="21"/>
      <c r="B594" s="67" t="s">
        <v>50</v>
      </c>
      <c r="C594" s="273" t="s">
        <v>477</v>
      </c>
      <c r="D594" s="4"/>
      <c r="E594" s="347"/>
      <c r="G594" s="5"/>
      <c r="H594" s="4"/>
      <c r="I594" s="4"/>
      <c r="J594" s="4"/>
      <c r="K594" s="4"/>
      <c r="L594" s="4"/>
      <c r="M594" s="4"/>
      <c r="N594" s="4"/>
      <c r="O594" s="4"/>
      <c r="P594" s="4"/>
      <c r="Q594" s="4"/>
      <c r="R594" s="4"/>
      <c r="S594" s="5"/>
      <c r="T594" s="25"/>
      <c r="U594" s="5"/>
    </row>
    <row r="595" spans="1:21" s="3" customFormat="1" hidden="1" outlineLevel="1">
      <c r="A595" s="21"/>
      <c r="B595" s="228" t="s">
        <v>37</v>
      </c>
      <c r="C595" s="273" t="str">
        <f t="shared" ref="C595:C623" si="100">C594</f>
        <v>Natural Gas standard</v>
      </c>
      <c r="D595" s="228"/>
      <c r="E595" s="355"/>
      <c r="F595" s="228" t="s">
        <v>39</v>
      </c>
      <c r="G595" s="5"/>
      <c r="H595" s="265">
        <v>2000</v>
      </c>
      <c r="I595" s="356">
        <f t="shared" ref="I595:R597" si="101">H595</f>
        <v>2000</v>
      </c>
      <c r="J595" s="356">
        <f t="shared" si="101"/>
        <v>2000</v>
      </c>
      <c r="K595" s="356">
        <f t="shared" si="101"/>
        <v>2000</v>
      </c>
      <c r="L595" s="356">
        <f t="shared" si="101"/>
        <v>2000</v>
      </c>
      <c r="M595" s="356">
        <f t="shared" si="101"/>
        <v>2000</v>
      </c>
      <c r="N595" s="356">
        <f t="shared" si="101"/>
        <v>2000</v>
      </c>
      <c r="O595" s="356">
        <f t="shared" si="101"/>
        <v>2000</v>
      </c>
      <c r="P595" s="356">
        <f t="shared" si="101"/>
        <v>2000</v>
      </c>
      <c r="Q595" s="356">
        <f t="shared" si="101"/>
        <v>2000</v>
      </c>
      <c r="R595" s="356">
        <f t="shared" si="101"/>
        <v>2000</v>
      </c>
      <c r="S595" s="5"/>
      <c r="T595" s="25"/>
      <c r="U595" s="5"/>
    </row>
    <row r="596" spans="1:21" s="3" customFormat="1" hidden="1" outlineLevel="1">
      <c r="A596" s="21"/>
      <c r="B596" s="228" t="s">
        <v>36</v>
      </c>
      <c r="C596" s="273" t="str">
        <f t="shared" si="100"/>
        <v>Natural Gas standard</v>
      </c>
      <c r="D596" s="228"/>
      <c r="E596" s="355"/>
      <c r="F596" s="228" t="s">
        <v>39</v>
      </c>
      <c r="G596" s="5"/>
      <c r="H596" s="265">
        <v>2100</v>
      </c>
      <c r="I596" s="356">
        <f t="shared" si="101"/>
        <v>2100</v>
      </c>
      <c r="J596" s="356">
        <f t="shared" si="101"/>
        <v>2100</v>
      </c>
      <c r="K596" s="356">
        <f t="shared" si="101"/>
        <v>2100</v>
      </c>
      <c r="L596" s="356">
        <f t="shared" si="101"/>
        <v>2100</v>
      </c>
      <c r="M596" s="356">
        <f t="shared" si="101"/>
        <v>2100</v>
      </c>
      <c r="N596" s="356">
        <f t="shared" si="101"/>
        <v>2100</v>
      </c>
      <c r="O596" s="356">
        <f t="shared" si="101"/>
        <v>2100</v>
      </c>
      <c r="P596" s="356">
        <f t="shared" si="101"/>
        <v>2100</v>
      </c>
      <c r="Q596" s="356">
        <f t="shared" si="101"/>
        <v>2100</v>
      </c>
      <c r="R596" s="356">
        <f t="shared" si="101"/>
        <v>2100</v>
      </c>
      <c r="S596" s="5"/>
      <c r="T596" s="25"/>
      <c r="U596" s="5"/>
    </row>
    <row r="597" spans="1:21" s="3" customFormat="1" hidden="1" outlineLevel="1">
      <c r="A597" s="21"/>
      <c r="B597" s="228" t="s">
        <v>38</v>
      </c>
      <c r="C597" s="273" t="str">
        <f t="shared" si="100"/>
        <v>Natural Gas standard</v>
      </c>
      <c r="D597" s="228"/>
      <c r="E597" s="355"/>
      <c r="F597" s="228" t="s">
        <v>10</v>
      </c>
      <c r="G597" s="5"/>
      <c r="H597" s="55">
        <v>9</v>
      </c>
      <c r="I597" s="253">
        <f t="shared" si="101"/>
        <v>9</v>
      </c>
      <c r="J597" s="253">
        <f t="shared" si="101"/>
        <v>9</v>
      </c>
      <c r="K597" s="253">
        <f t="shared" si="101"/>
        <v>9</v>
      </c>
      <c r="L597" s="253">
        <f t="shared" si="101"/>
        <v>9</v>
      </c>
      <c r="M597" s="253">
        <f t="shared" si="101"/>
        <v>9</v>
      </c>
      <c r="N597" s="253">
        <f t="shared" si="101"/>
        <v>9</v>
      </c>
      <c r="O597" s="253">
        <f t="shared" si="101"/>
        <v>9</v>
      </c>
      <c r="P597" s="253">
        <f t="shared" si="101"/>
        <v>9</v>
      </c>
      <c r="Q597" s="253">
        <f t="shared" si="101"/>
        <v>9</v>
      </c>
      <c r="R597" s="253">
        <f t="shared" si="101"/>
        <v>9</v>
      </c>
      <c r="S597" s="5"/>
      <c r="T597" s="25"/>
      <c r="U597" s="5"/>
    </row>
    <row r="598" spans="1:21" s="3" customFormat="1" hidden="1" outlineLevel="1">
      <c r="A598" s="21"/>
      <c r="B598" s="228" t="s">
        <v>353</v>
      </c>
      <c r="C598" s="273" t="str">
        <f t="shared" si="100"/>
        <v>Natural Gas standard</v>
      </c>
      <c r="D598" s="228"/>
      <c r="E598" s="355"/>
      <c r="F598" s="228" t="s">
        <v>10</v>
      </c>
      <c r="G598" s="5"/>
      <c r="H598" s="55"/>
      <c r="I598" s="55"/>
      <c r="J598" s="55"/>
      <c r="K598" s="55"/>
      <c r="L598" s="55"/>
      <c r="M598" s="55"/>
      <c r="N598" s="55"/>
      <c r="O598" s="55"/>
      <c r="P598" s="55"/>
      <c r="Q598" s="55"/>
      <c r="R598" s="55"/>
      <c r="S598" s="5"/>
      <c r="T598" s="25"/>
      <c r="U598" s="5"/>
    </row>
    <row r="599" spans="1:21" s="3" customFormat="1" hidden="1" outlineLevel="1">
      <c r="A599" s="21"/>
      <c r="B599" s="228" t="s">
        <v>304</v>
      </c>
      <c r="C599" s="273" t="str">
        <f t="shared" si="100"/>
        <v>Natural Gas standard</v>
      </c>
      <c r="D599" s="228"/>
      <c r="E599" s="355"/>
      <c r="F599" s="228" t="s">
        <v>96</v>
      </c>
      <c r="G599" s="5"/>
      <c r="H599" s="261">
        <v>0.1</v>
      </c>
      <c r="I599" s="264">
        <f t="shared" ref="I599:R601" si="102">H599</f>
        <v>0.1</v>
      </c>
      <c r="J599" s="264">
        <f t="shared" si="102"/>
        <v>0.1</v>
      </c>
      <c r="K599" s="264">
        <f t="shared" si="102"/>
        <v>0.1</v>
      </c>
      <c r="L599" s="264">
        <f t="shared" si="102"/>
        <v>0.1</v>
      </c>
      <c r="M599" s="264">
        <f t="shared" si="102"/>
        <v>0.1</v>
      </c>
      <c r="N599" s="264">
        <f t="shared" si="102"/>
        <v>0.1</v>
      </c>
      <c r="O599" s="264">
        <f t="shared" si="102"/>
        <v>0.1</v>
      </c>
      <c r="P599" s="264">
        <f t="shared" si="102"/>
        <v>0.1</v>
      </c>
      <c r="Q599" s="264">
        <f t="shared" si="102"/>
        <v>0.1</v>
      </c>
      <c r="R599" s="264">
        <f t="shared" si="102"/>
        <v>0.1</v>
      </c>
      <c r="S599" s="5"/>
      <c r="T599" s="25"/>
      <c r="U599" s="5"/>
    </row>
    <row r="600" spans="1:21" s="3" customFormat="1" hidden="1" outlineLevel="1">
      <c r="A600" s="21"/>
      <c r="B600" s="228" t="s">
        <v>350</v>
      </c>
      <c r="C600" s="273" t="str">
        <f t="shared" si="100"/>
        <v>Natural Gas standard</v>
      </c>
      <c r="D600" s="228"/>
      <c r="E600" s="355"/>
      <c r="F600" s="228" t="s">
        <v>96</v>
      </c>
      <c r="G600" s="5"/>
      <c r="H600" s="261">
        <v>0.65</v>
      </c>
      <c r="I600" s="264">
        <f t="shared" si="102"/>
        <v>0.65</v>
      </c>
      <c r="J600" s="264">
        <f t="shared" si="102"/>
        <v>0.65</v>
      </c>
      <c r="K600" s="264">
        <f t="shared" si="102"/>
        <v>0.65</v>
      </c>
      <c r="L600" s="264">
        <f t="shared" si="102"/>
        <v>0.65</v>
      </c>
      <c r="M600" s="264">
        <f t="shared" si="102"/>
        <v>0.65</v>
      </c>
      <c r="N600" s="264">
        <f t="shared" si="102"/>
        <v>0.65</v>
      </c>
      <c r="O600" s="264">
        <f t="shared" si="102"/>
        <v>0.65</v>
      </c>
      <c r="P600" s="264">
        <f t="shared" si="102"/>
        <v>0.65</v>
      </c>
      <c r="Q600" s="264">
        <f t="shared" si="102"/>
        <v>0.65</v>
      </c>
      <c r="R600" s="264">
        <f t="shared" si="102"/>
        <v>0.65</v>
      </c>
      <c r="S600" s="5"/>
      <c r="T600" s="25"/>
      <c r="U600" s="5"/>
    </row>
    <row r="601" spans="1:21" s="3" customFormat="1" hidden="1" outlineLevel="1">
      <c r="A601" s="21"/>
      <c r="B601" s="228" t="s">
        <v>349</v>
      </c>
      <c r="C601" s="273" t="str">
        <f t="shared" si="100"/>
        <v>Natural Gas standard</v>
      </c>
      <c r="D601" s="228"/>
      <c r="E601" s="355"/>
      <c r="F601" s="228" t="s">
        <v>96</v>
      </c>
      <c r="G601" s="5"/>
      <c r="H601" s="261">
        <v>0.3</v>
      </c>
      <c r="I601" s="264">
        <f t="shared" si="102"/>
        <v>0.3</v>
      </c>
      <c r="J601" s="264">
        <f t="shared" si="102"/>
        <v>0.3</v>
      </c>
      <c r="K601" s="264">
        <f t="shared" si="102"/>
        <v>0.3</v>
      </c>
      <c r="L601" s="264">
        <f t="shared" si="102"/>
        <v>0.3</v>
      </c>
      <c r="M601" s="264">
        <f t="shared" si="102"/>
        <v>0.3</v>
      </c>
      <c r="N601" s="264">
        <f t="shared" si="102"/>
        <v>0.3</v>
      </c>
      <c r="O601" s="264">
        <f t="shared" si="102"/>
        <v>0.3</v>
      </c>
      <c r="P601" s="264">
        <f t="shared" si="102"/>
        <v>0.3</v>
      </c>
      <c r="Q601" s="264">
        <f t="shared" si="102"/>
        <v>0.3</v>
      </c>
      <c r="R601" s="264">
        <f t="shared" si="102"/>
        <v>0.3</v>
      </c>
      <c r="S601" s="5"/>
      <c r="T601" s="25"/>
      <c r="U601" s="5"/>
    </row>
    <row r="602" spans="1:21" s="3" customFormat="1" hidden="1" outlineLevel="1">
      <c r="A602" s="21"/>
      <c r="B602" s="228" t="s">
        <v>74</v>
      </c>
      <c r="C602" s="273" t="str">
        <f t="shared" si="100"/>
        <v>Natural Gas standard</v>
      </c>
      <c r="D602" s="228"/>
      <c r="E602" s="355"/>
      <c r="F602" s="228" t="s">
        <v>96</v>
      </c>
      <c r="G602" s="5"/>
      <c r="H602" s="261">
        <v>0</v>
      </c>
      <c r="I602" s="261"/>
      <c r="J602" s="261"/>
      <c r="K602" s="261"/>
      <c r="L602" s="261"/>
      <c r="M602" s="261"/>
      <c r="N602" s="261"/>
      <c r="O602" s="261"/>
      <c r="P602" s="261"/>
      <c r="Q602" s="261"/>
      <c r="R602" s="261"/>
      <c r="S602" s="5"/>
      <c r="T602" s="25"/>
      <c r="U602" s="5"/>
    </row>
    <row r="603" spans="1:21" s="3" customFormat="1" hidden="1" outlineLevel="1">
      <c r="A603" s="21"/>
      <c r="B603" s="358" t="s">
        <v>146</v>
      </c>
      <c r="C603" s="273" t="str">
        <f t="shared" si="100"/>
        <v>Natural Gas standard</v>
      </c>
      <c r="D603" s="359"/>
      <c r="E603" s="360"/>
      <c r="F603" s="358" t="s">
        <v>96</v>
      </c>
      <c r="G603" s="5"/>
      <c r="H603" s="261"/>
      <c r="I603" s="261"/>
      <c r="J603" s="261"/>
      <c r="K603" s="261"/>
      <c r="L603" s="261"/>
      <c r="M603" s="261"/>
      <c r="N603" s="261"/>
      <c r="O603" s="261"/>
      <c r="P603" s="261"/>
      <c r="Q603" s="261"/>
      <c r="R603" s="261"/>
      <c r="S603" s="5"/>
      <c r="T603" s="25"/>
      <c r="U603" s="5"/>
    </row>
    <row r="604" spans="1:21" s="3" customFormat="1" hidden="1" outlineLevel="1">
      <c r="A604" s="21"/>
      <c r="B604" s="358" t="s">
        <v>147</v>
      </c>
      <c r="C604" s="273" t="str">
        <f t="shared" si="100"/>
        <v>Natural Gas standard</v>
      </c>
      <c r="D604" s="359"/>
      <c r="E604" s="360"/>
      <c r="F604" s="358" t="s">
        <v>96</v>
      </c>
      <c r="G604" s="5"/>
      <c r="H604" s="261"/>
      <c r="I604" s="261"/>
      <c r="J604" s="261"/>
      <c r="K604" s="261"/>
      <c r="L604" s="261"/>
      <c r="M604" s="261"/>
      <c r="N604" s="261"/>
      <c r="O604" s="261"/>
      <c r="P604" s="261"/>
      <c r="Q604" s="261"/>
      <c r="R604" s="261"/>
      <c r="S604" s="5"/>
      <c r="T604" s="25"/>
      <c r="U604" s="5"/>
    </row>
    <row r="605" spans="1:21" s="3" customFormat="1" hidden="1" outlineLevel="1">
      <c r="A605" s="21"/>
      <c r="B605" s="358" t="s">
        <v>362</v>
      </c>
      <c r="C605" s="273" t="str">
        <f t="shared" si="100"/>
        <v>Natural Gas standard</v>
      </c>
      <c r="D605" s="359"/>
      <c r="E605" s="360"/>
      <c r="F605" s="358" t="s">
        <v>96</v>
      </c>
      <c r="G605" s="5"/>
      <c r="H605" s="261"/>
      <c r="I605" s="261"/>
      <c r="J605" s="261"/>
      <c r="K605" s="261"/>
      <c r="L605" s="261"/>
      <c r="M605" s="261"/>
      <c r="N605" s="261"/>
      <c r="O605" s="261"/>
      <c r="P605" s="261"/>
      <c r="Q605" s="261"/>
      <c r="R605" s="261"/>
      <c r="S605" s="5"/>
      <c r="T605" s="25"/>
      <c r="U605" s="5"/>
    </row>
    <row r="606" spans="1:21" s="3" customFormat="1" hidden="1" outlineLevel="1">
      <c r="A606" s="21"/>
      <c r="B606" s="358" t="s">
        <v>363</v>
      </c>
      <c r="C606" s="273" t="str">
        <f t="shared" si="100"/>
        <v>Natural Gas standard</v>
      </c>
      <c r="D606" s="359"/>
      <c r="E606" s="360"/>
      <c r="F606" s="358" t="s">
        <v>96</v>
      </c>
      <c r="G606" s="5"/>
      <c r="H606" s="261"/>
      <c r="I606" s="261"/>
      <c r="J606" s="261"/>
      <c r="K606" s="261"/>
      <c r="L606" s="261"/>
      <c r="M606" s="261"/>
      <c r="N606" s="261"/>
      <c r="O606" s="261"/>
      <c r="P606" s="261"/>
      <c r="Q606" s="261"/>
      <c r="R606" s="261"/>
      <c r="S606" s="5"/>
      <c r="T606" s="25"/>
      <c r="U606" s="5"/>
    </row>
    <row r="607" spans="1:21" s="3" customFormat="1" hidden="1" outlineLevel="1">
      <c r="A607" s="21"/>
      <c r="B607" s="228" t="s">
        <v>332</v>
      </c>
      <c r="C607" s="273" t="str">
        <f t="shared" si="100"/>
        <v>Natural Gas standard</v>
      </c>
      <c r="D607" s="228"/>
      <c r="E607" s="355"/>
      <c r="F607" s="228" t="s">
        <v>33</v>
      </c>
      <c r="G607" s="5"/>
      <c r="H607" s="29">
        <v>642.4</v>
      </c>
      <c r="I607" s="362">
        <f t="shared" ref="I607:R608" si="103">H607</f>
        <v>642.4</v>
      </c>
      <c r="J607" s="362">
        <f t="shared" si="103"/>
        <v>642.4</v>
      </c>
      <c r="K607" s="362">
        <f t="shared" si="103"/>
        <v>642.4</v>
      </c>
      <c r="L607" s="362">
        <f t="shared" si="103"/>
        <v>642.4</v>
      </c>
      <c r="M607" s="362">
        <f t="shared" si="103"/>
        <v>642.4</v>
      </c>
      <c r="N607" s="362">
        <f t="shared" si="103"/>
        <v>642.4</v>
      </c>
      <c r="O607" s="362">
        <f t="shared" si="103"/>
        <v>642.4</v>
      </c>
      <c r="P607" s="362">
        <f t="shared" si="103"/>
        <v>642.4</v>
      </c>
      <c r="Q607" s="362">
        <f t="shared" si="103"/>
        <v>642.4</v>
      </c>
      <c r="R607" s="362">
        <f t="shared" si="103"/>
        <v>642.4</v>
      </c>
      <c r="S607" s="5"/>
      <c r="T607" s="25"/>
      <c r="U607" s="5"/>
    </row>
    <row r="608" spans="1:21" s="3" customFormat="1" hidden="1" outlineLevel="1">
      <c r="A608" s="21"/>
      <c r="B608" s="228" t="s">
        <v>470</v>
      </c>
      <c r="C608" s="273" t="str">
        <f t="shared" si="100"/>
        <v>Natural Gas standard</v>
      </c>
      <c r="D608" s="228"/>
      <c r="E608" s="355"/>
      <c r="F608" s="228" t="s">
        <v>316</v>
      </c>
      <c r="G608" s="5"/>
      <c r="H608" s="54">
        <v>2962.596</v>
      </c>
      <c r="I608" s="270">
        <f t="shared" si="103"/>
        <v>2962.596</v>
      </c>
      <c r="J608" s="270">
        <f t="shared" si="103"/>
        <v>2962.596</v>
      </c>
      <c r="K608" s="270">
        <f t="shared" si="103"/>
        <v>2962.596</v>
      </c>
      <c r="L608" s="270">
        <f t="shared" si="103"/>
        <v>2962.596</v>
      </c>
      <c r="M608" s="270">
        <f t="shared" si="103"/>
        <v>2962.596</v>
      </c>
      <c r="N608" s="270">
        <f t="shared" si="103"/>
        <v>2962.596</v>
      </c>
      <c r="O608" s="270">
        <f t="shared" si="103"/>
        <v>2962.596</v>
      </c>
      <c r="P608" s="270">
        <f t="shared" si="103"/>
        <v>2962.596</v>
      </c>
      <c r="Q608" s="270">
        <f t="shared" si="103"/>
        <v>2962.596</v>
      </c>
      <c r="R608" s="270">
        <f t="shared" si="103"/>
        <v>2962.596</v>
      </c>
      <c r="S608" s="5"/>
      <c r="T608" s="25"/>
      <c r="U608" s="5"/>
    </row>
    <row r="609" spans="1:21" s="3" customFormat="1" hidden="1" outlineLevel="1">
      <c r="A609" s="21"/>
      <c r="B609" s="228" t="s">
        <v>375</v>
      </c>
      <c r="C609" s="273" t="str">
        <f t="shared" si="100"/>
        <v>Natural Gas standard</v>
      </c>
      <c r="D609" s="228"/>
      <c r="E609" s="355"/>
      <c r="F609" s="228" t="s">
        <v>96</v>
      </c>
      <c r="G609" s="5"/>
      <c r="H609" s="261"/>
      <c r="I609" s="261"/>
      <c r="J609" s="261"/>
      <c r="K609" s="261"/>
      <c r="L609" s="261"/>
      <c r="M609" s="261"/>
      <c r="N609" s="261"/>
      <c r="O609" s="261"/>
      <c r="P609" s="261"/>
      <c r="Q609" s="261"/>
      <c r="R609" s="261"/>
      <c r="S609" s="5"/>
      <c r="T609" s="25"/>
      <c r="U609" s="5"/>
    </row>
    <row r="610" spans="1:21" s="3" customFormat="1" hidden="1" outlineLevel="1">
      <c r="A610" s="21"/>
      <c r="B610" s="228" t="s">
        <v>432</v>
      </c>
      <c r="C610" s="273" t="str">
        <f t="shared" si="100"/>
        <v>Natural Gas standard</v>
      </c>
      <c r="D610" s="228"/>
      <c r="E610" s="355"/>
      <c r="F610" s="228" t="s">
        <v>33</v>
      </c>
      <c r="G610" s="5"/>
      <c r="H610" s="55"/>
      <c r="I610" s="55"/>
      <c r="J610" s="55"/>
      <c r="K610" s="55"/>
      <c r="L610" s="55"/>
      <c r="M610" s="55"/>
      <c r="N610" s="55"/>
      <c r="O610" s="55"/>
      <c r="P610" s="55"/>
      <c r="Q610" s="55"/>
      <c r="R610" s="55"/>
      <c r="S610" s="5"/>
      <c r="T610" s="25"/>
      <c r="U610" s="5"/>
    </row>
    <row r="611" spans="1:21" s="3" customFormat="1" hidden="1" outlineLevel="1">
      <c r="A611" s="21"/>
      <c r="B611" s="228" t="s">
        <v>379</v>
      </c>
      <c r="C611" s="273" t="str">
        <f t="shared" si="100"/>
        <v>Natural Gas standard</v>
      </c>
      <c r="D611" s="228"/>
      <c r="E611" s="355"/>
      <c r="F611" s="228"/>
      <c r="G611" s="5"/>
      <c r="H611" s="54"/>
      <c r="I611" s="54"/>
      <c r="J611" s="54"/>
      <c r="K611" s="54"/>
      <c r="L611" s="54"/>
      <c r="M611" s="54"/>
      <c r="N611" s="54"/>
      <c r="O611" s="54"/>
      <c r="P611" s="54"/>
      <c r="Q611" s="54"/>
      <c r="R611" s="54"/>
      <c r="S611" s="5"/>
      <c r="T611" s="25"/>
      <c r="U611" s="5"/>
    </row>
    <row r="612" spans="1:21" s="3" customFormat="1" hidden="1" outlineLevel="1">
      <c r="A612" s="21"/>
      <c r="B612" s="228" t="s">
        <v>361</v>
      </c>
      <c r="C612" s="273" t="str">
        <f t="shared" si="100"/>
        <v>Natural Gas standard</v>
      </c>
      <c r="D612" s="228"/>
      <c r="E612" s="355"/>
      <c r="F612" s="228" t="s">
        <v>96</v>
      </c>
      <c r="G612" s="5"/>
      <c r="H612" s="261"/>
      <c r="I612" s="261"/>
      <c r="J612" s="261"/>
      <c r="K612" s="261"/>
      <c r="L612" s="261"/>
      <c r="M612" s="261"/>
      <c r="N612" s="261"/>
      <c r="O612" s="261"/>
      <c r="P612" s="261"/>
      <c r="Q612" s="261"/>
      <c r="R612" s="261"/>
      <c r="S612" s="5"/>
      <c r="T612" s="25"/>
      <c r="U612" s="5"/>
    </row>
    <row r="613" spans="1:21" s="3" customFormat="1" hidden="1" outlineLevel="1">
      <c r="A613" s="21"/>
      <c r="B613" s="228" t="s">
        <v>384</v>
      </c>
      <c r="C613" s="273" t="str">
        <f t="shared" si="100"/>
        <v>Natural Gas standard</v>
      </c>
      <c r="D613" s="228"/>
      <c r="E613" s="355"/>
      <c r="F613" s="228" t="s">
        <v>316</v>
      </c>
      <c r="G613" s="5"/>
      <c r="H613" s="54"/>
      <c r="I613" s="54"/>
      <c r="J613" s="54"/>
      <c r="K613" s="54"/>
      <c r="L613" s="54"/>
      <c r="M613" s="54"/>
      <c r="N613" s="54"/>
      <c r="O613" s="54"/>
      <c r="P613" s="54"/>
      <c r="Q613" s="54"/>
      <c r="R613" s="54"/>
      <c r="S613" s="5"/>
      <c r="T613" s="25"/>
      <c r="U613" s="5"/>
    </row>
    <row r="614" spans="1:21" s="3" customFormat="1" hidden="1" outlineLevel="1">
      <c r="A614" s="21"/>
      <c r="B614" s="228" t="s">
        <v>386</v>
      </c>
      <c r="C614" s="273" t="str">
        <f t="shared" si="100"/>
        <v>Natural Gas standard</v>
      </c>
      <c r="D614" s="228"/>
      <c r="E614" s="355"/>
      <c r="F614" s="228" t="s">
        <v>316</v>
      </c>
      <c r="G614" s="5"/>
      <c r="H614" s="55"/>
      <c r="I614" s="55"/>
      <c r="J614" s="55"/>
      <c r="K614" s="55"/>
      <c r="L614" s="55"/>
      <c r="M614" s="55"/>
      <c r="N614" s="55"/>
      <c r="O614" s="55"/>
      <c r="P614" s="55"/>
      <c r="Q614" s="55"/>
      <c r="R614" s="55"/>
      <c r="S614" s="5"/>
      <c r="T614" s="25"/>
      <c r="U614" s="5"/>
    </row>
    <row r="615" spans="1:21" s="3" customFormat="1" hidden="1" outlineLevel="1">
      <c r="A615" s="21"/>
      <c r="B615" s="228" t="s">
        <v>387</v>
      </c>
      <c r="C615" s="273" t="str">
        <f t="shared" si="100"/>
        <v>Natural Gas standard</v>
      </c>
      <c r="D615" s="228"/>
      <c r="E615" s="355"/>
      <c r="F615" s="228"/>
      <c r="G615" s="5"/>
      <c r="H615" s="261"/>
      <c r="I615" s="261"/>
      <c r="J615" s="261"/>
      <c r="K615" s="261"/>
      <c r="L615" s="261"/>
      <c r="M615" s="261"/>
      <c r="N615" s="261"/>
      <c r="O615" s="261"/>
      <c r="P615" s="261"/>
      <c r="Q615" s="261"/>
      <c r="R615" s="261"/>
      <c r="S615" s="5"/>
      <c r="T615" s="25"/>
      <c r="U615" s="5"/>
    </row>
    <row r="616" spans="1:21" s="3" customFormat="1" hidden="1" outlineLevel="1">
      <c r="A616" s="21"/>
      <c r="B616" s="228" t="s">
        <v>388</v>
      </c>
      <c r="C616" s="273" t="str">
        <f t="shared" si="100"/>
        <v>Natural Gas standard</v>
      </c>
      <c r="D616" s="228"/>
      <c r="E616" s="355"/>
      <c r="F616" s="228"/>
      <c r="G616" s="5"/>
      <c r="H616" s="55"/>
      <c r="I616" s="55"/>
      <c r="J616" s="55"/>
      <c r="K616" s="55"/>
      <c r="L616" s="55"/>
      <c r="M616" s="55"/>
      <c r="N616" s="55"/>
      <c r="O616" s="55"/>
      <c r="P616" s="55"/>
      <c r="Q616" s="55"/>
      <c r="R616" s="55"/>
      <c r="S616" s="5"/>
      <c r="T616" s="25"/>
      <c r="U616" s="5"/>
    </row>
    <row r="617" spans="1:21" s="3" customFormat="1" hidden="1" outlineLevel="1">
      <c r="A617" s="21"/>
      <c r="B617" s="228" t="s">
        <v>385</v>
      </c>
      <c r="C617" s="273" t="str">
        <f t="shared" si="100"/>
        <v>Natural Gas standard</v>
      </c>
      <c r="D617" s="228"/>
      <c r="E617" s="355"/>
      <c r="F617" s="228" t="s">
        <v>317</v>
      </c>
      <c r="G617" s="5"/>
      <c r="H617" s="54"/>
      <c r="I617" s="54"/>
      <c r="J617" s="54"/>
      <c r="K617" s="54"/>
      <c r="L617" s="54"/>
      <c r="M617" s="54"/>
      <c r="N617" s="54"/>
      <c r="O617" s="54"/>
      <c r="P617" s="54"/>
      <c r="Q617" s="54"/>
      <c r="R617" s="54"/>
      <c r="S617" s="5"/>
      <c r="T617" s="25"/>
      <c r="U617" s="5"/>
    </row>
    <row r="618" spans="1:21" s="3" customFormat="1" hidden="1" outlineLevel="1">
      <c r="A618" s="21"/>
      <c r="B618" s="228" t="s">
        <v>389</v>
      </c>
      <c r="C618" s="273" t="str">
        <f t="shared" si="100"/>
        <v>Natural Gas standard</v>
      </c>
      <c r="D618" s="228"/>
      <c r="E618" s="355"/>
      <c r="F618" s="228" t="s">
        <v>317</v>
      </c>
      <c r="G618" s="5"/>
      <c r="H618" s="55"/>
      <c r="I618" s="55"/>
      <c r="J618" s="55"/>
      <c r="K618" s="55"/>
      <c r="L618" s="55"/>
      <c r="M618" s="55"/>
      <c r="N618" s="55"/>
      <c r="O618" s="55"/>
      <c r="P618" s="55"/>
      <c r="Q618" s="55"/>
      <c r="R618" s="55"/>
      <c r="S618" s="5"/>
      <c r="T618" s="25"/>
      <c r="U618" s="5"/>
    </row>
    <row r="619" spans="1:21" s="3" customFormat="1" hidden="1" outlineLevel="1">
      <c r="A619" s="21"/>
      <c r="B619" s="228" t="s">
        <v>390</v>
      </c>
      <c r="C619" s="273" t="str">
        <f t="shared" si="100"/>
        <v>Natural Gas standard</v>
      </c>
      <c r="D619" s="228"/>
      <c r="E619" s="355"/>
      <c r="F619" s="228"/>
      <c r="G619" s="5"/>
      <c r="H619" s="261"/>
      <c r="I619" s="261"/>
      <c r="J619" s="261"/>
      <c r="K619" s="261"/>
      <c r="L619" s="261"/>
      <c r="M619" s="261"/>
      <c r="N619" s="261"/>
      <c r="O619" s="261"/>
      <c r="P619" s="261"/>
      <c r="Q619" s="261"/>
      <c r="R619" s="261"/>
      <c r="S619" s="5"/>
      <c r="T619" s="25"/>
      <c r="U619" s="5"/>
    </row>
    <row r="620" spans="1:21" s="3" customFormat="1" hidden="1" outlineLevel="1">
      <c r="A620" s="21"/>
      <c r="B620" s="228" t="s">
        <v>391</v>
      </c>
      <c r="C620" s="273" t="str">
        <f t="shared" si="100"/>
        <v>Natural Gas standard</v>
      </c>
      <c r="D620" s="228"/>
      <c r="E620" s="355"/>
      <c r="F620" s="228"/>
      <c r="G620" s="5"/>
      <c r="H620" s="55"/>
      <c r="I620" s="55"/>
      <c r="J620" s="55"/>
      <c r="K620" s="55"/>
      <c r="L620" s="55"/>
      <c r="M620" s="55"/>
      <c r="N620" s="55"/>
      <c r="O620" s="55"/>
      <c r="P620" s="55"/>
      <c r="Q620" s="55"/>
      <c r="R620" s="55"/>
      <c r="S620" s="5"/>
      <c r="T620" s="25"/>
      <c r="U620" s="5"/>
    </row>
    <row r="621" spans="1:21" s="3" customFormat="1" hidden="1" outlineLevel="1">
      <c r="A621" s="21"/>
      <c r="B621" s="228" t="s">
        <v>305</v>
      </c>
      <c r="C621" s="273" t="str">
        <f t="shared" si="100"/>
        <v>Natural Gas standard</v>
      </c>
      <c r="D621" s="228"/>
      <c r="E621" s="355"/>
      <c r="F621" s="228" t="s">
        <v>317</v>
      </c>
      <c r="G621" s="5"/>
      <c r="H621" s="54">
        <v>12.217000000000001</v>
      </c>
      <c r="I621" s="270">
        <f t="shared" ref="I621:R621" si="104">H621</f>
        <v>12.217000000000001</v>
      </c>
      <c r="J621" s="270">
        <f t="shared" si="104"/>
        <v>12.217000000000001</v>
      </c>
      <c r="K621" s="270">
        <f t="shared" si="104"/>
        <v>12.217000000000001</v>
      </c>
      <c r="L621" s="270">
        <f t="shared" si="104"/>
        <v>12.217000000000001</v>
      </c>
      <c r="M621" s="270">
        <f t="shared" si="104"/>
        <v>12.217000000000001</v>
      </c>
      <c r="N621" s="270">
        <f t="shared" si="104"/>
        <v>12.217000000000001</v>
      </c>
      <c r="O621" s="270">
        <f t="shared" si="104"/>
        <v>12.217000000000001</v>
      </c>
      <c r="P621" s="270">
        <f t="shared" si="104"/>
        <v>12.217000000000001</v>
      </c>
      <c r="Q621" s="270">
        <f t="shared" si="104"/>
        <v>12.217000000000001</v>
      </c>
      <c r="R621" s="270">
        <f t="shared" si="104"/>
        <v>12.217000000000001</v>
      </c>
      <c r="S621" s="5"/>
      <c r="T621" s="25"/>
      <c r="U621" s="5"/>
    </row>
    <row r="622" spans="1:21" s="3" customFormat="1" hidden="1" outlineLevel="1">
      <c r="A622" s="21"/>
      <c r="B622" s="228" t="s">
        <v>352</v>
      </c>
      <c r="C622" s="273" t="str">
        <f t="shared" si="100"/>
        <v>Natural Gas standard</v>
      </c>
      <c r="D622" s="228"/>
      <c r="E622" s="355"/>
      <c r="F622" s="228" t="s">
        <v>316</v>
      </c>
      <c r="G622" s="5"/>
      <c r="H622" s="54"/>
      <c r="I622" s="54"/>
      <c r="J622" s="54"/>
      <c r="K622" s="54"/>
      <c r="L622" s="54"/>
      <c r="M622" s="54"/>
      <c r="N622" s="54"/>
      <c r="O622" s="54"/>
      <c r="P622" s="54"/>
      <c r="Q622" s="54"/>
      <c r="R622" s="54"/>
      <c r="S622" s="5"/>
      <c r="T622" s="25"/>
      <c r="U622" s="5"/>
    </row>
    <row r="623" spans="1:21" s="3" customFormat="1" ht="16" hidden="1" customHeight="1" outlineLevel="1">
      <c r="A623" s="21"/>
      <c r="B623" s="67" t="s">
        <v>301</v>
      </c>
      <c r="C623" s="273" t="str">
        <f t="shared" si="100"/>
        <v>Natural Gas standard</v>
      </c>
      <c r="D623" s="4" t="s">
        <v>460</v>
      </c>
      <c r="E623" s="347"/>
      <c r="F623" s="67" t="s">
        <v>33</v>
      </c>
      <c r="G623" s="5"/>
      <c r="H623" s="350">
        <v>0.34100000000000003</v>
      </c>
      <c r="I623" s="363">
        <f t="shared" ref="I623:R623" si="105">H623</f>
        <v>0.34100000000000003</v>
      </c>
      <c r="J623" s="363">
        <f t="shared" si="105"/>
        <v>0.34100000000000003</v>
      </c>
      <c r="K623" s="363">
        <f t="shared" si="105"/>
        <v>0.34100000000000003</v>
      </c>
      <c r="L623" s="363">
        <f t="shared" si="105"/>
        <v>0.34100000000000003</v>
      </c>
      <c r="M623" s="363">
        <f t="shared" si="105"/>
        <v>0.34100000000000003</v>
      </c>
      <c r="N623" s="363">
        <f t="shared" si="105"/>
        <v>0.34100000000000003</v>
      </c>
      <c r="O623" s="363">
        <f t="shared" si="105"/>
        <v>0.34100000000000003</v>
      </c>
      <c r="P623" s="363">
        <f t="shared" si="105"/>
        <v>0.34100000000000003</v>
      </c>
      <c r="Q623" s="363">
        <f t="shared" si="105"/>
        <v>0.34100000000000003</v>
      </c>
      <c r="R623" s="363">
        <f t="shared" si="105"/>
        <v>0.34100000000000003</v>
      </c>
      <c r="S623" s="5"/>
      <c r="T623" s="25"/>
      <c r="U623" s="5"/>
    </row>
    <row r="624" spans="1:21" s="3" customFormat="1" hidden="1" outlineLevel="1">
      <c r="A624" s="21"/>
      <c r="B624" s="67" t="s">
        <v>50</v>
      </c>
      <c r="C624" s="273" t="s">
        <v>478</v>
      </c>
      <c r="D624" s="4"/>
      <c r="E624" s="347"/>
      <c r="G624" s="5"/>
      <c r="H624" s="4"/>
      <c r="I624" s="4"/>
      <c r="J624" s="4"/>
      <c r="K624" s="4"/>
      <c r="L624" s="4"/>
      <c r="M624" s="4"/>
      <c r="N624" s="4"/>
      <c r="O624" s="4"/>
      <c r="P624" s="4"/>
      <c r="Q624" s="4"/>
      <c r="R624" s="4"/>
      <c r="S624" s="5"/>
      <c r="T624" s="25"/>
      <c r="U624" s="5"/>
    </row>
    <row r="625" spans="1:21" s="3" customFormat="1" hidden="1" outlineLevel="1">
      <c r="A625" s="21"/>
      <c r="B625" s="228" t="s">
        <v>37</v>
      </c>
      <c r="C625" s="273" t="str">
        <f>C624</f>
        <v>Electric standard</v>
      </c>
      <c r="D625" s="228"/>
      <c r="E625" s="355"/>
      <c r="F625" s="228" t="s">
        <v>39</v>
      </c>
      <c r="G625" s="5"/>
      <c r="H625" s="265">
        <v>2000</v>
      </c>
      <c r="I625" s="356">
        <f t="shared" ref="I625:R627" si="106">H625</f>
        <v>2000</v>
      </c>
      <c r="J625" s="356">
        <f t="shared" si="106"/>
        <v>2000</v>
      </c>
      <c r="K625" s="356">
        <f t="shared" si="106"/>
        <v>2000</v>
      </c>
      <c r="L625" s="356">
        <f t="shared" si="106"/>
        <v>2000</v>
      </c>
      <c r="M625" s="356">
        <f t="shared" si="106"/>
        <v>2000</v>
      </c>
      <c r="N625" s="356">
        <f t="shared" si="106"/>
        <v>2000</v>
      </c>
      <c r="O625" s="356">
        <f t="shared" si="106"/>
        <v>2000</v>
      </c>
      <c r="P625" s="356">
        <f t="shared" si="106"/>
        <v>2000</v>
      </c>
      <c r="Q625" s="356">
        <f t="shared" si="106"/>
        <v>2000</v>
      </c>
      <c r="R625" s="356">
        <f t="shared" si="106"/>
        <v>2000</v>
      </c>
      <c r="S625" s="5"/>
      <c r="T625" s="25"/>
      <c r="U625" s="5"/>
    </row>
    <row r="626" spans="1:21" s="3" customFormat="1" hidden="1" outlineLevel="1">
      <c r="A626" s="21"/>
      <c r="B626" s="228" t="s">
        <v>36</v>
      </c>
      <c r="C626" s="273" t="str">
        <f t="shared" ref="C626:C653" si="107">C625</f>
        <v>Electric standard</v>
      </c>
      <c r="D626" s="228"/>
      <c r="E626" s="355"/>
      <c r="F626" s="228" t="s">
        <v>39</v>
      </c>
      <c r="G626" s="5"/>
      <c r="H626" s="265">
        <v>2100</v>
      </c>
      <c r="I626" s="356">
        <f t="shared" si="106"/>
        <v>2100</v>
      </c>
      <c r="J626" s="356">
        <f t="shared" si="106"/>
        <v>2100</v>
      </c>
      <c r="K626" s="356">
        <f t="shared" si="106"/>
        <v>2100</v>
      </c>
      <c r="L626" s="356">
        <f t="shared" si="106"/>
        <v>2100</v>
      </c>
      <c r="M626" s="356">
        <f t="shared" si="106"/>
        <v>2100</v>
      </c>
      <c r="N626" s="356">
        <f t="shared" si="106"/>
        <v>2100</v>
      </c>
      <c r="O626" s="356">
        <f t="shared" si="106"/>
        <v>2100</v>
      </c>
      <c r="P626" s="356">
        <f t="shared" si="106"/>
        <v>2100</v>
      </c>
      <c r="Q626" s="356">
        <f t="shared" si="106"/>
        <v>2100</v>
      </c>
      <c r="R626" s="356">
        <f t="shared" si="106"/>
        <v>2100</v>
      </c>
      <c r="S626" s="5"/>
      <c r="T626" s="25"/>
      <c r="U626" s="5"/>
    </row>
    <row r="627" spans="1:21" s="3" customFormat="1" hidden="1" outlineLevel="1">
      <c r="A627" s="21"/>
      <c r="B627" s="228" t="s">
        <v>38</v>
      </c>
      <c r="C627" s="273" t="str">
        <f t="shared" si="107"/>
        <v>Electric standard</v>
      </c>
      <c r="D627" s="228"/>
      <c r="E627" s="355"/>
      <c r="F627" s="228" t="s">
        <v>10</v>
      </c>
      <c r="G627" s="5"/>
      <c r="H627" s="55">
        <v>9</v>
      </c>
      <c r="I627" s="253">
        <f t="shared" si="106"/>
        <v>9</v>
      </c>
      <c r="J627" s="253">
        <f t="shared" si="106"/>
        <v>9</v>
      </c>
      <c r="K627" s="253">
        <f t="shared" si="106"/>
        <v>9</v>
      </c>
      <c r="L627" s="253">
        <f t="shared" si="106"/>
        <v>9</v>
      </c>
      <c r="M627" s="253">
        <f t="shared" si="106"/>
        <v>9</v>
      </c>
      <c r="N627" s="253">
        <f t="shared" si="106"/>
        <v>9</v>
      </c>
      <c r="O627" s="253">
        <f t="shared" si="106"/>
        <v>9</v>
      </c>
      <c r="P627" s="253">
        <f t="shared" si="106"/>
        <v>9</v>
      </c>
      <c r="Q627" s="253">
        <f t="shared" si="106"/>
        <v>9</v>
      </c>
      <c r="R627" s="253">
        <f t="shared" si="106"/>
        <v>9</v>
      </c>
      <c r="S627" s="5"/>
      <c r="T627" s="25"/>
      <c r="U627" s="5"/>
    </row>
    <row r="628" spans="1:21" s="3" customFormat="1" hidden="1" outlineLevel="1">
      <c r="A628" s="21"/>
      <c r="B628" s="228" t="s">
        <v>353</v>
      </c>
      <c r="C628" s="273" t="str">
        <f t="shared" si="107"/>
        <v>Electric standard</v>
      </c>
      <c r="D628" s="228"/>
      <c r="E628" s="355"/>
      <c r="F628" s="228" t="s">
        <v>10</v>
      </c>
      <c r="G628" s="5"/>
      <c r="H628" s="55"/>
      <c r="I628" s="55"/>
      <c r="J628" s="55"/>
      <c r="K628" s="55"/>
      <c r="L628" s="55"/>
      <c r="M628" s="55"/>
      <c r="N628" s="55"/>
      <c r="O628" s="55"/>
      <c r="P628" s="55"/>
      <c r="Q628" s="55"/>
      <c r="R628" s="55"/>
      <c r="S628" s="5"/>
      <c r="T628" s="25"/>
      <c r="U628" s="5"/>
    </row>
    <row r="629" spans="1:21" s="3" customFormat="1" hidden="1" outlineLevel="1">
      <c r="A629" s="21"/>
      <c r="B629" s="228" t="s">
        <v>304</v>
      </c>
      <c r="C629" s="273" t="str">
        <f t="shared" si="107"/>
        <v>Electric standard</v>
      </c>
      <c r="D629" s="228"/>
      <c r="E629" s="355"/>
      <c r="F629" s="228" t="s">
        <v>96</v>
      </c>
      <c r="G629" s="5"/>
      <c r="H629" s="261">
        <v>0.1</v>
      </c>
      <c r="I629" s="264">
        <f t="shared" ref="I629:R631" si="108">H629</f>
        <v>0.1</v>
      </c>
      <c r="J629" s="264">
        <f t="shared" si="108"/>
        <v>0.1</v>
      </c>
      <c r="K629" s="264">
        <f t="shared" si="108"/>
        <v>0.1</v>
      </c>
      <c r="L629" s="264">
        <f t="shared" si="108"/>
        <v>0.1</v>
      </c>
      <c r="M629" s="264">
        <f t="shared" si="108"/>
        <v>0.1</v>
      </c>
      <c r="N629" s="264">
        <f t="shared" si="108"/>
        <v>0.1</v>
      </c>
      <c r="O629" s="264">
        <f t="shared" si="108"/>
        <v>0.1</v>
      </c>
      <c r="P629" s="264">
        <f t="shared" si="108"/>
        <v>0.1</v>
      </c>
      <c r="Q629" s="264">
        <f t="shared" si="108"/>
        <v>0.1</v>
      </c>
      <c r="R629" s="264">
        <f t="shared" si="108"/>
        <v>0.1</v>
      </c>
      <c r="S629" s="5"/>
      <c r="T629" s="25"/>
      <c r="U629" s="5"/>
    </row>
    <row r="630" spans="1:21" s="3" customFormat="1" hidden="1" outlineLevel="1">
      <c r="A630" s="21"/>
      <c r="B630" s="228" t="s">
        <v>350</v>
      </c>
      <c r="C630" s="273" t="str">
        <f t="shared" si="107"/>
        <v>Electric standard</v>
      </c>
      <c r="D630" s="228"/>
      <c r="E630" s="355"/>
      <c r="F630" s="228" t="s">
        <v>96</v>
      </c>
      <c r="G630" s="5"/>
      <c r="H630" s="261">
        <v>0.65</v>
      </c>
      <c r="I630" s="264">
        <f t="shared" si="108"/>
        <v>0.65</v>
      </c>
      <c r="J630" s="264">
        <f t="shared" si="108"/>
        <v>0.65</v>
      </c>
      <c r="K630" s="264">
        <f t="shared" si="108"/>
        <v>0.65</v>
      </c>
      <c r="L630" s="264">
        <f t="shared" si="108"/>
        <v>0.65</v>
      </c>
      <c r="M630" s="264">
        <f t="shared" si="108"/>
        <v>0.65</v>
      </c>
      <c r="N630" s="264">
        <f t="shared" si="108"/>
        <v>0.65</v>
      </c>
      <c r="O630" s="264">
        <f t="shared" si="108"/>
        <v>0.65</v>
      </c>
      <c r="P630" s="264">
        <f t="shared" si="108"/>
        <v>0.65</v>
      </c>
      <c r="Q630" s="264">
        <f t="shared" si="108"/>
        <v>0.65</v>
      </c>
      <c r="R630" s="264">
        <f t="shared" si="108"/>
        <v>0.65</v>
      </c>
      <c r="S630" s="5"/>
      <c r="T630" s="25"/>
      <c r="U630" s="5"/>
    </row>
    <row r="631" spans="1:21" s="3" customFormat="1" hidden="1" outlineLevel="1">
      <c r="A631" s="21"/>
      <c r="B631" s="228" t="s">
        <v>349</v>
      </c>
      <c r="C631" s="273" t="str">
        <f t="shared" si="107"/>
        <v>Electric standard</v>
      </c>
      <c r="D631" s="228"/>
      <c r="E631" s="355"/>
      <c r="F631" s="228" t="s">
        <v>96</v>
      </c>
      <c r="G631" s="5"/>
      <c r="H631" s="261">
        <v>0.3</v>
      </c>
      <c r="I631" s="264">
        <f t="shared" si="108"/>
        <v>0.3</v>
      </c>
      <c r="J631" s="264">
        <f t="shared" si="108"/>
        <v>0.3</v>
      </c>
      <c r="K631" s="264">
        <f t="shared" si="108"/>
        <v>0.3</v>
      </c>
      <c r="L631" s="264">
        <f t="shared" si="108"/>
        <v>0.3</v>
      </c>
      <c r="M631" s="264">
        <f t="shared" si="108"/>
        <v>0.3</v>
      </c>
      <c r="N631" s="264">
        <f t="shared" si="108"/>
        <v>0.3</v>
      </c>
      <c r="O631" s="264">
        <f t="shared" si="108"/>
        <v>0.3</v>
      </c>
      <c r="P631" s="264">
        <f t="shared" si="108"/>
        <v>0.3</v>
      </c>
      <c r="Q631" s="264">
        <f t="shared" si="108"/>
        <v>0.3</v>
      </c>
      <c r="R631" s="264">
        <f t="shared" si="108"/>
        <v>0.3</v>
      </c>
      <c r="S631" s="5"/>
      <c r="T631" s="25"/>
      <c r="U631" s="5"/>
    </row>
    <row r="632" spans="1:21" s="3" customFormat="1" hidden="1" outlineLevel="1">
      <c r="A632" s="21"/>
      <c r="B632" s="228" t="s">
        <v>74</v>
      </c>
      <c r="C632" s="273" t="str">
        <f t="shared" si="107"/>
        <v>Electric standard</v>
      </c>
      <c r="D632" s="228"/>
      <c r="E632" s="355"/>
      <c r="F632" s="228" t="s">
        <v>96</v>
      </c>
      <c r="G632" s="5"/>
      <c r="H632" s="261">
        <v>0</v>
      </c>
      <c r="I632" s="261"/>
      <c r="J632" s="261"/>
      <c r="K632" s="261"/>
      <c r="L632" s="261"/>
      <c r="M632" s="261"/>
      <c r="N632" s="261"/>
      <c r="O632" s="261"/>
      <c r="P632" s="261"/>
      <c r="Q632" s="261"/>
      <c r="R632" s="261"/>
      <c r="S632" s="5"/>
      <c r="T632" s="25"/>
      <c r="U632" s="5"/>
    </row>
    <row r="633" spans="1:21" s="3" customFormat="1" hidden="1" outlineLevel="1">
      <c r="A633" s="21"/>
      <c r="B633" s="358" t="s">
        <v>146</v>
      </c>
      <c r="C633" s="273" t="str">
        <f t="shared" si="107"/>
        <v>Electric standard</v>
      </c>
      <c r="D633" s="359"/>
      <c r="E633" s="360"/>
      <c r="F633" s="358" t="s">
        <v>96</v>
      </c>
      <c r="G633" s="5"/>
      <c r="H633" s="261"/>
      <c r="I633" s="261"/>
      <c r="J633" s="261"/>
      <c r="K633" s="261"/>
      <c r="L633" s="261"/>
      <c r="M633" s="261"/>
      <c r="N633" s="261"/>
      <c r="O633" s="261"/>
      <c r="P633" s="261"/>
      <c r="Q633" s="261"/>
      <c r="R633" s="261"/>
      <c r="S633" s="5"/>
      <c r="T633" s="25"/>
      <c r="U633" s="5"/>
    </row>
    <row r="634" spans="1:21" s="3" customFormat="1" hidden="1" outlineLevel="1">
      <c r="A634" s="21"/>
      <c r="B634" s="358" t="s">
        <v>147</v>
      </c>
      <c r="C634" s="273" t="str">
        <f t="shared" si="107"/>
        <v>Electric standard</v>
      </c>
      <c r="D634" s="359"/>
      <c r="E634" s="360"/>
      <c r="F634" s="358" t="s">
        <v>96</v>
      </c>
      <c r="G634" s="5"/>
      <c r="H634" s="261"/>
      <c r="I634" s="261"/>
      <c r="J634" s="261"/>
      <c r="K634" s="261"/>
      <c r="L634" s="261"/>
      <c r="M634" s="261"/>
      <c r="N634" s="261"/>
      <c r="O634" s="261"/>
      <c r="P634" s="261"/>
      <c r="Q634" s="261"/>
      <c r="R634" s="261"/>
      <c r="S634" s="5"/>
      <c r="T634" s="25"/>
      <c r="U634" s="5"/>
    </row>
    <row r="635" spans="1:21" s="3" customFormat="1" hidden="1" outlineLevel="1">
      <c r="A635" s="21"/>
      <c r="B635" s="358" t="s">
        <v>362</v>
      </c>
      <c r="C635" s="273" t="str">
        <f t="shared" si="107"/>
        <v>Electric standard</v>
      </c>
      <c r="D635" s="359"/>
      <c r="E635" s="360"/>
      <c r="F635" s="358" t="s">
        <v>96</v>
      </c>
      <c r="G635" s="5"/>
      <c r="H635" s="261"/>
      <c r="I635" s="261"/>
      <c r="J635" s="261"/>
      <c r="K635" s="261"/>
      <c r="L635" s="261"/>
      <c r="M635" s="261"/>
      <c r="N635" s="261"/>
      <c r="O635" s="261"/>
      <c r="P635" s="261"/>
      <c r="Q635" s="261"/>
      <c r="R635" s="261"/>
      <c r="S635" s="5"/>
      <c r="T635" s="25"/>
      <c r="U635" s="5"/>
    </row>
    <row r="636" spans="1:21" s="3" customFormat="1" hidden="1" outlineLevel="1">
      <c r="A636" s="21"/>
      <c r="B636" s="358" t="s">
        <v>363</v>
      </c>
      <c r="C636" s="273" t="str">
        <f t="shared" si="107"/>
        <v>Electric standard</v>
      </c>
      <c r="D636" s="359"/>
      <c r="E636" s="360"/>
      <c r="F636" s="358" t="s">
        <v>96</v>
      </c>
      <c r="G636" s="5"/>
      <c r="H636" s="261"/>
      <c r="I636" s="261"/>
      <c r="J636" s="261"/>
      <c r="K636" s="261"/>
      <c r="L636" s="261"/>
      <c r="M636" s="261"/>
      <c r="N636" s="261"/>
      <c r="O636" s="261"/>
      <c r="P636" s="261"/>
      <c r="Q636" s="261"/>
      <c r="R636" s="261"/>
      <c r="S636" s="5"/>
      <c r="T636" s="25"/>
      <c r="U636" s="5"/>
    </row>
    <row r="637" spans="1:21" s="3" customFormat="1" hidden="1" outlineLevel="1">
      <c r="A637" s="21"/>
      <c r="B637" s="228" t="s">
        <v>332</v>
      </c>
      <c r="C637" s="273" t="str">
        <f t="shared" si="107"/>
        <v>Electric standard</v>
      </c>
      <c r="D637" s="228"/>
      <c r="E637" s="355"/>
      <c r="F637" s="228" t="s">
        <v>33</v>
      </c>
      <c r="G637" s="5"/>
      <c r="H637" s="29">
        <v>642.4</v>
      </c>
      <c r="I637" s="362">
        <f t="shared" ref="I637:R638" si="109">H637</f>
        <v>642.4</v>
      </c>
      <c r="J637" s="362">
        <f t="shared" si="109"/>
        <v>642.4</v>
      </c>
      <c r="K637" s="362">
        <f t="shared" si="109"/>
        <v>642.4</v>
      </c>
      <c r="L637" s="362">
        <f t="shared" si="109"/>
        <v>642.4</v>
      </c>
      <c r="M637" s="362">
        <f t="shared" si="109"/>
        <v>642.4</v>
      </c>
      <c r="N637" s="362">
        <f t="shared" si="109"/>
        <v>642.4</v>
      </c>
      <c r="O637" s="362">
        <f t="shared" si="109"/>
        <v>642.4</v>
      </c>
      <c r="P637" s="362">
        <f t="shared" si="109"/>
        <v>642.4</v>
      </c>
      <c r="Q637" s="362">
        <f t="shared" si="109"/>
        <v>642.4</v>
      </c>
      <c r="R637" s="362">
        <f t="shared" si="109"/>
        <v>642.4</v>
      </c>
      <c r="S637" s="5"/>
      <c r="T637" s="25"/>
      <c r="U637" s="5"/>
    </row>
    <row r="638" spans="1:21" s="3" customFormat="1" hidden="1" outlineLevel="1">
      <c r="A638" s="21"/>
      <c r="B638" s="228" t="s">
        <v>470</v>
      </c>
      <c r="C638" s="273" t="str">
        <f t="shared" si="107"/>
        <v>Electric standard</v>
      </c>
      <c r="D638" s="228"/>
      <c r="E638" s="355"/>
      <c r="F638" s="228" t="s">
        <v>316</v>
      </c>
      <c r="G638" s="5"/>
      <c r="H638" s="54">
        <v>2647.9160000000002</v>
      </c>
      <c r="I638" s="270">
        <f t="shared" si="109"/>
        <v>2647.9160000000002</v>
      </c>
      <c r="J638" s="270">
        <f t="shared" si="109"/>
        <v>2647.9160000000002</v>
      </c>
      <c r="K638" s="270">
        <f t="shared" si="109"/>
        <v>2647.9160000000002</v>
      </c>
      <c r="L638" s="270">
        <f t="shared" si="109"/>
        <v>2647.9160000000002</v>
      </c>
      <c r="M638" s="270">
        <f t="shared" si="109"/>
        <v>2647.9160000000002</v>
      </c>
      <c r="N638" s="270">
        <f t="shared" si="109"/>
        <v>2647.9160000000002</v>
      </c>
      <c r="O638" s="270">
        <f t="shared" si="109"/>
        <v>2647.9160000000002</v>
      </c>
      <c r="P638" s="270">
        <f t="shared" si="109"/>
        <v>2647.9160000000002</v>
      </c>
      <c r="Q638" s="270">
        <f t="shared" si="109"/>
        <v>2647.9160000000002</v>
      </c>
      <c r="R638" s="270">
        <f t="shared" si="109"/>
        <v>2647.9160000000002</v>
      </c>
      <c r="S638" s="5"/>
      <c r="T638" s="25"/>
      <c r="U638" s="5"/>
    </row>
    <row r="639" spans="1:21" s="3" customFormat="1" hidden="1" outlineLevel="1">
      <c r="A639" s="21"/>
      <c r="B639" s="228" t="s">
        <v>375</v>
      </c>
      <c r="C639" s="273" t="str">
        <f t="shared" si="107"/>
        <v>Electric standard</v>
      </c>
      <c r="D639" s="228"/>
      <c r="E639" s="355"/>
      <c r="F639" s="228" t="s">
        <v>96</v>
      </c>
      <c r="G639" s="5"/>
      <c r="H639" s="261"/>
      <c r="I639" s="261"/>
      <c r="J639" s="261"/>
      <c r="K639" s="261"/>
      <c r="L639" s="261"/>
      <c r="M639" s="261"/>
      <c r="N639" s="261"/>
      <c r="O639" s="261"/>
      <c r="P639" s="261"/>
      <c r="Q639" s="261"/>
      <c r="R639" s="261"/>
      <c r="S639" s="5"/>
      <c r="T639" s="25"/>
      <c r="U639" s="5"/>
    </row>
    <row r="640" spans="1:21" s="3" customFormat="1" hidden="1" outlineLevel="1">
      <c r="A640" s="21"/>
      <c r="B640" s="228" t="s">
        <v>432</v>
      </c>
      <c r="C640" s="273" t="str">
        <f t="shared" si="107"/>
        <v>Electric standard</v>
      </c>
      <c r="D640" s="228"/>
      <c r="E640" s="355"/>
      <c r="F640" s="228" t="s">
        <v>33</v>
      </c>
      <c r="G640" s="5"/>
      <c r="H640" s="55"/>
      <c r="I640" s="55"/>
      <c r="J640" s="55"/>
      <c r="K640" s="55"/>
      <c r="L640" s="55"/>
      <c r="M640" s="55"/>
      <c r="N640" s="55"/>
      <c r="O640" s="55"/>
      <c r="P640" s="55"/>
      <c r="Q640" s="55"/>
      <c r="R640" s="55"/>
      <c r="S640" s="5"/>
      <c r="T640" s="25"/>
      <c r="U640" s="5"/>
    </row>
    <row r="641" spans="1:21" s="3" customFormat="1" hidden="1" outlineLevel="1">
      <c r="A641" s="21"/>
      <c r="B641" s="228" t="s">
        <v>379</v>
      </c>
      <c r="C641" s="273" t="str">
        <f t="shared" si="107"/>
        <v>Electric standard</v>
      </c>
      <c r="D641" s="228"/>
      <c r="E641" s="355"/>
      <c r="F641" s="228"/>
      <c r="G641" s="5"/>
      <c r="H641" s="54"/>
      <c r="I641" s="54"/>
      <c r="J641" s="54"/>
      <c r="K641" s="54"/>
      <c r="L641" s="54"/>
      <c r="M641" s="54"/>
      <c r="N641" s="54"/>
      <c r="O641" s="54"/>
      <c r="P641" s="54"/>
      <c r="Q641" s="54"/>
      <c r="R641" s="54"/>
      <c r="S641" s="5"/>
      <c r="T641" s="25"/>
      <c r="U641" s="5"/>
    </row>
    <row r="642" spans="1:21" s="3" customFormat="1" hidden="1" outlineLevel="1">
      <c r="A642" s="21"/>
      <c r="B642" s="228" t="s">
        <v>361</v>
      </c>
      <c r="C642" s="273" t="str">
        <f t="shared" si="107"/>
        <v>Electric standard</v>
      </c>
      <c r="D642" s="228"/>
      <c r="E642" s="355"/>
      <c r="F642" s="228" t="s">
        <v>96</v>
      </c>
      <c r="G642" s="5"/>
      <c r="H642" s="261"/>
      <c r="I642" s="261"/>
      <c r="J642" s="261"/>
      <c r="K642" s="261"/>
      <c r="L642" s="261"/>
      <c r="M642" s="261"/>
      <c r="N642" s="261"/>
      <c r="O642" s="261"/>
      <c r="P642" s="261"/>
      <c r="Q642" s="261"/>
      <c r="R642" s="261"/>
      <c r="S642" s="5"/>
      <c r="T642" s="25"/>
      <c r="U642" s="5"/>
    </row>
    <row r="643" spans="1:21" s="3" customFormat="1" hidden="1" outlineLevel="1">
      <c r="A643" s="21"/>
      <c r="B643" s="228" t="s">
        <v>384</v>
      </c>
      <c r="C643" s="273" t="str">
        <f t="shared" si="107"/>
        <v>Electric standard</v>
      </c>
      <c r="D643" s="228"/>
      <c r="E643" s="355"/>
      <c r="F643" s="228" t="s">
        <v>316</v>
      </c>
      <c r="G643" s="5"/>
      <c r="H643" s="54">
        <v>800</v>
      </c>
      <c r="I643" s="270">
        <f t="shared" ref="I643:R643" si="110">H643</f>
        <v>800</v>
      </c>
      <c r="J643" s="270">
        <f t="shared" si="110"/>
        <v>800</v>
      </c>
      <c r="K643" s="270">
        <f t="shared" si="110"/>
        <v>800</v>
      </c>
      <c r="L643" s="270">
        <f t="shared" si="110"/>
        <v>800</v>
      </c>
      <c r="M643" s="270">
        <f t="shared" si="110"/>
        <v>800</v>
      </c>
      <c r="N643" s="270">
        <f t="shared" si="110"/>
        <v>800</v>
      </c>
      <c r="O643" s="270">
        <f t="shared" si="110"/>
        <v>800</v>
      </c>
      <c r="P643" s="270">
        <f t="shared" si="110"/>
        <v>800</v>
      </c>
      <c r="Q643" s="270">
        <f t="shared" si="110"/>
        <v>800</v>
      </c>
      <c r="R643" s="270">
        <f t="shared" si="110"/>
        <v>800</v>
      </c>
      <c r="S643" s="5"/>
      <c r="T643" s="25"/>
      <c r="U643" s="5"/>
    </row>
    <row r="644" spans="1:21" s="3" customFormat="1" hidden="1" outlineLevel="1">
      <c r="A644" s="21"/>
      <c r="B644" s="228" t="s">
        <v>386</v>
      </c>
      <c r="C644" s="273" t="str">
        <f t="shared" si="107"/>
        <v>Electric standard</v>
      </c>
      <c r="D644" s="228"/>
      <c r="E644" s="355"/>
      <c r="F644" s="228" t="s">
        <v>316</v>
      </c>
      <c r="G644" s="5"/>
      <c r="H644" s="55"/>
      <c r="I644" s="55"/>
      <c r="J644" s="55"/>
      <c r="K644" s="55"/>
      <c r="L644" s="55"/>
      <c r="M644" s="55"/>
      <c r="N644" s="55"/>
      <c r="O644" s="55"/>
      <c r="P644" s="55"/>
      <c r="Q644" s="55"/>
      <c r="R644" s="55"/>
      <c r="S644" s="5"/>
      <c r="T644" s="25"/>
      <c r="U644" s="5"/>
    </row>
    <row r="645" spans="1:21" s="3" customFormat="1" hidden="1" outlineLevel="1">
      <c r="A645" s="21"/>
      <c r="B645" s="228" t="s">
        <v>387</v>
      </c>
      <c r="C645" s="273" t="str">
        <f t="shared" si="107"/>
        <v>Electric standard</v>
      </c>
      <c r="D645" s="228"/>
      <c r="E645" s="355"/>
      <c r="F645" s="228"/>
      <c r="G645" s="5"/>
      <c r="H645" s="261"/>
      <c r="I645" s="261"/>
      <c r="J645" s="261"/>
      <c r="K645" s="261"/>
      <c r="L645" s="261"/>
      <c r="M645" s="261"/>
      <c r="N645" s="261"/>
      <c r="O645" s="261"/>
      <c r="P645" s="261"/>
      <c r="Q645" s="261"/>
      <c r="R645" s="261"/>
      <c r="S645" s="5"/>
      <c r="T645" s="25"/>
      <c r="U645" s="5"/>
    </row>
    <row r="646" spans="1:21" s="3" customFormat="1" hidden="1" outlineLevel="1">
      <c r="A646" s="21"/>
      <c r="B646" s="228" t="s">
        <v>388</v>
      </c>
      <c r="C646" s="273" t="str">
        <f t="shared" si="107"/>
        <v>Electric standard</v>
      </c>
      <c r="D646" s="228"/>
      <c r="E646" s="355"/>
      <c r="F646" s="228"/>
      <c r="G646" s="5"/>
      <c r="H646" s="55"/>
      <c r="I646" s="55"/>
      <c r="J646" s="55"/>
      <c r="K646" s="55"/>
      <c r="L646" s="55"/>
      <c r="M646" s="55"/>
      <c r="N646" s="55"/>
      <c r="O646" s="55"/>
      <c r="P646" s="55"/>
      <c r="Q646" s="55"/>
      <c r="R646" s="55"/>
      <c r="S646" s="5"/>
      <c r="T646" s="25"/>
      <c r="U646" s="5"/>
    </row>
    <row r="647" spans="1:21" s="3" customFormat="1" hidden="1" outlineLevel="1">
      <c r="A647" s="21"/>
      <c r="B647" s="228" t="s">
        <v>385</v>
      </c>
      <c r="C647" s="273" t="str">
        <f t="shared" si="107"/>
        <v>Electric standard</v>
      </c>
      <c r="D647" s="228"/>
      <c r="E647" s="355"/>
      <c r="F647" s="228" t="s">
        <v>317</v>
      </c>
      <c r="G647" s="5"/>
      <c r="H647" s="54"/>
      <c r="I647" s="54"/>
      <c r="J647" s="54"/>
      <c r="K647" s="54"/>
      <c r="L647" s="54"/>
      <c r="M647" s="54"/>
      <c r="N647" s="54"/>
      <c r="O647" s="54"/>
      <c r="P647" s="54"/>
      <c r="Q647" s="54"/>
      <c r="R647" s="54"/>
      <c r="S647" s="5"/>
      <c r="T647" s="25"/>
      <c r="U647" s="5"/>
    </row>
    <row r="648" spans="1:21" s="3" customFormat="1" hidden="1" outlineLevel="1">
      <c r="A648" s="21"/>
      <c r="B648" s="228" t="s">
        <v>389</v>
      </c>
      <c r="C648" s="273" t="str">
        <f t="shared" si="107"/>
        <v>Electric standard</v>
      </c>
      <c r="D648" s="228"/>
      <c r="E648" s="355"/>
      <c r="F648" s="228" t="s">
        <v>317</v>
      </c>
      <c r="G648" s="5"/>
      <c r="H648" s="55"/>
      <c r="I648" s="55"/>
      <c r="J648" s="55"/>
      <c r="K648" s="55"/>
      <c r="L648" s="55"/>
      <c r="M648" s="55"/>
      <c r="N648" s="55"/>
      <c r="O648" s="55"/>
      <c r="P648" s="55"/>
      <c r="Q648" s="55"/>
      <c r="R648" s="55"/>
      <c r="S648" s="5"/>
      <c r="T648" s="25"/>
      <c r="U648" s="5"/>
    </row>
    <row r="649" spans="1:21" s="3" customFormat="1" hidden="1" outlineLevel="1">
      <c r="A649" s="21"/>
      <c r="B649" s="228" t="s">
        <v>390</v>
      </c>
      <c r="C649" s="273" t="str">
        <f t="shared" si="107"/>
        <v>Electric standard</v>
      </c>
      <c r="D649" s="228"/>
      <c r="E649" s="355"/>
      <c r="F649" s="228"/>
      <c r="G649" s="5"/>
      <c r="H649" s="261"/>
      <c r="I649" s="261"/>
      <c r="J649" s="261"/>
      <c r="K649" s="261"/>
      <c r="L649" s="261"/>
      <c r="M649" s="261"/>
      <c r="N649" s="261"/>
      <c r="O649" s="261"/>
      <c r="P649" s="261"/>
      <c r="Q649" s="261"/>
      <c r="R649" s="261"/>
      <c r="S649" s="5"/>
      <c r="T649" s="25"/>
      <c r="U649" s="5"/>
    </row>
    <row r="650" spans="1:21" s="3" customFormat="1" hidden="1" outlineLevel="1">
      <c r="A650" s="21"/>
      <c r="B650" s="228" t="s">
        <v>391</v>
      </c>
      <c r="C650" s="273" t="str">
        <f t="shared" si="107"/>
        <v>Electric standard</v>
      </c>
      <c r="D650" s="228"/>
      <c r="E650" s="355"/>
      <c r="F650" s="228"/>
      <c r="G650" s="5"/>
      <c r="H650" s="55"/>
      <c r="I650" s="55"/>
      <c r="J650" s="55"/>
      <c r="K650" s="55"/>
      <c r="L650" s="55"/>
      <c r="M650" s="55"/>
      <c r="N650" s="55"/>
      <c r="O650" s="55"/>
      <c r="P650" s="55"/>
      <c r="Q650" s="55"/>
      <c r="R650" s="55"/>
      <c r="S650" s="5"/>
      <c r="T650" s="25"/>
      <c r="U650" s="5"/>
    </row>
    <row r="651" spans="1:21" s="3" customFormat="1" hidden="1" outlineLevel="1">
      <c r="A651" s="21"/>
      <c r="B651" s="228" t="s">
        <v>305</v>
      </c>
      <c r="C651" s="273" t="str">
        <f t="shared" si="107"/>
        <v>Electric standard</v>
      </c>
      <c r="D651" s="228"/>
      <c r="E651" s="355"/>
      <c r="F651" s="228" t="s">
        <v>317</v>
      </c>
      <c r="G651" s="5"/>
      <c r="H651" s="54">
        <v>12.217000000000001</v>
      </c>
      <c r="I651" s="270">
        <f t="shared" ref="I651:R651" si="111">H651</f>
        <v>12.217000000000001</v>
      </c>
      <c r="J651" s="270">
        <f t="shared" si="111"/>
        <v>12.217000000000001</v>
      </c>
      <c r="K651" s="270">
        <f t="shared" si="111"/>
        <v>12.217000000000001</v>
      </c>
      <c r="L651" s="270">
        <f t="shared" si="111"/>
        <v>12.217000000000001</v>
      </c>
      <c r="M651" s="270">
        <f t="shared" si="111"/>
        <v>12.217000000000001</v>
      </c>
      <c r="N651" s="270">
        <f t="shared" si="111"/>
        <v>12.217000000000001</v>
      </c>
      <c r="O651" s="270">
        <f t="shared" si="111"/>
        <v>12.217000000000001</v>
      </c>
      <c r="P651" s="270">
        <f t="shared" si="111"/>
        <v>12.217000000000001</v>
      </c>
      <c r="Q651" s="270">
        <f t="shared" si="111"/>
        <v>12.217000000000001</v>
      </c>
      <c r="R651" s="270">
        <f t="shared" si="111"/>
        <v>12.217000000000001</v>
      </c>
      <c r="S651" s="5"/>
      <c r="T651" s="25"/>
      <c r="U651" s="5"/>
    </row>
    <row r="652" spans="1:21" s="3" customFormat="1" hidden="1" outlineLevel="1">
      <c r="A652" s="21"/>
      <c r="B652" s="228" t="s">
        <v>352</v>
      </c>
      <c r="C652" s="273" t="str">
        <f t="shared" si="107"/>
        <v>Electric standard</v>
      </c>
      <c r="D652" s="228"/>
      <c r="E652" s="355"/>
      <c r="F652" s="228" t="s">
        <v>316</v>
      </c>
      <c r="G652" s="5"/>
      <c r="H652" s="54"/>
      <c r="I652" s="54"/>
      <c r="J652" s="54"/>
      <c r="K652" s="54"/>
      <c r="L652" s="54"/>
      <c r="M652" s="54"/>
      <c r="N652" s="54"/>
      <c r="O652" s="54"/>
      <c r="P652" s="54"/>
      <c r="Q652" s="54"/>
      <c r="R652" s="54"/>
      <c r="S652" s="5"/>
      <c r="T652" s="25"/>
      <c r="U652" s="5"/>
    </row>
    <row r="653" spans="1:21" s="3" customFormat="1" hidden="1" outlineLevel="1">
      <c r="A653" s="21"/>
      <c r="B653" s="67" t="s">
        <v>301</v>
      </c>
      <c r="C653" s="273" t="str">
        <f t="shared" si="107"/>
        <v>Electric standard</v>
      </c>
      <c r="D653" s="4" t="s">
        <v>454</v>
      </c>
      <c r="E653" s="347"/>
      <c r="F653" s="67" t="s">
        <v>33</v>
      </c>
      <c r="G653" s="5"/>
      <c r="H653" s="350">
        <v>0.22700000000000001</v>
      </c>
      <c r="I653" s="363">
        <f t="shared" ref="I653:R653" si="112">H653</f>
        <v>0.22700000000000001</v>
      </c>
      <c r="J653" s="363">
        <f t="shared" si="112"/>
        <v>0.22700000000000001</v>
      </c>
      <c r="K653" s="363">
        <f t="shared" si="112"/>
        <v>0.22700000000000001</v>
      </c>
      <c r="L653" s="363">
        <f t="shared" si="112"/>
        <v>0.22700000000000001</v>
      </c>
      <c r="M653" s="363">
        <f t="shared" si="112"/>
        <v>0.22700000000000001</v>
      </c>
      <c r="N653" s="363">
        <f t="shared" si="112"/>
        <v>0.22700000000000001</v>
      </c>
      <c r="O653" s="363">
        <f t="shared" si="112"/>
        <v>0.22700000000000001</v>
      </c>
      <c r="P653" s="363">
        <f t="shared" si="112"/>
        <v>0.22700000000000001</v>
      </c>
      <c r="Q653" s="363">
        <f t="shared" si="112"/>
        <v>0.22700000000000001</v>
      </c>
      <c r="R653" s="363">
        <f t="shared" si="112"/>
        <v>0.22700000000000001</v>
      </c>
      <c r="S653" s="5"/>
      <c r="T653" s="25"/>
      <c r="U653" s="5"/>
    </row>
    <row r="654" spans="1:21" s="3" customFormat="1" hidden="1" outlineLevel="1">
      <c r="A654" s="21" t="s">
        <v>436</v>
      </c>
      <c r="B654" s="4"/>
      <c r="C654" s="13"/>
      <c r="D654" s="4"/>
      <c r="E654" s="4"/>
      <c r="F654" s="9"/>
      <c r="G654" s="13"/>
      <c r="H654" s="4"/>
      <c r="I654" s="4"/>
      <c r="J654" s="4"/>
      <c r="K654" s="4"/>
      <c r="L654" s="4"/>
      <c r="M654" s="4"/>
      <c r="N654" s="4"/>
      <c r="O654" s="4"/>
      <c r="P654" s="4"/>
      <c r="Q654" s="4"/>
      <c r="R654" s="4"/>
      <c r="S654" s="5"/>
      <c r="T654" s="13"/>
      <c r="U654" s="5"/>
    </row>
    <row r="655" spans="1:21" s="401" customFormat="1" collapsed="1">
      <c r="A655" s="401" t="s">
        <v>112</v>
      </c>
      <c r="B655" s="402"/>
      <c r="C655" s="403"/>
      <c r="D655" s="402"/>
      <c r="E655" s="402"/>
      <c r="F655" s="404"/>
      <c r="G655" s="403"/>
      <c r="H655" s="402"/>
      <c r="I655" s="402"/>
      <c r="J655" s="402"/>
      <c r="K655" s="402"/>
      <c r="L655" s="402"/>
      <c r="M655" s="402"/>
      <c r="N655" s="402"/>
      <c r="O655" s="402"/>
      <c r="P655" s="402"/>
      <c r="Q655" s="402"/>
      <c r="R655" s="402"/>
      <c r="T655" s="403"/>
    </row>
    <row r="656" spans="1:21" s="3" customFormat="1" hidden="1" outlineLevel="1">
      <c r="A656" s="21"/>
      <c r="B656" s="67" t="s">
        <v>300</v>
      </c>
      <c r="C656" s="273" t="str">
        <f>A655</f>
        <v>Dishwashing</v>
      </c>
      <c r="D656" s="273" t="s">
        <v>452</v>
      </c>
      <c r="E656" s="347"/>
      <c r="F656" s="67" t="s">
        <v>315</v>
      </c>
      <c r="G656" s="5"/>
      <c r="H656" s="55"/>
      <c r="I656" s="55"/>
      <c r="J656" s="55"/>
      <c r="K656" s="55"/>
      <c r="L656" s="55"/>
      <c r="M656" s="55"/>
      <c r="N656" s="55"/>
      <c r="O656" s="55"/>
      <c r="P656" s="55"/>
      <c r="Q656" s="55"/>
      <c r="R656" s="55"/>
      <c r="S656" s="5"/>
      <c r="T656" s="25"/>
      <c r="U656" s="5"/>
    </row>
    <row r="657" spans="1:21" s="3" customFormat="1" hidden="1" outlineLevel="1">
      <c r="A657" s="21"/>
      <c r="B657" s="67" t="s">
        <v>466</v>
      </c>
      <c r="C657" s="273" t="s">
        <v>110</v>
      </c>
      <c r="D657" s="273"/>
      <c r="E657" s="347"/>
      <c r="F657" s="67"/>
      <c r="G657" s="5"/>
      <c r="H657" s="55"/>
      <c r="I657" s="55"/>
      <c r="J657" s="55"/>
      <c r="K657" s="55"/>
      <c r="L657" s="55"/>
      <c r="M657" s="55"/>
      <c r="N657" s="55"/>
      <c r="O657" s="55"/>
      <c r="P657" s="55"/>
      <c r="Q657" s="55"/>
      <c r="R657" s="55"/>
      <c r="S657" s="5"/>
      <c r="T657" s="25"/>
      <c r="U657" s="5"/>
    </row>
    <row r="658" spans="1:21" s="3" customFormat="1" ht="16" hidden="1" customHeight="1" outlineLevel="1">
      <c r="A658" s="21"/>
      <c r="B658" s="67" t="s">
        <v>46</v>
      </c>
      <c r="C658" s="273" t="s">
        <v>20</v>
      </c>
      <c r="D658" s="4"/>
      <c r="E658" s="347"/>
      <c r="G658" s="5"/>
      <c r="H658" s="4"/>
      <c r="I658" s="4"/>
      <c r="J658" s="4"/>
      <c r="K658" s="4"/>
      <c r="L658" s="4"/>
      <c r="M658" s="4"/>
      <c r="N658" s="4"/>
      <c r="O658" s="4"/>
      <c r="P658" s="4"/>
      <c r="Q658" s="4"/>
      <c r="R658" s="4"/>
      <c r="S658" s="5"/>
      <c r="T658" s="13"/>
      <c r="U658" s="5"/>
    </row>
    <row r="659" spans="1:21" s="3" customFormat="1" hidden="1" outlineLevel="1">
      <c r="A659" s="21"/>
      <c r="B659" s="67" t="s">
        <v>65</v>
      </c>
      <c r="C659" s="273" t="s">
        <v>34</v>
      </c>
      <c r="D659" s="4"/>
      <c r="E659" s="347"/>
      <c r="G659" s="5"/>
      <c r="H659" s="4">
        <v>10</v>
      </c>
      <c r="I659" s="354">
        <f t="shared" ref="I659:R659" si="113">H659</f>
        <v>10</v>
      </c>
      <c r="J659" s="354">
        <f t="shared" si="113"/>
        <v>10</v>
      </c>
      <c r="K659" s="354">
        <f t="shared" si="113"/>
        <v>10</v>
      </c>
      <c r="L659" s="354">
        <f t="shared" si="113"/>
        <v>10</v>
      </c>
      <c r="M659" s="354">
        <f t="shared" si="113"/>
        <v>10</v>
      </c>
      <c r="N659" s="354">
        <f t="shared" si="113"/>
        <v>10</v>
      </c>
      <c r="O659" s="354">
        <f t="shared" si="113"/>
        <v>10</v>
      </c>
      <c r="P659" s="354">
        <f t="shared" si="113"/>
        <v>10</v>
      </c>
      <c r="Q659" s="354">
        <f t="shared" si="113"/>
        <v>10</v>
      </c>
      <c r="R659" s="354">
        <f t="shared" si="113"/>
        <v>10</v>
      </c>
      <c r="S659" s="5"/>
      <c r="T659" s="13"/>
      <c r="U659" s="5"/>
    </row>
    <row r="660" spans="1:21" s="3" customFormat="1" hidden="1" outlineLevel="1">
      <c r="A660" s="21"/>
      <c r="B660" s="67" t="s">
        <v>50</v>
      </c>
      <c r="C660" s="273" t="s">
        <v>479</v>
      </c>
      <c r="D660" s="4"/>
      <c r="E660" s="347"/>
      <c r="G660" s="5"/>
      <c r="H660" s="4"/>
      <c r="I660" s="4"/>
      <c r="J660" s="4"/>
      <c r="K660" s="4"/>
      <c r="L660" s="4"/>
      <c r="M660" s="4"/>
      <c r="N660" s="4"/>
      <c r="O660" s="4"/>
      <c r="P660" s="4"/>
      <c r="Q660" s="4"/>
      <c r="R660" s="4"/>
      <c r="S660" s="5"/>
      <c r="T660" s="13"/>
      <c r="U660" s="5"/>
    </row>
    <row r="661" spans="1:21" s="3" customFormat="1" hidden="1" outlineLevel="1">
      <c r="A661" s="21"/>
      <c r="B661" s="228" t="s">
        <v>37</v>
      </c>
      <c r="C661" s="273" t="str">
        <f>C660</f>
        <v>Existing</v>
      </c>
      <c r="D661" s="228"/>
      <c r="E661" s="355"/>
      <c r="F661" s="228" t="s">
        <v>39</v>
      </c>
      <c r="G661" s="5"/>
      <c r="H661" s="265">
        <v>1987</v>
      </c>
      <c r="I661" s="356">
        <f t="shared" ref="I661:R663" si="114">H661</f>
        <v>1987</v>
      </c>
      <c r="J661" s="356">
        <f t="shared" si="114"/>
        <v>1987</v>
      </c>
      <c r="K661" s="356">
        <f t="shared" si="114"/>
        <v>1987</v>
      </c>
      <c r="L661" s="356">
        <f t="shared" si="114"/>
        <v>1987</v>
      </c>
      <c r="M661" s="356">
        <f t="shared" si="114"/>
        <v>1987</v>
      </c>
      <c r="N661" s="356">
        <f t="shared" si="114"/>
        <v>1987</v>
      </c>
      <c r="O661" s="356">
        <f t="shared" si="114"/>
        <v>1987</v>
      </c>
      <c r="P661" s="356">
        <f t="shared" si="114"/>
        <v>1987</v>
      </c>
      <c r="Q661" s="356">
        <f t="shared" si="114"/>
        <v>1987</v>
      </c>
      <c r="R661" s="356">
        <f t="shared" si="114"/>
        <v>1987</v>
      </c>
      <c r="S661" s="5"/>
      <c r="T661" s="25"/>
      <c r="U661" s="5"/>
    </row>
    <row r="662" spans="1:21" s="3" customFormat="1" hidden="1" outlineLevel="1">
      <c r="A662" s="21"/>
      <c r="B662" s="228" t="s">
        <v>36</v>
      </c>
      <c r="C662" s="273" t="str">
        <f t="shared" ref="C662:C689" si="115">C661</f>
        <v>Existing</v>
      </c>
      <c r="D662" s="228"/>
      <c r="E662" s="355"/>
      <c r="F662" s="228" t="s">
        <v>39</v>
      </c>
      <c r="G662" s="5"/>
      <c r="H662" s="265">
        <v>2000</v>
      </c>
      <c r="I662" s="356">
        <f t="shared" si="114"/>
        <v>2000</v>
      </c>
      <c r="J662" s="356">
        <f t="shared" si="114"/>
        <v>2000</v>
      </c>
      <c r="K662" s="356">
        <f t="shared" si="114"/>
        <v>2000</v>
      </c>
      <c r="L662" s="356">
        <f t="shared" si="114"/>
        <v>2000</v>
      </c>
      <c r="M662" s="356">
        <f t="shared" si="114"/>
        <v>2000</v>
      </c>
      <c r="N662" s="356">
        <f t="shared" si="114"/>
        <v>2000</v>
      </c>
      <c r="O662" s="356">
        <f t="shared" si="114"/>
        <v>2000</v>
      </c>
      <c r="P662" s="356">
        <f t="shared" si="114"/>
        <v>2000</v>
      </c>
      <c r="Q662" s="356">
        <f t="shared" si="114"/>
        <v>2000</v>
      </c>
      <c r="R662" s="356">
        <f t="shared" si="114"/>
        <v>2000</v>
      </c>
      <c r="S662" s="5"/>
      <c r="T662" s="25"/>
      <c r="U662" s="5"/>
    </row>
    <row r="663" spans="1:21" s="3" customFormat="1" hidden="1" outlineLevel="1">
      <c r="A663" s="21"/>
      <c r="B663" s="228" t="s">
        <v>38</v>
      </c>
      <c r="C663" s="273" t="str">
        <f t="shared" si="115"/>
        <v>Existing</v>
      </c>
      <c r="D663" s="228"/>
      <c r="E663" s="355"/>
      <c r="F663" s="228" t="s">
        <v>10</v>
      </c>
      <c r="G663" s="5"/>
      <c r="H663" s="55">
        <v>13</v>
      </c>
      <c r="I663" s="253">
        <f t="shared" si="114"/>
        <v>13</v>
      </c>
      <c r="J663" s="253">
        <f t="shared" si="114"/>
        <v>13</v>
      </c>
      <c r="K663" s="253">
        <f t="shared" si="114"/>
        <v>13</v>
      </c>
      <c r="L663" s="253">
        <f t="shared" si="114"/>
        <v>13</v>
      </c>
      <c r="M663" s="253">
        <f t="shared" si="114"/>
        <v>13</v>
      </c>
      <c r="N663" s="253">
        <f t="shared" si="114"/>
        <v>13</v>
      </c>
      <c r="O663" s="253">
        <f t="shared" si="114"/>
        <v>13</v>
      </c>
      <c r="P663" s="253">
        <f t="shared" si="114"/>
        <v>13</v>
      </c>
      <c r="Q663" s="253">
        <f t="shared" si="114"/>
        <v>13</v>
      </c>
      <c r="R663" s="253">
        <f t="shared" si="114"/>
        <v>13</v>
      </c>
      <c r="S663" s="5"/>
      <c r="T663" s="25"/>
      <c r="U663" s="5"/>
    </row>
    <row r="664" spans="1:21" s="3" customFormat="1" hidden="1" outlineLevel="1">
      <c r="A664" s="21"/>
      <c r="B664" s="228" t="s">
        <v>353</v>
      </c>
      <c r="C664" s="273" t="str">
        <f t="shared" si="115"/>
        <v>Existing</v>
      </c>
      <c r="D664" s="228"/>
      <c r="E664" s="355"/>
      <c r="F664" s="228" t="s">
        <v>10</v>
      </c>
      <c r="G664" s="5"/>
      <c r="H664" s="55"/>
      <c r="I664" s="55"/>
      <c r="J664" s="55"/>
      <c r="K664" s="55"/>
      <c r="L664" s="55"/>
      <c r="M664" s="55"/>
      <c r="N664" s="55"/>
      <c r="O664" s="55"/>
      <c r="P664" s="55"/>
      <c r="Q664" s="55"/>
      <c r="R664" s="55"/>
      <c r="S664" s="5"/>
      <c r="T664" s="25"/>
      <c r="U664" s="5"/>
    </row>
    <row r="665" spans="1:21" s="3" customFormat="1" hidden="1" outlineLevel="1">
      <c r="A665" s="21"/>
      <c r="B665" s="228" t="s">
        <v>304</v>
      </c>
      <c r="C665" s="273" t="str">
        <f t="shared" si="115"/>
        <v>Existing</v>
      </c>
      <c r="D665" s="228"/>
      <c r="E665" s="355"/>
      <c r="F665" s="228" t="s">
        <v>96</v>
      </c>
      <c r="G665" s="5"/>
      <c r="H665" s="261">
        <v>0.1</v>
      </c>
      <c r="I665" s="352">
        <f t="shared" ref="I665:R667" si="116">H665</f>
        <v>0.1</v>
      </c>
      <c r="J665" s="352">
        <f t="shared" si="116"/>
        <v>0.1</v>
      </c>
      <c r="K665" s="352">
        <f t="shared" si="116"/>
        <v>0.1</v>
      </c>
      <c r="L665" s="352">
        <f t="shared" si="116"/>
        <v>0.1</v>
      </c>
      <c r="M665" s="352">
        <f t="shared" si="116"/>
        <v>0.1</v>
      </c>
      <c r="N665" s="352">
        <f t="shared" si="116"/>
        <v>0.1</v>
      </c>
      <c r="O665" s="352">
        <f t="shared" si="116"/>
        <v>0.1</v>
      </c>
      <c r="P665" s="352">
        <f t="shared" si="116"/>
        <v>0.1</v>
      </c>
      <c r="Q665" s="352">
        <f t="shared" si="116"/>
        <v>0.1</v>
      </c>
      <c r="R665" s="352">
        <f t="shared" si="116"/>
        <v>0.1</v>
      </c>
      <c r="S665" s="5"/>
      <c r="T665" s="25"/>
      <c r="U665" s="5"/>
    </row>
    <row r="666" spans="1:21" s="3" customFormat="1" hidden="1" outlineLevel="1">
      <c r="A666" s="21"/>
      <c r="B666" s="228" t="s">
        <v>350</v>
      </c>
      <c r="C666" s="273" t="str">
        <f t="shared" si="115"/>
        <v>Existing</v>
      </c>
      <c r="D666" s="228"/>
      <c r="E666" s="355"/>
      <c r="F666" s="228" t="s">
        <v>96</v>
      </c>
      <c r="G666" s="5"/>
      <c r="H666" s="261">
        <v>0.65</v>
      </c>
      <c r="I666" s="352">
        <f t="shared" si="116"/>
        <v>0.65</v>
      </c>
      <c r="J666" s="352">
        <f t="shared" si="116"/>
        <v>0.65</v>
      </c>
      <c r="K666" s="352">
        <f t="shared" si="116"/>
        <v>0.65</v>
      </c>
      <c r="L666" s="352">
        <f t="shared" si="116"/>
        <v>0.65</v>
      </c>
      <c r="M666" s="352">
        <f t="shared" si="116"/>
        <v>0.65</v>
      </c>
      <c r="N666" s="352">
        <f t="shared" si="116"/>
        <v>0.65</v>
      </c>
      <c r="O666" s="352">
        <f t="shared" si="116"/>
        <v>0.65</v>
      </c>
      <c r="P666" s="352">
        <f t="shared" si="116"/>
        <v>0.65</v>
      </c>
      <c r="Q666" s="352">
        <f t="shared" si="116"/>
        <v>0.65</v>
      </c>
      <c r="R666" s="352">
        <f t="shared" si="116"/>
        <v>0.65</v>
      </c>
      <c r="S666" s="5"/>
      <c r="T666" s="25"/>
      <c r="U666" s="5"/>
    </row>
    <row r="667" spans="1:21" s="3" customFormat="1" hidden="1" outlineLevel="1">
      <c r="A667" s="21"/>
      <c r="B667" s="228" t="s">
        <v>349</v>
      </c>
      <c r="C667" s="273" t="str">
        <f t="shared" si="115"/>
        <v>Existing</v>
      </c>
      <c r="D667" s="228"/>
      <c r="E667" s="355"/>
      <c r="F667" s="228" t="s">
        <v>96</v>
      </c>
      <c r="G667" s="5"/>
      <c r="H667" s="261">
        <v>0.3</v>
      </c>
      <c r="I667" s="352">
        <f t="shared" si="116"/>
        <v>0.3</v>
      </c>
      <c r="J667" s="352">
        <f t="shared" si="116"/>
        <v>0.3</v>
      </c>
      <c r="K667" s="352">
        <f t="shared" si="116"/>
        <v>0.3</v>
      </c>
      <c r="L667" s="352">
        <f t="shared" si="116"/>
        <v>0.3</v>
      </c>
      <c r="M667" s="352">
        <f t="shared" si="116"/>
        <v>0.3</v>
      </c>
      <c r="N667" s="352">
        <f t="shared" si="116"/>
        <v>0.3</v>
      </c>
      <c r="O667" s="352">
        <f t="shared" si="116"/>
        <v>0.3</v>
      </c>
      <c r="P667" s="352">
        <f t="shared" si="116"/>
        <v>0.3</v>
      </c>
      <c r="Q667" s="352">
        <f t="shared" si="116"/>
        <v>0.3</v>
      </c>
      <c r="R667" s="352">
        <f t="shared" si="116"/>
        <v>0.3</v>
      </c>
      <c r="S667" s="5"/>
      <c r="T667" s="25"/>
      <c r="U667" s="5"/>
    </row>
    <row r="668" spans="1:21" s="3" customFormat="1" hidden="1" outlineLevel="1">
      <c r="A668" s="21"/>
      <c r="B668" s="228" t="s">
        <v>74</v>
      </c>
      <c r="C668" s="273" t="str">
        <f t="shared" si="115"/>
        <v>Existing</v>
      </c>
      <c r="D668" s="228"/>
      <c r="E668" s="355"/>
      <c r="F668" s="228" t="s">
        <v>96</v>
      </c>
      <c r="G668" s="5"/>
      <c r="H668" s="261">
        <v>1</v>
      </c>
      <c r="I668" s="261"/>
      <c r="J668" s="261"/>
      <c r="K668" s="261"/>
      <c r="L668" s="261"/>
      <c r="M668" s="261"/>
      <c r="N668" s="261"/>
      <c r="O668" s="261"/>
      <c r="P668" s="261"/>
      <c r="Q668" s="261"/>
      <c r="R668" s="261"/>
      <c r="S668" s="5"/>
      <c r="T668" s="25"/>
      <c r="U668" s="5"/>
    </row>
    <row r="669" spans="1:21" s="3" customFormat="1" hidden="1" outlineLevel="1">
      <c r="A669" s="21"/>
      <c r="B669" s="358" t="s">
        <v>146</v>
      </c>
      <c r="C669" s="273" t="str">
        <f t="shared" si="115"/>
        <v>Existing</v>
      </c>
      <c r="D669" s="359"/>
      <c r="E669" s="360"/>
      <c r="F669" s="358" t="s">
        <v>96</v>
      </c>
      <c r="G669" s="5"/>
      <c r="H669" s="261"/>
      <c r="I669" s="261"/>
      <c r="J669" s="261"/>
      <c r="K669" s="261"/>
      <c r="L669" s="261"/>
      <c r="M669" s="261"/>
      <c r="N669" s="261"/>
      <c r="O669" s="261"/>
      <c r="P669" s="261"/>
      <c r="Q669" s="261"/>
      <c r="R669" s="261"/>
      <c r="S669" s="5"/>
      <c r="T669" s="25"/>
      <c r="U669" s="5"/>
    </row>
    <row r="670" spans="1:21" s="3" customFormat="1" hidden="1" outlineLevel="1">
      <c r="A670" s="21"/>
      <c r="B670" s="358" t="s">
        <v>147</v>
      </c>
      <c r="C670" s="273" t="str">
        <f t="shared" si="115"/>
        <v>Existing</v>
      </c>
      <c r="D670" s="359"/>
      <c r="E670" s="360"/>
      <c r="F670" s="358" t="s">
        <v>96</v>
      </c>
      <c r="G670" s="5"/>
      <c r="H670" s="261"/>
      <c r="I670" s="261"/>
      <c r="J670" s="261"/>
      <c r="K670" s="261"/>
      <c r="L670" s="261"/>
      <c r="M670" s="261"/>
      <c r="N670" s="261"/>
      <c r="O670" s="261"/>
      <c r="P670" s="261"/>
      <c r="Q670" s="261"/>
      <c r="R670" s="261"/>
      <c r="S670" s="5"/>
      <c r="T670" s="25"/>
      <c r="U670" s="5"/>
    </row>
    <row r="671" spans="1:21" s="3" customFormat="1" hidden="1" outlineLevel="1">
      <c r="A671" s="21"/>
      <c r="B671" s="358" t="s">
        <v>362</v>
      </c>
      <c r="C671" s="273" t="str">
        <f t="shared" si="115"/>
        <v>Existing</v>
      </c>
      <c r="D671" s="359"/>
      <c r="E671" s="360"/>
      <c r="F671" s="358" t="s">
        <v>96</v>
      </c>
      <c r="G671" s="5"/>
      <c r="H671" s="261"/>
      <c r="I671" s="261"/>
      <c r="J671" s="261"/>
      <c r="K671" s="261"/>
      <c r="L671" s="261"/>
      <c r="M671" s="261"/>
      <c r="N671" s="261"/>
      <c r="O671" s="261"/>
      <c r="P671" s="261"/>
      <c r="Q671" s="261"/>
      <c r="R671" s="261"/>
      <c r="S671" s="5"/>
      <c r="T671" s="25"/>
      <c r="U671" s="5"/>
    </row>
    <row r="672" spans="1:21" s="3" customFormat="1" hidden="1" outlineLevel="1">
      <c r="A672" s="21"/>
      <c r="B672" s="358" t="s">
        <v>363</v>
      </c>
      <c r="C672" s="273" t="str">
        <f t="shared" si="115"/>
        <v>Existing</v>
      </c>
      <c r="D672" s="359"/>
      <c r="E672" s="360"/>
      <c r="F672" s="358" t="s">
        <v>96</v>
      </c>
      <c r="G672" s="5"/>
      <c r="H672" s="261"/>
      <c r="I672" s="261"/>
      <c r="J672" s="261"/>
      <c r="K672" s="261"/>
      <c r="L672" s="261"/>
      <c r="M672" s="261"/>
      <c r="N672" s="261"/>
      <c r="O672" s="261"/>
      <c r="P672" s="261"/>
      <c r="Q672" s="261"/>
      <c r="R672" s="261"/>
      <c r="S672" s="5"/>
      <c r="T672" s="25"/>
      <c r="U672" s="5"/>
    </row>
    <row r="673" spans="1:21" s="3" customFormat="1" hidden="1" outlineLevel="1">
      <c r="A673" s="21"/>
      <c r="B673" s="228" t="s">
        <v>332</v>
      </c>
      <c r="C673" s="273" t="str">
        <f t="shared" si="115"/>
        <v>Existing</v>
      </c>
      <c r="D673" s="228"/>
      <c r="E673" s="355"/>
      <c r="F673" s="228" t="s">
        <v>315</v>
      </c>
      <c r="G673" s="5"/>
      <c r="H673" s="29">
        <v>1</v>
      </c>
      <c r="I673" s="362">
        <f t="shared" ref="I673:R674" si="117">H673</f>
        <v>1</v>
      </c>
      <c r="J673" s="362">
        <f t="shared" si="117"/>
        <v>1</v>
      </c>
      <c r="K673" s="362">
        <f t="shared" si="117"/>
        <v>1</v>
      </c>
      <c r="L673" s="362">
        <f t="shared" si="117"/>
        <v>1</v>
      </c>
      <c r="M673" s="362">
        <f t="shared" si="117"/>
        <v>1</v>
      </c>
      <c r="N673" s="362">
        <f t="shared" si="117"/>
        <v>1</v>
      </c>
      <c r="O673" s="362">
        <f t="shared" si="117"/>
        <v>1</v>
      </c>
      <c r="P673" s="362">
        <f t="shared" si="117"/>
        <v>1</v>
      </c>
      <c r="Q673" s="362">
        <f t="shared" si="117"/>
        <v>1</v>
      </c>
      <c r="R673" s="362">
        <f t="shared" si="117"/>
        <v>1</v>
      </c>
      <c r="S673" s="5"/>
      <c r="T673" s="25"/>
      <c r="U673" s="5"/>
    </row>
    <row r="674" spans="1:21" s="3" customFormat="1" hidden="1" outlineLevel="1">
      <c r="A674" s="21"/>
      <c r="B674" s="228" t="s">
        <v>470</v>
      </c>
      <c r="C674" s="273" t="str">
        <f t="shared" si="115"/>
        <v>Existing</v>
      </c>
      <c r="D674" s="228"/>
      <c r="E674" s="355"/>
      <c r="F674" s="228" t="s">
        <v>316</v>
      </c>
      <c r="G674" s="5"/>
      <c r="H674" s="54">
        <v>746.44500000000005</v>
      </c>
      <c r="I674" s="270">
        <f t="shared" si="117"/>
        <v>746.44500000000005</v>
      </c>
      <c r="J674" s="270">
        <f t="shared" si="117"/>
        <v>746.44500000000005</v>
      </c>
      <c r="K674" s="270">
        <f t="shared" si="117"/>
        <v>746.44500000000005</v>
      </c>
      <c r="L674" s="270">
        <f t="shared" si="117"/>
        <v>746.44500000000005</v>
      </c>
      <c r="M674" s="270">
        <f t="shared" si="117"/>
        <v>746.44500000000005</v>
      </c>
      <c r="N674" s="270">
        <f t="shared" si="117"/>
        <v>746.44500000000005</v>
      </c>
      <c r="O674" s="270">
        <f t="shared" si="117"/>
        <v>746.44500000000005</v>
      </c>
      <c r="P674" s="270">
        <f t="shared" si="117"/>
        <v>746.44500000000005</v>
      </c>
      <c r="Q674" s="270">
        <f t="shared" si="117"/>
        <v>746.44500000000005</v>
      </c>
      <c r="R674" s="270">
        <f t="shared" si="117"/>
        <v>746.44500000000005</v>
      </c>
      <c r="S674" s="5"/>
      <c r="T674" s="25"/>
      <c r="U674" s="5"/>
    </row>
    <row r="675" spans="1:21" s="3" customFormat="1" hidden="1" outlineLevel="1">
      <c r="A675" s="21"/>
      <c r="B675" s="228" t="s">
        <v>375</v>
      </c>
      <c r="C675" s="273" t="str">
        <f t="shared" si="115"/>
        <v>Existing</v>
      </c>
      <c r="D675" s="228"/>
      <c r="E675" s="355"/>
      <c r="F675" s="228" t="s">
        <v>96</v>
      </c>
      <c r="G675" s="5"/>
      <c r="H675" s="261"/>
      <c r="I675" s="261"/>
      <c r="J675" s="261"/>
      <c r="K675" s="261"/>
      <c r="L675" s="261"/>
      <c r="M675" s="261"/>
      <c r="N675" s="261"/>
      <c r="O675" s="261"/>
      <c r="P675" s="261"/>
      <c r="Q675" s="261"/>
      <c r="R675" s="261"/>
      <c r="S675" s="5"/>
      <c r="T675" s="25"/>
      <c r="U675" s="5"/>
    </row>
    <row r="676" spans="1:21" s="3" customFormat="1" hidden="1" outlineLevel="1">
      <c r="A676" s="21"/>
      <c r="B676" s="228" t="s">
        <v>432</v>
      </c>
      <c r="C676" s="273" t="str">
        <f t="shared" si="115"/>
        <v>Existing</v>
      </c>
      <c r="D676" s="228"/>
      <c r="E676" s="355"/>
      <c r="F676" s="228" t="s">
        <v>315</v>
      </c>
      <c r="G676" s="5"/>
      <c r="H676" s="55"/>
      <c r="I676" s="55"/>
      <c r="J676" s="55"/>
      <c r="K676" s="55"/>
      <c r="L676" s="55"/>
      <c r="M676" s="55"/>
      <c r="N676" s="55"/>
      <c r="O676" s="55"/>
      <c r="P676" s="55"/>
      <c r="Q676" s="55"/>
      <c r="R676" s="55"/>
      <c r="S676" s="5"/>
      <c r="T676" s="25"/>
      <c r="U676" s="5"/>
    </row>
    <row r="677" spans="1:21" s="3" customFormat="1" hidden="1" outlineLevel="1">
      <c r="A677" s="21"/>
      <c r="B677" s="228" t="s">
        <v>379</v>
      </c>
      <c r="C677" s="273" t="str">
        <f t="shared" si="115"/>
        <v>Existing</v>
      </c>
      <c r="D677" s="228"/>
      <c r="E677" s="355"/>
      <c r="F677" s="228"/>
      <c r="G677" s="5"/>
      <c r="H677" s="54"/>
      <c r="I677" s="54"/>
      <c r="J677" s="54"/>
      <c r="K677" s="54"/>
      <c r="L677" s="54"/>
      <c r="M677" s="54"/>
      <c r="N677" s="54"/>
      <c r="O677" s="54"/>
      <c r="P677" s="54"/>
      <c r="Q677" s="54"/>
      <c r="R677" s="54"/>
      <c r="S677" s="5"/>
      <c r="T677" s="25"/>
      <c r="U677" s="5"/>
    </row>
    <row r="678" spans="1:21" s="3" customFormat="1" hidden="1" outlineLevel="1">
      <c r="A678" s="21"/>
      <c r="B678" s="228" t="s">
        <v>361</v>
      </c>
      <c r="C678" s="273" t="str">
        <f t="shared" si="115"/>
        <v>Existing</v>
      </c>
      <c r="D678" s="228"/>
      <c r="E678" s="355"/>
      <c r="F678" s="228" t="s">
        <v>96</v>
      </c>
      <c r="G678" s="5"/>
      <c r="H678" s="261"/>
      <c r="I678" s="261"/>
      <c r="J678" s="261"/>
      <c r="K678" s="261"/>
      <c r="L678" s="261"/>
      <c r="M678" s="261"/>
      <c r="N678" s="261"/>
      <c r="O678" s="261"/>
      <c r="P678" s="261"/>
      <c r="Q678" s="261"/>
      <c r="R678" s="261"/>
      <c r="S678" s="5"/>
      <c r="T678" s="25"/>
      <c r="U678" s="5"/>
    </row>
    <row r="679" spans="1:21" s="3" customFormat="1" hidden="1" outlineLevel="1">
      <c r="A679" s="21"/>
      <c r="B679" s="228" t="s">
        <v>384</v>
      </c>
      <c r="C679" s="273" t="str">
        <f t="shared" si="115"/>
        <v>Existing</v>
      </c>
      <c r="D679" s="228"/>
      <c r="E679" s="355"/>
      <c r="F679" s="228" t="s">
        <v>316</v>
      </c>
      <c r="G679" s="5"/>
      <c r="H679" s="54"/>
      <c r="I679" s="270"/>
      <c r="J679" s="270"/>
      <c r="K679" s="270"/>
      <c r="L679" s="270"/>
      <c r="M679" s="270"/>
      <c r="N679" s="270"/>
      <c r="O679" s="270"/>
      <c r="P679" s="270"/>
      <c r="Q679" s="270"/>
      <c r="R679" s="270"/>
      <c r="S679" s="5"/>
      <c r="T679" s="25"/>
      <c r="U679" s="5"/>
    </row>
    <row r="680" spans="1:21" s="3" customFormat="1" hidden="1" outlineLevel="1">
      <c r="A680" s="21"/>
      <c r="B680" s="228" t="s">
        <v>386</v>
      </c>
      <c r="C680" s="273" t="str">
        <f t="shared" si="115"/>
        <v>Existing</v>
      </c>
      <c r="D680" s="228"/>
      <c r="E680" s="355"/>
      <c r="F680" s="228" t="s">
        <v>316</v>
      </c>
      <c r="G680" s="5"/>
      <c r="H680" s="55"/>
      <c r="I680" s="55"/>
      <c r="J680" s="55"/>
      <c r="K680" s="55"/>
      <c r="L680" s="55"/>
      <c r="M680" s="55"/>
      <c r="N680" s="55"/>
      <c r="O680" s="55"/>
      <c r="P680" s="55"/>
      <c r="Q680" s="55"/>
      <c r="R680" s="55"/>
      <c r="S680" s="5"/>
      <c r="T680" s="25"/>
      <c r="U680" s="5"/>
    </row>
    <row r="681" spans="1:21" s="3" customFormat="1" hidden="1" outlineLevel="1">
      <c r="A681" s="21"/>
      <c r="B681" s="228" t="s">
        <v>387</v>
      </c>
      <c r="C681" s="273" t="str">
        <f t="shared" si="115"/>
        <v>Existing</v>
      </c>
      <c r="D681" s="228"/>
      <c r="E681" s="355"/>
      <c r="F681" s="228"/>
      <c r="G681" s="5"/>
      <c r="H681" s="261"/>
      <c r="I681" s="261"/>
      <c r="J681" s="261"/>
      <c r="K681" s="261"/>
      <c r="L681" s="261"/>
      <c r="M681" s="261"/>
      <c r="N681" s="261"/>
      <c r="O681" s="261"/>
      <c r="P681" s="261"/>
      <c r="Q681" s="261"/>
      <c r="R681" s="261"/>
      <c r="S681" s="5"/>
      <c r="T681" s="25"/>
      <c r="U681" s="5"/>
    </row>
    <row r="682" spans="1:21" s="3" customFormat="1" hidden="1" outlineLevel="1">
      <c r="A682" s="21"/>
      <c r="B682" s="228" t="s">
        <v>388</v>
      </c>
      <c r="C682" s="273" t="str">
        <f t="shared" si="115"/>
        <v>Existing</v>
      </c>
      <c r="D682" s="228"/>
      <c r="E682" s="355"/>
      <c r="F682" s="228"/>
      <c r="G682" s="5"/>
      <c r="H682" s="55"/>
      <c r="I682" s="55"/>
      <c r="J682" s="55"/>
      <c r="K682" s="55"/>
      <c r="L682" s="55"/>
      <c r="M682" s="55"/>
      <c r="N682" s="55"/>
      <c r="O682" s="55"/>
      <c r="P682" s="55"/>
      <c r="Q682" s="55"/>
      <c r="R682" s="55"/>
      <c r="S682" s="5"/>
      <c r="T682" s="25"/>
      <c r="U682" s="5"/>
    </row>
    <row r="683" spans="1:21" s="3" customFormat="1" hidden="1" outlineLevel="1">
      <c r="A683" s="21"/>
      <c r="B683" s="228" t="s">
        <v>385</v>
      </c>
      <c r="C683" s="273" t="str">
        <f t="shared" si="115"/>
        <v>Existing</v>
      </c>
      <c r="D683" s="228"/>
      <c r="E683" s="355"/>
      <c r="F683" s="228" t="s">
        <v>402</v>
      </c>
      <c r="G683" s="5"/>
      <c r="H683" s="54"/>
      <c r="I683" s="54"/>
      <c r="J683" s="54"/>
      <c r="K683" s="54"/>
      <c r="L683" s="54"/>
      <c r="M683" s="54"/>
      <c r="N683" s="54"/>
      <c r="O683" s="54"/>
      <c r="P683" s="54"/>
      <c r="Q683" s="54"/>
      <c r="R683" s="54"/>
      <c r="S683" s="5"/>
      <c r="T683" s="25"/>
      <c r="U683" s="5"/>
    </row>
    <row r="684" spans="1:21" s="3" customFormat="1" hidden="1" outlineLevel="1">
      <c r="A684" s="21"/>
      <c r="B684" s="228" t="s">
        <v>389</v>
      </c>
      <c r="C684" s="273" t="str">
        <f t="shared" si="115"/>
        <v>Existing</v>
      </c>
      <c r="D684" s="228"/>
      <c r="E684" s="355"/>
      <c r="F684" s="228" t="s">
        <v>402</v>
      </c>
      <c r="G684" s="5"/>
      <c r="H684" s="55"/>
      <c r="I684" s="55"/>
      <c r="J684" s="55"/>
      <c r="K684" s="55"/>
      <c r="L684" s="55"/>
      <c r="M684" s="55"/>
      <c r="N684" s="55"/>
      <c r="O684" s="55"/>
      <c r="P684" s="55"/>
      <c r="Q684" s="55"/>
      <c r="R684" s="55"/>
      <c r="S684" s="5"/>
      <c r="T684" s="25"/>
      <c r="U684" s="5"/>
    </row>
    <row r="685" spans="1:21" s="3" customFormat="1" hidden="1" outlineLevel="1">
      <c r="A685" s="21"/>
      <c r="B685" s="228" t="s">
        <v>390</v>
      </c>
      <c r="C685" s="273" t="str">
        <f t="shared" si="115"/>
        <v>Existing</v>
      </c>
      <c r="D685" s="228"/>
      <c r="E685" s="355"/>
      <c r="F685" s="228"/>
      <c r="G685" s="5"/>
      <c r="H685" s="261"/>
      <c r="I685" s="261"/>
      <c r="J685" s="261"/>
      <c r="K685" s="261"/>
      <c r="L685" s="261"/>
      <c r="M685" s="261"/>
      <c r="N685" s="261"/>
      <c r="O685" s="261"/>
      <c r="P685" s="261"/>
      <c r="Q685" s="261"/>
      <c r="R685" s="261"/>
      <c r="S685" s="5"/>
      <c r="T685" s="25"/>
      <c r="U685" s="5"/>
    </row>
    <row r="686" spans="1:21" s="3" customFormat="1" hidden="1" outlineLevel="1">
      <c r="A686" s="21"/>
      <c r="B686" s="228" t="s">
        <v>391</v>
      </c>
      <c r="C686" s="273" t="str">
        <f t="shared" si="115"/>
        <v>Existing</v>
      </c>
      <c r="D686" s="228"/>
      <c r="E686" s="355"/>
      <c r="F686" s="228"/>
      <c r="G686" s="5"/>
      <c r="H686" s="55"/>
      <c r="I686" s="55"/>
      <c r="J686" s="55"/>
      <c r="K686" s="55"/>
      <c r="L686" s="55"/>
      <c r="M686" s="55"/>
      <c r="N686" s="55"/>
      <c r="O686" s="55"/>
      <c r="P686" s="55"/>
      <c r="Q686" s="55"/>
      <c r="R686" s="55"/>
      <c r="S686" s="5"/>
      <c r="T686" s="25"/>
      <c r="U686" s="5"/>
    </row>
    <row r="687" spans="1:21" s="3" customFormat="1" hidden="1" outlineLevel="1">
      <c r="A687" s="21"/>
      <c r="B687" s="228" t="s">
        <v>305</v>
      </c>
      <c r="C687" s="273" t="str">
        <f t="shared" si="115"/>
        <v>Existing</v>
      </c>
      <c r="D687" s="228"/>
      <c r="E687" s="355"/>
      <c r="F687" s="228" t="s">
        <v>402</v>
      </c>
      <c r="G687" s="5"/>
      <c r="H687" s="54">
        <v>11.249000000000001</v>
      </c>
      <c r="I687" s="270">
        <f t="shared" ref="I687:R687" si="118">H687</f>
        <v>11.249000000000001</v>
      </c>
      <c r="J687" s="270">
        <f t="shared" si="118"/>
        <v>11.249000000000001</v>
      </c>
      <c r="K687" s="270">
        <f t="shared" si="118"/>
        <v>11.249000000000001</v>
      </c>
      <c r="L687" s="270">
        <f t="shared" si="118"/>
        <v>11.249000000000001</v>
      </c>
      <c r="M687" s="270">
        <f t="shared" si="118"/>
        <v>11.249000000000001</v>
      </c>
      <c r="N687" s="270">
        <f t="shared" si="118"/>
        <v>11.249000000000001</v>
      </c>
      <c r="O687" s="270">
        <f t="shared" si="118"/>
        <v>11.249000000000001</v>
      </c>
      <c r="P687" s="270">
        <f t="shared" si="118"/>
        <v>11.249000000000001</v>
      </c>
      <c r="Q687" s="270">
        <f t="shared" si="118"/>
        <v>11.249000000000001</v>
      </c>
      <c r="R687" s="270">
        <f t="shared" si="118"/>
        <v>11.249000000000001</v>
      </c>
      <c r="S687" s="5"/>
      <c r="T687" s="25"/>
      <c r="U687" s="5"/>
    </row>
    <row r="688" spans="1:21" s="3" customFormat="1" hidden="1" outlineLevel="1">
      <c r="A688" s="21"/>
      <c r="B688" s="228" t="s">
        <v>352</v>
      </c>
      <c r="C688" s="273" t="str">
        <f t="shared" si="115"/>
        <v>Existing</v>
      </c>
      <c r="D688" s="228"/>
      <c r="E688" s="355"/>
      <c r="F688" s="228" t="s">
        <v>316</v>
      </c>
      <c r="G688" s="5"/>
      <c r="H688" s="54"/>
      <c r="I688" s="54"/>
      <c r="J688" s="54"/>
      <c r="K688" s="54"/>
      <c r="L688" s="54"/>
      <c r="M688" s="54"/>
      <c r="N688" s="54"/>
      <c r="O688" s="54"/>
      <c r="P688" s="54"/>
      <c r="Q688" s="54"/>
      <c r="R688" s="54"/>
      <c r="S688" s="5"/>
      <c r="T688" s="25"/>
      <c r="U688" s="5"/>
    </row>
    <row r="689" spans="1:21" s="3" customFormat="1" hidden="1" outlineLevel="1">
      <c r="A689" s="21"/>
      <c r="B689" s="67" t="s">
        <v>301</v>
      </c>
      <c r="C689" s="273" t="str">
        <f t="shared" si="115"/>
        <v>Existing</v>
      </c>
      <c r="D689" s="273" t="s">
        <v>454</v>
      </c>
      <c r="E689" s="347"/>
      <c r="F689" s="67" t="s">
        <v>480</v>
      </c>
      <c r="G689" s="5"/>
      <c r="H689" s="350">
        <v>0.58199999999999996</v>
      </c>
      <c r="I689" s="363">
        <f t="shared" ref="I689:R690" si="119">H689</f>
        <v>0.58199999999999996</v>
      </c>
      <c r="J689" s="363">
        <f t="shared" si="119"/>
        <v>0.58199999999999996</v>
      </c>
      <c r="K689" s="363">
        <f t="shared" si="119"/>
        <v>0.58199999999999996</v>
      </c>
      <c r="L689" s="363">
        <f t="shared" si="119"/>
        <v>0.58199999999999996</v>
      </c>
      <c r="M689" s="363">
        <f t="shared" si="119"/>
        <v>0.58199999999999996</v>
      </c>
      <c r="N689" s="363">
        <f t="shared" si="119"/>
        <v>0.58199999999999996</v>
      </c>
      <c r="O689" s="363">
        <f t="shared" si="119"/>
        <v>0.58199999999999996</v>
      </c>
      <c r="P689" s="363">
        <f t="shared" si="119"/>
        <v>0.58199999999999996</v>
      </c>
      <c r="Q689" s="363">
        <f t="shared" si="119"/>
        <v>0.58199999999999996</v>
      </c>
      <c r="R689" s="363">
        <f t="shared" si="119"/>
        <v>0.58199999999999996</v>
      </c>
      <c r="S689" s="5"/>
      <c r="T689" s="13"/>
      <c r="U689" s="5"/>
    </row>
    <row r="690" spans="1:21" s="3" customFormat="1" hidden="1" outlineLevel="1">
      <c r="A690" s="21"/>
      <c r="B690" s="67" t="s">
        <v>301</v>
      </c>
      <c r="C690" s="273" t="str">
        <f>C689</f>
        <v>Existing</v>
      </c>
      <c r="D690" s="273" t="s">
        <v>475</v>
      </c>
      <c r="E690" s="347"/>
      <c r="F690" s="67" t="s">
        <v>480</v>
      </c>
      <c r="G690" s="5"/>
      <c r="H690" s="350">
        <v>10.692</v>
      </c>
      <c r="I690" s="363">
        <f t="shared" si="119"/>
        <v>10.692</v>
      </c>
      <c r="J690" s="363">
        <f t="shared" si="119"/>
        <v>10.692</v>
      </c>
      <c r="K690" s="363">
        <f t="shared" si="119"/>
        <v>10.692</v>
      </c>
      <c r="L690" s="363">
        <f t="shared" si="119"/>
        <v>10.692</v>
      </c>
      <c r="M690" s="363">
        <f t="shared" si="119"/>
        <v>10.692</v>
      </c>
      <c r="N690" s="363">
        <f t="shared" si="119"/>
        <v>10.692</v>
      </c>
      <c r="O690" s="363">
        <f t="shared" si="119"/>
        <v>10.692</v>
      </c>
      <c r="P690" s="363">
        <f t="shared" si="119"/>
        <v>10.692</v>
      </c>
      <c r="Q690" s="363">
        <f t="shared" si="119"/>
        <v>10.692</v>
      </c>
      <c r="R690" s="363">
        <f t="shared" si="119"/>
        <v>10.692</v>
      </c>
      <c r="S690" s="5"/>
      <c r="T690" s="13"/>
      <c r="U690" s="5"/>
    </row>
    <row r="691" spans="1:21" s="3" customFormat="1" hidden="1" outlineLevel="1">
      <c r="A691" s="21"/>
      <c r="B691" s="67" t="s">
        <v>50</v>
      </c>
      <c r="C691" s="273" t="s">
        <v>481</v>
      </c>
      <c r="D691" s="4"/>
      <c r="E691" s="347"/>
      <c r="G691" s="5"/>
      <c r="H691" s="4"/>
      <c r="I691" s="4"/>
      <c r="J691" s="4"/>
      <c r="K691" s="4"/>
      <c r="L691" s="4"/>
      <c r="M691" s="4"/>
      <c r="N691" s="4"/>
      <c r="O691" s="4"/>
      <c r="P691" s="4"/>
      <c r="Q691" s="4"/>
      <c r="R691" s="4"/>
      <c r="S691" s="5"/>
      <c r="T691" s="13"/>
      <c r="U691" s="5"/>
    </row>
    <row r="692" spans="1:21" s="3" customFormat="1" hidden="1" outlineLevel="1">
      <c r="A692" s="21"/>
      <c r="B692" s="228" t="s">
        <v>37</v>
      </c>
      <c r="C692" s="273" t="str">
        <f>C691</f>
        <v>Standard (46% Eff)</v>
      </c>
      <c r="D692" s="228"/>
      <c r="E692" s="355"/>
      <c r="F692" s="228" t="s">
        <v>39</v>
      </c>
      <c r="G692" s="5"/>
      <c r="H692" s="265">
        <v>2000</v>
      </c>
      <c r="I692" s="356">
        <f t="shared" ref="I692:R694" si="120">H692</f>
        <v>2000</v>
      </c>
      <c r="J692" s="356">
        <f t="shared" si="120"/>
        <v>2000</v>
      </c>
      <c r="K692" s="356">
        <f t="shared" si="120"/>
        <v>2000</v>
      </c>
      <c r="L692" s="356">
        <f t="shared" si="120"/>
        <v>2000</v>
      </c>
      <c r="M692" s="356">
        <f t="shared" si="120"/>
        <v>2000</v>
      </c>
      <c r="N692" s="356">
        <f t="shared" si="120"/>
        <v>2000</v>
      </c>
      <c r="O692" s="356">
        <f t="shared" si="120"/>
        <v>2000</v>
      </c>
      <c r="P692" s="356">
        <f t="shared" si="120"/>
        <v>2000</v>
      </c>
      <c r="Q692" s="356">
        <f t="shared" si="120"/>
        <v>2000</v>
      </c>
      <c r="R692" s="356">
        <f t="shared" si="120"/>
        <v>2000</v>
      </c>
      <c r="S692" s="5"/>
      <c r="T692" s="25"/>
      <c r="U692" s="5"/>
    </row>
    <row r="693" spans="1:21" s="3" customFormat="1" hidden="1" outlineLevel="1">
      <c r="A693" s="21"/>
      <c r="B693" s="228" t="s">
        <v>36</v>
      </c>
      <c r="C693" s="273" t="str">
        <f t="shared" ref="C693:C720" si="121">C692</f>
        <v>Standard (46% Eff)</v>
      </c>
      <c r="D693" s="228"/>
      <c r="E693" s="355"/>
      <c r="F693" s="228" t="s">
        <v>39</v>
      </c>
      <c r="G693" s="5"/>
      <c r="H693" s="265">
        <v>2100</v>
      </c>
      <c r="I693" s="356">
        <f t="shared" si="120"/>
        <v>2100</v>
      </c>
      <c r="J693" s="356">
        <f t="shared" si="120"/>
        <v>2100</v>
      </c>
      <c r="K693" s="356">
        <f t="shared" si="120"/>
        <v>2100</v>
      </c>
      <c r="L693" s="356">
        <f t="shared" si="120"/>
        <v>2100</v>
      </c>
      <c r="M693" s="356">
        <f t="shared" si="120"/>
        <v>2100</v>
      </c>
      <c r="N693" s="356">
        <f t="shared" si="120"/>
        <v>2100</v>
      </c>
      <c r="O693" s="356">
        <f t="shared" si="120"/>
        <v>2100</v>
      </c>
      <c r="P693" s="356">
        <f t="shared" si="120"/>
        <v>2100</v>
      </c>
      <c r="Q693" s="356">
        <f t="shared" si="120"/>
        <v>2100</v>
      </c>
      <c r="R693" s="356">
        <f t="shared" si="120"/>
        <v>2100</v>
      </c>
      <c r="S693" s="5"/>
      <c r="T693" s="25"/>
      <c r="U693" s="5"/>
    </row>
    <row r="694" spans="1:21" s="3" customFormat="1" hidden="1" outlineLevel="1">
      <c r="A694" s="21"/>
      <c r="B694" s="228" t="s">
        <v>38</v>
      </c>
      <c r="C694" s="273" t="str">
        <f t="shared" si="121"/>
        <v>Standard (46% Eff)</v>
      </c>
      <c r="D694" s="228"/>
      <c r="E694" s="355"/>
      <c r="F694" s="228" t="s">
        <v>10</v>
      </c>
      <c r="G694" s="5"/>
      <c r="H694" s="55">
        <v>13</v>
      </c>
      <c r="I694" s="253">
        <f t="shared" si="120"/>
        <v>13</v>
      </c>
      <c r="J694" s="253">
        <f t="shared" si="120"/>
        <v>13</v>
      </c>
      <c r="K694" s="253">
        <f t="shared" si="120"/>
        <v>13</v>
      </c>
      <c r="L694" s="253">
        <f t="shared" si="120"/>
        <v>13</v>
      </c>
      <c r="M694" s="253">
        <f t="shared" si="120"/>
        <v>13</v>
      </c>
      <c r="N694" s="253">
        <f t="shared" si="120"/>
        <v>13</v>
      </c>
      <c r="O694" s="253">
        <f t="shared" si="120"/>
        <v>13</v>
      </c>
      <c r="P694" s="253">
        <f t="shared" si="120"/>
        <v>13</v>
      </c>
      <c r="Q694" s="253">
        <f t="shared" si="120"/>
        <v>13</v>
      </c>
      <c r="R694" s="253">
        <f t="shared" si="120"/>
        <v>13</v>
      </c>
      <c r="S694" s="5"/>
      <c r="T694" s="25"/>
      <c r="U694" s="5"/>
    </row>
    <row r="695" spans="1:21" s="3" customFormat="1" hidden="1" outlineLevel="1">
      <c r="A695" s="21"/>
      <c r="B695" s="228" t="s">
        <v>353</v>
      </c>
      <c r="C695" s="273" t="str">
        <f t="shared" si="121"/>
        <v>Standard (46% Eff)</v>
      </c>
      <c r="D695" s="228"/>
      <c r="E695" s="355"/>
      <c r="F695" s="228" t="s">
        <v>10</v>
      </c>
      <c r="G695" s="5"/>
      <c r="H695" s="55"/>
      <c r="I695" s="55"/>
      <c r="J695" s="55"/>
      <c r="K695" s="55"/>
      <c r="L695" s="55"/>
      <c r="M695" s="55"/>
      <c r="N695" s="55"/>
      <c r="O695" s="55"/>
      <c r="P695" s="55"/>
      <c r="Q695" s="55"/>
      <c r="R695" s="55"/>
      <c r="S695" s="5"/>
      <c r="T695" s="25"/>
      <c r="U695" s="5"/>
    </row>
    <row r="696" spans="1:21" s="3" customFormat="1" hidden="1" outlineLevel="1">
      <c r="A696" s="21"/>
      <c r="B696" s="228" t="s">
        <v>304</v>
      </c>
      <c r="C696" s="273" t="str">
        <f t="shared" si="121"/>
        <v>Standard (46% Eff)</v>
      </c>
      <c r="D696" s="228"/>
      <c r="E696" s="355"/>
      <c r="F696" s="228" t="s">
        <v>96</v>
      </c>
      <c r="G696" s="5"/>
      <c r="H696" s="261">
        <v>0.1</v>
      </c>
      <c r="I696" s="352">
        <f t="shared" ref="I696:R698" si="122">H696</f>
        <v>0.1</v>
      </c>
      <c r="J696" s="352">
        <f t="shared" si="122"/>
        <v>0.1</v>
      </c>
      <c r="K696" s="352">
        <f t="shared" si="122"/>
        <v>0.1</v>
      </c>
      <c r="L696" s="352">
        <f t="shared" si="122"/>
        <v>0.1</v>
      </c>
      <c r="M696" s="352">
        <f t="shared" si="122"/>
        <v>0.1</v>
      </c>
      <c r="N696" s="352">
        <f t="shared" si="122"/>
        <v>0.1</v>
      </c>
      <c r="O696" s="352">
        <f t="shared" si="122"/>
        <v>0.1</v>
      </c>
      <c r="P696" s="352">
        <f t="shared" si="122"/>
        <v>0.1</v>
      </c>
      <c r="Q696" s="352">
        <f t="shared" si="122"/>
        <v>0.1</v>
      </c>
      <c r="R696" s="352">
        <f t="shared" si="122"/>
        <v>0.1</v>
      </c>
      <c r="S696" s="5"/>
      <c r="T696" s="25"/>
      <c r="U696" s="5"/>
    </row>
    <row r="697" spans="1:21" s="3" customFormat="1" hidden="1" outlineLevel="1">
      <c r="A697" s="21"/>
      <c r="B697" s="228" t="s">
        <v>350</v>
      </c>
      <c r="C697" s="273" t="str">
        <f t="shared" si="121"/>
        <v>Standard (46% Eff)</v>
      </c>
      <c r="D697" s="228"/>
      <c r="E697" s="355"/>
      <c r="F697" s="228" t="s">
        <v>96</v>
      </c>
      <c r="G697" s="5"/>
      <c r="H697" s="261">
        <v>0.65</v>
      </c>
      <c r="I697" s="352">
        <f t="shared" si="122"/>
        <v>0.65</v>
      </c>
      <c r="J697" s="352">
        <f t="shared" si="122"/>
        <v>0.65</v>
      </c>
      <c r="K697" s="352">
        <f t="shared" si="122"/>
        <v>0.65</v>
      </c>
      <c r="L697" s="352">
        <f t="shared" si="122"/>
        <v>0.65</v>
      </c>
      <c r="M697" s="352">
        <f t="shared" si="122"/>
        <v>0.65</v>
      </c>
      <c r="N697" s="352">
        <f t="shared" si="122"/>
        <v>0.65</v>
      </c>
      <c r="O697" s="352">
        <f t="shared" si="122"/>
        <v>0.65</v>
      </c>
      <c r="P697" s="352">
        <f t="shared" si="122"/>
        <v>0.65</v>
      </c>
      <c r="Q697" s="352">
        <f t="shared" si="122"/>
        <v>0.65</v>
      </c>
      <c r="R697" s="352">
        <f t="shared" si="122"/>
        <v>0.65</v>
      </c>
      <c r="S697" s="5"/>
      <c r="T697" s="25"/>
      <c r="U697" s="5"/>
    </row>
    <row r="698" spans="1:21" s="3" customFormat="1" hidden="1" outlineLevel="1">
      <c r="A698" s="21"/>
      <c r="B698" s="228" t="s">
        <v>349</v>
      </c>
      <c r="C698" s="273" t="str">
        <f t="shared" si="121"/>
        <v>Standard (46% Eff)</v>
      </c>
      <c r="D698" s="228"/>
      <c r="E698" s="355"/>
      <c r="F698" s="228" t="s">
        <v>96</v>
      </c>
      <c r="G698" s="5"/>
      <c r="H698" s="261">
        <v>0.3</v>
      </c>
      <c r="I698" s="352">
        <f t="shared" si="122"/>
        <v>0.3</v>
      </c>
      <c r="J698" s="352">
        <f t="shared" si="122"/>
        <v>0.3</v>
      </c>
      <c r="K698" s="352">
        <f t="shared" si="122"/>
        <v>0.3</v>
      </c>
      <c r="L698" s="352">
        <f t="shared" si="122"/>
        <v>0.3</v>
      </c>
      <c r="M698" s="352">
        <f t="shared" si="122"/>
        <v>0.3</v>
      </c>
      <c r="N698" s="352">
        <f t="shared" si="122"/>
        <v>0.3</v>
      </c>
      <c r="O698" s="352">
        <f t="shared" si="122"/>
        <v>0.3</v>
      </c>
      <c r="P698" s="352">
        <f t="shared" si="122"/>
        <v>0.3</v>
      </c>
      <c r="Q698" s="352">
        <f t="shared" si="122"/>
        <v>0.3</v>
      </c>
      <c r="R698" s="352">
        <f t="shared" si="122"/>
        <v>0.3</v>
      </c>
      <c r="S698" s="5"/>
      <c r="T698" s="25"/>
      <c r="U698" s="5"/>
    </row>
    <row r="699" spans="1:21" s="3" customFormat="1" hidden="1" outlineLevel="1">
      <c r="A699" s="21"/>
      <c r="B699" s="228" t="s">
        <v>74</v>
      </c>
      <c r="C699" s="273" t="str">
        <f t="shared" si="121"/>
        <v>Standard (46% Eff)</v>
      </c>
      <c r="D699" s="228"/>
      <c r="E699" s="355"/>
      <c r="F699" s="228" t="s">
        <v>96</v>
      </c>
      <c r="G699" s="5"/>
      <c r="H699" s="261">
        <v>0</v>
      </c>
      <c r="I699" s="261"/>
      <c r="J699" s="261"/>
      <c r="K699" s="261"/>
      <c r="L699" s="261"/>
      <c r="M699" s="261"/>
      <c r="N699" s="261"/>
      <c r="O699" s="261"/>
      <c r="P699" s="261"/>
      <c r="Q699" s="261"/>
      <c r="R699" s="261"/>
      <c r="S699" s="5"/>
      <c r="T699" s="25"/>
      <c r="U699" s="5"/>
    </row>
    <row r="700" spans="1:21" s="3" customFormat="1" hidden="1" outlineLevel="1">
      <c r="A700" s="21"/>
      <c r="B700" s="358" t="s">
        <v>146</v>
      </c>
      <c r="C700" s="273" t="str">
        <f t="shared" si="121"/>
        <v>Standard (46% Eff)</v>
      </c>
      <c r="D700" s="359"/>
      <c r="E700" s="360"/>
      <c r="F700" s="358" t="s">
        <v>96</v>
      </c>
      <c r="G700" s="5"/>
      <c r="H700" s="261"/>
      <c r="I700" s="261"/>
      <c r="J700" s="261"/>
      <c r="K700" s="261"/>
      <c r="L700" s="261"/>
      <c r="M700" s="261"/>
      <c r="N700" s="261"/>
      <c r="O700" s="261"/>
      <c r="P700" s="261"/>
      <c r="Q700" s="261"/>
      <c r="R700" s="261"/>
      <c r="S700" s="5"/>
      <c r="T700" s="25"/>
      <c r="U700" s="5"/>
    </row>
    <row r="701" spans="1:21" s="3" customFormat="1" hidden="1" outlineLevel="1">
      <c r="A701" s="21"/>
      <c r="B701" s="358" t="s">
        <v>147</v>
      </c>
      <c r="C701" s="273" t="str">
        <f t="shared" si="121"/>
        <v>Standard (46% Eff)</v>
      </c>
      <c r="D701" s="359"/>
      <c r="E701" s="360"/>
      <c r="F701" s="358" t="s">
        <v>96</v>
      </c>
      <c r="G701" s="5"/>
      <c r="H701" s="261"/>
      <c r="I701" s="261"/>
      <c r="J701" s="261"/>
      <c r="K701" s="261"/>
      <c r="L701" s="261"/>
      <c r="M701" s="261"/>
      <c r="N701" s="261"/>
      <c r="O701" s="261"/>
      <c r="P701" s="261"/>
      <c r="Q701" s="261"/>
      <c r="R701" s="261"/>
      <c r="S701" s="5"/>
      <c r="T701" s="25"/>
      <c r="U701" s="5"/>
    </row>
    <row r="702" spans="1:21" s="3" customFormat="1" hidden="1" outlineLevel="1">
      <c r="A702" s="21"/>
      <c r="B702" s="358" t="s">
        <v>362</v>
      </c>
      <c r="C702" s="273" t="str">
        <f t="shared" si="121"/>
        <v>Standard (46% Eff)</v>
      </c>
      <c r="D702" s="359"/>
      <c r="E702" s="360"/>
      <c r="F702" s="358" t="s">
        <v>96</v>
      </c>
      <c r="G702" s="5"/>
      <c r="H702" s="261"/>
      <c r="I702" s="261"/>
      <c r="J702" s="261"/>
      <c r="K702" s="261"/>
      <c r="L702" s="261"/>
      <c r="M702" s="261"/>
      <c r="N702" s="261"/>
      <c r="O702" s="261"/>
      <c r="P702" s="261"/>
      <c r="Q702" s="261"/>
      <c r="R702" s="261"/>
      <c r="S702" s="5"/>
      <c r="T702" s="25"/>
      <c r="U702" s="5"/>
    </row>
    <row r="703" spans="1:21" s="3" customFormat="1" hidden="1" outlineLevel="1">
      <c r="A703" s="21"/>
      <c r="B703" s="358" t="s">
        <v>363</v>
      </c>
      <c r="C703" s="273" t="str">
        <f t="shared" si="121"/>
        <v>Standard (46% Eff)</v>
      </c>
      <c r="D703" s="359"/>
      <c r="E703" s="360"/>
      <c r="F703" s="358" t="s">
        <v>96</v>
      </c>
      <c r="G703" s="5"/>
      <c r="H703" s="261"/>
      <c r="I703" s="261"/>
      <c r="J703" s="261"/>
      <c r="K703" s="261"/>
      <c r="L703" s="261"/>
      <c r="M703" s="261"/>
      <c r="N703" s="261"/>
      <c r="O703" s="261"/>
      <c r="P703" s="261"/>
      <c r="Q703" s="261"/>
      <c r="R703" s="261"/>
      <c r="S703" s="5"/>
      <c r="T703" s="25"/>
      <c r="U703" s="5"/>
    </row>
    <row r="704" spans="1:21" s="3" customFormat="1" hidden="1" outlineLevel="1">
      <c r="A704" s="21"/>
      <c r="B704" s="228" t="s">
        <v>332</v>
      </c>
      <c r="C704" s="273" t="str">
        <f t="shared" si="121"/>
        <v>Standard (46% Eff)</v>
      </c>
      <c r="D704" s="228"/>
      <c r="E704" s="355"/>
      <c r="F704" s="228" t="s">
        <v>315</v>
      </c>
      <c r="G704" s="5"/>
      <c r="H704" s="29">
        <v>1</v>
      </c>
      <c r="I704" s="362">
        <f t="shared" ref="I704:R705" si="123">H704</f>
        <v>1</v>
      </c>
      <c r="J704" s="362">
        <f t="shared" si="123"/>
        <v>1</v>
      </c>
      <c r="K704" s="362">
        <f t="shared" si="123"/>
        <v>1</v>
      </c>
      <c r="L704" s="362">
        <f t="shared" si="123"/>
        <v>1</v>
      </c>
      <c r="M704" s="362">
        <f t="shared" si="123"/>
        <v>1</v>
      </c>
      <c r="N704" s="362">
        <f t="shared" si="123"/>
        <v>1</v>
      </c>
      <c r="O704" s="362">
        <f t="shared" si="123"/>
        <v>1</v>
      </c>
      <c r="P704" s="362">
        <f t="shared" si="123"/>
        <v>1</v>
      </c>
      <c r="Q704" s="362">
        <f t="shared" si="123"/>
        <v>1</v>
      </c>
      <c r="R704" s="362">
        <f t="shared" si="123"/>
        <v>1</v>
      </c>
      <c r="S704" s="5"/>
      <c r="T704" s="25"/>
      <c r="U704" s="5"/>
    </row>
    <row r="705" spans="1:21" s="3" customFormat="1" hidden="1" outlineLevel="1">
      <c r="A705" s="21"/>
      <c r="B705" s="228" t="s">
        <v>470</v>
      </c>
      <c r="C705" s="273" t="str">
        <f t="shared" si="121"/>
        <v>Standard (46% Eff)</v>
      </c>
      <c r="D705" s="228"/>
      <c r="E705" s="355"/>
      <c r="F705" s="228" t="s">
        <v>316</v>
      </c>
      <c r="G705" s="5"/>
      <c r="H705" s="54">
        <v>746.44500000000005</v>
      </c>
      <c r="I705" s="270">
        <f t="shared" si="123"/>
        <v>746.44500000000005</v>
      </c>
      <c r="J705" s="270">
        <f t="shared" si="123"/>
        <v>746.44500000000005</v>
      </c>
      <c r="K705" s="270">
        <f t="shared" si="123"/>
        <v>746.44500000000005</v>
      </c>
      <c r="L705" s="270">
        <f t="shared" si="123"/>
        <v>746.44500000000005</v>
      </c>
      <c r="M705" s="270">
        <f t="shared" si="123"/>
        <v>746.44500000000005</v>
      </c>
      <c r="N705" s="270">
        <f t="shared" si="123"/>
        <v>746.44500000000005</v>
      </c>
      <c r="O705" s="270">
        <f t="shared" si="123"/>
        <v>746.44500000000005</v>
      </c>
      <c r="P705" s="270">
        <f t="shared" si="123"/>
        <v>746.44500000000005</v>
      </c>
      <c r="Q705" s="270">
        <f t="shared" si="123"/>
        <v>746.44500000000005</v>
      </c>
      <c r="R705" s="270">
        <f t="shared" si="123"/>
        <v>746.44500000000005</v>
      </c>
      <c r="S705" s="5"/>
      <c r="T705" s="25"/>
      <c r="U705" s="5"/>
    </row>
    <row r="706" spans="1:21" s="3" customFormat="1" hidden="1" outlineLevel="1">
      <c r="A706" s="21"/>
      <c r="B706" s="228" t="s">
        <v>375</v>
      </c>
      <c r="C706" s="273" t="str">
        <f t="shared" si="121"/>
        <v>Standard (46% Eff)</v>
      </c>
      <c r="D706" s="228"/>
      <c r="E706" s="355"/>
      <c r="F706" s="228" t="s">
        <v>96</v>
      </c>
      <c r="G706" s="5"/>
      <c r="H706" s="261"/>
      <c r="I706" s="261"/>
      <c r="J706" s="261"/>
      <c r="K706" s="261"/>
      <c r="L706" s="261"/>
      <c r="M706" s="261"/>
      <c r="N706" s="261"/>
      <c r="O706" s="261"/>
      <c r="P706" s="261"/>
      <c r="Q706" s="261"/>
      <c r="R706" s="261"/>
      <c r="S706" s="5"/>
      <c r="T706" s="25"/>
      <c r="U706" s="5"/>
    </row>
    <row r="707" spans="1:21" s="3" customFormat="1" hidden="1" outlineLevel="1">
      <c r="A707" s="21"/>
      <c r="B707" s="228" t="s">
        <v>432</v>
      </c>
      <c r="C707" s="273" t="str">
        <f t="shared" si="121"/>
        <v>Standard (46% Eff)</v>
      </c>
      <c r="D707" s="228"/>
      <c r="E707" s="355"/>
      <c r="F707" s="228" t="s">
        <v>315</v>
      </c>
      <c r="G707" s="5"/>
      <c r="H707" s="55"/>
      <c r="I707" s="55"/>
      <c r="J707" s="55"/>
      <c r="K707" s="55"/>
      <c r="L707" s="55"/>
      <c r="M707" s="55"/>
      <c r="N707" s="55"/>
      <c r="O707" s="55"/>
      <c r="P707" s="55"/>
      <c r="Q707" s="55"/>
      <c r="R707" s="55"/>
      <c r="S707" s="5"/>
      <c r="T707" s="25"/>
      <c r="U707" s="5"/>
    </row>
    <row r="708" spans="1:21" s="3" customFormat="1" hidden="1" outlineLevel="1">
      <c r="A708" s="21"/>
      <c r="B708" s="228" t="s">
        <v>379</v>
      </c>
      <c r="C708" s="273" t="str">
        <f t="shared" si="121"/>
        <v>Standard (46% Eff)</v>
      </c>
      <c r="D708" s="228"/>
      <c r="E708" s="355"/>
      <c r="F708" s="228"/>
      <c r="G708" s="5"/>
      <c r="H708" s="54"/>
      <c r="I708" s="54"/>
      <c r="J708" s="54"/>
      <c r="K708" s="54"/>
      <c r="L708" s="54"/>
      <c r="M708" s="54"/>
      <c r="N708" s="54"/>
      <c r="O708" s="54"/>
      <c r="P708" s="54"/>
      <c r="Q708" s="54"/>
      <c r="R708" s="54"/>
      <c r="S708" s="5"/>
      <c r="T708" s="25"/>
      <c r="U708" s="5"/>
    </row>
    <row r="709" spans="1:21" s="3" customFormat="1" hidden="1" outlineLevel="1">
      <c r="A709" s="21"/>
      <c r="B709" s="228" t="s">
        <v>361</v>
      </c>
      <c r="C709" s="273" t="str">
        <f t="shared" si="121"/>
        <v>Standard (46% Eff)</v>
      </c>
      <c r="D709" s="228"/>
      <c r="E709" s="355"/>
      <c r="F709" s="228" t="s">
        <v>96</v>
      </c>
      <c r="G709" s="5"/>
      <c r="H709" s="261"/>
      <c r="I709" s="261"/>
      <c r="J709" s="261"/>
      <c r="K709" s="261"/>
      <c r="L709" s="261"/>
      <c r="M709" s="261"/>
      <c r="N709" s="261"/>
      <c r="O709" s="261"/>
      <c r="P709" s="261"/>
      <c r="Q709" s="261"/>
      <c r="R709" s="261"/>
      <c r="S709" s="5"/>
      <c r="T709" s="25"/>
      <c r="U709" s="5"/>
    </row>
    <row r="710" spans="1:21" s="3" customFormat="1" hidden="1" outlineLevel="1">
      <c r="A710" s="21"/>
      <c r="B710" s="228" t="s">
        <v>384</v>
      </c>
      <c r="C710" s="273" t="str">
        <f t="shared" si="121"/>
        <v>Standard (46% Eff)</v>
      </c>
      <c r="D710" s="228"/>
      <c r="E710" s="355"/>
      <c r="F710" s="228" t="s">
        <v>316</v>
      </c>
      <c r="G710" s="5"/>
      <c r="H710" s="54"/>
      <c r="I710" s="270"/>
      <c r="J710" s="270"/>
      <c r="K710" s="270"/>
      <c r="L710" s="270"/>
      <c r="M710" s="270"/>
      <c r="N710" s="270"/>
      <c r="O710" s="270"/>
      <c r="P710" s="270"/>
      <c r="Q710" s="270"/>
      <c r="R710" s="270"/>
      <c r="S710" s="5"/>
      <c r="T710" s="25"/>
      <c r="U710" s="5"/>
    </row>
    <row r="711" spans="1:21" s="3" customFormat="1" hidden="1" outlineLevel="1">
      <c r="A711" s="21"/>
      <c r="B711" s="228" t="s">
        <v>386</v>
      </c>
      <c r="C711" s="273" t="str">
        <f t="shared" si="121"/>
        <v>Standard (46% Eff)</v>
      </c>
      <c r="D711" s="228"/>
      <c r="E711" s="355"/>
      <c r="F711" s="228" t="s">
        <v>316</v>
      </c>
      <c r="G711" s="5"/>
      <c r="H711" s="55"/>
      <c r="I711" s="55"/>
      <c r="J711" s="55"/>
      <c r="K711" s="55"/>
      <c r="L711" s="55"/>
      <c r="M711" s="55"/>
      <c r="N711" s="55"/>
      <c r="O711" s="55"/>
      <c r="P711" s="55"/>
      <c r="Q711" s="55"/>
      <c r="R711" s="55"/>
      <c r="S711" s="5"/>
      <c r="T711" s="25"/>
      <c r="U711" s="5"/>
    </row>
    <row r="712" spans="1:21" s="3" customFormat="1" hidden="1" outlineLevel="1">
      <c r="A712" s="21"/>
      <c r="B712" s="228" t="s">
        <v>387</v>
      </c>
      <c r="C712" s="273" t="str">
        <f t="shared" si="121"/>
        <v>Standard (46% Eff)</v>
      </c>
      <c r="D712" s="228"/>
      <c r="E712" s="355"/>
      <c r="F712" s="228"/>
      <c r="G712" s="5"/>
      <c r="H712" s="261"/>
      <c r="I712" s="261"/>
      <c r="J712" s="261"/>
      <c r="K712" s="261"/>
      <c r="L712" s="261"/>
      <c r="M712" s="261"/>
      <c r="N712" s="261"/>
      <c r="O712" s="261"/>
      <c r="P712" s="261"/>
      <c r="Q712" s="261"/>
      <c r="R712" s="261"/>
      <c r="S712" s="5"/>
      <c r="T712" s="25"/>
      <c r="U712" s="5"/>
    </row>
    <row r="713" spans="1:21" s="3" customFormat="1" hidden="1" outlineLevel="1">
      <c r="A713" s="21"/>
      <c r="B713" s="228" t="s">
        <v>388</v>
      </c>
      <c r="C713" s="273" t="str">
        <f t="shared" si="121"/>
        <v>Standard (46% Eff)</v>
      </c>
      <c r="D713" s="228"/>
      <c r="E713" s="355"/>
      <c r="F713" s="228"/>
      <c r="G713" s="5"/>
      <c r="H713" s="55"/>
      <c r="I713" s="55"/>
      <c r="J713" s="55"/>
      <c r="K713" s="55"/>
      <c r="L713" s="55"/>
      <c r="M713" s="55"/>
      <c r="N713" s="55"/>
      <c r="O713" s="55"/>
      <c r="P713" s="55"/>
      <c r="Q713" s="55"/>
      <c r="R713" s="55"/>
      <c r="S713" s="5"/>
      <c r="T713" s="25"/>
      <c r="U713" s="5"/>
    </row>
    <row r="714" spans="1:21" s="3" customFormat="1" hidden="1" outlineLevel="1">
      <c r="A714" s="21"/>
      <c r="B714" s="228" t="s">
        <v>385</v>
      </c>
      <c r="C714" s="273" t="str">
        <f t="shared" si="121"/>
        <v>Standard (46% Eff)</v>
      </c>
      <c r="D714" s="228"/>
      <c r="E714" s="355"/>
      <c r="F714" s="228" t="s">
        <v>402</v>
      </c>
      <c r="G714" s="5"/>
      <c r="H714" s="54"/>
      <c r="I714" s="54"/>
      <c r="J714" s="54"/>
      <c r="K714" s="54"/>
      <c r="L714" s="54"/>
      <c r="M714" s="54"/>
      <c r="N714" s="54"/>
      <c r="O714" s="54"/>
      <c r="P714" s="54"/>
      <c r="Q714" s="54"/>
      <c r="R714" s="54"/>
      <c r="S714" s="5"/>
      <c r="T714" s="25"/>
      <c r="U714" s="5"/>
    </row>
    <row r="715" spans="1:21" s="3" customFormat="1" hidden="1" outlineLevel="1">
      <c r="A715" s="21"/>
      <c r="B715" s="228" t="s">
        <v>389</v>
      </c>
      <c r="C715" s="273" t="str">
        <f t="shared" si="121"/>
        <v>Standard (46% Eff)</v>
      </c>
      <c r="D715" s="228"/>
      <c r="E715" s="355"/>
      <c r="F715" s="228" t="s">
        <v>402</v>
      </c>
      <c r="G715" s="5"/>
      <c r="H715" s="55"/>
      <c r="I715" s="55"/>
      <c r="J715" s="55"/>
      <c r="K715" s="55"/>
      <c r="L715" s="55"/>
      <c r="M715" s="55"/>
      <c r="N715" s="55"/>
      <c r="O715" s="55"/>
      <c r="P715" s="55"/>
      <c r="Q715" s="55"/>
      <c r="R715" s="55"/>
      <c r="S715" s="5"/>
      <c r="T715" s="25"/>
      <c r="U715" s="5"/>
    </row>
    <row r="716" spans="1:21" s="3" customFormat="1" hidden="1" outlineLevel="1">
      <c r="A716" s="21"/>
      <c r="B716" s="228" t="s">
        <v>390</v>
      </c>
      <c r="C716" s="273" t="str">
        <f t="shared" si="121"/>
        <v>Standard (46% Eff)</v>
      </c>
      <c r="D716" s="228"/>
      <c r="E716" s="355"/>
      <c r="F716" s="228"/>
      <c r="G716" s="5"/>
      <c r="H716" s="261"/>
      <c r="I716" s="261"/>
      <c r="J716" s="261"/>
      <c r="K716" s="261"/>
      <c r="L716" s="261"/>
      <c r="M716" s="261"/>
      <c r="N716" s="261"/>
      <c r="O716" s="261"/>
      <c r="P716" s="261"/>
      <c r="Q716" s="261"/>
      <c r="R716" s="261"/>
      <c r="S716" s="5"/>
      <c r="T716" s="25"/>
      <c r="U716" s="5"/>
    </row>
    <row r="717" spans="1:21" s="3" customFormat="1" hidden="1" outlineLevel="1">
      <c r="A717" s="21"/>
      <c r="B717" s="228" t="s">
        <v>391</v>
      </c>
      <c r="C717" s="273" t="str">
        <f t="shared" si="121"/>
        <v>Standard (46% Eff)</v>
      </c>
      <c r="D717" s="228"/>
      <c r="E717" s="355"/>
      <c r="F717" s="228"/>
      <c r="G717" s="5"/>
      <c r="H717" s="55"/>
      <c r="I717" s="55"/>
      <c r="J717" s="55"/>
      <c r="K717" s="55"/>
      <c r="L717" s="55"/>
      <c r="M717" s="55"/>
      <c r="N717" s="55"/>
      <c r="O717" s="55"/>
      <c r="P717" s="55"/>
      <c r="Q717" s="55"/>
      <c r="R717" s="55"/>
      <c r="S717" s="5"/>
      <c r="T717" s="25"/>
      <c r="U717" s="5"/>
    </row>
    <row r="718" spans="1:21" s="3" customFormat="1" hidden="1" outlineLevel="1">
      <c r="A718" s="21"/>
      <c r="B718" s="228" t="s">
        <v>305</v>
      </c>
      <c r="C718" s="273" t="str">
        <f t="shared" si="121"/>
        <v>Standard (46% Eff)</v>
      </c>
      <c r="D718" s="228"/>
      <c r="E718" s="355"/>
      <c r="F718" s="228" t="s">
        <v>402</v>
      </c>
      <c r="G718" s="5"/>
      <c r="H718" s="54">
        <v>11.249000000000001</v>
      </c>
      <c r="I718" s="270">
        <f t="shared" ref="I718:R718" si="124">H718</f>
        <v>11.249000000000001</v>
      </c>
      <c r="J718" s="270">
        <f t="shared" si="124"/>
        <v>11.249000000000001</v>
      </c>
      <c r="K718" s="270">
        <f t="shared" si="124"/>
        <v>11.249000000000001</v>
      </c>
      <c r="L718" s="270">
        <f t="shared" si="124"/>
        <v>11.249000000000001</v>
      </c>
      <c r="M718" s="270">
        <f t="shared" si="124"/>
        <v>11.249000000000001</v>
      </c>
      <c r="N718" s="270">
        <f t="shared" si="124"/>
        <v>11.249000000000001</v>
      </c>
      <c r="O718" s="270">
        <f t="shared" si="124"/>
        <v>11.249000000000001</v>
      </c>
      <c r="P718" s="270">
        <f t="shared" si="124"/>
        <v>11.249000000000001</v>
      </c>
      <c r="Q718" s="270">
        <f t="shared" si="124"/>
        <v>11.249000000000001</v>
      </c>
      <c r="R718" s="270">
        <f t="shared" si="124"/>
        <v>11.249000000000001</v>
      </c>
      <c r="S718" s="5"/>
      <c r="T718" s="25"/>
      <c r="U718" s="5"/>
    </row>
    <row r="719" spans="1:21" s="3" customFormat="1" hidden="1" outlineLevel="1">
      <c r="A719" s="21"/>
      <c r="B719" s="228" t="s">
        <v>352</v>
      </c>
      <c r="C719" s="273" t="str">
        <f t="shared" si="121"/>
        <v>Standard (46% Eff)</v>
      </c>
      <c r="D719" s="228"/>
      <c r="E719" s="355"/>
      <c r="F719" s="228" t="s">
        <v>316</v>
      </c>
      <c r="G719" s="5"/>
      <c r="H719" s="54"/>
      <c r="I719" s="54"/>
      <c r="J719" s="54"/>
      <c r="K719" s="54"/>
      <c r="L719" s="54"/>
      <c r="M719" s="54"/>
      <c r="N719" s="54"/>
      <c r="O719" s="54"/>
      <c r="P719" s="54"/>
      <c r="Q719" s="54"/>
      <c r="R719" s="54"/>
      <c r="S719" s="5"/>
      <c r="T719" s="25"/>
      <c r="U719" s="5"/>
    </row>
    <row r="720" spans="1:21" s="3" customFormat="1" hidden="1" outlineLevel="1">
      <c r="A720" s="21"/>
      <c r="B720" s="3" t="s">
        <v>301</v>
      </c>
      <c r="C720" s="273" t="str">
        <f t="shared" si="121"/>
        <v>Standard (46% Eff)</v>
      </c>
      <c r="D720" s="273" t="s">
        <v>454</v>
      </c>
      <c r="E720" s="347"/>
      <c r="F720" s="67" t="s">
        <v>480</v>
      </c>
      <c r="G720" s="5"/>
      <c r="H720" s="350">
        <v>0.23499999999999999</v>
      </c>
      <c r="I720" s="363">
        <f t="shared" ref="I720:R721" si="125">H720</f>
        <v>0.23499999999999999</v>
      </c>
      <c r="J720" s="363">
        <f t="shared" si="125"/>
        <v>0.23499999999999999</v>
      </c>
      <c r="K720" s="363">
        <f t="shared" si="125"/>
        <v>0.23499999999999999</v>
      </c>
      <c r="L720" s="363">
        <f t="shared" si="125"/>
        <v>0.23499999999999999</v>
      </c>
      <c r="M720" s="363">
        <f t="shared" si="125"/>
        <v>0.23499999999999999</v>
      </c>
      <c r="N720" s="363">
        <f t="shared" si="125"/>
        <v>0.23499999999999999</v>
      </c>
      <c r="O720" s="363">
        <f t="shared" si="125"/>
        <v>0.23499999999999999</v>
      </c>
      <c r="P720" s="363">
        <f t="shared" si="125"/>
        <v>0.23499999999999999</v>
      </c>
      <c r="Q720" s="363">
        <f t="shared" si="125"/>
        <v>0.23499999999999999</v>
      </c>
      <c r="R720" s="363">
        <f t="shared" si="125"/>
        <v>0.23499999999999999</v>
      </c>
      <c r="S720" s="5"/>
      <c r="T720" s="13"/>
      <c r="U720" s="5"/>
    </row>
    <row r="721" spans="1:21" s="3" customFormat="1" hidden="1" outlineLevel="1">
      <c r="A721" s="21"/>
      <c r="B721" s="3" t="s">
        <v>301</v>
      </c>
      <c r="C721" s="273" t="str">
        <f>C720</f>
        <v>Standard (46% Eff)</v>
      </c>
      <c r="D721" s="273" t="s">
        <v>475</v>
      </c>
      <c r="E721" s="347"/>
      <c r="F721" s="67" t="s">
        <v>480</v>
      </c>
      <c r="G721" s="5"/>
      <c r="H721" s="350">
        <v>4.6399999999999997</v>
      </c>
      <c r="I721" s="363">
        <f t="shared" si="125"/>
        <v>4.6399999999999997</v>
      </c>
      <c r="J721" s="363">
        <f t="shared" si="125"/>
        <v>4.6399999999999997</v>
      </c>
      <c r="K721" s="363">
        <f t="shared" si="125"/>
        <v>4.6399999999999997</v>
      </c>
      <c r="L721" s="363">
        <f t="shared" si="125"/>
        <v>4.6399999999999997</v>
      </c>
      <c r="M721" s="363">
        <f t="shared" si="125"/>
        <v>4.6399999999999997</v>
      </c>
      <c r="N721" s="363">
        <f t="shared" si="125"/>
        <v>4.6399999999999997</v>
      </c>
      <c r="O721" s="363">
        <f t="shared" si="125"/>
        <v>4.6399999999999997</v>
      </c>
      <c r="P721" s="363">
        <f t="shared" si="125"/>
        <v>4.6399999999999997</v>
      </c>
      <c r="Q721" s="363">
        <f t="shared" si="125"/>
        <v>4.6399999999999997</v>
      </c>
      <c r="R721" s="363">
        <f t="shared" si="125"/>
        <v>4.6399999999999997</v>
      </c>
      <c r="S721" s="5"/>
      <c r="T721" s="13"/>
      <c r="U721" s="5"/>
    </row>
    <row r="722" spans="1:21" s="3" customFormat="1" hidden="1" outlineLevel="2">
      <c r="A722" s="21" t="s">
        <v>436</v>
      </c>
      <c r="B722" s="4"/>
      <c r="C722" s="13"/>
      <c r="D722" s="4"/>
      <c r="E722" s="4"/>
      <c r="F722" s="9"/>
      <c r="G722" s="13"/>
      <c r="H722" s="4"/>
      <c r="I722" s="4"/>
      <c r="J722" s="4"/>
      <c r="K722" s="4"/>
      <c r="L722" s="4"/>
      <c r="M722" s="4"/>
      <c r="N722" s="4"/>
      <c r="O722" s="4"/>
      <c r="P722" s="4"/>
      <c r="Q722" s="4"/>
      <c r="R722" s="4"/>
      <c r="S722" s="5"/>
      <c r="T722" s="13"/>
      <c r="U722" s="5"/>
    </row>
    <row r="723" spans="1:21" s="401" customFormat="1" collapsed="1">
      <c r="A723" s="401" t="s">
        <v>67</v>
      </c>
      <c r="C723" s="403"/>
      <c r="F723" s="404"/>
      <c r="G723" s="403"/>
      <c r="T723" s="403"/>
    </row>
    <row r="724" spans="1:21" s="3" customFormat="1" hidden="1" outlineLevel="1">
      <c r="A724" s="21"/>
      <c r="B724" s="67" t="s">
        <v>300</v>
      </c>
      <c r="C724" s="273" t="str">
        <f>A723</f>
        <v>Clothes washing</v>
      </c>
      <c r="D724" s="273" t="s">
        <v>453</v>
      </c>
      <c r="E724" s="347"/>
      <c r="F724" s="67" t="s">
        <v>315</v>
      </c>
      <c r="G724" s="5"/>
      <c r="H724" s="55"/>
      <c r="I724" s="55"/>
      <c r="J724" s="55"/>
      <c r="K724" s="55"/>
      <c r="L724" s="55"/>
      <c r="M724" s="55"/>
      <c r="N724" s="55"/>
      <c r="O724" s="55"/>
      <c r="P724" s="55"/>
      <c r="Q724" s="55"/>
      <c r="R724" s="55"/>
      <c r="S724" s="5"/>
      <c r="T724" s="13"/>
      <c r="U724" s="5"/>
    </row>
    <row r="725" spans="1:21" s="3" customFormat="1" hidden="1" outlineLevel="1">
      <c r="A725" s="21"/>
      <c r="B725" s="67" t="s">
        <v>466</v>
      </c>
      <c r="C725" s="273" t="s">
        <v>110</v>
      </c>
      <c r="D725" s="273"/>
      <c r="E725" s="347"/>
      <c r="F725" s="67"/>
      <c r="G725" s="5"/>
      <c r="H725" s="55"/>
      <c r="I725" s="55"/>
      <c r="J725" s="55"/>
      <c r="K725" s="55"/>
      <c r="L725" s="55"/>
      <c r="M725" s="55"/>
      <c r="N725" s="55"/>
      <c r="O725" s="55"/>
      <c r="P725" s="55"/>
      <c r="Q725" s="55"/>
      <c r="R725" s="55"/>
      <c r="S725" s="5"/>
      <c r="T725" s="25"/>
      <c r="U725" s="5"/>
    </row>
    <row r="726" spans="1:21" s="3" customFormat="1" hidden="1" outlineLevel="1">
      <c r="A726" s="21"/>
      <c r="B726" s="67" t="s">
        <v>46</v>
      </c>
      <c r="C726" s="273" t="s">
        <v>20</v>
      </c>
      <c r="D726" s="4"/>
      <c r="E726" s="347"/>
      <c r="G726" s="5"/>
      <c r="H726" s="4"/>
      <c r="I726" s="4"/>
      <c r="J726" s="4"/>
      <c r="K726" s="4"/>
      <c r="L726" s="4"/>
      <c r="M726" s="4"/>
      <c r="N726" s="4"/>
      <c r="O726" s="4"/>
      <c r="P726" s="4"/>
      <c r="Q726" s="4"/>
      <c r="R726" s="4"/>
      <c r="S726" s="5"/>
      <c r="T726" s="13"/>
      <c r="U726" s="5"/>
    </row>
    <row r="727" spans="1:21" s="3" customFormat="1" hidden="1" outlineLevel="1">
      <c r="A727" s="21"/>
      <c r="B727" s="67" t="s">
        <v>65</v>
      </c>
      <c r="C727" s="273" t="s">
        <v>34</v>
      </c>
      <c r="D727" s="4"/>
      <c r="E727" s="347"/>
      <c r="G727" s="5"/>
      <c r="H727" s="4">
        <v>10</v>
      </c>
      <c r="I727" s="354">
        <f t="shared" ref="I727:R727" si="126">H727</f>
        <v>10</v>
      </c>
      <c r="J727" s="354">
        <f t="shared" si="126"/>
        <v>10</v>
      </c>
      <c r="K727" s="354">
        <f t="shared" si="126"/>
        <v>10</v>
      </c>
      <c r="L727" s="354">
        <f t="shared" si="126"/>
        <v>10</v>
      </c>
      <c r="M727" s="354">
        <f t="shared" si="126"/>
        <v>10</v>
      </c>
      <c r="N727" s="354">
        <f t="shared" si="126"/>
        <v>10</v>
      </c>
      <c r="O727" s="354">
        <f t="shared" si="126"/>
        <v>10</v>
      </c>
      <c r="P727" s="354">
        <f t="shared" si="126"/>
        <v>10</v>
      </c>
      <c r="Q727" s="354">
        <f t="shared" si="126"/>
        <v>10</v>
      </c>
      <c r="R727" s="354">
        <f t="shared" si="126"/>
        <v>10</v>
      </c>
      <c r="S727" s="5"/>
      <c r="T727" s="13"/>
      <c r="U727" s="5"/>
    </row>
    <row r="728" spans="1:21" s="3" customFormat="1" hidden="1" outlineLevel="1">
      <c r="A728" s="21"/>
      <c r="B728" s="67" t="s">
        <v>50</v>
      </c>
      <c r="C728" s="273" t="s">
        <v>479</v>
      </c>
      <c r="D728" s="4"/>
      <c r="E728" s="347"/>
      <c r="G728" s="5"/>
      <c r="H728" s="4"/>
      <c r="I728" s="4"/>
      <c r="J728" s="4"/>
      <c r="K728" s="4"/>
      <c r="L728" s="4"/>
      <c r="M728" s="4"/>
      <c r="N728" s="4"/>
      <c r="O728" s="4"/>
      <c r="P728" s="4"/>
      <c r="Q728" s="4"/>
      <c r="R728" s="4"/>
      <c r="S728" s="5"/>
      <c r="T728" s="13"/>
      <c r="U728" s="5"/>
    </row>
    <row r="729" spans="1:21" s="3" customFormat="1" hidden="1" outlineLevel="1">
      <c r="A729" s="21"/>
      <c r="B729" s="228" t="s">
        <v>37</v>
      </c>
      <c r="C729" s="273" t="str">
        <f>C728</f>
        <v>Existing</v>
      </c>
      <c r="D729" s="228"/>
      <c r="E729" s="355"/>
      <c r="F729" s="228" t="s">
        <v>39</v>
      </c>
      <c r="G729" s="5"/>
      <c r="H729" s="265">
        <v>1980</v>
      </c>
      <c r="I729" s="356">
        <f t="shared" ref="I729:R731" si="127">H729</f>
        <v>1980</v>
      </c>
      <c r="J729" s="356">
        <f t="shared" si="127"/>
        <v>1980</v>
      </c>
      <c r="K729" s="356">
        <f t="shared" si="127"/>
        <v>1980</v>
      </c>
      <c r="L729" s="356">
        <f t="shared" si="127"/>
        <v>1980</v>
      </c>
      <c r="M729" s="356">
        <f t="shared" si="127"/>
        <v>1980</v>
      </c>
      <c r="N729" s="356">
        <f t="shared" si="127"/>
        <v>1980</v>
      </c>
      <c r="O729" s="356">
        <f t="shared" si="127"/>
        <v>1980</v>
      </c>
      <c r="P729" s="356">
        <f t="shared" si="127"/>
        <v>1980</v>
      </c>
      <c r="Q729" s="356">
        <f t="shared" si="127"/>
        <v>1980</v>
      </c>
      <c r="R729" s="356">
        <f t="shared" si="127"/>
        <v>1980</v>
      </c>
      <c r="S729" s="5"/>
      <c r="T729" s="25"/>
      <c r="U729" s="5"/>
    </row>
    <row r="730" spans="1:21" s="3" customFormat="1" hidden="1" outlineLevel="1">
      <c r="A730" s="21"/>
      <c r="B730" s="228" t="s">
        <v>36</v>
      </c>
      <c r="C730" s="273" t="str">
        <f t="shared" ref="C730:C757" si="128">C729</f>
        <v>Existing</v>
      </c>
      <c r="D730" s="228"/>
      <c r="E730" s="355"/>
      <c r="F730" s="228" t="s">
        <v>39</v>
      </c>
      <c r="G730" s="5"/>
      <c r="H730" s="265">
        <v>2000</v>
      </c>
      <c r="I730" s="356">
        <f t="shared" si="127"/>
        <v>2000</v>
      </c>
      <c r="J730" s="356">
        <f t="shared" si="127"/>
        <v>2000</v>
      </c>
      <c r="K730" s="356">
        <f t="shared" si="127"/>
        <v>2000</v>
      </c>
      <c r="L730" s="356">
        <f t="shared" si="127"/>
        <v>2000</v>
      </c>
      <c r="M730" s="356">
        <f t="shared" si="127"/>
        <v>2000</v>
      </c>
      <c r="N730" s="356">
        <f t="shared" si="127"/>
        <v>2000</v>
      </c>
      <c r="O730" s="356">
        <f t="shared" si="127"/>
        <v>2000</v>
      </c>
      <c r="P730" s="356">
        <f t="shared" si="127"/>
        <v>2000</v>
      </c>
      <c r="Q730" s="356">
        <f t="shared" si="127"/>
        <v>2000</v>
      </c>
      <c r="R730" s="356">
        <f t="shared" si="127"/>
        <v>2000</v>
      </c>
      <c r="S730" s="5"/>
      <c r="T730" s="25"/>
      <c r="U730" s="5"/>
    </row>
    <row r="731" spans="1:21" s="3" customFormat="1" hidden="1" outlineLevel="1">
      <c r="A731" s="21"/>
      <c r="B731" s="228" t="s">
        <v>38</v>
      </c>
      <c r="C731" s="273" t="str">
        <f t="shared" si="128"/>
        <v>Existing</v>
      </c>
      <c r="D731" s="228"/>
      <c r="E731" s="355"/>
      <c r="F731" s="228" t="s">
        <v>10</v>
      </c>
      <c r="G731" s="5"/>
      <c r="H731" s="55">
        <v>14</v>
      </c>
      <c r="I731" s="253">
        <f t="shared" si="127"/>
        <v>14</v>
      </c>
      <c r="J731" s="253">
        <f t="shared" si="127"/>
        <v>14</v>
      </c>
      <c r="K731" s="253">
        <f t="shared" si="127"/>
        <v>14</v>
      </c>
      <c r="L731" s="253">
        <f t="shared" si="127"/>
        <v>14</v>
      </c>
      <c r="M731" s="253">
        <f t="shared" si="127"/>
        <v>14</v>
      </c>
      <c r="N731" s="253">
        <f t="shared" si="127"/>
        <v>14</v>
      </c>
      <c r="O731" s="253">
        <f t="shared" si="127"/>
        <v>14</v>
      </c>
      <c r="P731" s="253">
        <f t="shared" si="127"/>
        <v>14</v>
      </c>
      <c r="Q731" s="253">
        <f t="shared" si="127"/>
        <v>14</v>
      </c>
      <c r="R731" s="253">
        <f t="shared" si="127"/>
        <v>14</v>
      </c>
      <c r="S731" s="5"/>
      <c r="T731" s="25"/>
      <c r="U731" s="5"/>
    </row>
    <row r="732" spans="1:21" s="3" customFormat="1" hidden="1" outlineLevel="1">
      <c r="A732" s="21"/>
      <c r="B732" s="228" t="s">
        <v>353</v>
      </c>
      <c r="C732" s="273" t="str">
        <f t="shared" si="128"/>
        <v>Existing</v>
      </c>
      <c r="D732" s="228"/>
      <c r="E732" s="355"/>
      <c r="F732" s="228" t="s">
        <v>10</v>
      </c>
      <c r="G732" s="5"/>
      <c r="H732" s="55"/>
      <c r="I732" s="55"/>
      <c r="J732" s="55"/>
      <c r="K732" s="55"/>
      <c r="L732" s="55"/>
      <c r="M732" s="55"/>
      <c r="N732" s="55"/>
      <c r="O732" s="55"/>
      <c r="P732" s="55"/>
      <c r="Q732" s="55"/>
      <c r="R732" s="55"/>
      <c r="S732" s="5"/>
      <c r="T732" s="25"/>
      <c r="U732" s="5"/>
    </row>
    <row r="733" spans="1:21" s="3" customFormat="1" hidden="1" outlineLevel="1">
      <c r="A733" s="21"/>
      <c r="B733" s="228" t="s">
        <v>304</v>
      </c>
      <c r="C733" s="273" t="str">
        <f t="shared" si="128"/>
        <v>Existing</v>
      </c>
      <c r="D733" s="228"/>
      <c r="E733" s="355"/>
      <c r="F733" s="228" t="s">
        <v>96</v>
      </c>
      <c r="G733" s="5"/>
      <c r="H733" s="261">
        <v>0.1</v>
      </c>
      <c r="I733" s="352">
        <f t="shared" ref="I733:R735" si="129">H733</f>
        <v>0.1</v>
      </c>
      <c r="J733" s="352">
        <f t="shared" si="129"/>
        <v>0.1</v>
      </c>
      <c r="K733" s="352">
        <f t="shared" si="129"/>
        <v>0.1</v>
      </c>
      <c r="L733" s="352">
        <f t="shared" si="129"/>
        <v>0.1</v>
      </c>
      <c r="M733" s="352">
        <f t="shared" si="129"/>
        <v>0.1</v>
      </c>
      <c r="N733" s="352">
        <f t="shared" si="129"/>
        <v>0.1</v>
      </c>
      <c r="O733" s="352">
        <f t="shared" si="129"/>
        <v>0.1</v>
      </c>
      <c r="P733" s="352">
        <f t="shared" si="129"/>
        <v>0.1</v>
      </c>
      <c r="Q733" s="352">
        <f t="shared" si="129"/>
        <v>0.1</v>
      </c>
      <c r="R733" s="352">
        <f t="shared" si="129"/>
        <v>0.1</v>
      </c>
      <c r="S733" s="5"/>
      <c r="T733" s="25"/>
      <c r="U733" s="5"/>
    </row>
    <row r="734" spans="1:21" s="3" customFormat="1" hidden="1" outlineLevel="1">
      <c r="A734" s="21"/>
      <c r="B734" s="228" t="s">
        <v>350</v>
      </c>
      <c r="C734" s="273" t="str">
        <f t="shared" si="128"/>
        <v>Existing</v>
      </c>
      <c r="D734" s="228"/>
      <c r="E734" s="355"/>
      <c r="F734" s="228" t="s">
        <v>96</v>
      </c>
      <c r="G734" s="5"/>
      <c r="H734" s="261">
        <v>0.65</v>
      </c>
      <c r="I734" s="352">
        <f t="shared" si="129"/>
        <v>0.65</v>
      </c>
      <c r="J734" s="352">
        <f t="shared" si="129"/>
        <v>0.65</v>
      </c>
      <c r="K734" s="352">
        <f t="shared" si="129"/>
        <v>0.65</v>
      </c>
      <c r="L734" s="352">
        <f t="shared" si="129"/>
        <v>0.65</v>
      </c>
      <c r="M734" s="352">
        <f t="shared" si="129"/>
        <v>0.65</v>
      </c>
      <c r="N734" s="352">
        <f t="shared" si="129"/>
        <v>0.65</v>
      </c>
      <c r="O734" s="352">
        <f t="shared" si="129"/>
        <v>0.65</v>
      </c>
      <c r="P734" s="352">
        <f t="shared" si="129"/>
        <v>0.65</v>
      </c>
      <c r="Q734" s="352">
        <f t="shared" si="129"/>
        <v>0.65</v>
      </c>
      <c r="R734" s="352">
        <f t="shared" si="129"/>
        <v>0.65</v>
      </c>
      <c r="S734" s="5"/>
      <c r="T734" s="25"/>
      <c r="U734" s="5"/>
    </row>
    <row r="735" spans="1:21" s="3" customFormat="1" hidden="1" outlineLevel="1">
      <c r="A735" s="21"/>
      <c r="B735" s="228" t="s">
        <v>349</v>
      </c>
      <c r="C735" s="273" t="str">
        <f t="shared" si="128"/>
        <v>Existing</v>
      </c>
      <c r="D735" s="228"/>
      <c r="E735" s="355"/>
      <c r="F735" s="228" t="s">
        <v>96</v>
      </c>
      <c r="G735" s="5"/>
      <c r="H735" s="261">
        <v>0.3</v>
      </c>
      <c r="I735" s="352">
        <f t="shared" si="129"/>
        <v>0.3</v>
      </c>
      <c r="J735" s="352">
        <f t="shared" si="129"/>
        <v>0.3</v>
      </c>
      <c r="K735" s="352">
        <f t="shared" si="129"/>
        <v>0.3</v>
      </c>
      <c r="L735" s="352">
        <f t="shared" si="129"/>
        <v>0.3</v>
      </c>
      <c r="M735" s="352">
        <f t="shared" si="129"/>
        <v>0.3</v>
      </c>
      <c r="N735" s="352">
        <f t="shared" si="129"/>
        <v>0.3</v>
      </c>
      <c r="O735" s="352">
        <f t="shared" si="129"/>
        <v>0.3</v>
      </c>
      <c r="P735" s="352">
        <f t="shared" si="129"/>
        <v>0.3</v>
      </c>
      <c r="Q735" s="352">
        <f t="shared" si="129"/>
        <v>0.3</v>
      </c>
      <c r="R735" s="352">
        <f t="shared" si="129"/>
        <v>0.3</v>
      </c>
      <c r="S735" s="5"/>
      <c r="T735" s="25"/>
      <c r="U735" s="5"/>
    </row>
    <row r="736" spans="1:21" s="3" customFormat="1" hidden="1" outlineLevel="1">
      <c r="A736" s="21"/>
      <c r="B736" s="228" t="s">
        <v>74</v>
      </c>
      <c r="C736" s="273" t="str">
        <f t="shared" si="128"/>
        <v>Existing</v>
      </c>
      <c r="D736" s="228"/>
      <c r="E736" s="355"/>
      <c r="F736" s="228" t="s">
        <v>96</v>
      </c>
      <c r="G736" s="5"/>
      <c r="H736" s="261">
        <v>1</v>
      </c>
      <c r="I736" s="261"/>
      <c r="J736" s="261"/>
      <c r="K736" s="261"/>
      <c r="L736" s="261"/>
      <c r="M736" s="261"/>
      <c r="N736" s="261"/>
      <c r="O736" s="261"/>
      <c r="P736" s="261"/>
      <c r="Q736" s="261"/>
      <c r="R736" s="261"/>
      <c r="S736" s="5"/>
      <c r="T736" s="25"/>
      <c r="U736" s="5"/>
    </row>
    <row r="737" spans="1:21" s="3" customFormat="1" hidden="1" outlineLevel="1">
      <c r="A737" s="21"/>
      <c r="B737" s="358" t="s">
        <v>146</v>
      </c>
      <c r="C737" s="273" t="str">
        <f t="shared" si="128"/>
        <v>Existing</v>
      </c>
      <c r="D737" s="359"/>
      <c r="E737" s="360"/>
      <c r="F737" s="358" t="s">
        <v>96</v>
      </c>
      <c r="G737" s="5"/>
      <c r="H737" s="261"/>
      <c r="I737" s="261"/>
      <c r="J737" s="261"/>
      <c r="K737" s="261"/>
      <c r="L737" s="261"/>
      <c r="M737" s="261"/>
      <c r="N737" s="261"/>
      <c r="O737" s="261"/>
      <c r="P737" s="261"/>
      <c r="Q737" s="261"/>
      <c r="R737" s="261"/>
      <c r="S737" s="5"/>
      <c r="T737" s="25"/>
      <c r="U737" s="5"/>
    </row>
    <row r="738" spans="1:21" s="3" customFormat="1" hidden="1" outlineLevel="1">
      <c r="A738" s="21"/>
      <c r="B738" s="358" t="s">
        <v>147</v>
      </c>
      <c r="C738" s="273" t="str">
        <f t="shared" si="128"/>
        <v>Existing</v>
      </c>
      <c r="D738" s="359"/>
      <c r="E738" s="360"/>
      <c r="F738" s="358" t="s">
        <v>96</v>
      </c>
      <c r="G738" s="5"/>
      <c r="H738" s="261"/>
      <c r="I738" s="261"/>
      <c r="J738" s="261"/>
      <c r="K738" s="261"/>
      <c r="L738" s="261"/>
      <c r="M738" s="261"/>
      <c r="N738" s="261"/>
      <c r="O738" s="261"/>
      <c r="P738" s="261"/>
      <c r="Q738" s="261"/>
      <c r="R738" s="261"/>
      <c r="S738" s="5"/>
      <c r="T738" s="25"/>
      <c r="U738" s="5"/>
    </row>
    <row r="739" spans="1:21" s="3" customFormat="1" hidden="1" outlineLevel="1">
      <c r="A739" s="21"/>
      <c r="B739" s="358" t="s">
        <v>362</v>
      </c>
      <c r="C739" s="273" t="str">
        <f t="shared" si="128"/>
        <v>Existing</v>
      </c>
      <c r="D739" s="359"/>
      <c r="E739" s="360"/>
      <c r="F739" s="358" t="s">
        <v>96</v>
      </c>
      <c r="G739" s="5"/>
      <c r="H739" s="261"/>
      <c r="I739" s="261"/>
      <c r="J739" s="261"/>
      <c r="K739" s="261"/>
      <c r="L739" s="261"/>
      <c r="M739" s="261"/>
      <c r="N739" s="261"/>
      <c r="O739" s="261"/>
      <c r="P739" s="261"/>
      <c r="Q739" s="261"/>
      <c r="R739" s="261"/>
      <c r="S739" s="5"/>
      <c r="T739" s="25"/>
      <c r="U739" s="5"/>
    </row>
    <row r="740" spans="1:21" s="3" customFormat="1" hidden="1" outlineLevel="1">
      <c r="A740" s="21"/>
      <c r="B740" s="358" t="s">
        <v>363</v>
      </c>
      <c r="C740" s="273" t="str">
        <f t="shared" si="128"/>
        <v>Existing</v>
      </c>
      <c r="D740" s="359"/>
      <c r="E740" s="360"/>
      <c r="F740" s="358" t="s">
        <v>96</v>
      </c>
      <c r="G740" s="5"/>
      <c r="H740" s="261"/>
      <c r="I740" s="261"/>
      <c r="J740" s="261"/>
      <c r="K740" s="261"/>
      <c r="L740" s="261"/>
      <c r="M740" s="261"/>
      <c r="N740" s="261"/>
      <c r="O740" s="261"/>
      <c r="P740" s="261"/>
      <c r="Q740" s="261"/>
      <c r="R740" s="261"/>
      <c r="S740" s="5"/>
      <c r="T740" s="25"/>
      <c r="U740" s="5"/>
    </row>
    <row r="741" spans="1:21" s="3" customFormat="1" hidden="1" outlineLevel="1">
      <c r="A741" s="21"/>
      <c r="B741" s="228" t="s">
        <v>332</v>
      </c>
      <c r="C741" s="273" t="str">
        <f t="shared" si="128"/>
        <v>Existing</v>
      </c>
      <c r="D741" s="228"/>
      <c r="E741" s="355"/>
      <c r="F741" s="228" t="s">
        <v>315</v>
      </c>
      <c r="G741" s="5"/>
      <c r="H741" s="29">
        <v>1</v>
      </c>
      <c r="I741" s="362">
        <f t="shared" ref="I741:R742" si="130">H741</f>
        <v>1</v>
      </c>
      <c r="J741" s="362">
        <f t="shared" si="130"/>
        <v>1</v>
      </c>
      <c r="K741" s="362">
        <f t="shared" si="130"/>
        <v>1</v>
      </c>
      <c r="L741" s="362">
        <f t="shared" si="130"/>
        <v>1</v>
      </c>
      <c r="M741" s="362">
        <f t="shared" si="130"/>
        <v>1</v>
      </c>
      <c r="N741" s="362">
        <f t="shared" si="130"/>
        <v>1</v>
      </c>
      <c r="O741" s="362">
        <f t="shared" si="130"/>
        <v>1</v>
      </c>
      <c r="P741" s="362">
        <f t="shared" si="130"/>
        <v>1</v>
      </c>
      <c r="Q741" s="362">
        <f t="shared" si="130"/>
        <v>1</v>
      </c>
      <c r="R741" s="362">
        <f t="shared" si="130"/>
        <v>1</v>
      </c>
      <c r="S741" s="5"/>
      <c r="T741" s="25"/>
      <c r="U741" s="5"/>
    </row>
    <row r="742" spans="1:21" s="3" customFormat="1" hidden="1" outlineLevel="1">
      <c r="A742" s="21"/>
      <c r="B742" s="228" t="s">
        <v>470</v>
      </c>
      <c r="C742" s="273" t="str">
        <f t="shared" si="128"/>
        <v>Existing</v>
      </c>
      <c r="D742" s="228"/>
      <c r="E742" s="355"/>
      <c r="F742" s="228" t="s">
        <v>316</v>
      </c>
      <c r="G742" s="5"/>
      <c r="H742" s="54">
        <v>670.15</v>
      </c>
      <c r="I742" s="270">
        <f t="shared" si="130"/>
        <v>670.15</v>
      </c>
      <c r="J742" s="270">
        <f t="shared" si="130"/>
        <v>670.15</v>
      </c>
      <c r="K742" s="270">
        <f t="shared" si="130"/>
        <v>670.15</v>
      </c>
      <c r="L742" s="270">
        <f t="shared" si="130"/>
        <v>670.15</v>
      </c>
      <c r="M742" s="270">
        <f t="shared" si="130"/>
        <v>670.15</v>
      </c>
      <c r="N742" s="270">
        <f t="shared" si="130"/>
        <v>670.15</v>
      </c>
      <c r="O742" s="270">
        <f t="shared" si="130"/>
        <v>670.15</v>
      </c>
      <c r="P742" s="270">
        <f t="shared" si="130"/>
        <v>670.15</v>
      </c>
      <c r="Q742" s="270">
        <f t="shared" si="130"/>
        <v>670.15</v>
      </c>
      <c r="R742" s="270">
        <f t="shared" si="130"/>
        <v>670.15</v>
      </c>
      <c r="S742" s="5"/>
      <c r="T742" s="25"/>
      <c r="U742" s="5"/>
    </row>
    <row r="743" spans="1:21" s="3" customFormat="1" hidden="1" outlineLevel="1">
      <c r="A743" s="21"/>
      <c r="B743" s="228" t="s">
        <v>375</v>
      </c>
      <c r="C743" s="273" t="str">
        <f t="shared" si="128"/>
        <v>Existing</v>
      </c>
      <c r="D743" s="228"/>
      <c r="E743" s="355"/>
      <c r="F743" s="228" t="s">
        <v>96</v>
      </c>
      <c r="G743" s="5"/>
      <c r="H743" s="261"/>
      <c r="I743" s="261"/>
      <c r="J743" s="261"/>
      <c r="K743" s="261"/>
      <c r="L743" s="261"/>
      <c r="M743" s="261"/>
      <c r="N743" s="261"/>
      <c r="O743" s="261"/>
      <c r="P743" s="261"/>
      <c r="Q743" s="261"/>
      <c r="R743" s="261"/>
      <c r="S743" s="5"/>
      <c r="T743" s="25"/>
      <c r="U743" s="5"/>
    </row>
    <row r="744" spans="1:21" s="3" customFormat="1" hidden="1" outlineLevel="1">
      <c r="A744" s="21"/>
      <c r="B744" s="228" t="s">
        <v>432</v>
      </c>
      <c r="C744" s="273" t="str">
        <f t="shared" si="128"/>
        <v>Existing</v>
      </c>
      <c r="D744" s="228"/>
      <c r="E744" s="355"/>
      <c r="F744" s="228" t="s">
        <v>315</v>
      </c>
      <c r="G744" s="5"/>
      <c r="H744" s="55"/>
      <c r="I744" s="55"/>
      <c r="J744" s="55"/>
      <c r="K744" s="55"/>
      <c r="L744" s="55"/>
      <c r="M744" s="55"/>
      <c r="N744" s="55"/>
      <c r="O744" s="55"/>
      <c r="P744" s="55"/>
      <c r="Q744" s="55"/>
      <c r="R744" s="55"/>
      <c r="S744" s="5"/>
      <c r="T744" s="25"/>
      <c r="U744" s="5"/>
    </row>
    <row r="745" spans="1:21" s="3" customFormat="1" hidden="1" outlineLevel="1">
      <c r="A745" s="21"/>
      <c r="B745" s="228" t="s">
        <v>379</v>
      </c>
      <c r="C745" s="273" t="str">
        <f t="shared" si="128"/>
        <v>Existing</v>
      </c>
      <c r="D745" s="228"/>
      <c r="E745" s="355"/>
      <c r="F745" s="228"/>
      <c r="G745" s="5"/>
      <c r="H745" s="54"/>
      <c r="I745" s="54"/>
      <c r="J745" s="54"/>
      <c r="K745" s="54"/>
      <c r="L745" s="54"/>
      <c r="M745" s="54"/>
      <c r="N745" s="54"/>
      <c r="O745" s="54"/>
      <c r="P745" s="54"/>
      <c r="Q745" s="54"/>
      <c r="R745" s="54"/>
      <c r="S745" s="5"/>
      <c r="T745" s="25"/>
      <c r="U745" s="5"/>
    </row>
    <row r="746" spans="1:21" s="3" customFormat="1" hidden="1" outlineLevel="1">
      <c r="A746" s="21"/>
      <c r="B746" s="228" t="s">
        <v>361</v>
      </c>
      <c r="C746" s="273" t="str">
        <f t="shared" si="128"/>
        <v>Existing</v>
      </c>
      <c r="D746" s="228"/>
      <c r="E746" s="355"/>
      <c r="F746" s="228" t="s">
        <v>96</v>
      </c>
      <c r="G746" s="5"/>
      <c r="H746" s="261"/>
      <c r="I746" s="261"/>
      <c r="J746" s="261"/>
      <c r="K746" s="261"/>
      <c r="L746" s="261"/>
      <c r="M746" s="261"/>
      <c r="N746" s="261"/>
      <c r="O746" s="261"/>
      <c r="P746" s="261"/>
      <c r="Q746" s="261"/>
      <c r="R746" s="261"/>
      <c r="S746" s="5"/>
      <c r="T746" s="25"/>
      <c r="U746" s="5"/>
    </row>
    <row r="747" spans="1:21" s="3" customFormat="1" hidden="1" outlineLevel="1">
      <c r="A747" s="21"/>
      <c r="B747" s="228" t="s">
        <v>384</v>
      </c>
      <c r="C747" s="273" t="str">
        <f t="shared" si="128"/>
        <v>Existing</v>
      </c>
      <c r="D747" s="228"/>
      <c r="E747" s="355"/>
      <c r="F747" s="228" t="s">
        <v>316</v>
      </c>
      <c r="G747" s="5"/>
      <c r="H747" s="54"/>
      <c r="I747" s="270"/>
      <c r="J747" s="270"/>
      <c r="K747" s="270"/>
      <c r="L747" s="270"/>
      <c r="M747" s="270"/>
      <c r="N747" s="270"/>
      <c r="O747" s="270"/>
      <c r="P747" s="270"/>
      <c r="Q747" s="270"/>
      <c r="R747" s="270"/>
      <c r="S747" s="5"/>
      <c r="T747" s="25"/>
      <c r="U747" s="5"/>
    </row>
    <row r="748" spans="1:21" s="3" customFormat="1" hidden="1" outlineLevel="1">
      <c r="A748" s="21"/>
      <c r="B748" s="228" t="s">
        <v>386</v>
      </c>
      <c r="C748" s="273" t="str">
        <f t="shared" si="128"/>
        <v>Existing</v>
      </c>
      <c r="D748" s="228"/>
      <c r="E748" s="355"/>
      <c r="F748" s="228" t="s">
        <v>316</v>
      </c>
      <c r="G748" s="5"/>
      <c r="H748" s="55"/>
      <c r="I748" s="55"/>
      <c r="J748" s="55"/>
      <c r="K748" s="55"/>
      <c r="L748" s="55"/>
      <c r="M748" s="55"/>
      <c r="N748" s="55"/>
      <c r="O748" s="55"/>
      <c r="P748" s="55"/>
      <c r="Q748" s="55"/>
      <c r="R748" s="55"/>
      <c r="S748" s="5"/>
      <c r="T748" s="25"/>
      <c r="U748" s="5"/>
    </row>
    <row r="749" spans="1:21" s="3" customFormat="1" hidden="1" outlineLevel="1">
      <c r="A749" s="21"/>
      <c r="B749" s="228" t="s">
        <v>387</v>
      </c>
      <c r="C749" s="273" t="str">
        <f t="shared" si="128"/>
        <v>Existing</v>
      </c>
      <c r="D749" s="228"/>
      <c r="E749" s="355"/>
      <c r="F749" s="228"/>
      <c r="G749" s="5"/>
      <c r="H749" s="261"/>
      <c r="I749" s="261"/>
      <c r="J749" s="261"/>
      <c r="K749" s="261"/>
      <c r="L749" s="261"/>
      <c r="M749" s="261"/>
      <c r="N749" s="261"/>
      <c r="O749" s="261"/>
      <c r="P749" s="261"/>
      <c r="Q749" s="261"/>
      <c r="R749" s="261"/>
      <c r="S749" s="5"/>
      <c r="T749" s="25"/>
      <c r="U749" s="5"/>
    </row>
    <row r="750" spans="1:21" s="3" customFormat="1" hidden="1" outlineLevel="1">
      <c r="A750" s="21"/>
      <c r="B750" s="228" t="s">
        <v>388</v>
      </c>
      <c r="C750" s="273" t="str">
        <f t="shared" si="128"/>
        <v>Existing</v>
      </c>
      <c r="D750" s="228"/>
      <c r="E750" s="355"/>
      <c r="F750" s="228"/>
      <c r="G750" s="5"/>
      <c r="H750" s="55"/>
      <c r="I750" s="55"/>
      <c r="J750" s="55"/>
      <c r="K750" s="55"/>
      <c r="L750" s="55"/>
      <c r="M750" s="55"/>
      <c r="N750" s="55"/>
      <c r="O750" s="55"/>
      <c r="P750" s="55"/>
      <c r="Q750" s="55"/>
      <c r="R750" s="55"/>
      <c r="S750" s="5"/>
      <c r="T750" s="25"/>
      <c r="U750" s="5"/>
    </row>
    <row r="751" spans="1:21" s="3" customFormat="1" hidden="1" outlineLevel="1">
      <c r="A751" s="21"/>
      <c r="B751" s="228" t="s">
        <v>385</v>
      </c>
      <c r="C751" s="273" t="str">
        <f t="shared" si="128"/>
        <v>Existing</v>
      </c>
      <c r="D751" s="228"/>
      <c r="E751" s="355"/>
      <c r="F751" s="228" t="s">
        <v>402</v>
      </c>
      <c r="G751" s="5"/>
      <c r="H751" s="54"/>
      <c r="I751" s="54"/>
      <c r="J751" s="54"/>
      <c r="K751" s="54"/>
      <c r="L751" s="54"/>
      <c r="M751" s="54"/>
      <c r="N751" s="54"/>
      <c r="O751" s="54"/>
      <c r="P751" s="54"/>
      <c r="Q751" s="54"/>
      <c r="R751" s="54"/>
      <c r="S751" s="5"/>
      <c r="T751" s="25"/>
      <c r="U751" s="5"/>
    </row>
    <row r="752" spans="1:21" s="3" customFormat="1" hidden="1" outlineLevel="1">
      <c r="A752" s="21"/>
      <c r="B752" s="228" t="s">
        <v>389</v>
      </c>
      <c r="C752" s="273" t="str">
        <f t="shared" si="128"/>
        <v>Existing</v>
      </c>
      <c r="D752" s="228"/>
      <c r="E752" s="355"/>
      <c r="F752" s="228" t="s">
        <v>402</v>
      </c>
      <c r="G752" s="5"/>
      <c r="H752" s="55"/>
      <c r="I752" s="55"/>
      <c r="J752" s="55"/>
      <c r="K752" s="55"/>
      <c r="L752" s="55"/>
      <c r="M752" s="55"/>
      <c r="N752" s="55"/>
      <c r="O752" s="55"/>
      <c r="P752" s="55"/>
      <c r="Q752" s="55"/>
      <c r="R752" s="55"/>
      <c r="S752" s="5"/>
      <c r="T752" s="25"/>
      <c r="U752" s="5"/>
    </row>
    <row r="753" spans="1:21" s="3" customFormat="1" hidden="1" outlineLevel="1">
      <c r="A753" s="21"/>
      <c r="B753" s="228" t="s">
        <v>390</v>
      </c>
      <c r="C753" s="273" t="str">
        <f t="shared" si="128"/>
        <v>Existing</v>
      </c>
      <c r="D753" s="228"/>
      <c r="E753" s="355"/>
      <c r="F753" s="228"/>
      <c r="G753" s="5"/>
      <c r="H753" s="261"/>
      <c r="I753" s="261"/>
      <c r="J753" s="261"/>
      <c r="K753" s="261"/>
      <c r="L753" s="261"/>
      <c r="M753" s="261"/>
      <c r="N753" s="261"/>
      <c r="O753" s="261"/>
      <c r="P753" s="261"/>
      <c r="Q753" s="261"/>
      <c r="R753" s="261"/>
      <c r="S753" s="5"/>
      <c r="T753" s="25"/>
      <c r="U753" s="5"/>
    </row>
    <row r="754" spans="1:21" s="3" customFormat="1" hidden="1" outlineLevel="1">
      <c r="A754" s="21"/>
      <c r="B754" s="228" t="s">
        <v>391</v>
      </c>
      <c r="C754" s="273" t="str">
        <f t="shared" si="128"/>
        <v>Existing</v>
      </c>
      <c r="D754" s="228"/>
      <c r="E754" s="355"/>
      <c r="F754" s="228"/>
      <c r="G754" s="5"/>
      <c r="H754" s="55"/>
      <c r="I754" s="55"/>
      <c r="J754" s="55"/>
      <c r="K754" s="55"/>
      <c r="L754" s="55"/>
      <c r="M754" s="55"/>
      <c r="N754" s="55"/>
      <c r="O754" s="55"/>
      <c r="P754" s="55"/>
      <c r="Q754" s="55"/>
      <c r="R754" s="55"/>
      <c r="S754" s="5"/>
      <c r="T754" s="25"/>
      <c r="U754" s="5"/>
    </row>
    <row r="755" spans="1:21" s="3" customFormat="1" hidden="1" outlineLevel="1">
      <c r="A755" s="21"/>
      <c r="B755" s="228" t="s">
        <v>305</v>
      </c>
      <c r="C755" s="273" t="str">
        <f t="shared" si="128"/>
        <v>Existing</v>
      </c>
      <c r="D755" s="228"/>
      <c r="E755" s="355"/>
      <c r="F755" s="228" t="s">
        <v>402</v>
      </c>
      <c r="G755" s="5"/>
      <c r="H755" s="54">
        <v>10</v>
      </c>
      <c r="I755" s="270">
        <f t="shared" ref="I755:R755" si="131">H755</f>
        <v>10</v>
      </c>
      <c r="J755" s="270">
        <f t="shared" si="131"/>
        <v>10</v>
      </c>
      <c r="K755" s="270">
        <f t="shared" si="131"/>
        <v>10</v>
      </c>
      <c r="L755" s="270">
        <f t="shared" si="131"/>
        <v>10</v>
      </c>
      <c r="M755" s="270">
        <f t="shared" si="131"/>
        <v>10</v>
      </c>
      <c r="N755" s="270">
        <f t="shared" si="131"/>
        <v>10</v>
      </c>
      <c r="O755" s="270">
        <f t="shared" si="131"/>
        <v>10</v>
      </c>
      <c r="P755" s="270">
        <f t="shared" si="131"/>
        <v>10</v>
      </c>
      <c r="Q755" s="270">
        <f t="shared" si="131"/>
        <v>10</v>
      </c>
      <c r="R755" s="270">
        <f t="shared" si="131"/>
        <v>10</v>
      </c>
      <c r="S755" s="5"/>
      <c r="T755" s="25"/>
      <c r="U755" s="5"/>
    </row>
    <row r="756" spans="1:21" s="3" customFormat="1" hidden="1" outlineLevel="1">
      <c r="A756" s="21"/>
      <c r="B756" s="228" t="s">
        <v>352</v>
      </c>
      <c r="C756" s="273" t="str">
        <f t="shared" si="128"/>
        <v>Existing</v>
      </c>
      <c r="D756" s="228"/>
      <c r="E756" s="355"/>
      <c r="F756" s="228" t="s">
        <v>316</v>
      </c>
      <c r="G756" s="5"/>
      <c r="H756" s="54"/>
      <c r="I756" s="54"/>
      <c r="J756" s="54"/>
      <c r="K756" s="54"/>
      <c r="L756" s="54"/>
      <c r="M756" s="54"/>
      <c r="N756" s="54"/>
      <c r="O756" s="54"/>
      <c r="P756" s="54"/>
      <c r="Q756" s="54"/>
      <c r="R756" s="54"/>
      <c r="S756" s="5"/>
      <c r="T756" s="25"/>
      <c r="U756" s="5"/>
    </row>
    <row r="757" spans="1:21" s="3" customFormat="1" hidden="1" outlineLevel="1">
      <c r="A757" s="21"/>
      <c r="B757" s="67" t="s">
        <v>301</v>
      </c>
      <c r="C757" s="273" t="str">
        <f t="shared" si="128"/>
        <v>Existing</v>
      </c>
      <c r="D757" s="273" t="s">
        <v>454</v>
      </c>
      <c r="E757" s="347"/>
      <c r="F757" s="67" t="s">
        <v>480</v>
      </c>
      <c r="G757" s="5"/>
      <c r="H757" s="350">
        <v>0.317</v>
      </c>
      <c r="I757" s="363">
        <f t="shared" ref="I757:R758" si="132">H757</f>
        <v>0.317</v>
      </c>
      <c r="J757" s="363">
        <f t="shared" si="132"/>
        <v>0.317</v>
      </c>
      <c r="K757" s="363">
        <f t="shared" si="132"/>
        <v>0.317</v>
      </c>
      <c r="L757" s="363">
        <f t="shared" si="132"/>
        <v>0.317</v>
      </c>
      <c r="M757" s="363">
        <f t="shared" si="132"/>
        <v>0.317</v>
      </c>
      <c r="N757" s="363">
        <f t="shared" si="132"/>
        <v>0.317</v>
      </c>
      <c r="O757" s="363">
        <f t="shared" si="132"/>
        <v>0.317</v>
      </c>
      <c r="P757" s="363">
        <f t="shared" si="132"/>
        <v>0.317</v>
      </c>
      <c r="Q757" s="363">
        <f t="shared" si="132"/>
        <v>0.317</v>
      </c>
      <c r="R757" s="363">
        <f t="shared" si="132"/>
        <v>0.317</v>
      </c>
      <c r="S757" s="5"/>
      <c r="T757" s="13"/>
      <c r="U757" s="5"/>
    </row>
    <row r="758" spans="1:21" s="3" customFormat="1" hidden="1" outlineLevel="1">
      <c r="A758" s="21"/>
      <c r="B758" s="67" t="s">
        <v>301</v>
      </c>
      <c r="C758" s="273" t="str">
        <f>C757</f>
        <v>Existing</v>
      </c>
      <c r="D758" s="273" t="s">
        <v>475</v>
      </c>
      <c r="E758" s="347"/>
      <c r="F758" s="67" t="s">
        <v>480</v>
      </c>
      <c r="G758" s="5"/>
      <c r="H758" s="350">
        <v>19.856999999999999</v>
      </c>
      <c r="I758" s="363">
        <f t="shared" si="132"/>
        <v>19.856999999999999</v>
      </c>
      <c r="J758" s="363">
        <f t="shared" si="132"/>
        <v>19.856999999999999</v>
      </c>
      <c r="K758" s="363">
        <f t="shared" si="132"/>
        <v>19.856999999999999</v>
      </c>
      <c r="L758" s="363">
        <f t="shared" si="132"/>
        <v>19.856999999999999</v>
      </c>
      <c r="M758" s="363">
        <f t="shared" si="132"/>
        <v>19.856999999999999</v>
      </c>
      <c r="N758" s="363">
        <f t="shared" si="132"/>
        <v>19.856999999999999</v>
      </c>
      <c r="O758" s="363">
        <f t="shared" si="132"/>
        <v>19.856999999999999</v>
      </c>
      <c r="P758" s="363">
        <f t="shared" si="132"/>
        <v>19.856999999999999</v>
      </c>
      <c r="Q758" s="363">
        <f t="shared" si="132"/>
        <v>19.856999999999999</v>
      </c>
      <c r="R758" s="363">
        <f t="shared" si="132"/>
        <v>19.856999999999999</v>
      </c>
      <c r="S758" s="5"/>
      <c r="T758" s="13"/>
      <c r="U758" s="5"/>
    </row>
    <row r="759" spans="1:21" s="3" customFormat="1" hidden="1" outlineLevel="1">
      <c r="A759" s="21"/>
      <c r="B759" s="67" t="s">
        <v>50</v>
      </c>
      <c r="C759" s="273" t="s">
        <v>28</v>
      </c>
      <c r="D759" s="4"/>
      <c r="E759" s="347"/>
      <c r="G759" s="5"/>
      <c r="H759" s="4"/>
      <c r="I759" s="4"/>
      <c r="J759" s="4"/>
      <c r="K759" s="4"/>
      <c r="L759" s="4"/>
      <c r="M759" s="4"/>
      <c r="N759" s="4"/>
      <c r="O759" s="4"/>
      <c r="P759" s="4"/>
      <c r="Q759" s="4"/>
      <c r="R759" s="4"/>
      <c r="S759" s="5"/>
      <c r="T759" s="13"/>
      <c r="U759" s="5"/>
    </row>
    <row r="760" spans="1:21" s="3" customFormat="1" hidden="1" outlineLevel="1">
      <c r="A760" s="21"/>
      <c r="B760" s="228" t="s">
        <v>37</v>
      </c>
      <c r="C760" s="273" t="str">
        <f>C759</f>
        <v>Standard</v>
      </c>
      <c r="D760" s="228"/>
      <c r="E760" s="355"/>
      <c r="F760" s="228" t="s">
        <v>39</v>
      </c>
      <c r="G760" s="5"/>
      <c r="H760" s="265">
        <v>2000</v>
      </c>
      <c r="I760" s="356">
        <f t="shared" ref="I760:R762" si="133">H760</f>
        <v>2000</v>
      </c>
      <c r="J760" s="356">
        <f t="shared" si="133"/>
        <v>2000</v>
      </c>
      <c r="K760" s="356">
        <f t="shared" si="133"/>
        <v>2000</v>
      </c>
      <c r="L760" s="356">
        <f t="shared" si="133"/>
        <v>2000</v>
      </c>
      <c r="M760" s="356">
        <f t="shared" si="133"/>
        <v>2000</v>
      </c>
      <c r="N760" s="356">
        <f t="shared" si="133"/>
        <v>2000</v>
      </c>
      <c r="O760" s="356">
        <f t="shared" si="133"/>
        <v>2000</v>
      </c>
      <c r="P760" s="356">
        <f t="shared" si="133"/>
        <v>2000</v>
      </c>
      <c r="Q760" s="356">
        <f t="shared" si="133"/>
        <v>2000</v>
      </c>
      <c r="R760" s="356">
        <f t="shared" si="133"/>
        <v>2000</v>
      </c>
      <c r="S760" s="5"/>
      <c r="T760" s="25"/>
      <c r="U760" s="5"/>
    </row>
    <row r="761" spans="1:21" s="3" customFormat="1" hidden="1" outlineLevel="1">
      <c r="A761" s="21"/>
      <c r="B761" s="228" t="s">
        <v>36</v>
      </c>
      <c r="C761" s="273" t="str">
        <f t="shared" ref="C761:C788" si="134">C760</f>
        <v>Standard</v>
      </c>
      <c r="D761" s="228"/>
      <c r="E761" s="355"/>
      <c r="F761" s="228" t="s">
        <v>39</v>
      </c>
      <c r="G761" s="5"/>
      <c r="H761" s="265">
        <v>2010</v>
      </c>
      <c r="I761" s="356">
        <f t="shared" si="133"/>
        <v>2010</v>
      </c>
      <c r="J761" s="356">
        <f t="shared" si="133"/>
        <v>2010</v>
      </c>
      <c r="K761" s="356">
        <f t="shared" si="133"/>
        <v>2010</v>
      </c>
      <c r="L761" s="356">
        <f t="shared" si="133"/>
        <v>2010</v>
      </c>
      <c r="M761" s="356">
        <f t="shared" si="133"/>
        <v>2010</v>
      </c>
      <c r="N761" s="356">
        <f t="shared" si="133"/>
        <v>2010</v>
      </c>
      <c r="O761" s="356">
        <f t="shared" si="133"/>
        <v>2010</v>
      </c>
      <c r="P761" s="356">
        <f t="shared" si="133"/>
        <v>2010</v>
      </c>
      <c r="Q761" s="356">
        <f t="shared" si="133"/>
        <v>2010</v>
      </c>
      <c r="R761" s="356">
        <f t="shared" si="133"/>
        <v>2010</v>
      </c>
      <c r="S761" s="5"/>
      <c r="T761" s="25"/>
      <c r="U761" s="5"/>
    </row>
    <row r="762" spans="1:21" s="3" customFormat="1" hidden="1" outlineLevel="1">
      <c r="A762" s="21"/>
      <c r="B762" s="228" t="s">
        <v>38</v>
      </c>
      <c r="C762" s="273" t="str">
        <f t="shared" si="134"/>
        <v>Standard</v>
      </c>
      <c r="D762" s="228"/>
      <c r="E762" s="355"/>
      <c r="F762" s="228" t="s">
        <v>10</v>
      </c>
      <c r="G762" s="5"/>
      <c r="H762" s="55">
        <v>14</v>
      </c>
      <c r="I762" s="253">
        <f t="shared" si="133"/>
        <v>14</v>
      </c>
      <c r="J762" s="253">
        <f t="shared" si="133"/>
        <v>14</v>
      </c>
      <c r="K762" s="253">
        <f t="shared" si="133"/>
        <v>14</v>
      </c>
      <c r="L762" s="253">
        <f t="shared" si="133"/>
        <v>14</v>
      </c>
      <c r="M762" s="253">
        <f t="shared" si="133"/>
        <v>14</v>
      </c>
      <c r="N762" s="253">
        <f t="shared" si="133"/>
        <v>14</v>
      </c>
      <c r="O762" s="253">
        <f t="shared" si="133"/>
        <v>14</v>
      </c>
      <c r="P762" s="253">
        <f t="shared" si="133"/>
        <v>14</v>
      </c>
      <c r="Q762" s="253">
        <f t="shared" si="133"/>
        <v>14</v>
      </c>
      <c r="R762" s="253">
        <f t="shared" si="133"/>
        <v>14</v>
      </c>
      <c r="S762" s="5"/>
      <c r="T762" s="25"/>
      <c r="U762" s="5"/>
    </row>
    <row r="763" spans="1:21" s="3" customFormat="1" hidden="1" outlineLevel="1">
      <c r="A763" s="21"/>
      <c r="B763" s="228" t="s">
        <v>353</v>
      </c>
      <c r="C763" s="273" t="str">
        <f t="shared" si="134"/>
        <v>Standard</v>
      </c>
      <c r="D763" s="228"/>
      <c r="E763" s="355"/>
      <c r="F763" s="228" t="s">
        <v>10</v>
      </c>
      <c r="G763" s="5"/>
      <c r="H763" s="55"/>
      <c r="I763" s="55"/>
      <c r="J763" s="55"/>
      <c r="K763" s="55"/>
      <c r="L763" s="55"/>
      <c r="M763" s="55"/>
      <c r="N763" s="55"/>
      <c r="O763" s="55"/>
      <c r="P763" s="55"/>
      <c r="Q763" s="55"/>
      <c r="R763" s="55"/>
      <c r="S763" s="5"/>
      <c r="T763" s="25"/>
      <c r="U763" s="5"/>
    </row>
    <row r="764" spans="1:21" s="3" customFormat="1" hidden="1" outlineLevel="1">
      <c r="A764" s="21"/>
      <c r="B764" s="228" t="s">
        <v>304</v>
      </c>
      <c r="C764" s="273" t="str">
        <f t="shared" si="134"/>
        <v>Standard</v>
      </c>
      <c r="D764" s="228"/>
      <c r="E764" s="355"/>
      <c r="F764" s="228" t="s">
        <v>96</v>
      </c>
      <c r="G764" s="5"/>
      <c r="H764" s="261">
        <v>0.1</v>
      </c>
      <c r="I764" s="352">
        <f t="shared" ref="I764:R766" si="135">H764</f>
        <v>0.1</v>
      </c>
      <c r="J764" s="352">
        <f t="shared" si="135"/>
        <v>0.1</v>
      </c>
      <c r="K764" s="352">
        <f t="shared" si="135"/>
        <v>0.1</v>
      </c>
      <c r="L764" s="352">
        <f t="shared" si="135"/>
        <v>0.1</v>
      </c>
      <c r="M764" s="352">
        <f t="shared" si="135"/>
        <v>0.1</v>
      </c>
      <c r="N764" s="352">
        <f t="shared" si="135"/>
        <v>0.1</v>
      </c>
      <c r="O764" s="352">
        <f t="shared" si="135"/>
        <v>0.1</v>
      </c>
      <c r="P764" s="352">
        <f t="shared" si="135"/>
        <v>0.1</v>
      </c>
      <c r="Q764" s="352">
        <f t="shared" si="135"/>
        <v>0.1</v>
      </c>
      <c r="R764" s="352">
        <f t="shared" si="135"/>
        <v>0.1</v>
      </c>
      <c r="S764" s="5"/>
      <c r="T764" s="25"/>
      <c r="U764" s="5"/>
    </row>
    <row r="765" spans="1:21" s="3" customFormat="1" hidden="1" outlineLevel="1">
      <c r="A765" s="21"/>
      <c r="B765" s="228" t="s">
        <v>350</v>
      </c>
      <c r="C765" s="273" t="str">
        <f t="shared" si="134"/>
        <v>Standard</v>
      </c>
      <c r="D765" s="228"/>
      <c r="E765" s="355"/>
      <c r="F765" s="228" t="s">
        <v>96</v>
      </c>
      <c r="G765" s="5"/>
      <c r="H765" s="261">
        <v>0.65</v>
      </c>
      <c r="I765" s="352">
        <f t="shared" si="135"/>
        <v>0.65</v>
      </c>
      <c r="J765" s="352">
        <f t="shared" si="135"/>
        <v>0.65</v>
      </c>
      <c r="K765" s="352">
        <f t="shared" si="135"/>
        <v>0.65</v>
      </c>
      <c r="L765" s="352">
        <f t="shared" si="135"/>
        <v>0.65</v>
      </c>
      <c r="M765" s="352">
        <f t="shared" si="135"/>
        <v>0.65</v>
      </c>
      <c r="N765" s="352">
        <f t="shared" si="135"/>
        <v>0.65</v>
      </c>
      <c r="O765" s="352">
        <f t="shared" si="135"/>
        <v>0.65</v>
      </c>
      <c r="P765" s="352">
        <f t="shared" si="135"/>
        <v>0.65</v>
      </c>
      <c r="Q765" s="352">
        <f t="shared" si="135"/>
        <v>0.65</v>
      </c>
      <c r="R765" s="352">
        <f t="shared" si="135"/>
        <v>0.65</v>
      </c>
      <c r="S765" s="5"/>
      <c r="T765" s="25"/>
      <c r="U765" s="5"/>
    </row>
    <row r="766" spans="1:21" s="3" customFormat="1" hidden="1" outlineLevel="1">
      <c r="A766" s="21"/>
      <c r="B766" s="228" t="s">
        <v>349</v>
      </c>
      <c r="C766" s="273" t="str">
        <f t="shared" si="134"/>
        <v>Standard</v>
      </c>
      <c r="D766" s="228"/>
      <c r="E766" s="355"/>
      <c r="F766" s="228" t="s">
        <v>96</v>
      </c>
      <c r="G766" s="5"/>
      <c r="H766" s="261">
        <v>0.3</v>
      </c>
      <c r="I766" s="352">
        <f t="shared" si="135"/>
        <v>0.3</v>
      </c>
      <c r="J766" s="352">
        <f t="shared" si="135"/>
        <v>0.3</v>
      </c>
      <c r="K766" s="352">
        <f t="shared" si="135"/>
        <v>0.3</v>
      </c>
      <c r="L766" s="352">
        <f t="shared" si="135"/>
        <v>0.3</v>
      </c>
      <c r="M766" s="352">
        <f t="shared" si="135"/>
        <v>0.3</v>
      </c>
      <c r="N766" s="352">
        <f t="shared" si="135"/>
        <v>0.3</v>
      </c>
      <c r="O766" s="352">
        <f t="shared" si="135"/>
        <v>0.3</v>
      </c>
      <c r="P766" s="352">
        <f t="shared" si="135"/>
        <v>0.3</v>
      </c>
      <c r="Q766" s="352">
        <f t="shared" si="135"/>
        <v>0.3</v>
      </c>
      <c r="R766" s="352">
        <f t="shared" si="135"/>
        <v>0.3</v>
      </c>
      <c r="S766" s="5"/>
      <c r="T766" s="25"/>
      <c r="U766" s="5"/>
    </row>
    <row r="767" spans="1:21" s="3" customFormat="1" hidden="1" outlineLevel="1">
      <c r="A767" s="21"/>
      <c r="B767" s="228" t="s">
        <v>74</v>
      </c>
      <c r="C767" s="273" t="str">
        <f t="shared" si="134"/>
        <v>Standard</v>
      </c>
      <c r="D767" s="228"/>
      <c r="E767" s="355"/>
      <c r="F767" s="228" t="s">
        <v>96</v>
      </c>
      <c r="G767" s="5"/>
      <c r="H767" s="261">
        <v>0</v>
      </c>
      <c r="I767" s="261"/>
      <c r="J767" s="261"/>
      <c r="K767" s="261"/>
      <c r="L767" s="261"/>
      <c r="M767" s="261"/>
      <c r="N767" s="261"/>
      <c r="O767" s="261"/>
      <c r="P767" s="261"/>
      <c r="Q767" s="261"/>
      <c r="R767" s="261"/>
      <c r="S767" s="5"/>
      <c r="T767" s="25"/>
      <c r="U767" s="5"/>
    </row>
    <row r="768" spans="1:21" s="3" customFormat="1" hidden="1" outlineLevel="1">
      <c r="A768" s="21"/>
      <c r="B768" s="358" t="s">
        <v>146</v>
      </c>
      <c r="C768" s="273" t="str">
        <f t="shared" si="134"/>
        <v>Standard</v>
      </c>
      <c r="D768" s="359"/>
      <c r="E768" s="360"/>
      <c r="F768" s="358" t="s">
        <v>96</v>
      </c>
      <c r="G768" s="5"/>
      <c r="H768" s="261"/>
      <c r="I768" s="261"/>
      <c r="J768" s="261"/>
      <c r="K768" s="261"/>
      <c r="L768" s="261"/>
      <c r="M768" s="261"/>
      <c r="N768" s="261"/>
      <c r="O768" s="261"/>
      <c r="P768" s="261"/>
      <c r="Q768" s="261"/>
      <c r="R768" s="261"/>
      <c r="S768" s="5"/>
      <c r="T768" s="25"/>
      <c r="U768" s="5"/>
    </row>
    <row r="769" spans="1:21" s="3" customFormat="1" hidden="1" outlineLevel="1">
      <c r="A769" s="21"/>
      <c r="B769" s="358" t="s">
        <v>147</v>
      </c>
      <c r="C769" s="273" t="str">
        <f t="shared" si="134"/>
        <v>Standard</v>
      </c>
      <c r="D769" s="359"/>
      <c r="E769" s="360"/>
      <c r="F769" s="358" t="s">
        <v>96</v>
      </c>
      <c r="G769" s="5"/>
      <c r="H769" s="261"/>
      <c r="I769" s="261"/>
      <c r="J769" s="261"/>
      <c r="K769" s="261"/>
      <c r="L769" s="261"/>
      <c r="M769" s="261"/>
      <c r="N769" s="261"/>
      <c r="O769" s="261"/>
      <c r="P769" s="261"/>
      <c r="Q769" s="261"/>
      <c r="R769" s="261"/>
      <c r="S769" s="5"/>
      <c r="T769" s="25"/>
      <c r="U769" s="5"/>
    </row>
    <row r="770" spans="1:21" s="3" customFormat="1" hidden="1" outlineLevel="1">
      <c r="A770" s="21"/>
      <c r="B770" s="358" t="s">
        <v>362</v>
      </c>
      <c r="C770" s="273" t="str">
        <f t="shared" si="134"/>
        <v>Standard</v>
      </c>
      <c r="D770" s="359"/>
      <c r="E770" s="360"/>
      <c r="F770" s="358" t="s">
        <v>96</v>
      </c>
      <c r="G770" s="5"/>
      <c r="H770" s="261"/>
      <c r="I770" s="261"/>
      <c r="J770" s="261"/>
      <c r="K770" s="261"/>
      <c r="L770" s="261"/>
      <c r="M770" s="261"/>
      <c r="N770" s="261"/>
      <c r="O770" s="261"/>
      <c r="P770" s="261"/>
      <c r="Q770" s="261"/>
      <c r="R770" s="261"/>
      <c r="S770" s="5"/>
      <c r="T770" s="25"/>
      <c r="U770" s="5"/>
    </row>
    <row r="771" spans="1:21" s="3" customFormat="1" hidden="1" outlineLevel="1">
      <c r="A771" s="21"/>
      <c r="B771" s="358" t="s">
        <v>363</v>
      </c>
      <c r="C771" s="273" t="str">
        <f t="shared" si="134"/>
        <v>Standard</v>
      </c>
      <c r="D771" s="359"/>
      <c r="E771" s="360"/>
      <c r="F771" s="358" t="s">
        <v>96</v>
      </c>
      <c r="G771" s="5"/>
      <c r="H771" s="261"/>
      <c r="I771" s="261"/>
      <c r="J771" s="261"/>
      <c r="K771" s="261"/>
      <c r="L771" s="261"/>
      <c r="M771" s="261"/>
      <c r="N771" s="261"/>
      <c r="O771" s="261"/>
      <c r="P771" s="261"/>
      <c r="Q771" s="261"/>
      <c r="R771" s="261"/>
      <c r="S771" s="5"/>
      <c r="T771" s="25"/>
      <c r="U771" s="5"/>
    </row>
    <row r="772" spans="1:21" s="3" customFormat="1" hidden="1" outlineLevel="1">
      <c r="A772" s="21"/>
      <c r="B772" s="228" t="s">
        <v>332</v>
      </c>
      <c r="C772" s="273" t="str">
        <f t="shared" si="134"/>
        <v>Standard</v>
      </c>
      <c r="D772" s="228"/>
      <c r="E772" s="355"/>
      <c r="F772" s="228" t="s">
        <v>315</v>
      </c>
      <c r="G772" s="5"/>
      <c r="H772" s="29">
        <v>1</v>
      </c>
      <c r="I772" s="362">
        <f t="shared" ref="I772:R773" si="136">H772</f>
        <v>1</v>
      </c>
      <c r="J772" s="362">
        <f t="shared" si="136"/>
        <v>1</v>
      </c>
      <c r="K772" s="362">
        <f t="shared" si="136"/>
        <v>1</v>
      </c>
      <c r="L772" s="362">
        <f t="shared" si="136"/>
        <v>1</v>
      </c>
      <c r="M772" s="362">
        <f t="shared" si="136"/>
        <v>1</v>
      </c>
      <c r="N772" s="362">
        <f t="shared" si="136"/>
        <v>1</v>
      </c>
      <c r="O772" s="362">
        <f t="shared" si="136"/>
        <v>1</v>
      </c>
      <c r="P772" s="362">
        <f t="shared" si="136"/>
        <v>1</v>
      </c>
      <c r="Q772" s="362">
        <f t="shared" si="136"/>
        <v>1</v>
      </c>
      <c r="R772" s="362">
        <f t="shared" si="136"/>
        <v>1</v>
      </c>
      <c r="S772" s="5"/>
      <c r="T772" s="25"/>
      <c r="U772" s="5"/>
    </row>
    <row r="773" spans="1:21" s="3" customFormat="1" hidden="1" outlineLevel="1">
      <c r="A773" s="21"/>
      <c r="B773" s="228" t="s">
        <v>470</v>
      </c>
      <c r="C773" s="273" t="str">
        <f t="shared" si="134"/>
        <v>Standard</v>
      </c>
      <c r="D773" s="228"/>
      <c r="E773" s="355"/>
      <c r="F773" s="228" t="s">
        <v>316</v>
      </c>
      <c r="G773" s="5"/>
      <c r="H773" s="54">
        <v>670.15</v>
      </c>
      <c r="I773" s="270">
        <f t="shared" si="136"/>
        <v>670.15</v>
      </c>
      <c r="J773" s="270">
        <f t="shared" si="136"/>
        <v>670.15</v>
      </c>
      <c r="K773" s="270">
        <f t="shared" si="136"/>
        <v>670.15</v>
      </c>
      <c r="L773" s="270">
        <f t="shared" si="136"/>
        <v>670.15</v>
      </c>
      <c r="M773" s="270">
        <f t="shared" si="136"/>
        <v>670.15</v>
      </c>
      <c r="N773" s="270">
        <f t="shared" si="136"/>
        <v>670.15</v>
      </c>
      <c r="O773" s="270">
        <f t="shared" si="136"/>
        <v>670.15</v>
      </c>
      <c r="P773" s="270">
        <f t="shared" si="136"/>
        <v>670.15</v>
      </c>
      <c r="Q773" s="270">
        <f t="shared" si="136"/>
        <v>670.15</v>
      </c>
      <c r="R773" s="270">
        <f t="shared" si="136"/>
        <v>670.15</v>
      </c>
      <c r="S773" s="5"/>
      <c r="T773" s="25"/>
      <c r="U773" s="5"/>
    </row>
    <row r="774" spans="1:21" s="3" customFormat="1" hidden="1" outlineLevel="1">
      <c r="A774" s="21"/>
      <c r="B774" s="228" t="s">
        <v>375</v>
      </c>
      <c r="C774" s="273" t="str">
        <f t="shared" si="134"/>
        <v>Standard</v>
      </c>
      <c r="D774" s="228"/>
      <c r="E774" s="355"/>
      <c r="F774" s="228" t="s">
        <v>96</v>
      </c>
      <c r="G774" s="5"/>
      <c r="H774" s="261"/>
      <c r="I774" s="261"/>
      <c r="J774" s="261"/>
      <c r="K774" s="261"/>
      <c r="L774" s="261"/>
      <c r="M774" s="261"/>
      <c r="N774" s="261"/>
      <c r="O774" s="261"/>
      <c r="P774" s="261"/>
      <c r="Q774" s="261"/>
      <c r="R774" s="261"/>
      <c r="S774" s="5"/>
      <c r="T774" s="25"/>
      <c r="U774" s="5"/>
    </row>
    <row r="775" spans="1:21" s="3" customFormat="1" hidden="1" outlineLevel="1">
      <c r="A775" s="21"/>
      <c r="B775" s="228" t="s">
        <v>432</v>
      </c>
      <c r="C775" s="273" t="str">
        <f t="shared" si="134"/>
        <v>Standard</v>
      </c>
      <c r="D775" s="228"/>
      <c r="E775" s="355"/>
      <c r="F775" s="228" t="s">
        <v>315</v>
      </c>
      <c r="G775" s="5"/>
      <c r="H775" s="55"/>
      <c r="I775" s="55"/>
      <c r="J775" s="55"/>
      <c r="K775" s="55"/>
      <c r="L775" s="55"/>
      <c r="M775" s="55"/>
      <c r="N775" s="55"/>
      <c r="O775" s="55"/>
      <c r="P775" s="55"/>
      <c r="Q775" s="55"/>
      <c r="R775" s="55"/>
      <c r="S775" s="5"/>
      <c r="T775" s="25"/>
      <c r="U775" s="5"/>
    </row>
    <row r="776" spans="1:21" s="3" customFormat="1" hidden="1" outlineLevel="1">
      <c r="A776" s="21"/>
      <c r="B776" s="228" t="s">
        <v>379</v>
      </c>
      <c r="C776" s="273" t="str">
        <f t="shared" si="134"/>
        <v>Standard</v>
      </c>
      <c r="D776" s="228"/>
      <c r="E776" s="355"/>
      <c r="F776" s="228"/>
      <c r="G776" s="5"/>
      <c r="H776" s="54"/>
      <c r="I776" s="54"/>
      <c r="J776" s="54"/>
      <c r="K776" s="54"/>
      <c r="L776" s="54"/>
      <c r="M776" s="54"/>
      <c r="N776" s="54"/>
      <c r="O776" s="54"/>
      <c r="P776" s="54"/>
      <c r="Q776" s="54"/>
      <c r="R776" s="54"/>
      <c r="S776" s="5"/>
      <c r="T776" s="25"/>
      <c r="U776" s="5"/>
    </row>
    <row r="777" spans="1:21" s="3" customFormat="1" hidden="1" outlineLevel="1">
      <c r="A777" s="21"/>
      <c r="B777" s="228" t="s">
        <v>361</v>
      </c>
      <c r="C777" s="273" t="str">
        <f t="shared" si="134"/>
        <v>Standard</v>
      </c>
      <c r="D777" s="228"/>
      <c r="E777" s="355"/>
      <c r="F777" s="228" t="s">
        <v>96</v>
      </c>
      <c r="G777" s="5"/>
      <c r="H777" s="261"/>
      <c r="I777" s="261"/>
      <c r="J777" s="261"/>
      <c r="K777" s="261"/>
      <c r="L777" s="261"/>
      <c r="M777" s="261"/>
      <c r="N777" s="261"/>
      <c r="O777" s="261"/>
      <c r="P777" s="261"/>
      <c r="Q777" s="261"/>
      <c r="R777" s="261"/>
      <c r="S777" s="5"/>
      <c r="T777" s="25"/>
      <c r="U777" s="5"/>
    </row>
    <row r="778" spans="1:21" s="3" customFormat="1" hidden="1" outlineLevel="1">
      <c r="A778" s="21"/>
      <c r="B778" s="228" t="s">
        <v>384</v>
      </c>
      <c r="C778" s="273" t="str">
        <f t="shared" si="134"/>
        <v>Standard</v>
      </c>
      <c r="D778" s="228"/>
      <c r="E778" s="355"/>
      <c r="F778" s="228" t="s">
        <v>316</v>
      </c>
      <c r="G778" s="5"/>
      <c r="H778" s="54"/>
      <c r="I778" s="270"/>
      <c r="J778" s="270"/>
      <c r="K778" s="270"/>
      <c r="L778" s="270"/>
      <c r="M778" s="270"/>
      <c r="N778" s="270"/>
      <c r="O778" s="270"/>
      <c r="P778" s="270"/>
      <c r="Q778" s="270"/>
      <c r="R778" s="270"/>
      <c r="S778" s="5"/>
      <c r="T778" s="25"/>
      <c r="U778" s="5"/>
    </row>
    <row r="779" spans="1:21" s="3" customFormat="1" hidden="1" outlineLevel="1">
      <c r="A779" s="21"/>
      <c r="B779" s="228" t="s">
        <v>386</v>
      </c>
      <c r="C779" s="273" t="str">
        <f t="shared" si="134"/>
        <v>Standard</v>
      </c>
      <c r="D779" s="228"/>
      <c r="E779" s="355"/>
      <c r="F779" s="228" t="s">
        <v>316</v>
      </c>
      <c r="G779" s="5"/>
      <c r="H779" s="55"/>
      <c r="I779" s="55"/>
      <c r="J779" s="55"/>
      <c r="K779" s="55"/>
      <c r="L779" s="55"/>
      <c r="M779" s="55"/>
      <c r="N779" s="55"/>
      <c r="O779" s="55"/>
      <c r="P779" s="55"/>
      <c r="Q779" s="55"/>
      <c r="R779" s="55"/>
      <c r="S779" s="5"/>
      <c r="T779" s="25"/>
      <c r="U779" s="5"/>
    </row>
    <row r="780" spans="1:21" s="3" customFormat="1" hidden="1" outlineLevel="1">
      <c r="A780" s="21"/>
      <c r="B780" s="228" t="s">
        <v>387</v>
      </c>
      <c r="C780" s="273" t="str">
        <f t="shared" si="134"/>
        <v>Standard</v>
      </c>
      <c r="D780" s="228"/>
      <c r="E780" s="355"/>
      <c r="F780" s="228"/>
      <c r="G780" s="5"/>
      <c r="H780" s="261"/>
      <c r="I780" s="261"/>
      <c r="J780" s="261"/>
      <c r="K780" s="261"/>
      <c r="L780" s="261"/>
      <c r="M780" s="261"/>
      <c r="N780" s="261"/>
      <c r="O780" s="261"/>
      <c r="P780" s="261"/>
      <c r="Q780" s="261"/>
      <c r="R780" s="261"/>
      <c r="S780" s="5"/>
      <c r="T780" s="25"/>
      <c r="U780" s="5"/>
    </row>
    <row r="781" spans="1:21" s="3" customFormat="1" hidden="1" outlineLevel="1">
      <c r="A781" s="21"/>
      <c r="B781" s="228" t="s">
        <v>388</v>
      </c>
      <c r="C781" s="273" t="str">
        <f t="shared" si="134"/>
        <v>Standard</v>
      </c>
      <c r="D781" s="228"/>
      <c r="E781" s="355"/>
      <c r="F781" s="228"/>
      <c r="G781" s="5"/>
      <c r="H781" s="55"/>
      <c r="I781" s="55"/>
      <c r="J781" s="55"/>
      <c r="K781" s="55"/>
      <c r="L781" s="55"/>
      <c r="M781" s="55"/>
      <c r="N781" s="55"/>
      <c r="O781" s="55"/>
      <c r="P781" s="55"/>
      <c r="Q781" s="55"/>
      <c r="R781" s="55"/>
      <c r="S781" s="5"/>
      <c r="T781" s="25"/>
      <c r="U781" s="5"/>
    </row>
    <row r="782" spans="1:21" s="3" customFormat="1" hidden="1" outlineLevel="1">
      <c r="A782" s="21"/>
      <c r="B782" s="228" t="s">
        <v>385</v>
      </c>
      <c r="C782" s="273" t="str">
        <f t="shared" si="134"/>
        <v>Standard</v>
      </c>
      <c r="D782" s="228"/>
      <c r="E782" s="355"/>
      <c r="F782" s="228" t="s">
        <v>402</v>
      </c>
      <c r="G782" s="5"/>
      <c r="H782" s="54"/>
      <c r="I782" s="54"/>
      <c r="J782" s="54"/>
      <c r="K782" s="54"/>
      <c r="L782" s="54"/>
      <c r="M782" s="54"/>
      <c r="N782" s="54"/>
      <c r="O782" s="54"/>
      <c r="P782" s="54"/>
      <c r="Q782" s="54"/>
      <c r="R782" s="54"/>
      <c r="S782" s="5"/>
      <c r="T782" s="25"/>
      <c r="U782" s="5"/>
    </row>
    <row r="783" spans="1:21" s="3" customFormat="1" hidden="1" outlineLevel="1">
      <c r="A783" s="21"/>
      <c r="B783" s="228" t="s">
        <v>389</v>
      </c>
      <c r="C783" s="273" t="str">
        <f t="shared" si="134"/>
        <v>Standard</v>
      </c>
      <c r="D783" s="228"/>
      <c r="E783" s="355"/>
      <c r="F783" s="228" t="s">
        <v>402</v>
      </c>
      <c r="G783" s="5"/>
      <c r="H783" s="55"/>
      <c r="I783" s="55"/>
      <c r="J783" s="55"/>
      <c r="K783" s="55"/>
      <c r="L783" s="55"/>
      <c r="M783" s="55"/>
      <c r="N783" s="55"/>
      <c r="O783" s="55"/>
      <c r="P783" s="55"/>
      <c r="Q783" s="55"/>
      <c r="R783" s="55"/>
      <c r="S783" s="5"/>
      <c r="T783" s="25"/>
      <c r="U783" s="5"/>
    </row>
    <row r="784" spans="1:21" s="3" customFormat="1" hidden="1" outlineLevel="1">
      <c r="A784" s="21"/>
      <c r="B784" s="228" t="s">
        <v>390</v>
      </c>
      <c r="C784" s="273" t="str">
        <f t="shared" si="134"/>
        <v>Standard</v>
      </c>
      <c r="D784" s="228"/>
      <c r="E784" s="355"/>
      <c r="F784" s="228"/>
      <c r="G784" s="5"/>
      <c r="H784" s="261"/>
      <c r="I784" s="261"/>
      <c r="J784" s="261"/>
      <c r="K784" s="261"/>
      <c r="L784" s="261"/>
      <c r="M784" s="261"/>
      <c r="N784" s="261"/>
      <c r="O784" s="261"/>
      <c r="P784" s="261"/>
      <c r="Q784" s="261"/>
      <c r="R784" s="261"/>
      <c r="S784" s="5"/>
      <c r="T784" s="25"/>
      <c r="U784" s="5"/>
    </row>
    <row r="785" spans="1:21" s="3" customFormat="1" hidden="1" outlineLevel="1">
      <c r="A785" s="21"/>
      <c r="B785" s="228" t="s">
        <v>391</v>
      </c>
      <c r="C785" s="273" t="str">
        <f t="shared" si="134"/>
        <v>Standard</v>
      </c>
      <c r="D785" s="228"/>
      <c r="E785" s="355"/>
      <c r="F785" s="228"/>
      <c r="G785" s="5"/>
      <c r="H785" s="55"/>
      <c r="I785" s="55"/>
      <c r="J785" s="55"/>
      <c r="K785" s="55"/>
      <c r="L785" s="55"/>
      <c r="M785" s="55"/>
      <c r="N785" s="55"/>
      <c r="O785" s="55"/>
      <c r="P785" s="55"/>
      <c r="Q785" s="55"/>
      <c r="R785" s="55"/>
      <c r="S785" s="5"/>
      <c r="T785" s="25"/>
      <c r="U785" s="5"/>
    </row>
    <row r="786" spans="1:21" s="3" customFormat="1" hidden="1" outlineLevel="1">
      <c r="A786" s="21"/>
      <c r="B786" s="228" t="s">
        <v>305</v>
      </c>
      <c r="C786" s="273" t="str">
        <f t="shared" si="134"/>
        <v>Standard</v>
      </c>
      <c r="D786" s="228"/>
      <c r="E786" s="355"/>
      <c r="F786" s="228" t="s">
        <v>402</v>
      </c>
      <c r="G786" s="5"/>
      <c r="H786" s="54">
        <v>10</v>
      </c>
      <c r="I786" s="270">
        <f t="shared" ref="I786:R786" si="137">H786</f>
        <v>10</v>
      </c>
      <c r="J786" s="270">
        <f t="shared" si="137"/>
        <v>10</v>
      </c>
      <c r="K786" s="270">
        <f t="shared" si="137"/>
        <v>10</v>
      </c>
      <c r="L786" s="270">
        <f t="shared" si="137"/>
        <v>10</v>
      </c>
      <c r="M786" s="270">
        <f t="shared" si="137"/>
        <v>10</v>
      </c>
      <c r="N786" s="270">
        <f t="shared" si="137"/>
        <v>10</v>
      </c>
      <c r="O786" s="270">
        <f t="shared" si="137"/>
        <v>10</v>
      </c>
      <c r="P786" s="270">
        <f t="shared" si="137"/>
        <v>10</v>
      </c>
      <c r="Q786" s="270">
        <f t="shared" si="137"/>
        <v>10</v>
      </c>
      <c r="R786" s="270">
        <f t="shared" si="137"/>
        <v>10</v>
      </c>
      <c r="S786" s="5"/>
      <c r="T786" s="25"/>
      <c r="U786" s="5"/>
    </row>
    <row r="787" spans="1:21" s="3" customFormat="1" hidden="1" outlineLevel="1">
      <c r="A787" s="21"/>
      <c r="B787" s="228" t="s">
        <v>352</v>
      </c>
      <c r="C787" s="273" t="str">
        <f t="shared" si="134"/>
        <v>Standard</v>
      </c>
      <c r="D787" s="228"/>
      <c r="E787" s="355"/>
      <c r="F787" s="228" t="s">
        <v>316</v>
      </c>
      <c r="G787" s="5"/>
      <c r="H787" s="54"/>
      <c r="I787" s="54"/>
      <c r="J787" s="54"/>
      <c r="K787" s="54"/>
      <c r="L787" s="54"/>
      <c r="M787" s="54"/>
      <c r="N787" s="54"/>
      <c r="O787" s="54"/>
      <c r="P787" s="54"/>
      <c r="Q787" s="54"/>
      <c r="R787" s="54"/>
      <c r="S787" s="5"/>
      <c r="T787" s="25"/>
      <c r="U787" s="5"/>
    </row>
    <row r="788" spans="1:21" s="3" customFormat="1" hidden="1" outlineLevel="1">
      <c r="A788" s="21"/>
      <c r="B788" s="3" t="s">
        <v>301</v>
      </c>
      <c r="C788" s="273" t="str">
        <f t="shared" si="134"/>
        <v>Standard</v>
      </c>
      <c r="D788" s="273" t="s">
        <v>454</v>
      </c>
      <c r="E788" s="347"/>
      <c r="F788" s="67" t="s">
        <v>480</v>
      </c>
      <c r="G788" s="5"/>
      <c r="H788" s="350">
        <v>0.251</v>
      </c>
      <c r="I788" s="363">
        <f t="shared" ref="I788:R789" si="138">H788</f>
        <v>0.251</v>
      </c>
      <c r="J788" s="363">
        <f t="shared" si="138"/>
        <v>0.251</v>
      </c>
      <c r="K788" s="363">
        <f t="shared" si="138"/>
        <v>0.251</v>
      </c>
      <c r="L788" s="363">
        <f t="shared" si="138"/>
        <v>0.251</v>
      </c>
      <c r="M788" s="363">
        <f t="shared" si="138"/>
        <v>0.251</v>
      </c>
      <c r="N788" s="363">
        <f t="shared" si="138"/>
        <v>0.251</v>
      </c>
      <c r="O788" s="363">
        <f t="shared" si="138"/>
        <v>0.251</v>
      </c>
      <c r="P788" s="363">
        <f t="shared" si="138"/>
        <v>0.251</v>
      </c>
      <c r="Q788" s="363">
        <f t="shared" si="138"/>
        <v>0.251</v>
      </c>
      <c r="R788" s="363">
        <f t="shared" si="138"/>
        <v>0.251</v>
      </c>
      <c r="S788" s="5"/>
      <c r="T788" s="13"/>
      <c r="U788" s="5"/>
    </row>
    <row r="789" spans="1:21" s="3" customFormat="1" hidden="1" outlineLevel="1">
      <c r="A789" s="21"/>
      <c r="B789" s="3" t="s">
        <v>301</v>
      </c>
      <c r="C789" s="273" t="str">
        <f>C788</f>
        <v>Standard</v>
      </c>
      <c r="D789" s="273" t="s">
        <v>475</v>
      </c>
      <c r="E789" s="347"/>
      <c r="F789" s="67" t="s">
        <v>480</v>
      </c>
      <c r="G789" s="5"/>
      <c r="H789" s="350">
        <v>5.2930000000000001</v>
      </c>
      <c r="I789" s="363">
        <f t="shared" si="138"/>
        <v>5.2930000000000001</v>
      </c>
      <c r="J789" s="363">
        <f t="shared" si="138"/>
        <v>5.2930000000000001</v>
      </c>
      <c r="K789" s="363">
        <f t="shared" si="138"/>
        <v>5.2930000000000001</v>
      </c>
      <c r="L789" s="363">
        <f t="shared" si="138"/>
        <v>5.2930000000000001</v>
      </c>
      <c r="M789" s="363">
        <f t="shared" si="138"/>
        <v>5.2930000000000001</v>
      </c>
      <c r="N789" s="363">
        <f t="shared" si="138"/>
        <v>5.2930000000000001</v>
      </c>
      <c r="O789" s="363">
        <f t="shared" si="138"/>
        <v>5.2930000000000001</v>
      </c>
      <c r="P789" s="363">
        <f t="shared" si="138"/>
        <v>5.2930000000000001</v>
      </c>
      <c r="Q789" s="363">
        <f t="shared" si="138"/>
        <v>5.2930000000000001</v>
      </c>
      <c r="R789" s="363">
        <f t="shared" si="138"/>
        <v>5.2930000000000001</v>
      </c>
      <c r="S789" s="5"/>
      <c r="T789" s="13"/>
      <c r="U789" s="5"/>
    </row>
    <row r="790" spans="1:21" s="3" customFormat="1" hidden="1" outlineLevel="1">
      <c r="A790" s="21"/>
      <c r="B790" s="67" t="s">
        <v>50</v>
      </c>
      <c r="C790" s="273" t="s">
        <v>200</v>
      </c>
      <c r="D790" s="4"/>
      <c r="E790" s="347"/>
      <c r="G790" s="5"/>
      <c r="H790" s="4"/>
      <c r="I790" s="4"/>
      <c r="J790" s="4"/>
      <c r="K790" s="4"/>
      <c r="L790" s="4"/>
      <c r="M790" s="4"/>
      <c r="N790" s="4"/>
      <c r="O790" s="4"/>
      <c r="P790" s="4"/>
      <c r="Q790" s="4"/>
      <c r="R790" s="4"/>
      <c r="S790" s="5"/>
      <c r="T790" s="13"/>
      <c r="U790" s="5"/>
    </row>
    <row r="791" spans="1:21" s="3" customFormat="1" hidden="1" outlineLevel="1">
      <c r="A791" s="21"/>
      <c r="B791" s="228" t="s">
        <v>37</v>
      </c>
      <c r="C791" s="273" t="str">
        <f>C790</f>
        <v>Steam</v>
      </c>
      <c r="D791" s="228"/>
      <c r="E791" s="355"/>
      <c r="F791" s="228" t="s">
        <v>39</v>
      </c>
      <c r="G791" s="5"/>
      <c r="H791" s="265">
        <v>2000</v>
      </c>
      <c r="I791" s="356">
        <f t="shared" ref="I791:R793" si="139">H791</f>
        <v>2000</v>
      </c>
      <c r="J791" s="356">
        <f t="shared" si="139"/>
        <v>2000</v>
      </c>
      <c r="K791" s="356">
        <f t="shared" si="139"/>
        <v>2000</v>
      </c>
      <c r="L791" s="356">
        <f t="shared" si="139"/>
        <v>2000</v>
      </c>
      <c r="M791" s="356">
        <f t="shared" si="139"/>
        <v>2000</v>
      </c>
      <c r="N791" s="356">
        <f t="shared" si="139"/>
        <v>2000</v>
      </c>
      <c r="O791" s="356">
        <f t="shared" si="139"/>
        <v>2000</v>
      </c>
      <c r="P791" s="356">
        <f t="shared" si="139"/>
        <v>2000</v>
      </c>
      <c r="Q791" s="356">
        <f t="shared" si="139"/>
        <v>2000</v>
      </c>
      <c r="R791" s="356">
        <f t="shared" si="139"/>
        <v>2000</v>
      </c>
      <c r="S791" s="5"/>
      <c r="T791" s="25"/>
      <c r="U791" s="5"/>
    </row>
    <row r="792" spans="1:21" s="3" customFormat="1" hidden="1" outlineLevel="1">
      <c r="A792" s="21"/>
      <c r="B792" s="228" t="s">
        <v>36</v>
      </c>
      <c r="C792" s="273" t="str">
        <f t="shared" ref="C792:C819" si="140">C791</f>
        <v>Steam</v>
      </c>
      <c r="D792" s="228"/>
      <c r="E792" s="355"/>
      <c r="F792" s="228" t="s">
        <v>39</v>
      </c>
      <c r="G792" s="5"/>
      <c r="H792" s="265">
        <v>2100</v>
      </c>
      <c r="I792" s="356">
        <f t="shared" si="139"/>
        <v>2100</v>
      </c>
      <c r="J792" s="356">
        <f t="shared" si="139"/>
        <v>2100</v>
      </c>
      <c r="K792" s="356">
        <f t="shared" si="139"/>
        <v>2100</v>
      </c>
      <c r="L792" s="356">
        <f t="shared" si="139"/>
        <v>2100</v>
      </c>
      <c r="M792" s="356">
        <f t="shared" si="139"/>
        <v>2100</v>
      </c>
      <c r="N792" s="356">
        <f t="shared" si="139"/>
        <v>2100</v>
      </c>
      <c r="O792" s="356">
        <f t="shared" si="139"/>
        <v>2100</v>
      </c>
      <c r="P792" s="356">
        <f t="shared" si="139"/>
        <v>2100</v>
      </c>
      <c r="Q792" s="356">
        <f t="shared" si="139"/>
        <v>2100</v>
      </c>
      <c r="R792" s="356">
        <f t="shared" si="139"/>
        <v>2100</v>
      </c>
      <c r="S792" s="5"/>
      <c r="T792" s="25"/>
      <c r="U792" s="5"/>
    </row>
    <row r="793" spans="1:21" s="3" customFormat="1" hidden="1" outlineLevel="1">
      <c r="A793" s="21"/>
      <c r="B793" s="228" t="s">
        <v>38</v>
      </c>
      <c r="C793" s="273" t="str">
        <f t="shared" si="140"/>
        <v>Steam</v>
      </c>
      <c r="D793" s="228"/>
      <c r="E793" s="355"/>
      <c r="F793" s="228" t="s">
        <v>10</v>
      </c>
      <c r="G793" s="5"/>
      <c r="H793" s="55">
        <v>14</v>
      </c>
      <c r="I793" s="253">
        <f t="shared" si="139"/>
        <v>14</v>
      </c>
      <c r="J793" s="253">
        <f t="shared" si="139"/>
        <v>14</v>
      </c>
      <c r="K793" s="253">
        <f t="shared" si="139"/>
        <v>14</v>
      </c>
      <c r="L793" s="253">
        <f t="shared" si="139"/>
        <v>14</v>
      </c>
      <c r="M793" s="253">
        <f t="shared" si="139"/>
        <v>14</v>
      </c>
      <c r="N793" s="253">
        <f t="shared" si="139"/>
        <v>14</v>
      </c>
      <c r="O793" s="253">
        <f t="shared" si="139"/>
        <v>14</v>
      </c>
      <c r="P793" s="253">
        <f t="shared" si="139"/>
        <v>14</v>
      </c>
      <c r="Q793" s="253">
        <f t="shared" si="139"/>
        <v>14</v>
      </c>
      <c r="R793" s="253">
        <f t="shared" si="139"/>
        <v>14</v>
      </c>
      <c r="S793" s="5"/>
      <c r="T793" s="25"/>
      <c r="U793" s="5"/>
    </row>
    <row r="794" spans="1:21" s="3" customFormat="1" hidden="1" outlineLevel="1">
      <c r="A794" s="21"/>
      <c r="B794" s="228" t="s">
        <v>353</v>
      </c>
      <c r="C794" s="273" t="str">
        <f t="shared" si="140"/>
        <v>Steam</v>
      </c>
      <c r="D794" s="228"/>
      <c r="E794" s="355"/>
      <c r="F794" s="228" t="s">
        <v>10</v>
      </c>
      <c r="G794" s="5"/>
      <c r="H794" s="55"/>
      <c r="I794" s="55"/>
      <c r="J794" s="55"/>
      <c r="K794" s="55"/>
      <c r="L794" s="55"/>
      <c r="M794" s="55"/>
      <c r="N794" s="55"/>
      <c r="O794" s="55"/>
      <c r="P794" s="55"/>
      <c r="Q794" s="55"/>
      <c r="R794" s="55"/>
      <c r="S794" s="5"/>
      <c r="T794" s="25"/>
      <c r="U794" s="5"/>
    </row>
    <row r="795" spans="1:21" s="3" customFormat="1" hidden="1" outlineLevel="1">
      <c r="A795" s="21"/>
      <c r="B795" s="228" t="s">
        <v>304</v>
      </c>
      <c r="C795" s="273" t="str">
        <f t="shared" si="140"/>
        <v>Steam</v>
      </c>
      <c r="D795" s="228"/>
      <c r="E795" s="355"/>
      <c r="F795" s="228" t="s">
        <v>96</v>
      </c>
      <c r="G795" s="5"/>
      <c r="H795" s="261">
        <v>0.1</v>
      </c>
      <c r="I795" s="352">
        <f t="shared" ref="I795:R797" si="141">H795</f>
        <v>0.1</v>
      </c>
      <c r="J795" s="352">
        <f t="shared" si="141"/>
        <v>0.1</v>
      </c>
      <c r="K795" s="352">
        <f t="shared" si="141"/>
        <v>0.1</v>
      </c>
      <c r="L795" s="352">
        <f t="shared" si="141"/>
        <v>0.1</v>
      </c>
      <c r="M795" s="352">
        <f t="shared" si="141"/>
        <v>0.1</v>
      </c>
      <c r="N795" s="352">
        <f t="shared" si="141"/>
        <v>0.1</v>
      </c>
      <c r="O795" s="352">
        <f t="shared" si="141"/>
        <v>0.1</v>
      </c>
      <c r="P795" s="352">
        <f t="shared" si="141"/>
        <v>0.1</v>
      </c>
      <c r="Q795" s="352">
        <f t="shared" si="141"/>
        <v>0.1</v>
      </c>
      <c r="R795" s="352">
        <f t="shared" si="141"/>
        <v>0.1</v>
      </c>
      <c r="S795" s="5"/>
      <c r="T795" s="25"/>
      <c r="U795" s="5"/>
    </row>
    <row r="796" spans="1:21" s="3" customFormat="1" hidden="1" outlineLevel="1">
      <c r="A796" s="21"/>
      <c r="B796" s="228" t="s">
        <v>350</v>
      </c>
      <c r="C796" s="273" t="str">
        <f t="shared" si="140"/>
        <v>Steam</v>
      </c>
      <c r="D796" s="228"/>
      <c r="E796" s="355"/>
      <c r="F796" s="228" t="s">
        <v>96</v>
      </c>
      <c r="G796" s="5"/>
      <c r="H796" s="261">
        <v>0.65</v>
      </c>
      <c r="I796" s="352">
        <f t="shared" si="141"/>
        <v>0.65</v>
      </c>
      <c r="J796" s="352">
        <f t="shared" si="141"/>
        <v>0.65</v>
      </c>
      <c r="K796" s="352">
        <f t="shared" si="141"/>
        <v>0.65</v>
      </c>
      <c r="L796" s="352">
        <f t="shared" si="141"/>
        <v>0.65</v>
      </c>
      <c r="M796" s="352">
        <f t="shared" si="141"/>
        <v>0.65</v>
      </c>
      <c r="N796" s="352">
        <f t="shared" si="141"/>
        <v>0.65</v>
      </c>
      <c r="O796" s="352">
        <f t="shared" si="141"/>
        <v>0.65</v>
      </c>
      <c r="P796" s="352">
        <f t="shared" si="141"/>
        <v>0.65</v>
      </c>
      <c r="Q796" s="352">
        <f t="shared" si="141"/>
        <v>0.65</v>
      </c>
      <c r="R796" s="352">
        <f t="shared" si="141"/>
        <v>0.65</v>
      </c>
      <c r="S796" s="5"/>
      <c r="T796" s="25"/>
      <c r="U796" s="5"/>
    </row>
    <row r="797" spans="1:21" s="3" customFormat="1" hidden="1" outlineLevel="1">
      <c r="A797" s="21"/>
      <c r="B797" s="228" t="s">
        <v>349</v>
      </c>
      <c r="C797" s="273" t="str">
        <f t="shared" si="140"/>
        <v>Steam</v>
      </c>
      <c r="D797" s="228"/>
      <c r="E797" s="355"/>
      <c r="F797" s="228" t="s">
        <v>96</v>
      </c>
      <c r="G797" s="5"/>
      <c r="H797" s="261">
        <v>0.3</v>
      </c>
      <c r="I797" s="352">
        <f t="shared" si="141"/>
        <v>0.3</v>
      </c>
      <c r="J797" s="352">
        <f t="shared" si="141"/>
        <v>0.3</v>
      </c>
      <c r="K797" s="352">
        <f t="shared" si="141"/>
        <v>0.3</v>
      </c>
      <c r="L797" s="352">
        <f t="shared" si="141"/>
        <v>0.3</v>
      </c>
      <c r="M797" s="352">
        <f t="shared" si="141"/>
        <v>0.3</v>
      </c>
      <c r="N797" s="352">
        <f t="shared" si="141"/>
        <v>0.3</v>
      </c>
      <c r="O797" s="352">
        <f t="shared" si="141"/>
        <v>0.3</v>
      </c>
      <c r="P797" s="352">
        <f t="shared" si="141"/>
        <v>0.3</v>
      </c>
      <c r="Q797" s="352">
        <f t="shared" si="141"/>
        <v>0.3</v>
      </c>
      <c r="R797" s="352">
        <f t="shared" si="141"/>
        <v>0.3</v>
      </c>
      <c r="S797" s="5"/>
      <c r="T797" s="25"/>
      <c r="U797" s="5"/>
    </row>
    <row r="798" spans="1:21" s="3" customFormat="1" hidden="1" outlineLevel="1">
      <c r="A798" s="21"/>
      <c r="B798" s="228" t="s">
        <v>74</v>
      </c>
      <c r="C798" s="273" t="str">
        <f t="shared" si="140"/>
        <v>Steam</v>
      </c>
      <c r="D798" s="228"/>
      <c r="E798" s="355"/>
      <c r="F798" s="228" t="s">
        <v>96</v>
      </c>
      <c r="G798" s="5"/>
      <c r="H798" s="261">
        <v>0</v>
      </c>
      <c r="I798" s="261"/>
      <c r="J798" s="261"/>
      <c r="K798" s="261"/>
      <c r="L798" s="261"/>
      <c r="M798" s="261"/>
      <c r="N798" s="261"/>
      <c r="O798" s="261"/>
      <c r="P798" s="261"/>
      <c r="Q798" s="261"/>
      <c r="R798" s="261"/>
      <c r="S798" s="5"/>
      <c r="T798" s="25"/>
      <c r="U798" s="5"/>
    </row>
    <row r="799" spans="1:21" s="3" customFormat="1" hidden="1" outlineLevel="1">
      <c r="A799" s="21"/>
      <c r="B799" s="358" t="s">
        <v>146</v>
      </c>
      <c r="C799" s="273" t="str">
        <f t="shared" si="140"/>
        <v>Steam</v>
      </c>
      <c r="D799" s="359"/>
      <c r="E799" s="360"/>
      <c r="F799" s="358" t="s">
        <v>96</v>
      </c>
      <c r="G799" s="5"/>
      <c r="H799" s="261"/>
      <c r="I799" s="261"/>
      <c r="J799" s="261"/>
      <c r="K799" s="261"/>
      <c r="L799" s="261"/>
      <c r="M799" s="261"/>
      <c r="N799" s="261"/>
      <c r="O799" s="261"/>
      <c r="P799" s="261"/>
      <c r="Q799" s="261"/>
      <c r="R799" s="261"/>
      <c r="S799" s="5"/>
      <c r="T799" s="25"/>
      <c r="U799" s="5"/>
    </row>
    <row r="800" spans="1:21" s="3" customFormat="1" hidden="1" outlineLevel="1">
      <c r="A800" s="21"/>
      <c r="B800" s="358" t="s">
        <v>147</v>
      </c>
      <c r="C800" s="273" t="str">
        <f t="shared" si="140"/>
        <v>Steam</v>
      </c>
      <c r="D800" s="359"/>
      <c r="E800" s="360"/>
      <c r="F800" s="358" t="s">
        <v>96</v>
      </c>
      <c r="G800" s="5"/>
      <c r="H800" s="261"/>
      <c r="I800" s="261"/>
      <c r="J800" s="261"/>
      <c r="K800" s="261"/>
      <c r="L800" s="261"/>
      <c r="M800" s="261"/>
      <c r="N800" s="261"/>
      <c r="O800" s="261"/>
      <c r="P800" s="261"/>
      <c r="Q800" s="261"/>
      <c r="R800" s="261"/>
      <c r="S800" s="5"/>
      <c r="T800" s="25"/>
      <c r="U800" s="5"/>
    </row>
    <row r="801" spans="1:21" s="3" customFormat="1" hidden="1" outlineLevel="1">
      <c r="A801" s="21"/>
      <c r="B801" s="358" t="s">
        <v>362</v>
      </c>
      <c r="C801" s="273" t="str">
        <f t="shared" si="140"/>
        <v>Steam</v>
      </c>
      <c r="D801" s="359"/>
      <c r="E801" s="360"/>
      <c r="F801" s="358" t="s">
        <v>96</v>
      </c>
      <c r="G801" s="5"/>
      <c r="H801" s="261"/>
      <c r="I801" s="261"/>
      <c r="J801" s="261"/>
      <c r="K801" s="261"/>
      <c r="L801" s="261"/>
      <c r="M801" s="261"/>
      <c r="N801" s="261"/>
      <c r="O801" s="261"/>
      <c r="P801" s="261"/>
      <c r="Q801" s="261"/>
      <c r="R801" s="261"/>
      <c r="S801" s="5"/>
      <c r="T801" s="25"/>
      <c r="U801" s="5"/>
    </row>
    <row r="802" spans="1:21" s="3" customFormat="1" hidden="1" outlineLevel="1">
      <c r="A802" s="21"/>
      <c r="B802" s="358" t="s">
        <v>363</v>
      </c>
      <c r="C802" s="273" t="str">
        <f t="shared" si="140"/>
        <v>Steam</v>
      </c>
      <c r="D802" s="359"/>
      <c r="E802" s="360"/>
      <c r="F802" s="358" t="s">
        <v>96</v>
      </c>
      <c r="G802" s="5"/>
      <c r="H802" s="261"/>
      <c r="I802" s="261"/>
      <c r="J802" s="261"/>
      <c r="K802" s="261"/>
      <c r="L802" s="261"/>
      <c r="M802" s="261"/>
      <c r="N802" s="261"/>
      <c r="O802" s="261"/>
      <c r="P802" s="261"/>
      <c r="Q802" s="261"/>
      <c r="R802" s="261"/>
      <c r="S802" s="5"/>
      <c r="T802" s="25"/>
      <c r="U802" s="5"/>
    </row>
    <row r="803" spans="1:21" s="3" customFormat="1" hidden="1" outlineLevel="1">
      <c r="A803" s="21"/>
      <c r="B803" s="228" t="s">
        <v>332</v>
      </c>
      <c r="C803" s="273" t="str">
        <f t="shared" si="140"/>
        <v>Steam</v>
      </c>
      <c r="D803" s="228"/>
      <c r="E803" s="355"/>
      <c r="F803" s="228" t="s">
        <v>315</v>
      </c>
      <c r="G803" s="5"/>
      <c r="H803" s="29">
        <v>1</v>
      </c>
      <c r="I803" s="362">
        <f t="shared" ref="I803:R808" si="142">H803</f>
        <v>1</v>
      </c>
      <c r="J803" s="362">
        <f t="shared" si="142"/>
        <v>1</v>
      </c>
      <c r="K803" s="362">
        <f t="shared" si="142"/>
        <v>1</v>
      </c>
      <c r="L803" s="362">
        <f t="shared" si="142"/>
        <v>1</v>
      </c>
      <c r="M803" s="362">
        <f t="shared" si="142"/>
        <v>1</v>
      </c>
      <c r="N803" s="362">
        <f t="shared" si="142"/>
        <v>1</v>
      </c>
      <c r="O803" s="362">
        <f t="shared" si="142"/>
        <v>1</v>
      </c>
      <c r="P803" s="362">
        <f t="shared" si="142"/>
        <v>1</v>
      </c>
      <c r="Q803" s="362">
        <f t="shared" si="142"/>
        <v>1</v>
      </c>
      <c r="R803" s="362">
        <f t="shared" si="142"/>
        <v>1</v>
      </c>
      <c r="S803" s="5"/>
      <c r="T803" s="25"/>
      <c r="U803" s="5"/>
    </row>
    <row r="804" spans="1:21" s="3" customFormat="1" hidden="1" outlineLevel="1">
      <c r="A804" s="21"/>
      <c r="B804" s="228" t="s">
        <v>470</v>
      </c>
      <c r="C804" s="273" t="str">
        <f t="shared" si="140"/>
        <v>Steam</v>
      </c>
      <c r="D804" s="228"/>
      <c r="E804" s="355"/>
      <c r="F804" s="228" t="s">
        <v>316</v>
      </c>
      <c r="G804" s="5"/>
      <c r="H804" s="54">
        <v>2443.3780000000002</v>
      </c>
      <c r="I804" s="270">
        <f t="shared" si="142"/>
        <v>2443.3780000000002</v>
      </c>
      <c r="J804" s="270">
        <f t="shared" si="142"/>
        <v>2443.3780000000002</v>
      </c>
      <c r="K804" s="270">
        <f t="shared" si="142"/>
        <v>2443.3780000000002</v>
      </c>
      <c r="L804" s="270">
        <f t="shared" si="142"/>
        <v>2443.3780000000002</v>
      </c>
      <c r="M804" s="270">
        <f t="shared" si="142"/>
        <v>2443.3780000000002</v>
      </c>
      <c r="N804" s="270">
        <f t="shared" si="142"/>
        <v>2443.3780000000002</v>
      </c>
      <c r="O804" s="270">
        <f t="shared" si="142"/>
        <v>2443.3780000000002</v>
      </c>
      <c r="P804" s="270">
        <f t="shared" si="142"/>
        <v>2443.3780000000002</v>
      </c>
      <c r="Q804" s="270">
        <f t="shared" si="142"/>
        <v>2443.3780000000002</v>
      </c>
      <c r="R804" s="270">
        <f t="shared" si="142"/>
        <v>2443.3780000000002</v>
      </c>
      <c r="S804" s="5"/>
      <c r="T804" s="25"/>
      <c r="U804" s="5"/>
    </row>
    <row r="805" spans="1:21" s="3" customFormat="1" hidden="1" outlineLevel="1">
      <c r="A805" s="21"/>
      <c r="B805" s="228" t="s">
        <v>375</v>
      </c>
      <c r="C805" s="273" t="str">
        <f t="shared" si="140"/>
        <v>Steam</v>
      </c>
      <c r="D805" s="228"/>
      <c r="E805" s="355"/>
      <c r="F805" s="228" t="s">
        <v>96</v>
      </c>
      <c r="G805" s="5"/>
      <c r="H805" s="261">
        <v>0.4</v>
      </c>
      <c r="I805" s="264">
        <f t="shared" si="142"/>
        <v>0.4</v>
      </c>
      <c r="J805" s="264">
        <f t="shared" si="142"/>
        <v>0.4</v>
      </c>
      <c r="K805" s="264">
        <f t="shared" si="142"/>
        <v>0.4</v>
      </c>
      <c r="L805" s="264">
        <f t="shared" si="142"/>
        <v>0.4</v>
      </c>
      <c r="M805" s="264">
        <f t="shared" si="142"/>
        <v>0.4</v>
      </c>
      <c r="N805" s="264">
        <f t="shared" si="142"/>
        <v>0.4</v>
      </c>
      <c r="O805" s="264">
        <f t="shared" si="142"/>
        <v>0.4</v>
      </c>
      <c r="P805" s="264">
        <f t="shared" si="142"/>
        <v>0.4</v>
      </c>
      <c r="Q805" s="264">
        <f t="shared" si="142"/>
        <v>0.4</v>
      </c>
      <c r="R805" s="264">
        <f t="shared" si="142"/>
        <v>0.4</v>
      </c>
      <c r="S805" s="5"/>
      <c r="T805" s="25"/>
      <c r="U805" s="5"/>
    </row>
    <row r="806" spans="1:21" s="3" customFormat="1" hidden="1" outlineLevel="1">
      <c r="A806" s="21"/>
      <c r="B806" s="228" t="s">
        <v>432</v>
      </c>
      <c r="C806" s="273" t="str">
        <f t="shared" si="140"/>
        <v>Steam</v>
      </c>
      <c r="D806" s="228"/>
      <c r="E806" s="355"/>
      <c r="F806" s="228" t="s">
        <v>315</v>
      </c>
      <c r="G806" s="5"/>
      <c r="H806" s="55">
        <v>75000</v>
      </c>
      <c r="I806" s="253">
        <f t="shared" si="142"/>
        <v>75000</v>
      </c>
      <c r="J806" s="253">
        <f t="shared" si="142"/>
        <v>75000</v>
      </c>
      <c r="K806" s="253">
        <f t="shared" si="142"/>
        <v>75000</v>
      </c>
      <c r="L806" s="253">
        <f t="shared" si="142"/>
        <v>75000</v>
      </c>
      <c r="M806" s="253">
        <f t="shared" si="142"/>
        <v>75000</v>
      </c>
      <c r="N806" s="253">
        <f t="shared" si="142"/>
        <v>75000</v>
      </c>
      <c r="O806" s="253">
        <f t="shared" si="142"/>
        <v>75000</v>
      </c>
      <c r="P806" s="253">
        <f t="shared" si="142"/>
        <v>75000</v>
      </c>
      <c r="Q806" s="253">
        <f t="shared" si="142"/>
        <v>75000</v>
      </c>
      <c r="R806" s="253">
        <f t="shared" si="142"/>
        <v>75000</v>
      </c>
      <c r="S806" s="5"/>
      <c r="T806" s="25"/>
      <c r="U806" s="5"/>
    </row>
    <row r="807" spans="1:21" s="3" customFormat="1" hidden="1" outlineLevel="1">
      <c r="A807" s="21"/>
      <c r="B807" s="228" t="s">
        <v>379</v>
      </c>
      <c r="C807" s="273" t="str">
        <f t="shared" si="140"/>
        <v>Steam</v>
      </c>
      <c r="D807" s="228"/>
      <c r="E807" s="355"/>
      <c r="F807" s="228"/>
      <c r="G807" s="5"/>
      <c r="H807" s="54">
        <v>0.75</v>
      </c>
      <c r="I807" s="270">
        <f t="shared" si="142"/>
        <v>0.75</v>
      </c>
      <c r="J807" s="270">
        <f t="shared" si="142"/>
        <v>0.75</v>
      </c>
      <c r="K807" s="270">
        <f t="shared" si="142"/>
        <v>0.75</v>
      </c>
      <c r="L807" s="270">
        <f t="shared" si="142"/>
        <v>0.75</v>
      </c>
      <c r="M807" s="270">
        <f t="shared" si="142"/>
        <v>0.75</v>
      </c>
      <c r="N807" s="270">
        <f t="shared" si="142"/>
        <v>0.75</v>
      </c>
      <c r="O807" s="270">
        <f t="shared" si="142"/>
        <v>0.75</v>
      </c>
      <c r="P807" s="270">
        <f t="shared" si="142"/>
        <v>0.75</v>
      </c>
      <c r="Q807" s="270">
        <f t="shared" si="142"/>
        <v>0.75</v>
      </c>
      <c r="R807" s="270">
        <f t="shared" si="142"/>
        <v>0.75</v>
      </c>
      <c r="S807" s="5"/>
      <c r="T807" s="25"/>
      <c r="U807" s="5"/>
    </row>
    <row r="808" spans="1:21" s="3" customFormat="1" hidden="1" outlineLevel="1">
      <c r="A808" s="21"/>
      <c r="B808" s="228" t="s">
        <v>361</v>
      </c>
      <c r="C808" s="273" t="str">
        <f t="shared" si="140"/>
        <v>Steam</v>
      </c>
      <c r="D808" s="228"/>
      <c r="E808" s="355"/>
      <c r="F808" s="228" t="s">
        <v>96</v>
      </c>
      <c r="G808" s="5"/>
      <c r="H808" s="261">
        <v>0.01</v>
      </c>
      <c r="I808" s="264">
        <f t="shared" si="142"/>
        <v>0.01</v>
      </c>
      <c r="J808" s="264">
        <f t="shared" si="142"/>
        <v>0.01</v>
      </c>
      <c r="K808" s="264">
        <f t="shared" si="142"/>
        <v>0.01</v>
      </c>
      <c r="L808" s="264">
        <f t="shared" si="142"/>
        <v>0.01</v>
      </c>
      <c r="M808" s="264">
        <f t="shared" si="142"/>
        <v>0.01</v>
      </c>
      <c r="N808" s="264">
        <f t="shared" si="142"/>
        <v>0.01</v>
      </c>
      <c r="O808" s="264">
        <f t="shared" si="142"/>
        <v>0.01</v>
      </c>
      <c r="P808" s="264">
        <f t="shared" si="142"/>
        <v>0.01</v>
      </c>
      <c r="Q808" s="264">
        <f t="shared" si="142"/>
        <v>0.01</v>
      </c>
      <c r="R808" s="264">
        <f t="shared" si="142"/>
        <v>0.01</v>
      </c>
      <c r="S808" s="5"/>
      <c r="T808" s="25"/>
      <c r="U808" s="5"/>
    </row>
    <row r="809" spans="1:21" s="3" customFormat="1" hidden="1" outlineLevel="1">
      <c r="A809" s="21"/>
      <c r="B809" s="228" t="s">
        <v>384</v>
      </c>
      <c r="C809" s="273" t="str">
        <f t="shared" si="140"/>
        <v>Steam</v>
      </c>
      <c r="D809" s="228"/>
      <c r="E809" s="355"/>
      <c r="F809" s="228" t="s">
        <v>316</v>
      </c>
      <c r="G809" s="5"/>
      <c r="H809" s="54"/>
      <c r="I809" s="270"/>
      <c r="J809" s="270"/>
      <c r="K809" s="270"/>
      <c r="L809" s="270"/>
      <c r="M809" s="270"/>
      <c r="N809" s="270"/>
      <c r="O809" s="270"/>
      <c r="P809" s="270"/>
      <c r="Q809" s="270"/>
      <c r="R809" s="270"/>
      <c r="S809" s="5"/>
      <c r="T809" s="25"/>
      <c r="U809" s="5"/>
    </row>
    <row r="810" spans="1:21" s="3" customFormat="1" hidden="1" outlineLevel="1">
      <c r="A810" s="21"/>
      <c r="B810" s="228" t="s">
        <v>386</v>
      </c>
      <c r="C810" s="273" t="str">
        <f t="shared" si="140"/>
        <v>Steam</v>
      </c>
      <c r="D810" s="228"/>
      <c r="E810" s="355"/>
      <c r="F810" s="228" t="s">
        <v>316</v>
      </c>
      <c r="G810" s="5"/>
      <c r="H810" s="55">
        <v>610.84500000000003</v>
      </c>
      <c r="I810" s="253">
        <f t="shared" ref="I810:R812" si="143">H810</f>
        <v>610.84500000000003</v>
      </c>
      <c r="J810" s="253">
        <f t="shared" si="143"/>
        <v>610.84500000000003</v>
      </c>
      <c r="K810" s="253">
        <f t="shared" si="143"/>
        <v>610.84500000000003</v>
      </c>
      <c r="L810" s="253">
        <f t="shared" si="143"/>
        <v>610.84500000000003</v>
      </c>
      <c r="M810" s="253">
        <f t="shared" si="143"/>
        <v>610.84500000000003</v>
      </c>
      <c r="N810" s="253">
        <f t="shared" si="143"/>
        <v>610.84500000000003</v>
      </c>
      <c r="O810" s="253">
        <f t="shared" si="143"/>
        <v>610.84500000000003</v>
      </c>
      <c r="P810" s="253">
        <f t="shared" si="143"/>
        <v>610.84500000000003</v>
      </c>
      <c r="Q810" s="253">
        <f t="shared" si="143"/>
        <v>610.84500000000003</v>
      </c>
      <c r="R810" s="253">
        <f t="shared" si="143"/>
        <v>610.84500000000003</v>
      </c>
      <c r="S810" s="5"/>
      <c r="T810" s="25"/>
      <c r="U810" s="5"/>
    </row>
    <row r="811" spans="1:21" s="3" customFormat="1" hidden="1" outlineLevel="1">
      <c r="A811" s="21"/>
      <c r="B811" s="228" t="s">
        <v>387</v>
      </c>
      <c r="C811" s="273" t="str">
        <f t="shared" si="140"/>
        <v>Steam</v>
      </c>
      <c r="D811" s="228"/>
      <c r="E811" s="355"/>
      <c r="F811" s="228"/>
      <c r="G811" s="5"/>
      <c r="H811" s="261">
        <v>0.65</v>
      </c>
      <c r="I811" s="264">
        <f t="shared" si="143"/>
        <v>0.65</v>
      </c>
      <c r="J811" s="264">
        <f t="shared" si="143"/>
        <v>0.65</v>
      </c>
      <c r="K811" s="264">
        <f t="shared" si="143"/>
        <v>0.65</v>
      </c>
      <c r="L811" s="264">
        <f t="shared" si="143"/>
        <v>0.65</v>
      </c>
      <c r="M811" s="264">
        <f t="shared" si="143"/>
        <v>0.65</v>
      </c>
      <c r="N811" s="264">
        <f t="shared" si="143"/>
        <v>0.65</v>
      </c>
      <c r="O811" s="264">
        <f t="shared" si="143"/>
        <v>0.65</v>
      </c>
      <c r="P811" s="264">
        <f t="shared" si="143"/>
        <v>0.65</v>
      </c>
      <c r="Q811" s="264">
        <f t="shared" si="143"/>
        <v>0.65</v>
      </c>
      <c r="R811" s="264">
        <f t="shared" si="143"/>
        <v>0.65</v>
      </c>
      <c r="S811" s="5"/>
      <c r="T811" s="25"/>
      <c r="U811" s="5"/>
    </row>
    <row r="812" spans="1:21" s="3" customFormat="1" hidden="1" outlineLevel="1">
      <c r="A812" s="21"/>
      <c r="B812" s="228" t="s">
        <v>388</v>
      </c>
      <c r="C812" s="273" t="str">
        <f t="shared" si="140"/>
        <v>Steam</v>
      </c>
      <c r="D812" s="228"/>
      <c r="E812" s="355"/>
      <c r="F812" s="228"/>
      <c r="G812" s="5"/>
      <c r="H812" s="365">
        <v>0.4</v>
      </c>
      <c r="I812" s="366">
        <f t="shared" si="143"/>
        <v>0.4</v>
      </c>
      <c r="J812" s="366">
        <f t="shared" si="143"/>
        <v>0.4</v>
      </c>
      <c r="K812" s="366">
        <f t="shared" si="143"/>
        <v>0.4</v>
      </c>
      <c r="L812" s="366">
        <f t="shared" si="143"/>
        <v>0.4</v>
      </c>
      <c r="M812" s="366">
        <f t="shared" si="143"/>
        <v>0.4</v>
      </c>
      <c r="N812" s="366">
        <f t="shared" si="143"/>
        <v>0.4</v>
      </c>
      <c r="O812" s="366">
        <f t="shared" si="143"/>
        <v>0.4</v>
      </c>
      <c r="P812" s="366">
        <f t="shared" si="143"/>
        <v>0.4</v>
      </c>
      <c r="Q812" s="366">
        <f t="shared" si="143"/>
        <v>0.4</v>
      </c>
      <c r="R812" s="366">
        <f t="shared" si="143"/>
        <v>0.4</v>
      </c>
      <c r="S812" s="5"/>
      <c r="T812" s="25"/>
      <c r="U812" s="5"/>
    </row>
    <row r="813" spans="1:21" s="3" customFormat="1" hidden="1" outlineLevel="1">
      <c r="A813" s="21"/>
      <c r="B813" s="228" t="s">
        <v>385</v>
      </c>
      <c r="C813" s="273" t="str">
        <f t="shared" si="140"/>
        <v>Steam</v>
      </c>
      <c r="D813" s="228"/>
      <c r="E813" s="355"/>
      <c r="F813" s="228" t="s">
        <v>402</v>
      </c>
      <c r="G813" s="5"/>
      <c r="H813" s="54"/>
      <c r="I813" s="54"/>
      <c r="J813" s="54"/>
      <c r="K813" s="54"/>
      <c r="L813" s="54"/>
      <c r="M813" s="54"/>
      <c r="N813" s="54"/>
      <c r="O813" s="54"/>
      <c r="P813" s="54"/>
      <c r="Q813" s="54"/>
      <c r="R813" s="54"/>
      <c r="S813" s="5"/>
      <c r="T813" s="25"/>
      <c r="U813" s="5"/>
    </row>
    <row r="814" spans="1:21" s="3" customFormat="1" hidden="1" outlineLevel="1">
      <c r="A814" s="21"/>
      <c r="B814" s="228" t="s">
        <v>389</v>
      </c>
      <c r="C814" s="273" t="str">
        <f t="shared" si="140"/>
        <v>Steam</v>
      </c>
      <c r="D814" s="228"/>
      <c r="E814" s="355"/>
      <c r="F814" s="228" t="s">
        <v>402</v>
      </c>
      <c r="G814" s="5"/>
      <c r="H814" s="55"/>
      <c r="I814" s="55"/>
      <c r="J814" s="55"/>
      <c r="K814" s="55"/>
      <c r="L814" s="55"/>
      <c r="M814" s="55"/>
      <c r="N814" s="55"/>
      <c r="O814" s="55"/>
      <c r="P814" s="55"/>
      <c r="Q814" s="55"/>
      <c r="R814" s="55"/>
      <c r="S814" s="5"/>
      <c r="T814" s="25"/>
      <c r="U814" s="5"/>
    </row>
    <row r="815" spans="1:21" s="3" customFormat="1" hidden="1" outlineLevel="1">
      <c r="A815" s="21"/>
      <c r="B815" s="228" t="s">
        <v>390</v>
      </c>
      <c r="C815" s="273" t="str">
        <f t="shared" si="140"/>
        <v>Steam</v>
      </c>
      <c r="D815" s="228"/>
      <c r="E815" s="355"/>
      <c r="F815" s="228"/>
      <c r="G815" s="5"/>
      <c r="H815" s="261"/>
      <c r="I815" s="261"/>
      <c r="J815" s="261"/>
      <c r="K815" s="261"/>
      <c r="L815" s="261"/>
      <c r="M815" s="261"/>
      <c r="N815" s="261"/>
      <c r="O815" s="261"/>
      <c r="P815" s="261"/>
      <c r="Q815" s="261"/>
      <c r="R815" s="261"/>
      <c r="S815" s="5"/>
      <c r="T815" s="25"/>
      <c r="U815" s="5"/>
    </row>
    <row r="816" spans="1:21" s="3" customFormat="1" hidden="1" outlineLevel="1">
      <c r="A816" s="21"/>
      <c r="B816" s="228" t="s">
        <v>391</v>
      </c>
      <c r="C816" s="273" t="str">
        <f t="shared" si="140"/>
        <v>Steam</v>
      </c>
      <c r="D816" s="228"/>
      <c r="E816" s="355"/>
      <c r="F816" s="228"/>
      <c r="G816" s="5"/>
      <c r="H816" s="55"/>
      <c r="I816" s="55"/>
      <c r="J816" s="55"/>
      <c r="K816" s="55"/>
      <c r="L816" s="55"/>
      <c r="M816" s="55"/>
      <c r="N816" s="55"/>
      <c r="O816" s="55"/>
      <c r="P816" s="55"/>
      <c r="Q816" s="55"/>
      <c r="R816" s="55"/>
      <c r="S816" s="5"/>
      <c r="T816" s="25"/>
      <c r="U816" s="5"/>
    </row>
    <row r="817" spans="1:21" s="3" customFormat="1" hidden="1" outlineLevel="1">
      <c r="A817" s="21"/>
      <c r="B817" s="228" t="s">
        <v>305</v>
      </c>
      <c r="C817" s="273" t="str">
        <f t="shared" si="140"/>
        <v>Steam</v>
      </c>
      <c r="D817" s="228"/>
      <c r="E817" s="355"/>
      <c r="F817" s="228" t="s">
        <v>402</v>
      </c>
      <c r="G817" s="5"/>
      <c r="H817" s="54">
        <v>10</v>
      </c>
      <c r="I817" s="270">
        <f t="shared" ref="I817:R817" si="144">H817</f>
        <v>10</v>
      </c>
      <c r="J817" s="270">
        <f t="shared" si="144"/>
        <v>10</v>
      </c>
      <c r="K817" s="270">
        <f t="shared" si="144"/>
        <v>10</v>
      </c>
      <c r="L817" s="270">
        <f t="shared" si="144"/>
        <v>10</v>
      </c>
      <c r="M817" s="270">
        <f t="shared" si="144"/>
        <v>10</v>
      </c>
      <c r="N817" s="270">
        <f t="shared" si="144"/>
        <v>10</v>
      </c>
      <c r="O817" s="270">
        <f t="shared" si="144"/>
        <v>10</v>
      </c>
      <c r="P817" s="270">
        <f t="shared" si="144"/>
        <v>10</v>
      </c>
      <c r="Q817" s="270">
        <f t="shared" si="144"/>
        <v>10</v>
      </c>
      <c r="R817" s="270">
        <f t="shared" si="144"/>
        <v>10</v>
      </c>
      <c r="S817" s="5"/>
      <c r="T817" s="25"/>
      <c r="U817" s="5"/>
    </row>
    <row r="818" spans="1:21" s="3" customFormat="1" hidden="1" outlineLevel="1">
      <c r="A818" s="21"/>
      <c r="B818" s="228" t="s">
        <v>352</v>
      </c>
      <c r="C818" s="273" t="str">
        <f t="shared" si="140"/>
        <v>Steam</v>
      </c>
      <c r="D818" s="228"/>
      <c r="E818" s="355"/>
      <c r="F818" s="228" t="s">
        <v>316</v>
      </c>
      <c r="G818" s="5"/>
      <c r="H818" s="54"/>
      <c r="I818" s="54"/>
      <c r="J818" s="54"/>
      <c r="K818" s="54"/>
      <c r="L818" s="54"/>
      <c r="M818" s="54"/>
      <c r="N818" s="54"/>
      <c r="O818" s="54"/>
      <c r="P818" s="54"/>
      <c r="Q818" s="54"/>
      <c r="R818" s="54"/>
      <c r="S818" s="5"/>
      <c r="T818" s="25"/>
      <c r="U818" s="5"/>
    </row>
    <row r="819" spans="1:21" s="3" customFormat="1" hidden="1" outlineLevel="1">
      <c r="A819" s="21"/>
      <c r="B819" s="3" t="s">
        <v>301</v>
      </c>
      <c r="C819" s="273" t="str">
        <f t="shared" si="140"/>
        <v>Steam</v>
      </c>
      <c r="D819" s="273" t="s">
        <v>454</v>
      </c>
      <c r="E819" s="347"/>
      <c r="F819" s="67" t="s">
        <v>480</v>
      </c>
      <c r="G819" s="5"/>
      <c r="H819" s="350">
        <v>0.08</v>
      </c>
      <c r="I819" s="363">
        <f t="shared" ref="I819:R820" si="145">H819</f>
        <v>0.08</v>
      </c>
      <c r="J819" s="363">
        <f t="shared" si="145"/>
        <v>0.08</v>
      </c>
      <c r="K819" s="363">
        <f t="shared" si="145"/>
        <v>0.08</v>
      </c>
      <c r="L819" s="363">
        <f t="shared" si="145"/>
        <v>0.08</v>
      </c>
      <c r="M819" s="363">
        <f t="shared" si="145"/>
        <v>0.08</v>
      </c>
      <c r="N819" s="363">
        <f t="shared" si="145"/>
        <v>0.08</v>
      </c>
      <c r="O819" s="363">
        <f t="shared" si="145"/>
        <v>0.08</v>
      </c>
      <c r="P819" s="363">
        <f t="shared" si="145"/>
        <v>0.08</v>
      </c>
      <c r="Q819" s="363">
        <f t="shared" si="145"/>
        <v>0.08</v>
      </c>
      <c r="R819" s="363">
        <f t="shared" si="145"/>
        <v>0.08</v>
      </c>
      <c r="S819" s="5"/>
      <c r="T819" s="13"/>
      <c r="U819" s="5"/>
    </row>
    <row r="820" spans="1:21" s="3" customFormat="1" hidden="1" outlineLevel="1" collapsed="1">
      <c r="A820" s="21"/>
      <c r="B820" s="3" t="s">
        <v>301</v>
      </c>
      <c r="C820" s="273" t="str">
        <f>C819</f>
        <v>Steam</v>
      </c>
      <c r="D820" s="273" t="s">
        <v>475</v>
      </c>
      <c r="E820" s="347"/>
      <c r="F820" s="67" t="s">
        <v>480</v>
      </c>
      <c r="G820" s="5"/>
      <c r="H820" s="350">
        <v>2.0499999999999998</v>
      </c>
      <c r="I820" s="363">
        <f t="shared" si="145"/>
        <v>2.0499999999999998</v>
      </c>
      <c r="J820" s="363">
        <f t="shared" si="145"/>
        <v>2.0499999999999998</v>
      </c>
      <c r="K820" s="363">
        <f t="shared" si="145"/>
        <v>2.0499999999999998</v>
      </c>
      <c r="L820" s="363">
        <f t="shared" si="145"/>
        <v>2.0499999999999998</v>
      </c>
      <c r="M820" s="363">
        <f t="shared" si="145"/>
        <v>2.0499999999999998</v>
      </c>
      <c r="N820" s="363">
        <f t="shared" si="145"/>
        <v>2.0499999999999998</v>
      </c>
      <c r="O820" s="363">
        <f t="shared" si="145"/>
        <v>2.0499999999999998</v>
      </c>
      <c r="P820" s="363">
        <f t="shared" si="145"/>
        <v>2.0499999999999998</v>
      </c>
      <c r="Q820" s="363">
        <f t="shared" si="145"/>
        <v>2.0499999999999998</v>
      </c>
      <c r="R820" s="363">
        <f t="shared" si="145"/>
        <v>2.0499999999999998</v>
      </c>
      <c r="S820" s="5"/>
      <c r="T820" s="13"/>
      <c r="U820" s="5"/>
    </row>
    <row r="821" spans="1:21" s="3" customFormat="1" hidden="1" outlineLevel="1">
      <c r="A821" s="21"/>
      <c r="C821" s="273"/>
      <c r="D821" s="273"/>
      <c r="E821" s="347"/>
      <c r="F821" s="67"/>
      <c r="G821" s="5"/>
      <c r="H821" s="350"/>
      <c r="I821" s="363"/>
      <c r="J821" s="363"/>
      <c r="K821" s="363"/>
      <c r="L821" s="363"/>
      <c r="M821" s="363"/>
      <c r="N821" s="363"/>
      <c r="O821" s="363"/>
      <c r="P821" s="363"/>
      <c r="Q821" s="363"/>
      <c r="R821" s="363"/>
      <c r="S821" s="5"/>
      <c r="T821" s="13"/>
      <c r="U821" s="5"/>
    </row>
    <row r="822" spans="1:21" s="390" customFormat="1">
      <c r="A822" s="390" t="s">
        <v>2</v>
      </c>
      <c r="C822" s="391"/>
      <c r="F822" s="392"/>
      <c r="G822" s="391"/>
      <c r="T822" s="391"/>
    </row>
    <row r="823" spans="1:21" customFormat="1" outlineLevel="1">
      <c r="A823" s="22"/>
      <c r="B823" t="s">
        <v>300</v>
      </c>
      <c r="C823" s="75" t="str">
        <f>A822</f>
        <v>Electricity</v>
      </c>
      <c r="D823" s="75" t="s">
        <v>454</v>
      </c>
      <c r="E823" s="367"/>
      <c r="F823" t="s">
        <v>33</v>
      </c>
      <c r="G823" s="190"/>
      <c r="H823" s="39"/>
      <c r="I823" s="39"/>
      <c r="J823" s="39"/>
      <c r="K823" s="39"/>
      <c r="L823" s="39"/>
      <c r="M823" s="39"/>
      <c r="N823" s="39"/>
      <c r="O823" s="39"/>
      <c r="P823" s="39"/>
      <c r="Q823" s="39"/>
      <c r="R823" s="39"/>
      <c r="S823" s="190"/>
      <c r="T823" s="340"/>
      <c r="U823" s="190"/>
    </row>
    <row r="824" spans="1:21" customFormat="1" outlineLevel="1">
      <c r="A824" s="22"/>
      <c r="B824" t="s">
        <v>466</v>
      </c>
      <c r="C824" s="75" t="s">
        <v>111</v>
      </c>
      <c r="D824" s="75"/>
      <c r="E824" s="367"/>
      <c r="G824" s="190"/>
      <c r="H824" s="39"/>
      <c r="I824" s="39"/>
      <c r="J824" s="39"/>
      <c r="K824" s="39"/>
      <c r="L824" s="39"/>
      <c r="M824" s="39"/>
      <c r="N824" s="39"/>
      <c r="O824" s="39"/>
      <c r="P824" s="39"/>
      <c r="Q824" s="39"/>
      <c r="R824" s="39"/>
      <c r="S824" s="190"/>
      <c r="T824" s="340"/>
      <c r="U824" s="190"/>
    </row>
    <row r="825" spans="1:21" customFormat="1" outlineLevel="1">
      <c r="A825" s="22"/>
      <c r="B825" t="s">
        <v>46</v>
      </c>
      <c r="C825" s="75" t="s">
        <v>55</v>
      </c>
      <c r="D825" s="75"/>
      <c r="E825" s="367"/>
      <c r="G825" s="190"/>
      <c r="S825" s="190"/>
      <c r="T825" s="340"/>
      <c r="U825" s="190"/>
    </row>
    <row r="826" spans="1:21" customFormat="1" outlineLevel="1">
      <c r="A826" s="22"/>
      <c r="B826" t="s">
        <v>7</v>
      </c>
      <c r="C826" s="75" t="s">
        <v>34</v>
      </c>
      <c r="D826" s="75"/>
      <c r="E826" s="367"/>
      <c r="G826" s="190"/>
      <c r="H826" s="368">
        <v>0.4</v>
      </c>
      <c r="I826" s="201">
        <f>H826</f>
        <v>0.4</v>
      </c>
      <c r="J826" s="201">
        <f t="shared" ref="J826:R826" si="146">I826</f>
        <v>0.4</v>
      </c>
      <c r="K826" s="201">
        <f t="shared" si="146"/>
        <v>0.4</v>
      </c>
      <c r="L826" s="201">
        <f t="shared" si="146"/>
        <v>0.4</v>
      </c>
      <c r="M826" s="201">
        <f t="shared" si="146"/>
        <v>0.4</v>
      </c>
      <c r="N826" s="201">
        <f t="shared" si="146"/>
        <v>0.4</v>
      </c>
      <c r="O826" s="201">
        <f t="shared" si="146"/>
        <v>0.4</v>
      </c>
      <c r="P826" s="201">
        <f t="shared" si="146"/>
        <v>0.4</v>
      </c>
      <c r="Q826" s="201">
        <f t="shared" si="146"/>
        <v>0.4</v>
      </c>
      <c r="R826" s="201">
        <f t="shared" si="146"/>
        <v>0.4</v>
      </c>
      <c r="S826" s="190"/>
      <c r="T826" s="340"/>
      <c r="U826" s="190"/>
    </row>
    <row r="827" spans="1:21" customFormat="1" outlineLevel="1">
      <c r="A827" s="22"/>
      <c r="B827" t="s">
        <v>306</v>
      </c>
      <c r="C827" s="75" t="s">
        <v>40</v>
      </c>
      <c r="D827" s="75"/>
      <c r="E827" s="367"/>
      <c r="F827" t="s">
        <v>96</v>
      </c>
      <c r="G827" s="190"/>
      <c r="H827" s="263">
        <v>0.1</v>
      </c>
      <c r="I827" s="262">
        <f t="shared" ref="I827:R829" si="147">H827</f>
        <v>0.1</v>
      </c>
      <c r="J827" s="262">
        <f t="shared" si="147"/>
        <v>0.1</v>
      </c>
      <c r="K827" s="262">
        <f t="shared" si="147"/>
        <v>0.1</v>
      </c>
      <c r="L827" s="262">
        <f t="shared" si="147"/>
        <v>0.1</v>
      </c>
      <c r="M827" s="262">
        <f t="shared" si="147"/>
        <v>0.1</v>
      </c>
      <c r="N827" s="262">
        <f t="shared" si="147"/>
        <v>0.1</v>
      </c>
      <c r="O827" s="262">
        <f t="shared" si="147"/>
        <v>0.1</v>
      </c>
      <c r="P827" s="262">
        <f t="shared" si="147"/>
        <v>0.1</v>
      </c>
      <c r="Q827" s="262">
        <f t="shared" si="147"/>
        <v>0.1</v>
      </c>
      <c r="R827" s="262">
        <f t="shared" si="147"/>
        <v>0.1</v>
      </c>
      <c r="S827" s="190"/>
      <c r="T827" s="340"/>
      <c r="U827" s="190"/>
    </row>
    <row r="828" spans="1:21" customFormat="1" outlineLevel="1">
      <c r="A828" s="22"/>
      <c r="B828" t="s">
        <v>49</v>
      </c>
      <c r="C828" s="75"/>
      <c r="D828" s="75"/>
      <c r="E828" s="367"/>
      <c r="F828" t="s">
        <v>96</v>
      </c>
      <c r="G828" s="190"/>
      <c r="H828" s="263">
        <v>0.1</v>
      </c>
      <c r="I828" s="262">
        <f t="shared" si="147"/>
        <v>0.1</v>
      </c>
      <c r="J828" s="262">
        <f t="shared" si="147"/>
        <v>0.1</v>
      </c>
      <c r="K828" s="262">
        <f t="shared" si="147"/>
        <v>0.1</v>
      </c>
      <c r="L828" s="262">
        <f t="shared" si="147"/>
        <v>0.1</v>
      </c>
      <c r="M828" s="262">
        <f t="shared" si="147"/>
        <v>0.1</v>
      </c>
      <c r="N828" s="262">
        <f t="shared" si="147"/>
        <v>0.1</v>
      </c>
      <c r="O828" s="262">
        <f t="shared" si="147"/>
        <v>0.1</v>
      </c>
      <c r="P828" s="262">
        <f t="shared" si="147"/>
        <v>0.1</v>
      </c>
      <c r="Q828" s="262">
        <f t="shared" si="147"/>
        <v>0.1</v>
      </c>
      <c r="R828" s="262">
        <f t="shared" si="147"/>
        <v>0.1</v>
      </c>
      <c r="S828" s="190"/>
      <c r="T828" s="340"/>
      <c r="U828" s="190"/>
    </row>
    <row r="829" spans="1:21" customFormat="1" outlineLevel="1">
      <c r="A829" s="22"/>
      <c r="B829" t="s">
        <v>19</v>
      </c>
      <c r="C829" s="75" t="s">
        <v>41</v>
      </c>
      <c r="D829" s="75"/>
      <c r="E829" s="367"/>
      <c r="G829" s="190"/>
      <c r="H829" s="368">
        <v>1</v>
      </c>
      <c r="I829" s="201">
        <f t="shared" si="147"/>
        <v>1</v>
      </c>
      <c r="J829" s="201">
        <f t="shared" si="147"/>
        <v>1</v>
      </c>
      <c r="K829" s="201">
        <f t="shared" si="147"/>
        <v>1</v>
      </c>
      <c r="L829" s="201">
        <f t="shared" si="147"/>
        <v>1</v>
      </c>
      <c r="M829" s="201">
        <f t="shared" si="147"/>
        <v>1</v>
      </c>
      <c r="N829" s="201">
        <f t="shared" si="147"/>
        <v>1</v>
      </c>
      <c r="O829" s="201">
        <f t="shared" si="147"/>
        <v>1</v>
      </c>
      <c r="P829" s="201">
        <f t="shared" si="147"/>
        <v>1</v>
      </c>
      <c r="Q829" s="201">
        <f t="shared" si="147"/>
        <v>1</v>
      </c>
      <c r="R829" s="201">
        <f t="shared" si="147"/>
        <v>1</v>
      </c>
      <c r="S829" s="190"/>
      <c r="T829" s="340"/>
      <c r="U829" s="190"/>
    </row>
    <row r="830" spans="1:21" customFormat="1" outlineLevel="1">
      <c r="A830" s="22"/>
      <c r="B830" t="s">
        <v>265</v>
      </c>
      <c r="C830" s="369" t="s">
        <v>11</v>
      </c>
      <c r="D830" s="75"/>
      <c r="E830" s="367" t="s">
        <v>467</v>
      </c>
      <c r="F830" t="s">
        <v>317</v>
      </c>
      <c r="G830" s="190"/>
      <c r="H830" s="41">
        <f>INDEX(FuelPrices_Industrial,MATCH("Alberta",FuelPrices_Region,0)+MATCH("Oil",FuelPrices_Type_RCI,0)-1,MATCH(H$2,Year,0))/[1]Prices!G$12</f>
        <v>3.713594017570093</v>
      </c>
      <c r="I830" s="41">
        <f>INDEX(FuelPrices_Industrial,MATCH("Alberta",FuelPrices_Region,0)+MATCH("Oil",FuelPrices_Type_RCI,0)-1,MATCH(I$2,Year,0))/[1]Prices!H$12</f>
        <v>3.7562051565968173</v>
      </c>
      <c r="J830" s="41">
        <f>INDEX(FuelPrices_Industrial,MATCH("Alberta",FuelPrices_Region,0)+MATCH("Oil",FuelPrices_Type_RCI,0)-1,MATCH(J$2,Year,0))/[1]Prices!I$12</f>
        <v>2.2048627745400187</v>
      </c>
      <c r="K830" s="41">
        <f>INDEX(FuelPrices_Industrial,MATCH("Alberta",FuelPrices_Region,0)+MATCH("Oil",FuelPrices_Type_RCI,0)-1,MATCH(K$2,Year,0))/[1]Prices!J$12</f>
        <v>3.7962319002957341</v>
      </c>
      <c r="L830" s="41">
        <f>INDEX(FuelPrices_Industrial,MATCH("Alberta",FuelPrices_Region,0)+MATCH("Oil",FuelPrices_Type_RCI,0)-1,MATCH(L$2,Year,0))/[1]Prices!K$12</f>
        <v>5.5729559285078665</v>
      </c>
      <c r="M830" s="41">
        <f>INDEX(FuelPrices_Industrial,MATCH("Alberta",FuelPrices_Region,0)+MATCH("Oil",FuelPrices_Type_RCI,0)-1,MATCH(M$2,Year,0))/[1]Prices!L$12</f>
        <v>3.1680912706293727</v>
      </c>
      <c r="N830" s="41">
        <f>INDEX(FuelPrices_Industrial,MATCH("Alberta",FuelPrices_Region,0)+MATCH("Oil",FuelPrices_Type_RCI,0)-1,MATCH(N$2,Year,0))/[1]Prices!M$12</f>
        <v>2.9650980293385198</v>
      </c>
      <c r="O830" s="41">
        <f>INDEX(FuelPrices_Industrial,MATCH("Alberta",FuelPrices_Region,0)+MATCH("Oil",FuelPrices_Type_RCI,0)-1,MATCH(O$2,Year,0))/[1]Prices!N$12</f>
        <v>2.9424996321635044</v>
      </c>
      <c r="P830" s="41">
        <f>INDEX(FuelPrices_Industrial,MATCH("Alberta",FuelPrices_Region,0)+MATCH("Oil",FuelPrices_Type_RCI,0)-1,MATCH(P$2,Year,0))/[1]Prices!O$12</f>
        <v>2.9076604365186882</v>
      </c>
      <c r="Q830" s="41">
        <f>INDEX(FuelPrices_Industrial,MATCH("Alberta",FuelPrices_Region,0)+MATCH("Oil",FuelPrices_Type_RCI,0)-1,MATCH(Q$2,Year,0))/[1]Prices!P$12</f>
        <v>2.9076604365186882</v>
      </c>
      <c r="R830" s="41">
        <f>INDEX(FuelPrices_Industrial,MATCH("Alberta",FuelPrices_Region,0)+MATCH("Oil",FuelPrices_Type_RCI,0)-1,MATCH(R$2,Year,0))/[1]Prices!Q$12</f>
        <v>2.9076604365186882</v>
      </c>
      <c r="S830" s="190"/>
      <c r="T830" s="340"/>
      <c r="U830" s="190"/>
    </row>
    <row r="831" spans="1:21" customFormat="1" outlineLevel="1">
      <c r="A831" s="22"/>
      <c r="B831" t="s">
        <v>265</v>
      </c>
      <c r="C831" s="369" t="s">
        <v>12</v>
      </c>
      <c r="D831" s="75"/>
      <c r="E831" s="367" t="s">
        <v>467</v>
      </c>
      <c r="F831" t="s">
        <v>317</v>
      </c>
      <c r="G831" s="190"/>
      <c r="H831" s="41">
        <f>INDEX(FuelPrices_Industrial,MATCH("Alberta",FuelPrices_Region,0)+MATCH("Oil",FuelPrices_Type_RCI,0)-1,MATCH(H$2,Year,0))/[1]Prices!G$12</f>
        <v>3.713594017570093</v>
      </c>
      <c r="I831" s="41">
        <f>INDEX(FuelPrices_Industrial,MATCH("Alberta",FuelPrices_Region,0)+MATCH("Oil",FuelPrices_Type_RCI,0)-1,MATCH(I$2,Year,0))/[1]Prices!H$12</f>
        <v>3.7562051565968173</v>
      </c>
      <c r="J831" s="41">
        <f>INDEX(FuelPrices_Industrial,MATCH("Alberta",FuelPrices_Region,0)+MATCH("Oil",FuelPrices_Type_RCI,0)-1,MATCH(J$2,Year,0))/[1]Prices!I$12</f>
        <v>2.2048627745400187</v>
      </c>
      <c r="K831" s="41">
        <f>INDEX(FuelPrices_Industrial,MATCH("Alberta",FuelPrices_Region,0)+MATCH("Oil",FuelPrices_Type_RCI,0)-1,MATCH(K$2,Year,0))/[1]Prices!J$12</f>
        <v>3.7962319002957341</v>
      </c>
      <c r="L831" s="41">
        <f>INDEX(FuelPrices_Industrial,MATCH("Alberta",FuelPrices_Region,0)+MATCH("Oil",FuelPrices_Type_RCI,0)-1,MATCH(L$2,Year,0))/[1]Prices!K$12</f>
        <v>5.5729559285078665</v>
      </c>
      <c r="M831" s="41">
        <f>INDEX(FuelPrices_Industrial,MATCH("Alberta",FuelPrices_Region,0)+MATCH("Oil",FuelPrices_Type_RCI,0)-1,MATCH(M$2,Year,0))/[1]Prices!L$12</f>
        <v>3.1680912706293727</v>
      </c>
      <c r="N831" s="41">
        <f>INDEX(FuelPrices_Industrial,MATCH("Alberta",FuelPrices_Region,0)+MATCH("Oil",FuelPrices_Type_RCI,0)-1,MATCH(N$2,Year,0))/[1]Prices!M$12</f>
        <v>2.9650980293385198</v>
      </c>
      <c r="O831" s="41">
        <f>INDEX(FuelPrices_Industrial,MATCH("Alberta",FuelPrices_Region,0)+MATCH("Oil",FuelPrices_Type_RCI,0)-1,MATCH(O$2,Year,0))/[1]Prices!N$12</f>
        <v>2.9424996321635044</v>
      </c>
      <c r="P831" s="41">
        <f>INDEX(FuelPrices_Industrial,MATCH("Alberta",FuelPrices_Region,0)+MATCH("Oil",FuelPrices_Type_RCI,0)-1,MATCH(P$2,Year,0))/[1]Prices!O$12</f>
        <v>2.9076604365186882</v>
      </c>
      <c r="Q831" s="41">
        <f>INDEX(FuelPrices_Industrial,MATCH("Alberta",FuelPrices_Region,0)+MATCH("Oil",FuelPrices_Type_RCI,0)-1,MATCH(Q$2,Year,0))/[1]Prices!P$12</f>
        <v>2.9076604365186882</v>
      </c>
      <c r="R831" s="41">
        <f>INDEX(FuelPrices_Industrial,MATCH("Alberta",FuelPrices_Region,0)+MATCH("Oil",FuelPrices_Type_RCI,0)-1,MATCH(R$2,Year,0))/[1]Prices!Q$12</f>
        <v>2.9076604365186882</v>
      </c>
      <c r="S831" s="190"/>
      <c r="T831" s="340"/>
      <c r="U831" s="190"/>
    </row>
    <row r="832" spans="1:21" customFormat="1" outlineLevel="1">
      <c r="A832" s="22"/>
      <c r="B832" t="s">
        <v>265</v>
      </c>
      <c r="C832" s="369" t="s">
        <v>13</v>
      </c>
      <c r="D832" s="75"/>
      <c r="E832" s="367" t="s">
        <v>467</v>
      </c>
      <c r="F832" t="s">
        <v>317</v>
      </c>
      <c r="G832" s="190"/>
      <c r="H832" s="41">
        <f>INDEX(FuelPrices_Industrial,MATCH("Alberta",FuelPrices_Region,0)+MATCH("Natural Gas",FuelPrices_Type_RCI,0)-1,MATCH(H$2,Year,0))/[1]Prices!G$15</f>
        <v>1.5282088982789364</v>
      </c>
      <c r="I832" s="41">
        <f>INDEX(FuelPrices_Industrial,MATCH("Alberta",FuelPrices_Region,0)+MATCH("Natural Gas",FuelPrices_Type_RCI,0)-1,MATCH(I$2,Year,0))/[1]Prices!H$15</f>
        <v>1.5457443840700189</v>
      </c>
      <c r="J832" s="41">
        <f>INDEX(FuelPrices_Industrial,MATCH("Alberta",FuelPrices_Region,0)+MATCH("Natural Gas",FuelPrices_Type_RCI,0)-1,MATCH(J$2,Year,0))/[1]Prices!I$15</f>
        <v>1.9723349612774701</v>
      </c>
      <c r="K832" s="41">
        <f>INDEX(FuelPrices_Industrial,MATCH("Alberta",FuelPrices_Region,0)+MATCH("Natural Gas",FuelPrices_Type_RCI,0)-1,MATCH(K$2,Year,0))/[1]Prices!J$15</f>
        <v>1.4950194997688102</v>
      </c>
      <c r="L832" s="41">
        <f>INDEX(FuelPrices_Industrial,MATCH("Alberta",FuelPrices_Region,0)+MATCH("Natural Gas",FuelPrices_Type_RCI,0)-1,MATCH(L$2,Year,0))/[1]Prices!K$15</f>
        <v>3.350280691170624</v>
      </c>
      <c r="M832" s="41">
        <f>INDEX(FuelPrices_Industrial,MATCH("Alberta",FuelPrices_Region,0)+MATCH("Natural Gas",FuelPrices_Type_RCI,0)-1,MATCH(M$2,Year,0))/[1]Prices!L$15</f>
        <v>2.8114396323863913</v>
      </c>
      <c r="N832" s="41">
        <f>INDEX(FuelPrices_Industrial,MATCH("Alberta",FuelPrices_Region,0)+MATCH("Natural Gas",FuelPrices_Type_RCI,0)-1,MATCH(N$2,Year,0))/[1]Prices!M$15</f>
        <v>2.4301046420728545</v>
      </c>
      <c r="O832" s="41">
        <f>INDEX(FuelPrices_Industrial,MATCH("Alberta",FuelPrices_Region,0)+MATCH("Natural Gas",FuelPrices_Type_RCI,0)-1,MATCH(O$2,Year,0))/[1]Prices!N$15</f>
        <v>2.1065653373010944</v>
      </c>
      <c r="P832" s="41">
        <f>INDEX(FuelPrices_Industrial,MATCH("Alberta",FuelPrices_Region,0)+MATCH("Natural Gas",FuelPrices_Type_RCI,0)-1,MATCH(P$2,Year,0))/[1]Prices!O$15</f>
        <v>1.9786460787456583</v>
      </c>
      <c r="Q832" s="41">
        <f>INDEX(FuelPrices_Industrial,MATCH("Alberta",FuelPrices_Region,0)+MATCH("Natural Gas",FuelPrices_Type_RCI,0)-1,MATCH(Q$2,Year,0))/[1]Prices!P$15</f>
        <v>1.9786460787456583</v>
      </c>
      <c r="R832" s="41">
        <f>INDEX(FuelPrices_Industrial,MATCH("Alberta",FuelPrices_Region,0)+MATCH("Natural Gas",FuelPrices_Type_RCI,0)-1,MATCH(R$2,Year,0))/[1]Prices!Q$15</f>
        <v>1.9786460787456583</v>
      </c>
      <c r="S832" s="190"/>
      <c r="T832" s="340"/>
      <c r="U832" s="190"/>
    </row>
    <row r="833" spans="1:21" customFormat="1" outlineLevel="1">
      <c r="A833" s="22"/>
      <c r="B833" t="s">
        <v>265</v>
      </c>
      <c r="C833" s="369" t="s">
        <v>2</v>
      </c>
      <c r="D833" s="75"/>
      <c r="E833" s="367" t="s">
        <v>467</v>
      </c>
      <c r="F833" t="s">
        <v>317</v>
      </c>
      <c r="G833" s="190"/>
      <c r="H833" s="41">
        <v>1.1000000000000001</v>
      </c>
      <c r="I833" s="41">
        <v>1.1000000000000001</v>
      </c>
      <c r="J833" s="41">
        <v>1.1000000000000001</v>
      </c>
      <c r="K833" s="41">
        <v>1.1000000000000001</v>
      </c>
      <c r="L833" s="41">
        <v>1.1000000000000001</v>
      </c>
      <c r="M833" s="41">
        <v>1.1000000000000001</v>
      </c>
      <c r="N833" s="41">
        <v>1.1000000000000001</v>
      </c>
      <c r="O833" s="41">
        <v>1.1000000000000001</v>
      </c>
      <c r="P833" s="41">
        <v>1.1000000000000001</v>
      </c>
      <c r="Q833" s="41">
        <v>1.1000000000000001</v>
      </c>
      <c r="R833" s="41">
        <v>1.1000000000000001</v>
      </c>
      <c r="S833" s="190"/>
      <c r="T833" s="340"/>
      <c r="U833" s="190"/>
    </row>
    <row r="834" spans="1:21" customFormat="1" outlineLevel="1">
      <c r="A834" s="22"/>
      <c r="B834" t="s">
        <v>265</v>
      </c>
      <c r="C834" s="369" t="s">
        <v>14</v>
      </c>
      <c r="D834" s="75"/>
      <c r="E834" s="367" t="s">
        <v>467</v>
      </c>
      <c r="F834" t="s">
        <v>317</v>
      </c>
      <c r="G834" s="190"/>
      <c r="H834" s="41">
        <v>1.1000000000000001</v>
      </c>
      <c r="I834" s="41">
        <v>1.1000000000000001</v>
      </c>
      <c r="J834" s="41">
        <v>1.1000000000000001</v>
      </c>
      <c r="K834" s="41">
        <v>1.1000000000000001</v>
      </c>
      <c r="L834" s="41">
        <v>1.1000000000000001</v>
      </c>
      <c r="M834" s="41">
        <v>1.1000000000000001</v>
      </c>
      <c r="N834" s="41">
        <v>1.1000000000000001</v>
      </c>
      <c r="O834" s="41">
        <v>1.1000000000000001</v>
      </c>
      <c r="P834" s="41">
        <v>1.1000000000000001</v>
      </c>
      <c r="Q834" s="41">
        <v>1.1000000000000001</v>
      </c>
      <c r="R834" s="41">
        <v>1.1000000000000001</v>
      </c>
      <c r="S834" s="190"/>
      <c r="T834" s="340"/>
      <c r="U834" s="190"/>
    </row>
    <row r="835" spans="1:21" customFormat="1" outlineLevel="1">
      <c r="A835" s="22"/>
      <c r="B835" t="s">
        <v>468</v>
      </c>
      <c r="C835" s="75" t="s">
        <v>16</v>
      </c>
      <c r="D835" s="75"/>
      <c r="E835" s="367"/>
      <c r="F835" t="s">
        <v>318</v>
      </c>
      <c r="G835" s="190"/>
      <c r="H835" s="41">
        <v>0</v>
      </c>
      <c r="I835" s="41">
        <v>0</v>
      </c>
      <c r="J835" s="41">
        <v>0</v>
      </c>
      <c r="K835" s="41">
        <v>0</v>
      </c>
      <c r="L835" s="41">
        <v>0</v>
      </c>
      <c r="M835" s="41">
        <v>0</v>
      </c>
      <c r="N835" s="41">
        <v>0</v>
      </c>
      <c r="O835" s="41">
        <v>0</v>
      </c>
      <c r="P835" s="41">
        <v>0</v>
      </c>
      <c r="Q835" s="41">
        <v>0</v>
      </c>
      <c r="R835" s="41">
        <v>0</v>
      </c>
      <c r="S835" s="190"/>
      <c r="T835" s="340"/>
      <c r="U835" s="190"/>
    </row>
    <row r="836" spans="1:21" customFormat="1" outlineLevel="1">
      <c r="A836" s="22"/>
      <c r="B836" t="s">
        <v>468</v>
      </c>
      <c r="C836" s="75" t="s">
        <v>17</v>
      </c>
      <c r="D836" s="75"/>
      <c r="E836" s="367"/>
      <c r="F836" t="s">
        <v>318</v>
      </c>
      <c r="G836" s="190"/>
      <c r="H836" s="41">
        <v>0</v>
      </c>
      <c r="I836" s="41">
        <v>0</v>
      </c>
      <c r="J836" s="41">
        <v>0</v>
      </c>
      <c r="K836" s="41">
        <v>0</v>
      </c>
      <c r="L836" s="41">
        <v>0</v>
      </c>
      <c r="M836" s="41">
        <v>0</v>
      </c>
      <c r="N836" s="41">
        <v>0</v>
      </c>
      <c r="O836" s="41">
        <v>0</v>
      </c>
      <c r="P836" s="41">
        <v>0</v>
      </c>
      <c r="Q836" s="41">
        <v>0</v>
      </c>
      <c r="R836" s="41">
        <v>0</v>
      </c>
      <c r="S836" s="190"/>
      <c r="T836" s="340"/>
      <c r="U836" s="190"/>
    </row>
    <row r="837" spans="1:21" customFormat="1" outlineLevel="1">
      <c r="A837" s="22"/>
      <c r="B837" t="s">
        <v>468</v>
      </c>
      <c r="C837" s="75" t="s">
        <v>18</v>
      </c>
      <c r="D837" s="75"/>
      <c r="E837" s="367"/>
      <c r="F837" t="s">
        <v>318</v>
      </c>
      <c r="G837" s="190"/>
      <c r="H837" s="41">
        <v>0</v>
      </c>
      <c r="I837" s="41">
        <v>0</v>
      </c>
      <c r="J837" s="41">
        <v>0</v>
      </c>
      <c r="K837" s="41">
        <v>0</v>
      </c>
      <c r="L837" s="41">
        <v>0</v>
      </c>
      <c r="M837" s="41">
        <v>0</v>
      </c>
      <c r="N837" s="41">
        <v>0</v>
      </c>
      <c r="O837" s="41">
        <v>0</v>
      </c>
      <c r="P837" s="41">
        <v>0</v>
      </c>
      <c r="Q837" s="41">
        <v>0</v>
      </c>
      <c r="R837" s="41">
        <v>0</v>
      </c>
      <c r="S837" s="190"/>
      <c r="T837" s="340"/>
      <c r="U837" s="190"/>
    </row>
    <row r="838" spans="1:21" customFormat="1" outlineLevel="1">
      <c r="A838" s="22"/>
      <c r="B838" t="s">
        <v>307</v>
      </c>
      <c r="C838" s="75" t="s">
        <v>16</v>
      </c>
      <c r="D838" s="75"/>
      <c r="E838" s="367" t="s">
        <v>292</v>
      </c>
      <c r="F838" t="s">
        <v>248</v>
      </c>
      <c r="G838" s="190"/>
      <c r="H838" s="41" t="e">
        <f>IFERROR(INDEX(CO2_GJ,MATCH(#REF!,CoeffIndex,0),MATCH(H$2,CoeffYear,0)),#REF!)</f>
        <v>#REF!</v>
      </c>
      <c r="I838" s="41" t="e">
        <f>IFERROR(INDEX(CO2_GJ,MATCH(#REF!,CoeffIndex,0),MATCH(I$2,CoeffYear,0)),H838)</f>
        <v>#REF!</v>
      </c>
      <c r="J838" s="41" t="e">
        <f>IFERROR(INDEX(CO2_GJ,MATCH(#REF!,CoeffIndex,0),MATCH(J$2,CoeffYear,0)),I838)</f>
        <v>#REF!</v>
      </c>
      <c r="K838" s="41" t="e">
        <f>IFERROR(INDEX(CO2_GJ,MATCH(#REF!,CoeffIndex,0),MATCH(K$2,CoeffYear,0)),J838)</f>
        <v>#REF!</v>
      </c>
      <c r="L838" s="41" t="e">
        <f>IFERROR(INDEX(CO2_GJ,MATCH(#REF!,CoeffIndex,0),MATCH(L$2,CoeffYear,0)),K838)</f>
        <v>#REF!</v>
      </c>
      <c r="M838" s="41" t="e">
        <f>IFERROR(INDEX(CO2_GJ,MATCH(#REF!,CoeffIndex,0),MATCH(M$2,CoeffYear,0)),L838)</f>
        <v>#REF!</v>
      </c>
      <c r="N838" s="41" t="e">
        <f>IFERROR(INDEX(CO2_GJ,MATCH(#REF!,CoeffIndex,0),MATCH(N$2,CoeffYear,0)),M838)</f>
        <v>#REF!</v>
      </c>
      <c r="O838" s="41" t="e">
        <f>IFERROR(INDEX(CO2_GJ,MATCH(#REF!,CoeffIndex,0),MATCH(O$2,CoeffYear,0)),N838)</f>
        <v>#REF!</v>
      </c>
      <c r="P838" s="41" t="e">
        <f>IFERROR(INDEX(CO2_GJ,MATCH(#REF!,CoeffIndex,0),MATCH(P$2,CoeffYear,0)),O838)</f>
        <v>#REF!</v>
      </c>
      <c r="Q838" s="41" t="e">
        <f>IFERROR(INDEX(CO2_GJ,MATCH(#REF!,CoeffIndex,0),MATCH(Q$2,CoeffYear,0)),P838)</f>
        <v>#REF!</v>
      </c>
      <c r="R838" s="41" t="e">
        <f>IFERROR(INDEX(CO2_GJ,MATCH(#REF!,CoeffIndex,0),MATCH(R$2,CoeffYear,0)),Q838)</f>
        <v>#REF!</v>
      </c>
      <c r="S838" s="190"/>
      <c r="T838" s="340"/>
      <c r="U838" s="190"/>
    </row>
    <row r="839" spans="1:21" customFormat="1" outlineLevel="1">
      <c r="A839" s="22"/>
      <c r="B839" t="s">
        <v>307</v>
      </c>
      <c r="C839" s="75" t="s">
        <v>17</v>
      </c>
      <c r="D839" s="75"/>
      <c r="E839" s="367" t="s">
        <v>292</v>
      </c>
      <c r="F839" t="s">
        <v>248</v>
      </c>
      <c r="G839" s="190"/>
      <c r="H839" s="41" t="e">
        <f>IFERROR(INDEX(CH4_GJ,MATCH(#REF!,CoeffIndex,0),MATCH(H$2,CoeffYear,0)),#REF!)</f>
        <v>#REF!</v>
      </c>
      <c r="I839" s="41" t="e">
        <f>IFERROR(INDEX(CH4_GJ,MATCH(#REF!,CoeffIndex,0),MATCH(I$2,CoeffYear,0)),H839)</f>
        <v>#REF!</v>
      </c>
      <c r="J839" s="41" t="e">
        <f>IFERROR(INDEX(CH4_GJ,MATCH(#REF!,CoeffIndex,0),MATCH(J$2,CoeffYear,0)),I839)</f>
        <v>#REF!</v>
      </c>
      <c r="K839" s="41" t="e">
        <f>IFERROR(INDEX(CH4_GJ,MATCH(#REF!,CoeffIndex,0),MATCH(K$2,CoeffYear,0)),J839)</f>
        <v>#REF!</v>
      </c>
      <c r="L839" s="41" t="e">
        <f>IFERROR(INDEX(CH4_GJ,MATCH(#REF!,CoeffIndex,0),MATCH(L$2,CoeffYear,0)),K839)</f>
        <v>#REF!</v>
      </c>
      <c r="M839" s="41" t="e">
        <f>IFERROR(INDEX(CH4_GJ,MATCH(#REF!,CoeffIndex,0),MATCH(M$2,CoeffYear,0)),L839)</f>
        <v>#REF!</v>
      </c>
      <c r="N839" s="41" t="e">
        <f>IFERROR(INDEX(CH4_GJ,MATCH(#REF!,CoeffIndex,0),MATCH(N$2,CoeffYear,0)),M839)</f>
        <v>#REF!</v>
      </c>
      <c r="O839" s="41" t="e">
        <f>IFERROR(INDEX(CH4_GJ,MATCH(#REF!,CoeffIndex,0),MATCH(O$2,CoeffYear,0)),N839)</f>
        <v>#REF!</v>
      </c>
      <c r="P839" s="41" t="e">
        <f>IFERROR(INDEX(CH4_GJ,MATCH(#REF!,CoeffIndex,0),MATCH(P$2,CoeffYear,0)),O839)</f>
        <v>#REF!</v>
      </c>
      <c r="Q839" s="41" t="e">
        <f>IFERROR(INDEX(CH4_GJ,MATCH(#REF!,CoeffIndex,0),MATCH(Q$2,CoeffYear,0)),P839)</f>
        <v>#REF!</v>
      </c>
      <c r="R839" s="41" t="e">
        <f>IFERROR(INDEX(CH4_GJ,MATCH(#REF!,CoeffIndex,0),MATCH(R$2,CoeffYear,0)),Q839)</f>
        <v>#REF!</v>
      </c>
      <c r="S839" s="190"/>
      <c r="T839" s="340"/>
      <c r="U839" s="190"/>
    </row>
    <row r="840" spans="1:21" customFormat="1" outlineLevel="1">
      <c r="A840" s="22"/>
      <c r="B840" t="s">
        <v>307</v>
      </c>
      <c r="C840" s="75" t="s">
        <v>18</v>
      </c>
      <c r="D840" s="75"/>
      <c r="E840" s="367" t="s">
        <v>292</v>
      </c>
      <c r="F840" t="s">
        <v>248</v>
      </c>
      <c r="G840" s="190"/>
      <c r="H840" s="41" t="e">
        <f>IFERROR(INDEX(N2O_GJ,MATCH(#REF!,CoeffIndex,0),MATCH(H$2,CoeffYear,0)),#REF!)</f>
        <v>#REF!</v>
      </c>
      <c r="I840" s="41" t="e">
        <f>IFERROR(INDEX(N2O_GJ,MATCH(#REF!,CoeffIndex,0),MATCH(I$2,CoeffYear,0)),H840)</f>
        <v>#REF!</v>
      </c>
      <c r="J840" s="41" t="e">
        <f>IFERROR(INDEX(N2O_GJ,MATCH(#REF!,CoeffIndex,0),MATCH(J$2,CoeffYear,0)),I840)</f>
        <v>#REF!</v>
      </c>
      <c r="K840" s="41" t="e">
        <f>IFERROR(INDEX(N2O_GJ,MATCH(#REF!,CoeffIndex,0),MATCH(K$2,CoeffYear,0)),J840)</f>
        <v>#REF!</v>
      </c>
      <c r="L840" s="41" t="e">
        <f>IFERROR(INDEX(N2O_GJ,MATCH(#REF!,CoeffIndex,0),MATCH(L$2,CoeffYear,0)),K840)</f>
        <v>#REF!</v>
      </c>
      <c r="M840" s="41" t="e">
        <f>IFERROR(INDEX(N2O_GJ,MATCH(#REF!,CoeffIndex,0),MATCH(M$2,CoeffYear,0)),L840)</f>
        <v>#REF!</v>
      </c>
      <c r="N840" s="41" t="e">
        <f>IFERROR(INDEX(N2O_GJ,MATCH(#REF!,CoeffIndex,0),MATCH(N$2,CoeffYear,0)),M840)</f>
        <v>#REF!</v>
      </c>
      <c r="O840" s="41" t="e">
        <f>IFERROR(INDEX(N2O_GJ,MATCH(#REF!,CoeffIndex,0),MATCH(O$2,CoeffYear,0)),N840)</f>
        <v>#REF!</v>
      </c>
      <c r="P840" s="41" t="e">
        <f>IFERROR(INDEX(N2O_GJ,MATCH(#REF!,CoeffIndex,0),MATCH(P$2,CoeffYear,0)),O840)</f>
        <v>#REF!</v>
      </c>
      <c r="Q840" s="41" t="e">
        <f>IFERROR(INDEX(N2O_GJ,MATCH(#REF!,CoeffIndex,0),MATCH(Q$2,CoeffYear,0)),P840)</f>
        <v>#REF!</v>
      </c>
      <c r="R840" s="41" t="e">
        <f>IFERROR(INDEX(N2O_GJ,MATCH(#REF!,CoeffIndex,0),MATCH(R$2,CoeffYear,0)),Q840)</f>
        <v>#REF!</v>
      </c>
      <c r="S840" s="190"/>
      <c r="T840" s="340"/>
      <c r="U840" s="190"/>
    </row>
    <row r="841" spans="1:21" s="3" customFormat="1" outlineLevel="1">
      <c r="A841" s="21"/>
      <c r="B841" s="67" t="s">
        <v>485</v>
      </c>
      <c r="C841" s="75" t="s">
        <v>2</v>
      </c>
      <c r="D841" s="4"/>
      <c r="E841" s="347"/>
      <c r="F841" s="67" t="s">
        <v>317</v>
      </c>
      <c r="G841" s="5"/>
      <c r="H841" s="54">
        <v>22</v>
      </c>
      <c r="I841" s="54"/>
      <c r="J841" s="54"/>
      <c r="K841" s="54"/>
      <c r="L841" s="54"/>
      <c r="M841" s="54"/>
      <c r="N841" s="54"/>
      <c r="O841" s="54"/>
      <c r="P841" s="54"/>
      <c r="Q841" s="54"/>
      <c r="R841" s="54"/>
      <c r="S841" s="5"/>
      <c r="T841" s="13"/>
      <c r="U841" s="5"/>
    </row>
    <row r="842" spans="1:21" customFormat="1" outlineLevel="1">
      <c r="A842" s="22"/>
      <c r="B842" t="s">
        <v>301</v>
      </c>
      <c r="C842" s="75"/>
      <c r="D842" s="75" t="s">
        <v>455</v>
      </c>
      <c r="E842" s="367" t="s">
        <v>291</v>
      </c>
      <c r="F842" t="s">
        <v>339</v>
      </c>
      <c r="G842" s="190"/>
      <c r="H842" s="370">
        <f>1/3.6</f>
        <v>0.27777777777777779</v>
      </c>
      <c r="I842" s="370">
        <f t="shared" ref="I842:R842" si="148">1/3.6</f>
        <v>0.27777777777777779</v>
      </c>
      <c r="J842" s="370">
        <f t="shared" si="148"/>
        <v>0.27777777777777779</v>
      </c>
      <c r="K842" s="370">
        <f t="shared" si="148"/>
        <v>0.27777777777777779</v>
      </c>
      <c r="L842" s="370">
        <f t="shared" si="148"/>
        <v>0.27777777777777779</v>
      </c>
      <c r="M842" s="370">
        <f t="shared" si="148"/>
        <v>0.27777777777777779</v>
      </c>
      <c r="N842" s="370">
        <f t="shared" si="148"/>
        <v>0.27777777777777779</v>
      </c>
      <c r="O842" s="370">
        <f t="shared" si="148"/>
        <v>0.27777777777777779</v>
      </c>
      <c r="P842" s="370">
        <f t="shared" si="148"/>
        <v>0.27777777777777779</v>
      </c>
      <c r="Q842" s="370">
        <f t="shared" si="148"/>
        <v>0.27777777777777779</v>
      </c>
      <c r="R842" s="370">
        <f t="shared" si="148"/>
        <v>0.27777777777777779</v>
      </c>
      <c r="S842" s="190"/>
      <c r="T842" s="340"/>
      <c r="U842" s="190"/>
    </row>
    <row r="843" spans="1:21" s="3" customFormat="1" outlineLevel="1">
      <c r="A843" s="21" t="s">
        <v>436</v>
      </c>
      <c r="C843" s="13"/>
      <c r="F843" s="9"/>
      <c r="G843" s="13"/>
      <c r="S843" s="5"/>
      <c r="T843" s="13"/>
      <c r="U843" s="5"/>
    </row>
    <row r="844" spans="1:21" s="386" customFormat="1" collapsed="1">
      <c r="A844" s="386" t="s">
        <v>4</v>
      </c>
      <c r="C844" s="387"/>
      <c r="F844" s="388"/>
      <c r="G844" s="387"/>
      <c r="T844" s="387"/>
    </row>
    <row r="845" spans="1:21" customFormat="1" hidden="1" outlineLevel="1">
      <c r="A845" s="22"/>
      <c r="B845" t="s">
        <v>300</v>
      </c>
      <c r="C845" s="75" t="str">
        <f>A844</f>
        <v>Generation</v>
      </c>
      <c r="D845" s="75" t="s">
        <v>455</v>
      </c>
      <c r="E845" s="367"/>
      <c r="F845" t="s">
        <v>189</v>
      </c>
      <c r="G845" s="190"/>
      <c r="H845" s="39"/>
      <c r="I845" s="39"/>
      <c r="J845" s="39"/>
      <c r="K845" s="39"/>
      <c r="L845" s="39"/>
      <c r="M845" s="39"/>
      <c r="N845" s="39"/>
      <c r="O845" s="39"/>
      <c r="P845" s="39"/>
      <c r="Q845" s="39"/>
      <c r="R845" s="39"/>
      <c r="S845" s="190"/>
      <c r="T845" s="340"/>
      <c r="U845" s="190"/>
    </row>
    <row r="846" spans="1:21" customFormat="1" hidden="1" outlineLevel="1">
      <c r="A846" s="22"/>
      <c r="B846" t="s">
        <v>466</v>
      </c>
      <c r="C846" s="75" t="s">
        <v>111</v>
      </c>
      <c r="D846" s="75"/>
      <c r="E846" s="367"/>
      <c r="G846" s="190"/>
      <c r="H846" s="39"/>
      <c r="I846" s="39"/>
      <c r="J846" s="39"/>
      <c r="K846" s="39"/>
      <c r="L846" s="39"/>
      <c r="M846" s="39"/>
      <c r="N846" s="39"/>
      <c r="O846" s="39"/>
      <c r="P846" s="39"/>
      <c r="Q846" s="39"/>
      <c r="R846" s="39"/>
      <c r="S846" s="190"/>
      <c r="T846" s="340"/>
      <c r="U846" s="190"/>
    </row>
    <row r="847" spans="1:21" customFormat="1" hidden="1" outlineLevel="1">
      <c r="A847" s="22"/>
      <c r="B847" t="s">
        <v>46</v>
      </c>
      <c r="C847" s="75" t="s">
        <v>21</v>
      </c>
      <c r="D847" s="75"/>
      <c r="E847" s="367"/>
      <c r="G847" s="190"/>
      <c r="S847" s="190"/>
      <c r="T847" s="340"/>
      <c r="U847" s="190"/>
    </row>
    <row r="848" spans="1:21" customFormat="1" hidden="1" outlineLevel="1">
      <c r="A848" s="22"/>
      <c r="B848" t="s">
        <v>125</v>
      </c>
      <c r="C848" s="369"/>
      <c r="D848" s="75"/>
      <c r="E848" s="367"/>
      <c r="F848" t="s">
        <v>189</v>
      </c>
      <c r="G848" s="190"/>
      <c r="H848" s="39">
        <f>1084490/3.6</f>
        <v>301247.22222222219</v>
      </c>
      <c r="I848" s="221"/>
      <c r="J848" s="221"/>
      <c r="K848" s="221"/>
      <c r="L848" s="221"/>
      <c r="M848" s="221"/>
      <c r="N848" s="221"/>
      <c r="O848" s="221"/>
      <c r="P848" s="221"/>
      <c r="Q848" s="221"/>
      <c r="R848" s="221"/>
      <c r="S848" s="190"/>
      <c r="T848" s="340"/>
      <c r="U848" s="190"/>
    </row>
    <row r="849" spans="1:21" customFormat="1" hidden="1" outlineLevel="1">
      <c r="A849" s="22"/>
      <c r="B849" t="s">
        <v>329</v>
      </c>
      <c r="C849" s="369"/>
      <c r="D849" s="75"/>
      <c r="E849" s="367"/>
      <c r="F849" t="s">
        <v>189</v>
      </c>
      <c r="G849" s="190"/>
      <c r="H849" s="39">
        <f>H848</f>
        <v>301247.22222222219</v>
      </c>
      <c r="I849" s="268">
        <f t="shared" ref="I849:R849" si="149">$H849*0.8</f>
        <v>240997.77777777775</v>
      </c>
      <c r="J849" s="268">
        <f t="shared" si="149"/>
        <v>240997.77777777775</v>
      </c>
      <c r="K849" s="268">
        <f t="shared" si="149"/>
        <v>240997.77777777775</v>
      </c>
      <c r="L849" s="268">
        <f t="shared" si="149"/>
        <v>240997.77777777775</v>
      </c>
      <c r="M849" s="268">
        <f t="shared" si="149"/>
        <v>240997.77777777775</v>
      </c>
      <c r="N849" s="268">
        <f t="shared" si="149"/>
        <v>240997.77777777775</v>
      </c>
      <c r="O849" s="268">
        <f t="shared" si="149"/>
        <v>240997.77777777775</v>
      </c>
      <c r="P849" s="268">
        <f t="shared" si="149"/>
        <v>240997.77777777775</v>
      </c>
      <c r="Q849" s="268">
        <f t="shared" si="149"/>
        <v>240997.77777777775</v>
      </c>
      <c r="R849" s="268">
        <f t="shared" si="149"/>
        <v>240997.77777777775</v>
      </c>
      <c r="S849" s="190"/>
      <c r="T849" s="340"/>
      <c r="U849" s="190"/>
    </row>
    <row r="850" spans="1:21" customFormat="1" hidden="1" outlineLevel="1">
      <c r="A850" s="22"/>
      <c r="B850" t="s">
        <v>301</v>
      </c>
      <c r="C850" s="369" t="s">
        <v>3</v>
      </c>
      <c r="D850" s="75" t="s">
        <v>456</v>
      </c>
      <c r="E850" s="367"/>
      <c r="F850" t="s">
        <v>340</v>
      </c>
      <c r="G850" s="190"/>
      <c r="H850" s="370">
        <v>1</v>
      </c>
      <c r="I850" s="219">
        <f>H850</f>
        <v>1</v>
      </c>
      <c r="J850" s="219">
        <f t="shared" ref="J850:R850" si="150">I850</f>
        <v>1</v>
      </c>
      <c r="K850" s="219">
        <f t="shared" si="150"/>
        <v>1</v>
      </c>
      <c r="L850" s="219">
        <f t="shared" si="150"/>
        <v>1</v>
      </c>
      <c r="M850" s="219">
        <f t="shared" si="150"/>
        <v>1</v>
      </c>
      <c r="N850" s="219">
        <f t="shared" si="150"/>
        <v>1</v>
      </c>
      <c r="O850" s="219">
        <f t="shared" si="150"/>
        <v>1</v>
      </c>
      <c r="P850" s="219">
        <f t="shared" si="150"/>
        <v>1</v>
      </c>
      <c r="Q850" s="219">
        <f t="shared" si="150"/>
        <v>1</v>
      </c>
      <c r="R850" s="219">
        <f t="shared" si="150"/>
        <v>1</v>
      </c>
      <c r="S850" s="190"/>
      <c r="T850" s="340"/>
      <c r="U850" s="190"/>
    </row>
    <row r="851" spans="1:21" s="386" customFormat="1" collapsed="1">
      <c r="A851" s="386" t="s">
        <v>3</v>
      </c>
      <c r="C851" s="387"/>
      <c r="F851" s="388"/>
      <c r="G851" s="387"/>
      <c r="T851" s="387"/>
    </row>
    <row r="852" spans="1:21" customFormat="1" hidden="1" outlineLevel="1">
      <c r="A852" s="22"/>
      <c r="B852" t="s">
        <v>300</v>
      </c>
      <c r="C852" s="75" t="str">
        <f>A851</f>
        <v>Base load</v>
      </c>
      <c r="D852" s="75" t="s">
        <v>456</v>
      </c>
      <c r="E852" s="367"/>
      <c r="F852" t="s">
        <v>189</v>
      </c>
      <c r="G852" s="190"/>
      <c r="H852" s="39"/>
      <c r="I852" s="39"/>
      <c r="J852" s="39"/>
      <c r="K852" s="39"/>
      <c r="L852" s="39"/>
      <c r="M852" s="39"/>
      <c r="N852" s="39"/>
      <c r="O852" s="39"/>
      <c r="P852" s="39"/>
      <c r="Q852" s="39"/>
      <c r="R852" s="39"/>
      <c r="S852" s="190"/>
      <c r="T852" s="340"/>
      <c r="U852" s="190"/>
    </row>
    <row r="853" spans="1:21" customFormat="1" hidden="1" outlineLevel="1">
      <c r="A853" s="22"/>
      <c r="B853" t="s">
        <v>466</v>
      </c>
      <c r="C853" s="75" t="s">
        <v>111</v>
      </c>
      <c r="D853" s="75"/>
      <c r="E853" s="367"/>
      <c r="G853" s="190"/>
      <c r="H853" s="39"/>
      <c r="I853" s="39"/>
      <c r="J853" s="39"/>
      <c r="K853" s="39"/>
      <c r="L853" s="39"/>
      <c r="M853" s="39"/>
      <c r="N853" s="39"/>
      <c r="O853" s="39"/>
      <c r="P853" s="39"/>
      <c r="Q853" s="39"/>
      <c r="R853" s="39"/>
      <c r="S853" s="190"/>
      <c r="T853" s="340"/>
      <c r="U853" s="190"/>
    </row>
    <row r="854" spans="1:21" customFormat="1" ht="16" hidden="1" customHeight="1" outlineLevel="1">
      <c r="A854" s="22"/>
      <c r="B854" t="s">
        <v>46</v>
      </c>
      <c r="C854" s="369" t="s">
        <v>20</v>
      </c>
      <c r="D854" s="75"/>
      <c r="E854" s="367"/>
      <c r="G854" s="190"/>
      <c r="S854" s="190"/>
      <c r="T854" s="340"/>
      <c r="U854" s="190"/>
    </row>
    <row r="855" spans="1:21" customFormat="1" hidden="1" outlineLevel="1">
      <c r="A855" s="22"/>
      <c r="B855" t="s">
        <v>65</v>
      </c>
      <c r="C855" s="369" t="s">
        <v>34</v>
      </c>
      <c r="D855" s="75"/>
      <c r="E855" s="367"/>
      <c r="G855" s="190"/>
      <c r="H855">
        <v>10</v>
      </c>
      <c r="I855" s="202">
        <f>H855</f>
        <v>10</v>
      </c>
      <c r="J855" s="202">
        <f t="shared" ref="J855:R855" si="151">I855</f>
        <v>10</v>
      </c>
      <c r="K855" s="202">
        <f t="shared" si="151"/>
        <v>10</v>
      </c>
      <c r="L855" s="202">
        <f t="shared" si="151"/>
        <v>10</v>
      </c>
      <c r="M855" s="202">
        <f t="shared" si="151"/>
        <v>10</v>
      </c>
      <c r="N855" s="202">
        <f t="shared" si="151"/>
        <v>10</v>
      </c>
      <c r="O855" s="202">
        <f t="shared" si="151"/>
        <v>10</v>
      </c>
      <c r="P855" s="202">
        <f t="shared" si="151"/>
        <v>10</v>
      </c>
      <c r="Q855" s="202">
        <f t="shared" si="151"/>
        <v>10</v>
      </c>
      <c r="R855" s="202">
        <f t="shared" si="151"/>
        <v>10</v>
      </c>
      <c r="S855" s="190"/>
      <c r="T855" s="340"/>
      <c r="U855" s="190"/>
    </row>
    <row r="856" spans="1:21" customFormat="1" hidden="1" outlineLevel="1">
      <c r="A856" s="22"/>
      <c r="B856" t="s">
        <v>73</v>
      </c>
      <c r="C856" s="371" t="s">
        <v>70</v>
      </c>
      <c r="D856" s="372"/>
      <c r="E856" s="367"/>
      <c r="F856" s="373"/>
      <c r="G856" s="190"/>
      <c r="H856" s="373"/>
      <c r="I856" s="373"/>
      <c r="J856" s="373"/>
      <c r="K856" s="373"/>
      <c r="L856" s="373"/>
      <c r="M856" s="373"/>
      <c r="N856" s="373"/>
      <c r="O856" s="373"/>
      <c r="P856" s="373"/>
      <c r="Q856" s="373"/>
      <c r="R856" s="373"/>
      <c r="S856" s="190"/>
      <c r="T856" s="340"/>
      <c r="U856" s="190"/>
    </row>
    <row r="857" spans="1:21" customFormat="1" hidden="1" outlineLevel="1">
      <c r="A857" s="22"/>
      <c r="B857" s="374" t="s">
        <v>37</v>
      </c>
      <c r="C857" s="75" t="str">
        <f>C856</f>
        <v>Conventional</v>
      </c>
      <c r="D857" s="375"/>
      <c r="E857" s="376"/>
      <c r="F857" s="374" t="s">
        <v>39</v>
      </c>
      <c r="G857" s="377"/>
      <c r="H857">
        <v>2000</v>
      </c>
      <c r="I857" s="378">
        <f t="shared" ref="I857:R858" si="152">H857</f>
        <v>2000</v>
      </c>
      <c r="J857" s="378">
        <f t="shared" si="152"/>
        <v>2000</v>
      </c>
      <c r="K857" s="378">
        <f t="shared" si="152"/>
        <v>2000</v>
      </c>
      <c r="L857" s="378">
        <f t="shared" si="152"/>
        <v>2000</v>
      </c>
      <c r="M857" s="378">
        <f t="shared" si="152"/>
        <v>2000</v>
      </c>
      <c r="N857" s="378">
        <f t="shared" si="152"/>
        <v>2000</v>
      </c>
      <c r="O857" s="378">
        <f t="shared" si="152"/>
        <v>2000</v>
      </c>
      <c r="P857" s="378">
        <f t="shared" si="152"/>
        <v>2000</v>
      </c>
      <c r="Q857" s="378">
        <f t="shared" si="152"/>
        <v>2000</v>
      </c>
      <c r="R857" s="378">
        <f t="shared" si="152"/>
        <v>2000</v>
      </c>
      <c r="S857" s="190"/>
      <c r="T857" s="340"/>
      <c r="U857" s="190"/>
    </row>
    <row r="858" spans="1:21" customFormat="1" hidden="1" outlineLevel="1">
      <c r="A858" s="22"/>
      <c r="B858" s="374" t="s">
        <v>36</v>
      </c>
      <c r="C858" s="75" t="str">
        <f t="shared" ref="C858:C885" si="153">C857</f>
        <v>Conventional</v>
      </c>
      <c r="D858" s="375"/>
      <c r="E858" s="376"/>
      <c r="F858" s="374" t="s">
        <v>39</v>
      </c>
      <c r="G858" s="377"/>
      <c r="H858">
        <v>2100</v>
      </c>
      <c r="I858" s="378">
        <f t="shared" si="152"/>
        <v>2100</v>
      </c>
      <c r="J858" s="378">
        <f t="shared" si="152"/>
        <v>2100</v>
      </c>
      <c r="K858" s="378">
        <f t="shared" si="152"/>
        <v>2100</v>
      </c>
      <c r="L858" s="378">
        <f t="shared" si="152"/>
        <v>2100</v>
      </c>
      <c r="M858" s="378">
        <f t="shared" si="152"/>
        <v>2100</v>
      </c>
      <c r="N858" s="378">
        <f t="shared" si="152"/>
        <v>2100</v>
      </c>
      <c r="O858" s="378">
        <f t="shared" si="152"/>
        <v>2100</v>
      </c>
      <c r="P858" s="378">
        <f t="shared" si="152"/>
        <v>2100</v>
      </c>
      <c r="Q858" s="378">
        <f t="shared" si="152"/>
        <v>2100</v>
      </c>
      <c r="R858" s="378">
        <f t="shared" si="152"/>
        <v>2100</v>
      </c>
      <c r="S858" s="190"/>
      <c r="T858" s="340"/>
      <c r="U858" s="190"/>
    </row>
    <row r="859" spans="1:21" customFormat="1" hidden="1" outlineLevel="1">
      <c r="A859" s="22"/>
      <c r="B859" s="374" t="s">
        <v>38</v>
      </c>
      <c r="C859" s="75" t="str">
        <f t="shared" si="153"/>
        <v>Conventional</v>
      </c>
      <c r="D859" s="375"/>
      <c r="E859" s="376"/>
      <c r="F859" s="374" t="s">
        <v>10</v>
      </c>
      <c r="G859" s="377"/>
      <c r="H859" s="39"/>
      <c r="I859" s="39"/>
      <c r="J859" s="39"/>
      <c r="K859" s="39"/>
      <c r="L859" s="39"/>
      <c r="M859" s="39"/>
      <c r="N859" s="39"/>
      <c r="O859" s="39"/>
      <c r="P859" s="39"/>
      <c r="Q859" s="39"/>
      <c r="R859" s="39"/>
      <c r="S859" s="190"/>
      <c r="T859" s="340"/>
      <c r="U859" s="190"/>
    </row>
    <row r="860" spans="1:21" customFormat="1" hidden="1" outlineLevel="1">
      <c r="A860" s="22"/>
      <c r="B860" s="374" t="s">
        <v>353</v>
      </c>
      <c r="C860" s="75" t="str">
        <f t="shared" si="153"/>
        <v>Conventional</v>
      </c>
      <c r="D860" s="375"/>
      <c r="E860" s="376"/>
      <c r="F860" s="374" t="s">
        <v>10</v>
      </c>
      <c r="G860" s="377"/>
      <c r="H860" s="39"/>
      <c r="I860" s="39"/>
      <c r="J860" s="39"/>
      <c r="K860" s="39"/>
      <c r="L860" s="39"/>
      <c r="M860" s="39"/>
      <c r="N860" s="39"/>
      <c r="O860" s="39"/>
      <c r="P860" s="39"/>
      <c r="Q860" s="39"/>
      <c r="R860" s="39"/>
      <c r="S860" s="190"/>
      <c r="T860" s="340"/>
      <c r="U860" s="190"/>
    </row>
    <row r="861" spans="1:21" customFormat="1" hidden="1" outlineLevel="1">
      <c r="A861" s="22"/>
      <c r="B861" s="374" t="s">
        <v>304</v>
      </c>
      <c r="C861" s="75" t="str">
        <f t="shared" si="153"/>
        <v>Conventional</v>
      </c>
      <c r="D861" s="375"/>
      <c r="E861" s="376"/>
      <c r="F861" s="374" t="s">
        <v>96</v>
      </c>
      <c r="G861" s="377"/>
      <c r="H861" s="261"/>
      <c r="I861" s="261"/>
      <c r="J861" s="261"/>
      <c r="K861" s="261"/>
      <c r="L861" s="261"/>
      <c r="M861" s="261"/>
      <c r="N861" s="261"/>
      <c r="O861" s="261"/>
      <c r="P861" s="261"/>
      <c r="Q861" s="261"/>
      <c r="R861" s="261"/>
      <c r="S861" s="190"/>
      <c r="T861" s="340"/>
      <c r="U861" s="190"/>
    </row>
    <row r="862" spans="1:21" customFormat="1" hidden="1" outlineLevel="1">
      <c r="A862" s="22"/>
      <c r="B862" s="374" t="s">
        <v>350</v>
      </c>
      <c r="C862" s="75" t="str">
        <f t="shared" si="153"/>
        <v>Conventional</v>
      </c>
      <c r="D862" s="375"/>
      <c r="E862" s="376"/>
      <c r="F862" s="374" t="s">
        <v>96</v>
      </c>
      <c r="G862" s="377"/>
      <c r="H862" s="261"/>
      <c r="I862" s="261"/>
      <c r="J862" s="261"/>
      <c r="K862" s="261"/>
      <c r="L862" s="261"/>
      <c r="M862" s="261"/>
      <c r="N862" s="261"/>
      <c r="O862" s="261"/>
      <c r="P862" s="261"/>
      <c r="Q862" s="261"/>
      <c r="R862" s="261"/>
      <c r="S862" s="190"/>
      <c r="T862" s="340"/>
      <c r="U862" s="190"/>
    </row>
    <row r="863" spans="1:21" customFormat="1" hidden="1" outlineLevel="1">
      <c r="A863" s="22"/>
      <c r="B863" s="374" t="s">
        <v>349</v>
      </c>
      <c r="C863" s="75" t="str">
        <f t="shared" si="153"/>
        <v>Conventional</v>
      </c>
      <c r="D863" s="375"/>
      <c r="E863" s="376"/>
      <c r="F863" s="374" t="s">
        <v>96</v>
      </c>
      <c r="G863" s="377"/>
      <c r="H863" s="261"/>
      <c r="I863" s="261"/>
      <c r="J863" s="261"/>
      <c r="K863" s="261"/>
      <c r="L863" s="261"/>
      <c r="M863" s="261"/>
      <c r="N863" s="261"/>
      <c r="O863" s="261"/>
      <c r="P863" s="261"/>
      <c r="Q863" s="261"/>
      <c r="R863" s="261"/>
      <c r="S863" s="190"/>
      <c r="T863" s="340"/>
      <c r="U863" s="190"/>
    </row>
    <row r="864" spans="1:21" customFormat="1" hidden="1" outlineLevel="1">
      <c r="A864" s="22"/>
      <c r="B864" s="374" t="s">
        <v>74</v>
      </c>
      <c r="C864" s="75" t="str">
        <f t="shared" si="153"/>
        <v>Conventional</v>
      </c>
      <c r="D864" s="375"/>
      <c r="E864" s="376"/>
      <c r="F864" s="374" t="s">
        <v>96</v>
      </c>
      <c r="G864" s="377"/>
      <c r="H864" s="261">
        <v>0.98499999999999999</v>
      </c>
      <c r="I864" s="261"/>
      <c r="J864" s="261"/>
      <c r="K864" s="261"/>
      <c r="L864" s="261"/>
      <c r="M864" s="261"/>
      <c r="N864" s="261"/>
      <c r="O864" s="261"/>
      <c r="P864" s="261"/>
      <c r="Q864" s="261"/>
      <c r="R864" s="261"/>
      <c r="S864" s="190"/>
      <c r="T864" s="340"/>
      <c r="U864" s="190"/>
    </row>
    <row r="865" spans="1:21" customFormat="1" hidden="1" outlineLevel="1">
      <c r="A865" s="22"/>
      <c r="B865" s="68" t="s">
        <v>146</v>
      </c>
      <c r="C865" s="75" t="str">
        <f t="shared" si="153"/>
        <v>Conventional</v>
      </c>
      <c r="D865" s="379"/>
      <c r="E865" s="380"/>
      <c r="F865" s="68" t="s">
        <v>96</v>
      </c>
      <c r="G865" s="381"/>
      <c r="H865" s="261"/>
      <c r="I865" s="261"/>
      <c r="J865" s="261"/>
      <c r="K865" s="261"/>
      <c r="L865" s="261"/>
      <c r="M865" s="261"/>
      <c r="N865" s="261"/>
      <c r="O865" s="261"/>
      <c r="P865" s="261"/>
      <c r="Q865" s="261"/>
      <c r="R865" s="261"/>
      <c r="S865" s="190"/>
      <c r="T865" s="340"/>
      <c r="U865" s="190"/>
    </row>
    <row r="866" spans="1:21" customFormat="1" hidden="1" outlineLevel="1">
      <c r="A866" s="22"/>
      <c r="B866" s="68" t="s">
        <v>147</v>
      </c>
      <c r="C866" s="75" t="str">
        <f t="shared" si="153"/>
        <v>Conventional</v>
      </c>
      <c r="D866" s="379"/>
      <c r="E866" s="380"/>
      <c r="F866" s="68" t="s">
        <v>96</v>
      </c>
      <c r="G866" s="381"/>
      <c r="H866" s="261"/>
      <c r="I866" s="261"/>
      <c r="J866" s="261"/>
      <c r="K866" s="261"/>
      <c r="L866" s="261"/>
      <c r="M866" s="261"/>
      <c r="N866" s="261"/>
      <c r="O866" s="261"/>
      <c r="P866" s="261"/>
      <c r="Q866" s="261"/>
      <c r="R866" s="261"/>
      <c r="S866" s="190"/>
      <c r="T866" s="340"/>
      <c r="U866" s="190"/>
    </row>
    <row r="867" spans="1:21" customFormat="1" hidden="1" outlineLevel="1">
      <c r="A867" s="22"/>
      <c r="B867" s="68" t="s">
        <v>362</v>
      </c>
      <c r="C867" s="75" t="str">
        <f t="shared" si="153"/>
        <v>Conventional</v>
      </c>
      <c r="D867" s="379"/>
      <c r="E867" s="380"/>
      <c r="F867" s="68" t="s">
        <v>96</v>
      </c>
      <c r="G867" s="381"/>
      <c r="H867" s="261"/>
      <c r="I867" s="261"/>
      <c r="J867" s="261"/>
      <c r="K867" s="261"/>
      <c r="L867" s="261"/>
      <c r="M867" s="261"/>
      <c r="N867" s="261"/>
      <c r="O867" s="261"/>
      <c r="P867" s="261"/>
      <c r="Q867" s="261"/>
      <c r="R867" s="261"/>
      <c r="S867" s="190"/>
      <c r="T867" s="340"/>
      <c r="U867" s="190"/>
    </row>
    <row r="868" spans="1:21" customFormat="1" hidden="1" outlineLevel="1">
      <c r="A868" s="22"/>
      <c r="B868" s="68" t="s">
        <v>363</v>
      </c>
      <c r="C868" s="75" t="str">
        <f t="shared" si="153"/>
        <v>Conventional</v>
      </c>
      <c r="D868" s="379"/>
      <c r="E868" s="380"/>
      <c r="F868" s="68" t="s">
        <v>96</v>
      </c>
      <c r="G868" s="381"/>
      <c r="H868" s="261"/>
      <c r="I868" s="261"/>
      <c r="J868" s="261"/>
      <c r="K868" s="261"/>
      <c r="L868" s="261"/>
      <c r="M868" s="261"/>
      <c r="N868" s="261"/>
      <c r="O868" s="261"/>
      <c r="P868" s="261"/>
      <c r="Q868" s="261"/>
      <c r="R868" s="261"/>
      <c r="S868" s="190"/>
      <c r="T868" s="340"/>
      <c r="U868" s="190"/>
    </row>
    <row r="869" spans="1:21" customFormat="1" hidden="1" outlineLevel="1">
      <c r="A869" s="22"/>
      <c r="B869" s="374" t="s">
        <v>332</v>
      </c>
      <c r="C869" s="75" t="str">
        <f t="shared" si="153"/>
        <v>Conventional</v>
      </c>
      <c r="D869" s="375"/>
      <c r="E869" s="376"/>
      <c r="F869" s="374" t="s">
        <v>189</v>
      </c>
      <c r="G869" s="377"/>
      <c r="H869" s="40"/>
      <c r="I869" s="40"/>
      <c r="J869" s="40"/>
      <c r="K869" s="40"/>
      <c r="L869" s="40"/>
      <c r="M869" s="40"/>
      <c r="N869" s="40"/>
      <c r="O869" s="40"/>
      <c r="P869" s="40"/>
      <c r="Q869" s="40"/>
      <c r="R869" s="40"/>
      <c r="S869" s="190"/>
      <c r="T869" s="340"/>
      <c r="U869" s="190"/>
    </row>
    <row r="870" spans="1:21" customFormat="1" hidden="1" outlineLevel="1">
      <c r="A870" s="22"/>
      <c r="B870" s="374" t="s">
        <v>470</v>
      </c>
      <c r="C870" s="75" t="str">
        <f t="shared" si="153"/>
        <v>Conventional</v>
      </c>
      <c r="D870" s="375"/>
      <c r="E870" s="376"/>
      <c r="F870" s="374" t="s">
        <v>316</v>
      </c>
      <c r="G870" s="377"/>
      <c r="H870" s="41"/>
      <c r="I870" s="41"/>
      <c r="J870" s="41"/>
      <c r="K870" s="41"/>
      <c r="L870" s="41"/>
      <c r="M870" s="41"/>
      <c r="N870" s="41"/>
      <c r="O870" s="41"/>
      <c r="P870" s="41"/>
      <c r="Q870" s="41"/>
      <c r="R870" s="41"/>
      <c r="S870" s="190"/>
      <c r="T870" s="340"/>
      <c r="U870" s="190"/>
    </row>
    <row r="871" spans="1:21" customFormat="1" hidden="1" outlineLevel="1">
      <c r="A871" s="22"/>
      <c r="B871" s="374" t="s">
        <v>375</v>
      </c>
      <c r="C871" s="75" t="str">
        <f t="shared" si="153"/>
        <v>Conventional</v>
      </c>
      <c r="D871" s="375"/>
      <c r="E871" s="376"/>
      <c r="F871" s="374" t="s">
        <v>96</v>
      </c>
      <c r="G871" s="377"/>
      <c r="H871" s="261"/>
      <c r="I871" s="261"/>
      <c r="J871" s="261"/>
      <c r="K871" s="261"/>
      <c r="L871" s="261"/>
      <c r="M871" s="261"/>
      <c r="N871" s="261"/>
      <c r="O871" s="261"/>
      <c r="P871" s="261"/>
      <c r="Q871" s="261"/>
      <c r="R871" s="261"/>
      <c r="S871" s="190"/>
      <c r="T871" s="340"/>
      <c r="U871" s="190"/>
    </row>
    <row r="872" spans="1:21" customFormat="1" hidden="1" outlineLevel="1">
      <c r="A872" s="22"/>
      <c r="B872" s="374" t="s">
        <v>432</v>
      </c>
      <c r="C872" s="75" t="str">
        <f t="shared" si="153"/>
        <v>Conventional</v>
      </c>
      <c r="D872" s="375"/>
      <c r="E872" s="376"/>
      <c r="F872" s="374" t="s">
        <v>189</v>
      </c>
      <c r="G872" s="377"/>
      <c r="H872" s="39"/>
      <c r="I872" s="39"/>
      <c r="J872" s="39"/>
      <c r="K872" s="39"/>
      <c r="L872" s="39"/>
      <c r="M872" s="39"/>
      <c r="N872" s="39"/>
      <c r="O872" s="39"/>
      <c r="P872" s="39"/>
      <c r="Q872" s="39"/>
      <c r="R872" s="39"/>
      <c r="S872" s="190"/>
      <c r="T872" s="340"/>
      <c r="U872" s="190"/>
    </row>
    <row r="873" spans="1:21" customFormat="1" hidden="1" outlineLevel="1">
      <c r="A873" s="22"/>
      <c r="B873" s="374" t="s">
        <v>379</v>
      </c>
      <c r="C873" s="75" t="str">
        <f t="shared" si="153"/>
        <v>Conventional</v>
      </c>
      <c r="D873" s="375"/>
      <c r="E873" s="376"/>
      <c r="F873" s="374"/>
      <c r="G873" s="377"/>
      <c r="H873" s="41"/>
      <c r="I873" s="41"/>
      <c r="J873" s="41"/>
      <c r="K873" s="41"/>
      <c r="L873" s="41"/>
      <c r="M873" s="41"/>
      <c r="N873" s="41"/>
      <c r="O873" s="41"/>
      <c r="P873" s="41"/>
      <c r="Q873" s="41"/>
      <c r="R873" s="41"/>
      <c r="S873" s="190"/>
      <c r="T873" s="340"/>
      <c r="U873" s="190"/>
    </row>
    <row r="874" spans="1:21" customFormat="1" hidden="1" outlineLevel="1">
      <c r="A874" s="22"/>
      <c r="B874" s="374" t="s">
        <v>361</v>
      </c>
      <c r="C874" s="75" t="str">
        <f t="shared" si="153"/>
        <v>Conventional</v>
      </c>
      <c r="D874" s="375"/>
      <c r="E874" s="376"/>
      <c r="F874" s="374" t="s">
        <v>96</v>
      </c>
      <c r="G874" s="377"/>
      <c r="H874" s="261"/>
      <c r="I874" s="261"/>
      <c r="J874" s="261"/>
      <c r="K874" s="261"/>
      <c r="L874" s="261"/>
      <c r="M874" s="261"/>
      <c r="N874" s="261"/>
      <c r="O874" s="261"/>
      <c r="P874" s="261"/>
      <c r="Q874" s="261"/>
      <c r="R874" s="261"/>
      <c r="S874" s="190"/>
      <c r="T874" s="340"/>
      <c r="U874" s="190"/>
    </row>
    <row r="875" spans="1:21" customFormat="1" hidden="1" outlineLevel="1">
      <c r="A875" s="22"/>
      <c r="B875" s="374" t="s">
        <v>384</v>
      </c>
      <c r="C875" s="75" t="str">
        <f t="shared" si="153"/>
        <v>Conventional</v>
      </c>
      <c r="D875" s="375"/>
      <c r="E875" s="376"/>
      <c r="F875" s="374" t="s">
        <v>316</v>
      </c>
      <c r="G875" s="377"/>
      <c r="H875" s="41"/>
      <c r="I875" s="41"/>
      <c r="J875" s="41"/>
      <c r="K875" s="41"/>
      <c r="L875" s="41"/>
      <c r="M875" s="41"/>
      <c r="N875" s="41"/>
      <c r="O875" s="41"/>
      <c r="P875" s="41"/>
      <c r="Q875" s="41"/>
      <c r="R875" s="41"/>
      <c r="S875" s="190"/>
      <c r="T875" s="340"/>
      <c r="U875" s="190"/>
    </row>
    <row r="876" spans="1:21" customFormat="1" hidden="1" outlineLevel="1">
      <c r="A876" s="22"/>
      <c r="B876" s="374" t="s">
        <v>386</v>
      </c>
      <c r="C876" s="75" t="str">
        <f t="shared" si="153"/>
        <v>Conventional</v>
      </c>
      <c r="D876" s="375"/>
      <c r="E876" s="376"/>
      <c r="F876" s="374" t="s">
        <v>316</v>
      </c>
      <c r="G876" s="377"/>
      <c r="H876" s="39"/>
      <c r="I876" s="39"/>
      <c r="J876" s="39"/>
      <c r="K876" s="39"/>
      <c r="L876" s="39"/>
      <c r="M876" s="39"/>
      <c r="N876" s="39"/>
      <c r="O876" s="39"/>
      <c r="P876" s="39"/>
      <c r="Q876" s="39"/>
      <c r="R876" s="39"/>
      <c r="S876" s="190"/>
      <c r="T876" s="340"/>
      <c r="U876" s="190"/>
    </row>
    <row r="877" spans="1:21" customFormat="1" hidden="1" outlineLevel="1">
      <c r="A877" s="22"/>
      <c r="B877" s="374" t="s">
        <v>387</v>
      </c>
      <c r="C877" s="75" t="str">
        <f t="shared" si="153"/>
        <v>Conventional</v>
      </c>
      <c r="D877" s="375"/>
      <c r="E877" s="376"/>
      <c r="F877" s="374"/>
      <c r="G877" s="377"/>
      <c r="H877" s="261"/>
      <c r="I877" s="261"/>
      <c r="J877" s="261"/>
      <c r="K877" s="261"/>
      <c r="L877" s="261"/>
      <c r="M877" s="261"/>
      <c r="N877" s="261"/>
      <c r="O877" s="261"/>
      <c r="P877" s="261"/>
      <c r="Q877" s="261"/>
      <c r="R877" s="261"/>
      <c r="S877" s="190"/>
      <c r="T877" s="340"/>
      <c r="U877" s="190"/>
    </row>
    <row r="878" spans="1:21" customFormat="1" hidden="1" outlineLevel="1">
      <c r="A878" s="22"/>
      <c r="B878" s="374" t="s">
        <v>388</v>
      </c>
      <c r="C878" s="75" t="str">
        <f t="shared" si="153"/>
        <v>Conventional</v>
      </c>
      <c r="D878" s="375"/>
      <c r="E878" s="376"/>
      <c r="F878" s="374"/>
      <c r="G878" s="377"/>
      <c r="H878" s="39"/>
      <c r="I878" s="39"/>
      <c r="J878" s="39"/>
      <c r="K878" s="39"/>
      <c r="L878" s="39"/>
      <c r="M878" s="39"/>
      <c r="N878" s="39"/>
      <c r="O878" s="39"/>
      <c r="P878" s="39"/>
      <c r="Q878" s="39"/>
      <c r="R878" s="39"/>
      <c r="S878" s="190"/>
      <c r="T878" s="340"/>
      <c r="U878" s="190"/>
    </row>
    <row r="879" spans="1:21" customFormat="1" hidden="1" outlineLevel="1">
      <c r="A879" s="22"/>
      <c r="B879" s="374" t="s">
        <v>385</v>
      </c>
      <c r="C879" s="75" t="str">
        <f t="shared" si="153"/>
        <v>Conventional</v>
      </c>
      <c r="D879" s="375"/>
      <c r="E879" s="376"/>
      <c r="F879" s="374" t="s">
        <v>331</v>
      </c>
      <c r="G879" s="377"/>
      <c r="H879" s="41"/>
      <c r="I879" s="41"/>
      <c r="J879" s="41"/>
      <c r="K879" s="41"/>
      <c r="L879" s="41"/>
      <c r="M879" s="41"/>
      <c r="N879" s="41"/>
      <c r="O879" s="41"/>
      <c r="P879" s="41"/>
      <c r="Q879" s="41"/>
      <c r="R879" s="41"/>
      <c r="S879" s="190"/>
      <c r="T879" s="340"/>
      <c r="U879" s="190"/>
    </row>
    <row r="880" spans="1:21" customFormat="1" hidden="1" outlineLevel="1">
      <c r="A880" s="22"/>
      <c r="B880" s="374" t="s">
        <v>389</v>
      </c>
      <c r="C880" s="75" t="str">
        <f t="shared" si="153"/>
        <v>Conventional</v>
      </c>
      <c r="D880" s="375"/>
      <c r="E880" s="376"/>
      <c r="F880" s="374" t="s">
        <v>331</v>
      </c>
      <c r="G880" s="377"/>
      <c r="H880" s="39"/>
      <c r="I880" s="39"/>
      <c r="J880" s="39"/>
      <c r="K880" s="39"/>
      <c r="L880" s="39"/>
      <c r="M880" s="39"/>
      <c r="N880" s="39"/>
      <c r="O880" s="39"/>
      <c r="P880" s="39"/>
      <c r="Q880" s="39"/>
      <c r="R880" s="39"/>
      <c r="S880" s="190"/>
      <c r="T880" s="340"/>
      <c r="U880" s="190"/>
    </row>
    <row r="881" spans="1:21" customFormat="1" hidden="1" outlineLevel="1">
      <c r="A881" s="22"/>
      <c r="B881" s="374" t="s">
        <v>390</v>
      </c>
      <c r="C881" s="75" t="str">
        <f t="shared" si="153"/>
        <v>Conventional</v>
      </c>
      <c r="D881" s="375"/>
      <c r="E881" s="376"/>
      <c r="F881" s="374"/>
      <c r="G881" s="377"/>
      <c r="H881" s="261"/>
      <c r="I881" s="261"/>
      <c r="J881" s="261"/>
      <c r="K881" s="261"/>
      <c r="L881" s="261"/>
      <c r="M881" s="261"/>
      <c r="N881" s="261"/>
      <c r="O881" s="261"/>
      <c r="P881" s="261"/>
      <c r="Q881" s="261"/>
      <c r="R881" s="261"/>
      <c r="S881" s="190"/>
      <c r="T881" s="340"/>
      <c r="U881" s="190"/>
    </row>
    <row r="882" spans="1:21" customFormat="1" hidden="1" outlineLevel="1">
      <c r="A882" s="22"/>
      <c r="B882" s="374" t="s">
        <v>391</v>
      </c>
      <c r="C882" s="75" t="str">
        <f t="shared" si="153"/>
        <v>Conventional</v>
      </c>
      <c r="D882" s="375"/>
      <c r="E882" s="376"/>
      <c r="F882" s="374"/>
      <c r="G882" s="377"/>
      <c r="H882" s="39"/>
      <c r="I882" s="39"/>
      <c r="J882" s="39"/>
      <c r="K882" s="39"/>
      <c r="L882" s="39"/>
      <c r="M882" s="39"/>
      <c r="N882" s="39"/>
      <c r="O882" s="39"/>
      <c r="P882" s="39"/>
      <c r="Q882" s="39"/>
      <c r="R882" s="39"/>
      <c r="S882" s="190"/>
      <c r="T882" s="340"/>
      <c r="U882" s="190"/>
    </row>
    <row r="883" spans="1:21" customFormat="1" hidden="1" outlineLevel="1">
      <c r="A883" s="22"/>
      <c r="B883" s="374" t="s">
        <v>305</v>
      </c>
      <c r="C883" s="75" t="str">
        <f t="shared" si="153"/>
        <v>Conventional</v>
      </c>
      <c r="D883" s="375"/>
      <c r="E883" s="376"/>
      <c r="F883" s="374" t="s">
        <v>331</v>
      </c>
      <c r="G883" s="377"/>
      <c r="H883" s="41"/>
      <c r="I883" s="41"/>
      <c r="J883" s="41"/>
      <c r="K883" s="41"/>
      <c r="L883" s="41"/>
      <c r="M883" s="41"/>
      <c r="N883" s="41"/>
      <c r="O883" s="41"/>
      <c r="P883" s="41"/>
      <c r="Q883" s="41"/>
      <c r="R883" s="41"/>
      <c r="S883" s="190"/>
      <c r="T883" s="340"/>
      <c r="U883" s="190"/>
    </row>
    <row r="884" spans="1:21" customFormat="1" hidden="1" outlineLevel="1">
      <c r="A884" s="22"/>
      <c r="B884" s="374" t="s">
        <v>352</v>
      </c>
      <c r="C884" s="75" t="str">
        <f t="shared" si="153"/>
        <v>Conventional</v>
      </c>
      <c r="D884" s="375"/>
      <c r="E884" s="376"/>
      <c r="F884" s="374" t="s">
        <v>316</v>
      </c>
      <c r="G884" s="377"/>
      <c r="H884" s="41"/>
      <c r="I884" s="41"/>
      <c r="J884" s="41"/>
      <c r="K884" s="41"/>
      <c r="L884" s="41"/>
      <c r="M884" s="41"/>
      <c r="N884" s="41"/>
      <c r="O884" s="41"/>
      <c r="P884" s="41"/>
      <c r="Q884" s="41"/>
      <c r="R884" s="41"/>
      <c r="S884" s="190"/>
      <c r="T884" s="340"/>
      <c r="U884" s="190"/>
    </row>
    <row r="885" spans="1:21" customFormat="1" hidden="1" outlineLevel="1">
      <c r="A885" s="22"/>
      <c r="B885" t="s">
        <v>301</v>
      </c>
      <c r="C885" s="75" t="str">
        <f t="shared" si="153"/>
        <v>Conventional</v>
      </c>
      <c r="D885" s="75" t="s">
        <v>457</v>
      </c>
      <c r="E885" s="367"/>
      <c r="F885" t="s">
        <v>340</v>
      </c>
      <c r="G885" s="190"/>
      <c r="H885" s="370">
        <v>1</v>
      </c>
      <c r="I885" s="219">
        <f>H885</f>
        <v>1</v>
      </c>
      <c r="J885" s="219">
        <f t="shared" ref="J885:R885" si="154">I885</f>
        <v>1</v>
      </c>
      <c r="K885" s="219">
        <f t="shared" si="154"/>
        <v>1</v>
      </c>
      <c r="L885" s="219">
        <f t="shared" si="154"/>
        <v>1</v>
      </c>
      <c r="M885" s="219">
        <f t="shared" si="154"/>
        <v>1</v>
      </c>
      <c r="N885" s="219">
        <f t="shared" si="154"/>
        <v>1</v>
      </c>
      <c r="O885" s="219">
        <f t="shared" si="154"/>
        <v>1</v>
      </c>
      <c r="P885" s="219">
        <f t="shared" si="154"/>
        <v>1</v>
      </c>
      <c r="Q885" s="219">
        <f t="shared" si="154"/>
        <v>1</v>
      </c>
      <c r="R885" s="219">
        <f t="shared" si="154"/>
        <v>1</v>
      </c>
      <c r="S885" s="190"/>
      <c r="T885" s="340"/>
      <c r="U885" s="190"/>
    </row>
    <row r="886" spans="1:21" customFormat="1" ht="16" hidden="1" customHeight="1" outlineLevel="1">
      <c r="A886" s="22"/>
      <c r="B886" t="s">
        <v>73</v>
      </c>
      <c r="C886" s="371" t="s">
        <v>71</v>
      </c>
      <c r="D886" s="372"/>
      <c r="E886" s="367"/>
      <c r="F886" s="373"/>
      <c r="G886" s="190"/>
      <c r="H886" s="373"/>
      <c r="I886" s="373"/>
      <c r="J886" s="373"/>
      <c r="K886" s="373"/>
      <c r="L886" s="373"/>
      <c r="M886" s="373"/>
      <c r="N886" s="373"/>
      <c r="O886" s="373"/>
      <c r="P886" s="373"/>
      <c r="Q886" s="373"/>
      <c r="R886" s="373"/>
      <c r="S886" s="190"/>
      <c r="T886" s="340"/>
      <c r="U886" s="190"/>
    </row>
    <row r="887" spans="1:21" customFormat="1" ht="16" hidden="1" customHeight="1" outlineLevel="1">
      <c r="A887" s="22"/>
      <c r="B887" s="374" t="s">
        <v>37</v>
      </c>
      <c r="C887" s="75" t="str">
        <f t="shared" ref="C887:C914" si="155">C886</f>
        <v>Renewables</v>
      </c>
      <c r="D887" s="375"/>
      <c r="E887" s="376"/>
      <c r="F887" s="374" t="s">
        <v>39</v>
      </c>
      <c r="G887" s="377"/>
      <c r="H887">
        <v>2000</v>
      </c>
      <c r="I887" s="378">
        <f t="shared" ref="I887:R888" si="156">H887</f>
        <v>2000</v>
      </c>
      <c r="J887" s="378">
        <f t="shared" si="156"/>
        <v>2000</v>
      </c>
      <c r="K887" s="378">
        <f t="shared" si="156"/>
        <v>2000</v>
      </c>
      <c r="L887" s="378">
        <f t="shared" si="156"/>
        <v>2000</v>
      </c>
      <c r="M887" s="378">
        <f t="shared" si="156"/>
        <v>2000</v>
      </c>
      <c r="N887" s="378">
        <f t="shared" si="156"/>
        <v>2000</v>
      </c>
      <c r="O887" s="378">
        <f t="shared" si="156"/>
        <v>2000</v>
      </c>
      <c r="P887" s="378">
        <f t="shared" si="156"/>
        <v>2000</v>
      </c>
      <c r="Q887" s="378">
        <f t="shared" si="156"/>
        <v>2000</v>
      </c>
      <c r="R887" s="378">
        <f t="shared" si="156"/>
        <v>2000</v>
      </c>
      <c r="S887" s="190"/>
      <c r="T887" s="340"/>
      <c r="U887" s="190"/>
    </row>
    <row r="888" spans="1:21" customFormat="1" ht="16" hidden="1" customHeight="1" outlineLevel="1">
      <c r="A888" s="22"/>
      <c r="B888" s="374" t="s">
        <v>36</v>
      </c>
      <c r="C888" s="75" t="str">
        <f t="shared" si="155"/>
        <v>Renewables</v>
      </c>
      <c r="D888" s="375"/>
      <c r="E888" s="376"/>
      <c r="F888" s="374" t="s">
        <v>39</v>
      </c>
      <c r="G888" s="377"/>
      <c r="H888">
        <v>2100</v>
      </c>
      <c r="I888" s="378">
        <f t="shared" si="156"/>
        <v>2100</v>
      </c>
      <c r="J888" s="378">
        <f t="shared" si="156"/>
        <v>2100</v>
      </c>
      <c r="K888" s="378">
        <f t="shared" si="156"/>
        <v>2100</v>
      </c>
      <c r="L888" s="378">
        <f t="shared" si="156"/>
        <v>2100</v>
      </c>
      <c r="M888" s="378">
        <f t="shared" si="156"/>
        <v>2100</v>
      </c>
      <c r="N888" s="378">
        <f t="shared" si="156"/>
        <v>2100</v>
      </c>
      <c r="O888" s="378">
        <f t="shared" si="156"/>
        <v>2100</v>
      </c>
      <c r="P888" s="378">
        <f t="shared" si="156"/>
        <v>2100</v>
      </c>
      <c r="Q888" s="378">
        <f t="shared" si="156"/>
        <v>2100</v>
      </c>
      <c r="R888" s="378">
        <f t="shared" si="156"/>
        <v>2100</v>
      </c>
      <c r="S888" s="190"/>
      <c r="T888" s="340"/>
      <c r="U888" s="190"/>
    </row>
    <row r="889" spans="1:21" customFormat="1" ht="16" hidden="1" customHeight="1" outlineLevel="1">
      <c r="A889" s="22"/>
      <c r="B889" s="374" t="s">
        <v>38</v>
      </c>
      <c r="C889" s="75" t="str">
        <f t="shared" si="155"/>
        <v>Renewables</v>
      </c>
      <c r="D889" s="375"/>
      <c r="E889" s="376"/>
      <c r="F889" s="374" t="s">
        <v>10</v>
      </c>
      <c r="G889" s="377"/>
      <c r="H889" s="39"/>
      <c r="I889" s="39"/>
      <c r="J889" s="39"/>
      <c r="K889" s="39"/>
      <c r="L889" s="39"/>
      <c r="M889" s="39"/>
      <c r="N889" s="39"/>
      <c r="O889" s="39"/>
      <c r="P889" s="39"/>
      <c r="Q889" s="39"/>
      <c r="R889" s="39"/>
      <c r="S889" s="190"/>
      <c r="T889" s="340"/>
      <c r="U889" s="190"/>
    </row>
    <row r="890" spans="1:21" customFormat="1" ht="16" hidden="1" customHeight="1" outlineLevel="1">
      <c r="A890" s="22"/>
      <c r="B890" s="374" t="s">
        <v>353</v>
      </c>
      <c r="C890" s="75" t="str">
        <f t="shared" si="155"/>
        <v>Renewables</v>
      </c>
      <c r="D890" s="375"/>
      <c r="E890" s="376"/>
      <c r="F890" s="374" t="s">
        <v>10</v>
      </c>
      <c r="G890" s="377"/>
      <c r="H890" s="39"/>
      <c r="I890" s="39"/>
      <c r="J890" s="39"/>
      <c r="K890" s="39"/>
      <c r="L890" s="39"/>
      <c r="M890" s="39"/>
      <c r="N890" s="39"/>
      <c r="O890" s="39"/>
      <c r="P890" s="39"/>
      <c r="Q890" s="39"/>
      <c r="R890" s="39"/>
      <c r="S890" s="190"/>
      <c r="T890" s="340"/>
      <c r="U890" s="190"/>
    </row>
    <row r="891" spans="1:21" customFormat="1" ht="16" hidden="1" customHeight="1" outlineLevel="1">
      <c r="A891" s="22"/>
      <c r="B891" s="374" t="s">
        <v>304</v>
      </c>
      <c r="C891" s="75" t="str">
        <f t="shared" si="155"/>
        <v>Renewables</v>
      </c>
      <c r="D891" s="375"/>
      <c r="E891" s="376"/>
      <c r="F891" s="374" t="s">
        <v>96</v>
      </c>
      <c r="G891" s="377"/>
      <c r="H891" s="261"/>
      <c r="I891" s="261"/>
      <c r="J891" s="261"/>
      <c r="K891" s="261"/>
      <c r="L891" s="261"/>
      <c r="M891" s="261"/>
      <c r="N891" s="261"/>
      <c r="O891" s="261"/>
      <c r="P891" s="261"/>
      <c r="Q891" s="261"/>
      <c r="R891" s="261"/>
      <c r="S891" s="190"/>
      <c r="T891" s="340"/>
      <c r="U891" s="190"/>
    </row>
    <row r="892" spans="1:21" customFormat="1" ht="16" hidden="1" customHeight="1" outlineLevel="1">
      <c r="A892" s="22"/>
      <c r="B892" s="374" t="s">
        <v>350</v>
      </c>
      <c r="C892" s="75" t="str">
        <f t="shared" si="155"/>
        <v>Renewables</v>
      </c>
      <c r="D892" s="375"/>
      <c r="E892" s="376"/>
      <c r="F892" s="374" t="s">
        <v>96</v>
      </c>
      <c r="G892" s="377"/>
      <c r="H892" s="261"/>
      <c r="I892" s="261"/>
      <c r="J892" s="261"/>
      <c r="K892" s="261"/>
      <c r="L892" s="261"/>
      <c r="M892" s="261"/>
      <c r="N892" s="261"/>
      <c r="O892" s="261"/>
      <c r="P892" s="261"/>
      <c r="Q892" s="261"/>
      <c r="R892" s="261"/>
      <c r="S892" s="190"/>
      <c r="T892" s="340"/>
      <c r="U892" s="190"/>
    </row>
    <row r="893" spans="1:21" customFormat="1" ht="16" hidden="1" customHeight="1" outlineLevel="1">
      <c r="A893" s="22"/>
      <c r="B893" s="374" t="s">
        <v>349</v>
      </c>
      <c r="C893" s="75" t="str">
        <f t="shared" si="155"/>
        <v>Renewables</v>
      </c>
      <c r="D893" s="375"/>
      <c r="E893" s="376"/>
      <c r="F893" s="374" t="s">
        <v>96</v>
      </c>
      <c r="G893" s="377"/>
      <c r="H893" s="261"/>
      <c r="I893" s="261"/>
      <c r="J893" s="261"/>
      <c r="K893" s="261"/>
      <c r="L893" s="261"/>
      <c r="M893" s="261"/>
      <c r="N893" s="261"/>
      <c r="O893" s="261"/>
      <c r="P893" s="261"/>
      <c r="Q893" s="261"/>
      <c r="R893" s="261"/>
      <c r="S893" s="190"/>
      <c r="T893" s="340"/>
      <c r="U893" s="190"/>
    </row>
    <row r="894" spans="1:21" customFormat="1" ht="16" hidden="1" customHeight="1" outlineLevel="1">
      <c r="A894" s="22"/>
      <c r="B894" s="374" t="s">
        <v>74</v>
      </c>
      <c r="C894" s="75" t="str">
        <f t="shared" si="155"/>
        <v>Renewables</v>
      </c>
      <c r="D894" s="375"/>
      <c r="E894" s="376"/>
      <c r="F894" s="374" t="s">
        <v>96</v>
      </c>
      <c r="G894" s="377"/>
      <c r="H894" s="261">
        <v>1.4999999999999999E-2</v>
      </c>
      <c r="I894" s="261"/>
      <c r="J894" s="261"/>
      <c r="K894" s="261"/>
      <c r="L894" s="261"/>
      <c r="M894" s="261"/>
      <c r="N894" s="261"/>
      <c r="O894" s="261"/>
      <c r="P894" s="261"/>
      <c r="Q894" s="261"/>
      <c r="R894" s="261"/>
      <c r="S894" s="190"/>
      <c r="T894" s="340"/>
      <c r="U894" s="190"/>
    </row>
    <row r="895" spans="1:21" customFormat="1" ht="16" hidden="1" customHeight="1" outlineLevel="1">
      <c r="A895" s="22"/>
      <c r="B895" s="68" t="s">
        <v>146</v>
      </c>
      <c r="C895" s="75" t="str">
        <f t="shared" si="155"/>
        <v>Renewables</v>
      </c>
      <c r="D895" s="379"/>
      <c r="E895" s="380"/>
      <c r="F895" s="68" t="s">
        <v>96</v>
      </c>
      <c r="G895" s="381"/>
      <c r="H895" s="261"/>
      <c r="I895" s="261"/>
      <c r="J895" s="261"/>
      <c r="K895" s="261"/>
      <c r="L895" s="261"/>
      <c r="M895" s="261"/>
      <c r="N895" s="261"/>
      <c r="O895" s="261"/>
      <c r="P895" s="261"/>
      <c r="Q895" s="261"/>
      <c r="R895" s="261"/>
      <c r="S895" s="190"/>
      <c r="T895" s="340"/>
      <c r="U895" s="190"/>
    </row>
    <row r="896" spans="1:21" customFormat="1" ht="16" hidden="1" customHeight="1" outlineLevel="1">
      <c r="A896" s="22"/>
      <c r="B896" s="68" t="s">
        <v>147</v>
      </c>
      <c r="C896" s="75" t="str">
        <f t="shared" si="155"/>
        <v>Renewables</v>
      </c>
      <c r="D896" s="379"/>
      <c r="E896" s="380"/>
      <c r="F896" s="68" t="s">
        <v>96</v>
      </c>
      <c r="G896" s="381"/>
      <c r="H896" s="261"/>
      <c r="I896" s="261"/>
      <c r="J896" s="261"/>
      <c r="K896" s="261"/>
      <c r="L896" s="261"/>
      <c r="M896" s="261"/>
      <c r="N896" s="261"/>
      <c r="O896" s="261"/>
      <c r="P896" s="261"/>
      <c r="Q896" s="261"/>
      <c r="R896" s="261"/>
      <c r="S896" s="190"/>
      <c r="T896" s="340"/>
      <c r="U896" s="190"/>
    </row>
    <row r="897" spans="1:21" customFormat="1" ht="16" hidden="1" customHeight="1" outlineLevel="1">
      <c r="A897" s="22"/>
      <c r="B897" s="68" t="s">
        <v>362</v>
      </c>
      <c r="C897" s="75" t="str">
        <f t="shared" si="155"/>
        <v>Renewables</v>
      </c>
      <c r="D897" s="379"/>
      <c r="E897" s="380"/>
      <c r="F897" s="68" t="s">
        <v>96</v>
      </c>
      <c r="G897" s="381"/>
      <c r="H897" s="261"/>
      <c r="I897" s="261"/>
      <c r="J897" s="261"/>
      <c r="K897" s="261"/>
      <c r="L897" s="261"/>
      <c r="M897" s="261"/>
      <c r="N897" s="261"/>
      <c r="O897" s="261"/>
      <c r="P897" s="261"/>
      <c r="Q897" s="261"/>
      <c r="R897" s="261"/>
      <c r="S897" s="190"/>
      <c r="T897" s="340"/>
      <c r="U897" s="190"/>
    </row>
    <row r="898" spans="1:21" customFormat="1" ht="16" hidden="1" customHeight="1" outlineLevel="1">
      <c r="A898" s="22"/>
      <c r="B898" s="68" t="s">
        <v>363</v>
      </c>
      <c r="C898" s="75" t="str">
        <f t="shared" si="155"/>
        <v>Renewables</v>
      </c>
      <c r="D898" s="379"/>
      <c r="E898" s="380"/>
      <c r="F898" s="68" t="s">
        <v>96</v>
      </c>
      <c r="G898" s="381"/>
      <c r="H898" s="261"/>
      <c r="I898" s="261"/>
      <c r="J898" s="261"/>
      <c r="K898" s="261"/>
      <c r="L898" s="261"/>
      <c r="M898" s="261"/>
      <c r="N898" s="261"/>
      <c r="O898" s="261"/>
      <c r="P898" s="261"/>
      <c r="Q898" s="261"/>
      <c r="R898" s="261"/>
      <c r="S898" s="190"/>
      <c r="T898" s="340"/>
      <c r="U898" s="190"/>
    </row>
    <row r="899" spans="1:21" customFormat="1" ht="16" hidden="1" customHeight="1" outlineLevel="1">
      <c r="A899" s="22"/>
      <c r="B899" s="374" t="s">
        <v>332</v>
      </c>
      <c r="C899" s="75" t="str">
        <f t="shared" si="155"/>
        <v>Renewables</v>
      </c>
      <c r="D899" s="375"/>
      <c r="E899" s="376"/>
      <c r="F899" s="374" t="s">
        <v>189</v>
      </c>
      <c r="G899" s="377"/>
      <c r="H899" s="40"/>
      <c r="I899" s="40"/>
      <c r="J899" s="40"/>
      <c r="K899" s="40"/>
      <c r="L899" s="40"/>
      <c r="M899" s="40"/>
      <c r="N899" s="40"/>
      <c r="O899" s="40"/>
      <c r="P899" s="40"/>
      <c r="Q899" s="40"/>
      <c r="R899" s="40"/>
      <c r="S899" s="190"/>
      <c r="T899" s="340"/>
      <c r="U899" s="190"/>
    </row>
    <row r="900" spans="1:21" customFormat="1" ht="16" hidden="1" customHeight="1" outlineLevel="1">
      <c r="A900" s="22"/>
      <c r="B900" s="374" t="s">
        <v>470</v>
      </c>
      <c r="C900" s="75" t="str">
        <f t="shared" si="155"/>
        <v>Renewables</v>
      </c>
      <c r="D900" s="375"/>
      <c r="E900" s="376"/>
      <c r="F900" s="374" t="s">
        <v>316</v>
      </c>
      <c r="G900" s="377"/>
      <c r="H900" s="41"/>
      <c r="I900" s="41"/>
      <c r="J900" s="41"/>
      <c r="K900" s="41"/>
      <c r="L900" s="41"/>
      <c r="M900" s="41"/>
      <c r="N900" s="41"/>
      <c r="O900" s="41"/>
      <c r="P900" s="41"/>
      <c r="Q900" s="41"/>
      <c r="R900" s="41"/>
      <c r="S900" s="190"/>
      <c r="T900" s="340"/>
      <c r="U900" s="190"/>
    </row>
    <row r="901" spans="1:21" customFormat="1" ht="16" hidden="1" customHeight="1" outlineLevel="1">
      <c r="A901" s="22"/>
      <c r="B901" s="374" t="s">
        <v>375</v>
      </c>
      <c r="C901" s="75" t="str">
        <f t="shared" si="155"/>
        <v>Renewables</v>
      </c>
      <c r="D901" s="375"/>
      <c r="E901" s="376"/>
      <c r="F901" s="374" t="s">
        <v>96</v>
      </c>
      <c r="G901" s="377"/>
      <c r="H901" s="261"/>
      <c r="I901" s="261"/>
      <c r="J901" s="261"/>
      <c r="K901" s="261"/>
      <c r="L901" s="261"/>
      <c r="M901" s="261"/>
      <c r="N901" s="261"/>
      <c r="O901" s="261"/>
      <c r="P901" s="261"/>
      <c r="Q901" s="261"/>
      <c r="R901" s="261"/>
      <c r="S901" s="190"/>
      <c r="T901" s="340"/>
      <c r="U901" s="190"/>
    </row>
    <row r="902" spans="1:21" customFormat="1" ht="16" hidden="1" customHeight="1" outlineLevel="1">
      <c r="A902" s="22"/>
      <c r="B902" s="374" t="s">
        <v>432</v>
      </c>
      <c r="C902" s="75" t="str">
        <f t="shared" si="155"/>
        <v>Renewables</v>
      </c>
      <c r="D902" s="375"/>
      <c r="E902" s="376"/>
      <c r="F902" s="374" t="s">
        <v>189</v>
      </c>
      <c r="G902" s="377"/>
      <c r="H902" s="39"/>
      <c r="I902" s="39"/>
      <c r="J902" s="39"/>
      <c r="K902" s="39"/>
      <c r="L902" s="39"/>
      <c r="M902" s="39"/>
      <c r="N902" s="39"/>
      <c r="O902" s="39"/>
      <c r="P902" s="39"/>
      <c r="Q902" s="39"/>
      <c r="R902" s="39"/>
      <c r="S902" s="190"/>
      <c r="T902" s="340"/>
      <c r="U902" s="190"/>
    </row>
    <row r="903" spans="1:21" customFormat="1" ht="16" hidden="1" customHeight="1" outlineLevel="1">
      <c r="A903" s="22"/>
      <c r="B903" s="374" t="s">
        <v>379</v>
      </c>
      <c r="C903" s="75" t="str">
        <f t="shared" si="155"/>
        <v>Renewables</v>
      </c>
      <c r="D903" s="375"/>
      <c r="E903" s="376"/>
      <c r="F903" s="374"/>
      <c r="G903" s="377"/>
      <c r="H903" s="41"/>
      <c r="I903" s="41"/>
      <c r="J903" s="41"/>
      <c r="K903" s="41"/>
      <c r="L903" s="41"/>
      <c r="M903" s="41"/>
      <c r="N903" s="41"/>
      <c r="O903" s="41"/>
      <c r="P903" s="41"/>
      <c r="Q903" s="41"/>
      <c r="R903" s="41"/>
      <c r="S903" s="190"/>
      <c r="T903" s="340"/>
      <c r="U903" s="190"/>
    </row>
    <row r="904" spans="1:21" customFormat="1" ht="16" hidden="1" customHeight="1" outlineLevel="1">
      <c r="A904" s="22"/>
      <c r="B904" s="374" t="s">
        <v>361</v>
      </c>
      <c r="C904" s="75" t="str">
        <f t="shared" si="155"/>
        <v>Renewables</v>
      </c>
      <c r="D904" s="375"/>
      <c r="E904" s="376"/>
      <c r="F904" s="374" t="s">
        <v>96</v>
      </c>
      <c r="G904" s="377"/>
      <c r="H904" s="261"/>
      <c r="I904" s="261"/>
      <c r="J904" s="261"/>
      <c r="K904" s="261"/>
      <c r="L904" s="261"/>
      <c r="M904" s="261"/>
      <c r="N904" s="261"/>
      <c r="O904" s="261"/>
      <c r="P904" s="261"/>
      <c r="Q904" s="261"/>
      <c r="R904" s="261"/>
      <c r="S904" s="190"/>
      <c r="T904" s="340"/>
      <c r="U904" s="190"/>
    </row>
    <row r="905" spans="1:21" customFormat="1" ht="16" hidden="1" customHeight="1" outlineLevel="1">
      <c r="A905" s="22"/>
      <c r="B905" s="374" t="s">
        <v>384</v>
      </c>
      <c r="C905" s="75" t="str">
        <f t="shared" si="155"/>
        <v>Renewables</v>
      </c>
      <c r="D905" s="375"/>
      <c r="E905" s="376"/>
      <c r="F905" s="374" t="s">
        <v>316</v>
      </c>
      <c r="G905" s="377"/>
      <c r="H905" s="41"/>
      <c r="I905" s="41"/>
      <c r="J905" s="41"/>
      <c r="K905" s="41"/>
      <c r="L905" s="41"/>
      <c r="M905" s="41"/>
      <c r="N905" s="41"/>
      <c r="O905" s="41"/>
      <c r="P905" s="41"/>
      <c r="Q905" s="41"/>
      <c r="R905" s="41"/>
      <c r="S905" s="190"/>
      <c r="T905" s="340"/>
      <c r="U905" s="190"/>
    </row>
    <row r="906" spans="1:21" customFormat="1" ht="16" hidden="1" customHeight="1" outlineLevel="1">
      <c r="A906" s="22"/>
      <c r="B906" s="374" t="s">
        <v>386</v>
      </c>
      <c r="C906" s="75" t="str">
        <f t="shared" si="155"/>
        <v>Renewables</v>
      </c>
      <c r="D906" s="375"/>
      <c r="E906" s="376"/>
      <c r="F906" s="374" t="s">
        <v>316</v>
      </c>
      <c r="G906" s="377"/>
      <c r="H906" s="39"/>
      <c r="I906" s="39"/>
      <c r="J906" s="39"/>
      <c r="K906" s="39"/>
      <c r="L906" s="39"/>
      <c r="M906" s="39"/>
      <c r="N906" s="39"/>
      <c r="O906" s="39"/>
      <c r="P906" s="39"/>
      <c r="Q906" s="39"/>
      <c r="R906" s="39"/>
      <c r="S906" s="190"/>
      <c r="T906" s="340"/>
      <c r="U906" s="190"/>
    </row>
    <row r="907" spans="1:21" customFormat="1" ht="16" hidden="1" customHeight="1" outlineLevel="1">
      <c r="A907" s="22"/>
      <c r="B907" s="374" t="s">
        <v>387</v>
      </c>
      <c r="C907" s="75" t="str">
        <f t="shared" si="155"/>
        <v>Renewables</v>
      </c>
      <c r="D907" s="375"/>
      <c r="E907" s="376"/>
      <c r="F907" s="374"/>
      <c r="G907" s="377"/>
      <c r="H907" s="261"/>
      <c r="I907" s="261"/>
      <c r="J907" s="261"/>
      <c r="K907" s="261"/>
      <c r="L907" s="261"/>
      <c r="M907" s="261"/>
      <c r="N907" s="261"/>
      <c r="O907" s="261"/>
      <c r="P907" s="261"/>
      <c r="Q907" s="261"/>
      <c r="R907" s="261"/>
      <c r="S907" s="190"/>
      <c r="T907" s="340"/>
      <c r="U907" s="190"/>
    </row>
    <row r="908" spans="1:21" customFormat="1" ht="16" hidden="1" customHeight="1" outlineLevel="1">
      <c r="A908" s="22"/>
      <c r="B908" s="374" t="s">
        <v>388</v>
      </c>
      <c r="C908" s="75" t="str">
        <f t="shared" si="155"/>
        <v>Renewables</v>
      </c>
      <c r="D908" s="375"/>
      <c r="E908" s="376"/>
      <c r="F908" s="374"/>
      <c r="G908" s="377"/>
      <c r="H908" s="39"/>
      <c r="I908" s="39"/>
      <c r="J908" s="39"/>
      <c r="K908" s="39"/>
      <c r="L908" s="39"/>
      <c r="M908" s="39"/>
      <c r="N908" s="39"/>
      <c r="O908" s="39"/>
      <c r="P908" s="39"/>
      <c r="Q908" s="39"/>
      <c r="R908" s="39"/>
      <c r="S908" s="190"/>
      <c r="T908" s="340"/>
      <c r="U908" s="190"/>
    </row>
    <row r="909" spans="1:21" customFormat="1" ht="16" hidden="1" customHeight="1" outlineLevel="1">
      <c r="A909" s="22"/>
      <c r="B909" s="374" t="s">
        <v>385</v>
      </c>
      <c r="C909" s="75" t="str">
        <f t="shared" si="155"/>
        <v>Renewables</v>
      </c>
      <c r="D909" s="375"/>
      <c r="E909" s="376"/>
      <c r="F909" s="374" t="s">
        <v>331</v>
      </c>
      <c r="G909" s="377"/>
      <c r="H909" s="41"/>
      <c r="I909" s="41"/>
      <c r="J909" s="41"/>
      <c r="K909" s="41"/>
      <c r="L909" s="41"/>
      <c r="M909" s="41"/>
      <c r="N909" s="41"/>
      <c r="O909" s="41"/>
      <c r="P909" s="41"/>
      <c r="Q909" s="41"/>
      <c r="R909" s="41"/>
      <c r="S909" s="190"/>
      <c r="T909" s="340"/>
      <c r="U909" s="190"/>
    </row>
    <row r="910" spans="1:21" customFormat="1" ht="16" hidden="1" customHeight="1" outlineLevel="1">
      <c r="A910" s="22"/>
      <c r="B910" s="374" t="s">
        <v>389</v>
      </c>
      <c r="C910" s="75" t="str">
        <f t="shared" si="155"/>
        <v>Renewables</v>
      </c>
      <c r="D910" s="375"/>
      <c r="E910" s="376"/>
      <c r="F910" s="374" t="s">
        <v>331</v>
      </c>
      <c r="G910" s="377"/>
      <c r="H910" s="39"/>
      <c r="I910" s="39"/>
      <c r="J910" s="39"/>
      <c r="K910" s="39"/>
      <c r="L910" s="39"/>
      <c r="M910" s="39"/>
      <c r="N910" s="39"/>
      <c r="O910" s="39"/>
      <c r="P910" s="39"/>
      <c r="Q910" s="39"/>
      <c r="R910" s="39"/>
      <c r="S910" s="190"/>
      <c r="T910" s="340"/>
      <c r="U910" s="190"/>
    </row>
    <row r="911" spans="1:21" customFormat="1" ht="16" hidden="1" customHeight="1" outlineLevel="1">
      <c r="A911" s="22"/>
      <c r="B911" s="374" t="s">
        <v>390</v>
      </c>
      <c r="C911" s="75" t="str">
        <f t="shared" si="155"/>
        <v>Renewables</v>
      </c>
      <c r="D911" s="375"/>
      <c r="E911" s="376"/>
      <c r="F911" s="374"/>
      <c r="G911" s="377"/>
      <c r="H911" s="261"/>
      <c r="I911" s="261"/>
      <c r="J911" s="261"/>
      <c r="K911" s="261"/>
      <c r="L911" s="261"/>
      <c r="M911" s="261"/>
      <c r="N911" s="261"/>
      <c r="O911" s="261"/>
      <c r="P911" s="261"/>
      <c r="Q911" s="261"/>
      <c r="R911" s="261"/>
      <c r="S911" s="190"/>
      <c r="T911" s="340"/>
      <c r="U911" s="190"/>
    </row>
    <row r="912" spans="1:21" customFormat="1" ht="16" hidden="1" customHeight="1" outlineLevel="1">
      <c r="A912" s="22"/>
      <c r="B912" s="374" t="s">
        <v>391</v>
      </c>
      <c r="C912" s="75" t="str">
        <f t="shared" si="155"/>
        <v>Renewables</v>
      </c>
      <c r="D912" s="375"/>
      <c r="E912" s="376"/>
      <c r="F912" s="374"/>
      <c r="G912" s="377"/>
      <c r="H912" s="39"/>
      <c r="I912" s="39"/>
      <c r="J912" s="39"/>
      <c r="K912" s="39"/>
      <c r="L912" s="39"/>
      <c r="M912" s="39"/>
      <c r="N912" s="39"/>
      <c r="O912" s="39"/>
      <c r="P912" s="39"/>
      <c r="Q912" s="39"/>
      <c r="R912" s="39"/>
      <c r="S912" s="190"/>
      <c r="T912" s="340"/>
      <c r="U912" s="190"/>
    </row>
    <row r="913" spans="1:21" customFormat="1" ht="16" hidden="1" customHeight="1" outlineLevel="1">
      <c r="A913" s="22"/>
      <c r="B913" s="374" t="s">
        <v>305</v>
      </c>
      <c r="C913" s="75" t="str">
        <f t="shared" si="155"/>
        <v>Renewables</v>
      </c>
      <c r="D913" s="375"/>
      <c r="E913" s="376"/>
      <c r="F913" s="374" t="s">
        <v>331</v>
      </c>
      <c r="G913" s="377"/>
      <c r="H913" s="41"/>
      <c r="I913" s="41"/>
      <c r="J913" s="41"/>
      <c r="K913" s="41"/>
      <c r="L913" s="41"/>
      <c r="M913" s="41"/>
      <c r="N913" s="41"/>
      <c r="O913" s="41"/>
      <c r="P913" s="41"/>
      <c r="Q913" s="41"/>
      <c r="R913" s="41"/>
      <c r="S913" s="190"/>
      <c r="T913" s="340"/>
      <c r="U913" s="190"/>
    </row>
    <row r="914" spans="1:21" customFormat="1" ht="16" hidden="1" customHeight="1" outlineLevel="1">
      <c r="A914" s="22"/>
      <c r="B914" t="s">
        <v>301</v>
      </c>
      <c r="C914" s="75" t="str">
        <f t="shared" si="155"/>
        <v>Renewables</v>
      </c>
      <c r="D914" s="75" t="s">
        <v>458</v>
      </c>
      <c r="E914" s="367"/>
      <c r="F914" t="s">
        <v>340</v>
      </c>
      <c r="G914" s="190"/>
      <c r="H914" s="370">
        <v>1</v>
      </c>
      <c r="I914" s="219">
        <f>H914</f>
        <v>1</v>
      </c>
      <c r="J914" s="219">
        <f t="shared" ref="J914:R914" si="157">I914</f>
        <v>1</v>
      </c>
      <c r="K914" s="219">
        <f t="shared" si="157"/>
        <v>1</v>
      </c>
      <c r="L914" s="219">
        <f t="shared" si="157"/>
        <v>1</v>
      </c>
      <c r="M914" s="219">
        <f t="shared" si="157"/>
        <v>1</v>
      </c>
      <c r="N914" s="219">
        <f t="shared" si="157"/>
        <v>1</v>
      </c>
      <c r="O914" s="219">
        <f t="shared" si="157"/>
        <v>1</v>
      </c>
      <c r="P914" s="219">
        <f t="shared" si="157"/>
        <v>1</v>
      </c>
      <c r="Q914" s="219">
        <f t="shared" si="157"/>
        <v>1</v>
      </c>
      <c r="R914" s="219">
        <f t="shared" si="157"/>
        <v>1</v>
      </c>
      <c r="S914" s="190"/>
      <c r="T914" s="340"/>
      <c r="U914" s="190"/>
    </row>
    <row r="915" spans="1:21" s="3" customFormat="1" hidden="1" outlineLevel="1">
      <c r="A915" s="21" t="s">
        <v>436</v>
      </c>
      <c r="C915" s="13"/>
      <c r="F915" s="9"/>
      <c r="G915" s="13"/>
      <c r="S915" s="5"/>
      <c r="T915" s="13"/>
      <c r="U915" s="5"/>
    </row>
    <row r="916" spans="1:21" s="386" customFormat="1" collapsed="1">
      <c r="A916" s="386" t="s">
        <v>70</v>
      </c>
      <c r="C916" s="387"/>
      <c r="F916" s="388"/>
      <c r="G916" s="387"/>
      <c r="T916" s="387"/>
    </row>
    <row r="917" spans="1:21" customFormat="1" hidden="1" outlineLevel="1">
      <c r="A917" s="22"/>
      <c r="B917" t="s">
        <v>300</v>
      </c>
      <c r="C917" s="75" t="str">
        <f>A916</f>
        <v>Conventional</v>
      </c>
      <c r="D917" s="75" t="s">
        <v>457</v>
      </c>
      <c r="E917" s="367"/>
      <c r="F917" t="s">
        <v>189</v>
      </c>
      <c r="G917" s="190"/>
      <c r="H917" s="39"/>
      <c r="I917" s="39"/>
      <c r="J917" s="39"/>
      <c r="K917" s="39"/>
      <c r="L917" s="39"/>
      <c r="M917" s="39"/>
      <c r="N917" s="39"/>
      <c r="O917" s="39"/>
      <c r="P917" s="39"/>
      <c r="Q917" s="39"/>
      <c r="R917" s="39"/>
      <c r="S917" s="190"/>
      <c r="T917" s="340"/>
      <c r="U917" s="190"/>
    </row>
    <row r="918" spans="1:21" customFormat="1" hidden="1" outlineLevel="1">
      <c r="A918" s="22"/>
      <c r="B918" t="s">
        <v>466</v>
      </c>
      <c r="C918" s="75" t="s">
        <v>111</v>
      </c>
      <c r="D918" s="75"/>
      <c r="E918" s="367"/>
      <c r="G918" s="190"/>
      <c r="H918" s="39"/>
      <c r="I918" s="39"/>
      <c r="J918" s="39"/>
      <c r="K918" s="39"/>
      <c r="L918" s="39"/>
      <c r="M918" s="39"/>
      <c r="N918" s="39"/>
      <c r="O918" s="39"/>
      <c r="P918" s="39"/>
      <c r="Q918" s="39"/>
      <c r="R918" s="39"/>
      <c r="S918" s="190"/>
      <c r="T918" s="340"/>
      <c r="U918" s="190"/>
    </row>
    <row r="919" spans="1:21" customFormat="1" hidden="1" outlineLevel="1">
      <c r="A919" s="22"/>
      <c r="B919" t="s">
        <v>46</v>
      </c>
      <c r="C919" s="369" t="s">
        <v>20</v>
      </c>
      <c r="D919" s="75"/>
      <c r="E919" s="367"/>
      <c r="G919" s="190"/>
      <c r="S919" s="190"/>
      <c r="T919" s="340"/>
      <c r="U919" s="190"/>
    </row>
    <row r="920" spans="1:21" customFormat="1" hidden="1" outlineLevel="1">
      <c r="A920" s="22"/>
      <c r="B920" t="s">
        <v>65</v>
      </c>
      <c r="C920" s="369" t="s">
        <v>34</v>
      </c>
      <c r="D920" s="75"/>
      <c r="E920" s="367"/>
      <c r="G920" s="190"/>
      <c r="H920">
        <v>10</v>
      </c>
      <c r="I920" s="202">
        <f>H920</f>
        <v>10</v>
      </c>
      <c r="J920" s="202">
        <f t="shared" ref="J920:R920" si="158">I920</f>
        <v>10</v>
      </c>
      <c r="K920" s="202">
        <f t="shared" si="158"/>
        <v>10</v>
      </c>
      <c r="L920" s="202">
        <f t="shared" si="158"/>
        <v>10</v>
      </c>
      <c r="M920" s="202">
        <f t="shared" si="158"/>
        <v>10</v>
      </c>
      <c r="N920" s="202">
        <f t="shared" si="158"/>
        <v>10</v>
      </c>
      <c r="O920" s="202">
        <f t="shared" si="158"/>
        <v>10</v>
      </c>
      <c r="P920" s="202">
        <f t="shared" si="158"/>
        <v>10</v>
      </c>
      <c r="Q920" s="202">
        <f t="shared" si="158"/>
        <v>10</v>
      </c>
      <c r="R920" s="202">
        <f t="shared" si="158"/>
        <v>10</v>
      </c>
      <c r="S920" s="190"/>
      <c r="T920" s="340"/>
      <c r="U920" s="190"/>
    </row>
    <row r="921" spans="1:21" customFormat="1" hidden="1" outlineLevel="1">
      <c r="A921" s="22"/>
      <c r="B921" t="s">
        <v>50</v>
      </c>
      <c r="C921" s="382" t="s">
        <v>168</v>
      </c>
      <c r="D921" s="75"/>
      <c r="E921" s="367"/>
      <c r="G921" s="190"/>
      <c r="H921" s="383"/>
      <c r="I921" s="383"/>
      <c r="S921" s="190"/>
      <c r="T921" s="340"/>
      <c r="U921" s="190"/>
    </row>
    <row r="922" spans="1:21" customFormat="1" hidden="1" outlineLevel="1">
      <c r="A922" s="22"/>
      <c r="B922" s="374" t="s">
        <v>37</v>
      </c>
      <c r="C922" s="75" t="str">
        <f t="shared" ref="C922:C951" si="159">C921</f>
        <v>Natural Gas_Single Cycle Gas Turbine</v>
      </c>
      <c r="D922" s="375"/>
      <c r="E922" s="376"/>
      <c r="F922" s="374" t="s">
        <v>39</v>
      </c>
      <c r="G922" s="377"/>
      <c r="H922">
        <v>2000</v>
      </c>
      <c r="I922" s="378">
        <f t="shared" ref="I922:R924" si="160">H922</f>
        <v>2000</v>
      </c>
      <c r="J922" s="378">
        <f t="shared" si="160"/>
        <v>2000</v>
      </c>
      <c r="K922" s="378">
        <f t="shared" si="160"/>
        <v>2000</v>
      </c>
      <c r="L922" s="378">
        <f t="shared" si="160"/>
        <v>2000</v>
      </c>
      <c r="M922" s="378">
        <f t="shared" si="160"/>
        <v>2000</v>
      </c>
      <c r="N922" s="378">
        <f t="shared" si="160"/>
        <v>2000</v>
      </c>
      <c r="O922" s="378">
        <f t="shared" si="160"/>
        <v>2000</v>
      </c>
      <c r="P922" s="378">
        <f t="shared" si="160"/>
        <v>2000</v>
      </c>
      <c r="Q922" s="378">
        <f t="shared" si="160"/>
        <v>2000</v>
      </c>
      <c r="R922" s="378">
        <f t="shared" si="160"/>
        <v>2000</v>
      </c>
      <c r="S922" s="190"/>
      <c r="T922" s="340"/>
      <c r="U922" s="190"/>
    </row>
    <row r="923" spans="1:21" customFormat="1" hidden="1" outlineLevel="1">
      <c r="A923" s="22"/>
      <c r="B923" s="374" t="s">
        <v>36</v>
      </c>
      <c r="C923" s="75" t="str">
        <f t="shared" si="159"/>
        <v>Natural Gas_Single Cycle Gas Turbine</v>
      </c>
      <c r="D923" s="375"/>
      <c r="E923" s="376"/>
      <c r="F923" s="374" t="s">
        <v>39</v>
      </c>
      <c r="G923" s="377"/>
      <c r="H923">
        <v>2100</v>
      </c>
      <c r="I923" s="378">
        <f t="shared" si="160"/>
        <v>2100</v>
      </c>
      <c r="J923" s="378">
        <f t="shared" si="160"/>
        <v>2100</v>
      </c>
      <c r="K923" s="378">
        <f t="shared" si="160"/>
        <v>2100</v>
      </c>
      <c r="L923" s="378">
        <f t="shared" si="160"/>
        <v>2100</v>
      </c>
      <c r="M923" s="378">
        <f t="shared" si="160"/>
        <v>2100</v>
      </c>
      <c r="N923" s="378">
        <f t="shared" si="160"/>
        <v>2100</v>
      </c>
      <c r="O923" s="378">
        <f t="shared" si="160"/>
        <v>2100</v>
      </c>
      <c r="P923" s="378">
        <f t="shared" si="160"/>
        <v>2100</v>
      </c>
      <c r="Q923" s="378">
        <f t="shared" si="160"/>
        <v>2100</v>
      </c>
      <c r="R923" s="378">
        <f t="shared" si="160"/>
        <v>2100</v>
      </c>
      <c r="S923" s="190"/>
      <c r="T923" s="340"/>
      <c r="U923" s="190"/>
    </row>
    <row r="924" spans="1:21" customFormat="1" hidden="1" outlineLevel="1">
      <c r="A924" s="22"/>
      <c r="B924" s="374" t="s">
        <v>38</v>
      </c>
      <c r="C924" s="75" t="str">
        <f t="shared" si="159"/>
        <v>Natural Gas_Single Cycle Gas Turbine</v>
      </c>
      <c r="D924" s="375"/>
      <c r="E924" s="376"/>
      <c r="F924" s="374" t="s">
        <v>10</v>
      </c>
      <c r="G924" s="377"/>
      <c r="H924" s="39">
        <v>30</v>
      </c>
      <c r="I924" s="221">
        <f t="shared" si="160"/>
        <v>30</v>
      </c>
      <c r="J924" s="221">
        <f t="shared" si="160"/>
        <v>30</v>
      </c>
      <c r="K924" s="221">
        <f t="shared" si="160"/>
        <v>30</v>
      </c>
      <c r="L924" s="221">
        <f t="shared" si="160"/>
        <v>30</v>
      </c>
      <c r="M924" s="221">
        <f t="shared" si="160"/>
        <v>30</v>
      </c>
      <c r="N924" s="221">
        <f t="shared" si="160"/>
        <v>30</v>
      </c>
      <c r="O924" s="221">
        <f t="shared" si="160"/>
        <v>30</v>
      </c>
      <c r="P924" s="221">
        <f t="shared" si="160"/>
        <v>30</v>
      </c>
      <c r="Q924" s="221">
        <f t="shared" si="160"/>
        <v>30</v>
      </c>
      <c r="R924" s="221">
        <f t="shared" si="160"/>
        <v>30</v>
      </c>
      <c r="S924" s="190"/>
      <c r="T924" s="340"/>
      <c r="U924" s="190"/>
    </row>
    <row r="925" spans="1:21" customFormat="1" hidden="1" outlineLevel="1">
      <c r="A925" s="22"/>
      <c r="B925" s="374" t="s">
        <v>353</v>
      </c>
      <c r="C925" s="75" t="str">
        <f t="shared" si="159"/>
        <v>Natural Gas_Single Cycle Gas Turbine</v>
      </c>
      <c r="D925" s="375"/>
      <c r="E925" s="376"/>
      <c r="F925" s="374" t="s">
        <v>10</v>
      </c>
      <c r="G925" s="377"/>
      <c r="H925" s="39"/>
      <c r="I925" s="39"/>
      <c r="J925" s="39"/>
      <c r="K925" s="39"/>
      <c r="L925" s="39"/>
      <c r="M925" s="39"/>
      <c r="N925" s="39"/>
      <c r="O925" s="39"/>
      <c r="P925" s="39"/>
      <c r="Q925" s="39"/>
      <c r="R925" s="39"/>
      <c r="S925" s="190"/>
      <c r="T925" s="340"/>
      <c r="U925" s="190"/>
    </row>
    <row r="926" spans="1:21" customFormat="1" hidden="1" outlineLevel="1">
      <c r="A926" s="22"/>
      <c r="B926" s="374" t="s">
        <v>304</v>
      </c>
      <c r="C926" s="75" t="str">
        <f t="shared" si="159"/>
        <v>Natural Gas_Single Cycle Gas Turbine</v>
      </c>
      <c r="D926" s="375"/>
      <c r="E926" s="376"/>
      <c r="F926" s="374" t="s">
        <v>96</v>
      </c>
      <c r="G926" s="377"/>
      <c r="H926" s="261">
        <v>0.125</v>
      </c>
      <c r="I926" s="264">
        <f t="shared" ref="I926:R926" si="161">H926</f>
        <v>0.125</v>
      </c>
      <c r="J926" s="264">
        <f t="shared" si="161"/>
        <v>0.125</v>
      </c>
      <c r="K926" s="264">
        <f t="shared" si="161"/>
        <v>0.125</v>
      </c>
      <c r="L926" s="264">
        <f t="shared" si="161"/>
        <v>0.125</v>
      </c>
      <c r="M926" s="264">
        <f t="shared" si="161"/>
        <v>0.125</v>
      </c>
      <c r="N926" s="264">
        <f t="shared" si="161"/>
        <v>0.125</v>
      </c>
      <c r="O926" s="264">
        <f t="shared" si="161"/>
        <v>0.125</v>
      </c>
      <c r="P926" s="264">
        <f t="shared" si="161"/>
        <v>0.125</v>
      </c>
      <c r="Q926" s="264">
        <f t="shared" si="161"/>
        <v>0.125</v>
      </c>
      <c r="R926" s="264">
        <f t="shared" si="161"/>
        <v>0.125</v>
      </c>
      <c r="S926" s="190"/>
      <c r="T926" s="340"/>
      <c r="U926" s="190"/>
    </row>
    <row r="927" spans="1:21" customFormat="1" hidden="1" outlineLevel="1">
      <c r="A927" s="22"/>
      <c r="B927" s="374" t="s">
        <v>350</v>
      </c>
      <c r="C927" s="75" t="str">
        <f t="shared" si="159"/>
        <v>Natural Gas_Single Cycle Gas Turbine</v>
      </c>
      <c r="D927" s="375"/>
      <c r="E927" s="376"/>
      <c r="F927" s="374" t="s">
        <v>96</v>
      </c>
      <c r="G927" s="377"/>
      <c r="H927" s="261"/>
      <c r="I927" s="261"/>
      <c r="J927" s="261"/>
      <c r="K927" s="261"/>
      <c r="L927" s="261"/>
      <c r="M927" s="261"/>
      <c r="N927" s="261"/>
      <c r="O927" s="261"/>
      <c r="P927" s="261"/>
      <c r="Q927" s="261"/>
      <c r="R927" s="261"/>
      <c r="S927" s="190"/>
      <c r="T927" s="340"/>
      <c r="U927" s="190"/>
    </row>
    <row r="928" spans="1:21" customFormat="1" hidden="1" outlineLevel="1">
      <c r="A928" s="22"/>
      <c r="B928" s="374" t="s">
        <v>349</v>
      </c>
      <c r="C928" s="75" t="str">
        <f t="shared" si="159"/>
        <v>Natural Gas_Single Cycle Gas Turbine</v>
      </c>
      <c r="D928" s="375"/>
      <c r="E928" s="376"/>
      <c r="F928" s="374" t="s">
        <v>96</v>
      </c>
      <c r="G928" s="377"/>
      <c r="H928" s="261"/>
      <c r="I928" s="261"/>
      <c r="J928" s="261"/>
      <c r="K928" s="261"/>
      <c r="L928" s="261"/>
      <c r="M928" s="261"/>
      <c r="N928" s="261"/>
      <c r="O928" s="261"/>
      <c r="P928" s="261"/>
      <c r="Q928" s="261"/>
      <c r="R928" s="261"/>
      <c r="S928" s="190"/>
      <c r="T928" s="340"/>
      <c r="U928" s="190"/>
    </row>
    <row r="929" spans="1:21" customFormat="1" hidden="1" outlineLevel="1">
      <c r="A929" s="22"/>
      <c r="B929" s="374" t="s">
        <v>74</v>
      </c>
      <c r="C929" s="75" t="str">
        <f t="shared" si="159"/>
        <v>Natural Gas_Single Cycle Gas Turbine</v>
      </c>
      <c r="D929" s="375"/>
      <c r="E929" s="376"/>
      <c r="F929" s="374" t="s">
        <v>96</v>
      </c>
      <c r="G929" s="377"/>
      <c r="H929" s="261">
        <v>0.9</v>
      </c>
      <c r="I929" s="261"/>
      <c r="J929" s="261"/>
      <c r="K929" s="261"/>
      <c r="L929" s="261"/>
      <c r="M929" s="261"/>
      <c r="N929" s="261"/>
      <c r="O929" s="261"/>
      <c r="P929" s="261"/>
      <c r="Q929" s="261"/>
      <c r="R929" s="261"/>
      <c r="S929" s="190"/>
      <c r="T929" s="340"/>
      <c r="U929" s="190"/>
    </row>
    <row r="930" spans="1:21" customFormat="1" hidden="1" outlineLevel="1">
      <c r="A930" s="22"/>
      <c r="B930" s="68" t="s">
        <v>146</v>
      </c>
      <c r="C930" s="75" t="str">
        <f t="shared" si="159"/>
        <v>Natural Gas_Single Cycle Gas Turbine</v>
      </c>
      <c r="D930" s="379"/>
      <c r="E930" s="380"/>
      <c r="F930" s="68" t="s">
        <v>96</v>
      </c>
      <c r="G930" s="381"/>
      <c r="H930" s="261"/>
      <c r="I930" s="261"/>
      <c r="J930" s="261"/>
      <c r="K930" s="261"/>
      <c r="L930" s="261"/>
      <c r="M930" s="261"/>
      <c r="N930" s="261"/>
      <c r="O930" s="261"/>
      <c r="P930" s="261"/>
      <c r="Q930" s="261"/>
      <c r="R930" s="261"/>
      <c r="S930" s="190"/>
      <c r="T930" s="340"/>
      <c r="U930" s="190"/>
    </row>
    <row r="931" spans="1:21" customFormat="1" hidden="1" outlineLevel="1">
      <c r="A931" s="22"/>
      <c r="B931" s="68" t="s">
        <v>147</v>
      </c>
      <c r="C931" s="75" t="str">
        <f t="shared" si="159"/>
        <v>Natural Gas_Single Cycle Gas Turbine</v>
      </c>
      <c r="D931" s="379"/>
      <c r="E931" s="380"/>
      <c r="F931" s="68" t="s">
        <v>96</v>
      </c>
      <c r="G931" s="381"/>
      <c r="H931" s="261"/>
      <c r="I931" s="261"/>
      <c r="J931" s="261"/>
      <c r="K931" s="261"/>
      <c r="L931" s="261"/>
      <c r="M931" s="261"/>
      <c r="N931" s="261"/>
      <c r="O931" s="261"/>
      <c r="P931" s="261"/>
      <c r="Q931" s="261"/>
      <c r="R931" s="261"/>
      <c r="S931" s="190"/>
      <c r="T931" s="340"/>
      <c r="U931" s="190"/>
    </row>
    <row r="932" spans="1:21" customFormat="1" hidden="1" outlineLevel="1">
      <c r="A932" s="22"/>
      <c r="B932" s="68" t="s">
        <v>362</v>
      </c>
      <c r="C932" s="75" t="str">
        <f t="shared" si="159"/>
        <v>Natural Gas_Single Cycle Gas Turbine</v>
      </c>
      <c r="D932" s="379"/>
      <c r="E932" s="380"/>
      <c r="F932" s="68" t="s">
        <v>96</v>
      </c>
      <c r="G932" s="381"/>
      <c r="H932" s="261"/>
      <c r="I932" s="261"/>
      <c r="J932" s="261"/>
      <c r="K932" s="261"/>
      <c r="L932" s="261"/>
      <c r="M932" s="261"/>
      <c r="N932" s="261"/>
      <c r="O932" s="261"/>
      <c r="P932" s="261"/>
      <c r="Q932" s="261"/>
      <c r="R932" s="261"/>
      <c r="S932" s="190"/>
      <c r="T932" s="340"/>
      <c r="U932" s="190"/>
    </row>
    <row r="933" spans="1:21" customFormat="1" hidden="1" outlineLevel="1">
      <c r="A933" s="22"/>
      <c r="B933" s="68" t="s">
        <v>363</v>
      </c>
      <c r="C933" s="75" t="str">
        <f t="shared" si="159"/>
        <v>Natural Gas_Single Cycle Gas Turbine</v>
      </c>
      <c r="D933" s="379"/>
      <c r="E933" s="380"/>
      <c r="F933" s="68" t="s">
        <v>96</v>
      </c>
      <c r="G933" s="381"/>
      <c r="H933" s="261"/>
      <c r="I933" s="261"/>
      <c r="J933" s="261"/>
      <c r="K933" s="261"/>
      <c r="L933" s="261"/>
      <c r="M933" s="261"/>
      <c r="N933" s="261"/>
      <c r="O933" s="261"/>
      <c r="P933" s="261"/>
      <c r="Q933" s="261"/>
      <c r="R933" s="261"/>
      <c r="S933" s="190"/>
      <c r="T933" s="340"/>
      <c r="U933" s="190"/>
    </row>
    <row r="934" spans="1:21" customFormat="1" hidden="1" outlineLevel="1">
      <c r="A934" s="22"/>
      <c r="B934" s="374" t="s">
        <v>332</v>
      </c>
      <c r="C934" s="75" t="str">
        <f t="shared" si="159"/>
        <v>Natural Gas_Single Cycle Gas Turbine</v>
      </c>
      <c r="D934" s="375"/>
      <c r="E934" s="376"/>
      <c r="F934" s="374" t="s">
        <v>189</v>
      </c>
      <c r="G934" s="377"/>
      <c r="H934" s="40">
        <f>75*8760*0.56</f>
        <v>367920.00000000006</v>
      </c>
      <c r="I934" s="384">
        <f t="shared" ref="I934:R935" si="162">H934</f>
        <v>367920.00000000006</v>
      </c>
      <c r="J934" s="384">
        <f t="shared" si="162"/>
        <v>367920.00000000006</v>
      </c>
      <c r="K934" s="384">
        <f t="shared" si="162"/>
        <v>367920.00000000006</v>
      </c>
      <c r="L934" s="384">
        <f t="shared" si="162"/>
        <v>367920.00000000006</v>
      </c>
      <c r="M934" s="384">
        <f t="shared" si="162"/>
        <v>367920.00000000006</v>
      </c>
      <c r="N934" s="384">
        <f t="shared" si="162"/>
        <v>367920.00000000006</v>
      </c>
      <c r="O934" s="384">
        <f t="shared" si="162"/>
        <v>367920.00000000006</v>
      </c>
      <c r="P934" s="384">
        <f t="shared" si="162"/>
        <v>367920.00000000006</v>
      </c>
      <c r="Q934" s="384">
        <f t="shared" si="162"/>
        <v>367920.00000000006</v>
      </c>
      <c r="R934" s="384">
        <f t="shared" si="162"/>
        <v>367920.00000000006</v>
      </c>
      <c r="S934" s="190"/>
      <c r="T934" s="340"/>
      <c r="U934" s="190"/>
    </row>
    <row r="935" spans="1:21" customFormat="1" hidden="1" outlineLevel="1">
      <c r="A935" s="22"/>
      <c r="B935" s="374" t="s">
        <v>470</v>
      </c>
      <c r="C935" s="75" t="str">
        <f t="shared" si="159"/>
        <v>Natural Gas_Single Cycle Gas Turbine</v>
      </c>
      <c r="D935" s="375"/>
      <c r="E935" s="376"/>
      <c r="F935" s="374" t="s">
        <v>316</v>
      </c>
      <c r="G935" s="377"/>
      <c r="H935" s="41">
        <v>70000000</v>
      </c>
      <c r="I935" s="385">
        <f t="shared" si="162"/>
        <v>70000000</v>
      </c>
      <c r="J935" s="385">
        <f t="shared" si="162"/>
        <v>70000000</v>
      </c>
      <c r="K935" s="385">
        <f t="shared" si="162"/>
        <v>70000000</v>
      </c>
      <c r="L935" s="385">
        <f t="shared" si="162"/>
        <v>70000000</v>
      </c>
      <c r="M935" s="385">
        <f t="shared" si="162"/>
        <v>70000000</v>
      </c>
      <c r="N935" s="385">
        <f t="shared" si="162"/>
        <v>70000000</v>
      </c>
      <c r="O935" s="385">
        <f t="shared" si="162"/>
        <v>70000000</v>
      </c>
      <c r="P935" s="385">
        <f t="shared" si="162"/>
        <v>70000000</v>
      </c>
      <c r="Q935" s="385">
        <f t="shared" si="162"/>
        <v>70000000</v>
      </c>
      <c r="R935" s="385">
        <f t="shared" si="162"/>
        <v>70000000</v>
      </c>
      <c r="S935" s="190"/>
      <c r="T935" s="340"/>
      <c r="U935" s="190"/>
    </row>
    <row r="936" spans="1:21" customFormat="1" hidden="1" outlineLevel="1">
      <c r="A936" s="22"/>
      <c r="B936" s="374" t="s">
        <v>375</v>
      </c>
      <c r="C936" s="75" t="str">
        <f t="shared" si="159"/>
        <v>Natural Gas_Single Cycle Gas Turbine</v>
      </c>
      <c r="D936" s="375"/>
      <c r="E936" s="376"/>
      <c r="F936" s="374" t="s">
        <v>96</v>
      </c>
      <c r="G936" s="377"/>
      <c r="H936" s="261"/>
      <c r="I936" s="261"/>
      <c r="J936" s="261"/>
      <c r="K936" s="261"/>
      <c r="L936" s="261"/>
      <c r="M936" s="261"/>
      <c r="N936" s="261"/>
      <c r="O936" s="261"/>
      <c r="P936" s="261"/>
      <c r="Q936" s="261"/>
      <c r="R936" s="261"/>
      <c r="S936" s="190"/>
      <c r="T936" s="340"/>
      <c r="U936" s="190"/>
    </row>
    <row r="937" spans="1:21" customFormat="1" hidden="1" outlineLevel="1">
      <c r="A937" s="22"/>
      <c r="B937" s="374" t="s">
        <v>432</v>
      </c>
      <c r="C937" s="75" t="str">
        <f t="shared" si="159"/>
        <v>Natural Gas_Single Cycle Gas Turbine</v>
      </c>
      <c r="D937" s="375"/>
      <c r="E937" s="376"/>
      <c r="F937" s="374" t="s">
        <v>189</v>
      </c>
      <c r="G937" s="377"/>
      <c r="H937" s="39"/>
      <c r="I937" s="39"/>
      <c r="J937" s="39"/>
      <c r="K937" s="39"/>
      <c r="L937" s="39"/>
      <c r="M937" s="39"/>
      <c r="N937" s="39"/>
      <c r="O937" s="39"/>
      <c r="P937" s="39"/>
      <c r="Q937" s="39"/>
      <c r="R937" s="39"/>
      <c r="S937" s="190"/>
      <c r="T937" s="340"/>
      <c r="U937" s="190"/>
    </row>
    <row r="938" spans="1:21" customFormat="1" hidden="1" outlineLevel="1">
      <c r="A938" s="22"/>
      <c r="B938" s="374" t="s">
        <v>379</v>
      </c>
      <c r="C938" s="75" t="str">
        <f t="shared" si="159"/>
        <v>Natural Gas_Single Cycle Gas Turbine</v>
      </c>
      <c r="D938" s="375"/>
      <c r="E938" s="376"/>
      <c r="F938" s="374"/>
      <c r="G938" s="377"/>
      <c r="H938" s="41"/>
      <c r="I938" s="41"/>
      <c r="J938" s="41"/>
      <c r="K938" s="41"/>
      <c r="L938" s="41"/>
      <c r="M938" s="41"/>
      <c r="N938" s="41"/>
      <c r="O938" s="41"/>
      <c r="P938" s="41"/>
      <c r="Q938" s="41"/>
      <c r="R938" s="41"/>
      <c r="S938" s="190"/>
      <c r="T938" s="340"/>
      <c r="U938" s="190"/>
    </row>
    <row r="939" spans="1:21" customFormat="1" hidden="1" outlineLevel="1">
      <c r="A939" s="22"/>
      <c r="B939" s="374" t="s">
        <v>361</v>
      </c>
      <c r="C939" s="75" t="str">
        <f t="shared" si="159"/>
        <v>Natural Gas_Single Cycle Gas Turbine</v>
      </c>
      <c r="D939" s="375"/>
      <c r="E939" s="376"/>
      <c r="F939" s="374" t="s">
        <v>96</v>
      </c>
      <c r="G939" s="377"/>
      <c r="H939" s="261"/>
      <c r="I939" s="261"/>
      <c r="J939" s="261"/>
      <c r="K939" s="261"/>
      <c r="L939" s="261"/>
      <c r="M939" s="261"/>
      <c r="N939" s="261"/>
      <c r="O939" s="261"/>
      <c r="P939" s="261"/>
      <c r="Q939" s="261"/>
      <c r="R939" s="261"/>
      <c r="S939" s="190"/>
      <c r="T939" s="340"/>
      <c r="U939" s="190"/>
    </row>
    <row r="940" spans="1:21" customFormat="1" hidden="1" outlineLevel="1">
      <c r="A940" s="22"/>
      <c r="B940" s="374" t="s">
        <v>384</v>
      </c>
      <c r="C940" s="75" t="str">
        <f t="shared" si="159"/>
        <v>Natural Gas_Single Cycle Gas Turbine</v>
      </c>
      <c r="D940" s="375"/>
      <c r="E940" s="376"/>
      <c r="F940" s="374" t="s">
        <v>316</v>
      </c>
      <c r="G940" s="377"/>
      <c r="H940" s="41"/>
      <c r="I940" s="41"/>
      <c r="J940" s="41"/>
      <c r="K940" s="41"/>
      <c r="L940" s="41"/>
      <c r="M940" s="41"/>
      <c r="N940" s="41"/>
      <c r="O940" s="41"/>
      <c r="P940" s="41"/>
      <c r="Q940" s="41"/>
      <c r="R940" s="41"/>
      <c r="S940" s="190"/>
      <c r="T940" s="340"/>
      <c r="U940" s="190"/>
    </row>
    <row r="941" spans="1:21" customFormat="1" hidden="1" outlineLevel="1">
      <c r="A941" s="22"/>
      <c r="B941" s="374" t="s">
        <v>386</v>
      </c>
      <c r="C941" s="75" t="str">
        <f t="shared" si="159"/>
        <v>Natural Gas_Single Cycle Gas Turbine</v>
      </c>
      <c r="D941" s="375"/>
      <c r="E941" s="376"/>
      <c r="F941" s="374" t="s">
        <v>316</v>
      </c>
      <c r="G941" s="377"/>
      <c r="H941" s="39"/>
      <c r="I941" s="39"/>
      <c r="J941" s="39"/>
      <c r="K941" s="39"/>
      <c r="L941" s="39"/>
      <c r="M941" s="39"/>
      <c r="N941" s="39"/>
      <c r="O941" s="39"/>
      <c r="P941" s="39"/>
      <c r="Q941" s="39"/>
      <c r="R941" s="39"/>
      <c r="S941" s="190"/>
      <c r="T941" s="340"/>
      <c r="U941" s="190"/>
    </row>
    <row r="942" spans="1:21" customFormat="1" hidden="1" outlineLevel="1">
      <c r="A942" s="22"/>
      <c r="B942" s="374" t="s">
        <v>387</v>
      </c>
      <c r="C942" s="75" t="str">
        <f t="shared" si="159"/>
        <v>Natural Gas_Single Cycle Gas Turbine</v>
      </c>
      <c r="D942" s="375"/>
      <c r="E942" s="376"/>
      <c r="F942" s="374"/>
      <c r="G942" s="377"/>
      <c r="H942" s="261"/>
      <c r="I942" s="261"/>
      <c r="J942" s="261"/>
      <c r="K942" s="261"/>
      <c r="L942" s="261"/>
      <c r="M942" s="261"/>
      <c r="N942" s="261"/>
      <c r="O942" s="261"/>
      <c r="P942" s="261"/>
      <c r="Q942" s="261"/>
      <c r="R942" s="261"/>
      <c r="S942" s="190"/>
      <c r="T942" s="340"/>
      <c r="U942" s="190"/>
    </row>
    <row r="943" spans="1:21" customFormat="1" hidden="1" outlineLevel="1">
      <c r="A943" s="22"/>
      <c r="B943" s="374" t="s">
        <v>388</v>
      </c>
      <c r="C943" s="75" t="str">
        <f t="shared" si="159"/>
        <v>Natural Gas_Single Cycle Gas Turbine</v>
      </c>
      <c r="D943" s="375"/>
      <c r="E943" s="376"/>
      <c r="F943" s="374"/>
      <c r="G943" s="377"/>
      <c r="H943" s="39"/>
      <c r="I943" s="39"/>
      <c r="J943" s="39"/>
      <c r="K943" s="39"/>
      <c r="L943" s="39"/>
      <c r="M943" s="39"/>
      <c r="N943" s="39"/>
      <c r="O943" s="39"/>
      <c r="P943" s="39"/>
      <c r="Q943" s="39"/>
      <c r="R943" s="39"/>
      <c r="S943" s="190"/>
      <c r="T943" s="340"/>
      <c r="U943" s="190"/>
    </row>
    <row r="944" spans="1:21" customFormat="1" hidden="1" outlineLevel="1">
      <c r="A944" s="22"/>
      <c r="B944" s="374" t="s">
        <v>385</v>
      </c>
      <c r="C944" s="75" t="str">
        <f t="shared" si="159"/>
        <v>Natural Gas_Single Cycle Gas Turbine</v>
      </c>
      <c r="D944" s="375"/>
      <c r="E944" s="376"/>
      <c r="F944" s="374" t="s">
        <v>331</v>
      </c>
      <c r="G944" s="377"/>
      <c r="H944" s="41"/>
      <c r="I944" s="41"/>
      <c r="J944" s="41"/>
      <c r="K944" s="41"/>
      <c r="L944" s="41"/>
      <c r="M944" s="41"/>
      <c r="N944" s="41"/>
      <c r="O944" s="41"/>
      <c r="P944" s="41"/>
      <c r="Q944" s="41"/>
      <c r="R944" s="41"/>
      <c r="S944" s="190"/>
      <c r="T944" s="340"/>
      <c r="U944" s="190"/>
    </row>
    <row r="945" spans="1:21" customFormat="1" hidden="1" outlineLevel="1">
      <c r="A945" s="22"/>
      <c r="B945" s="374" t="s">
        <v>389</v>
      </c>
      <c r="C945" s="75" t="str">
        <f t="shared" si="159"/>
        <v>Natural Gas_Single Cycle Gas Turbine</v>
      </c>
      <c r="D945" s="375"/>
      <c r="E945" s="376"/>
      <c r="F945" s="374" t="s">
        <v>331</v>
      </c>
      <c r="G945" s="377"/>
      <c r="H945" s="39"/>
      <c r="I945" s="39"/>
      <c r="J945" s="39"/>
      <c r="K945" s="39"/>
      <c r="L945" s="39"/>
      <c r="M945" s="39"/>
      <c r="N945" s="39"/>
      <c r="O945" s="39"/>
      <c r="P945" s="39"/>
      <c r="Q945" s="39"/>
      <c r="R945" s="39"/>
      <c r="S945" s="190"/>
      <c r="T945" s="340"/>
      <c r="U945" s="190"/>
    </row>
    <row r="946" spans="1:21" customFormat="1" hidden="1" outlineLevel="1">
      <c r="A946" s="22"/>
      <c r="B946" s="374" t="s">
        <v>390</v>
      </c>
      <c r="C946" s="75" t="str">
        <f t="shared" si="159"/>
        <v>Natural Gas_Single Cycle Gas Turbine</v>
      </c>
      <c r="D946" s="375"/>
      <c r="E946" s="376"/>
      <c r="F946" s="374"/>
      <c r="G946" s="377"/>
      <c r="H946" s="261"/>
      <c r="I946" s="261"/>
      <c r="J946" s="261"/>
      <c r="K946" s="261"/>
      <c r="L946" s="261"/>
      <c r="M946" s="261"/>
      <c r="N946" s="261"/>
      <c r="O946" s="261"/>
      <c r="P946" s="261"/>
      <c r="Q946" s="261"/>
      <c r="R946" s="261"/>
      <c r="S946" s="190"/>
      <c r="T946" s="340"/>
      <c r="U946" s="190"/>
    </row>
    <row r="947" spans="1:21" customFormat="1" hidden="1" outlineLevel="1">
      <c r="A947" s="22"/>
      <c r="B947" s="374" t="s">
        <v>391</v>
      </c>
      <c r="C947" s="75" t="str">
        <f t="shared" si="159"/>
        <v>Natural Gas_Single Cycle Gas Turbine</v>
      </c>
      <c r="D947" s="375"/>
      <c r="E947" s="376"/>
      <c r="F947" s="374"/>
      <c r="G947" s="377"/>
      <c r="H947" s="39"/>
      <c r="I947" s="39"/>
      <c r="J947" s="39"/>
      <c r="K947" s="39"/>
      <c r="L947" s="39"/>
      <c r="M947" s="39"/>
      <c r="N947" s="39"/>
      <c r="O947" s="39"/>
      <c r="P947" s="39"/>
      <c r="Q947" s="39"/>
      <c r="R947" s="39"/>
      <c r="S947" s="190"/>
      <c r="T947" s="340"/>
      <c r="U947" s="190"/>
    </row>
    <row r="948" spans="1:21" customFormat="1" hidden="1" outlineLevel="1">
      <c r="A948" s="22"/>
      <c r="B948" s="374" t="s">
        <v>305</v>
      </c>
      <c r="C948" s="75" t="str">
        <f t="shared" si="159"/>
        <v>Natural Gas_Single Cycle Gas Turbine</v>
      </c>
      <c r="D948" s="375"/>
      <c r="E948" s="376"/>
      <c r="F948" s="374" t="s">
        <v>331</v>
      </c>
      <c r="G948" s="377"/>
      <c r="H948" s="41">
        <v>1000000</v>
      </c>
      <c r="I948" s="385">
        <f t="shared" ref="I948:R948" si="163">H948</f>
        <v>1000000</v>
      </c>
      <c r="J948" s="385">
        <f t="shared" si="163"/>
        <v>1000000</v>
      </c>
      <c r="K948" s="385">
        <f t="shared" si="163"/>
        <v>1000000</v>
      </c>
      <c r="L948" s="385">
        <f t="shared" si="163"/>
        <v>1000000</v>
      </c>
      <c r="M948" s="385">
        <f t="shared" si="163"/>
        <v>1000000</v>
      </c>
      <c r="N948" s="385">
        <f t="shared" si="163"/>
        <v>1000000</v>
      </c>
      <c r="O948" s="385">
        <f t="shared" si="163"/>
        <v>1000000</v>
      </c>
      <c r="P948" s="385">
        <f t="shared" si="163"/>
        <v>1000000</v>
      </c>
      <c r="Q948" s="385">
        <f t="shared" si="163"/>
        <v>1000000</v>
      </c>
      <c r="R948" s="385">
        <f t="shared" si="163"/>
        <v>1000000</v>
      </c>
      <c r="S948" s="190"/>
      <c r="T948" s="340"/>
      <c r="U948" s="190"/>
    </row>
    <row r="949" spans="1:21" customFormat="1" hidden="1" outlineLevel="1">
      <c r="A949" s="22"/>
      <c r="B949" s="374" t="s">
        <v>352</v>
      </c>
      <c r="C949" s="75" t="str">
        <f t="shared" si="159"/>
        <v>Natural Gas_Single Cycle Gas Turbine</v>
      </c>
      <c r="D949" s="375"/>
      <c r="E949" s="376"/>
      <c r="F949" s="374" t="s">
        <v>316</v>
      </c>
      <c r="G949" s="377"/>
      <c r="H949" s="41"/>
      <c r="I949" s="41"/>
      <c r="J949" s="41"/>
      <c r="K949" s="41"/>
      <c r="L949" s="41"/>
      <c r="M949" s="41"/>
      <c r="N949" s="41"/>
      <c r="O949" s="41"/>
      <c r="P949" s="41"/>
      <c r="Q949" s="41"/>
      <c r="R949" s="41"/>
      <c r="S949" s="190"/>
      <c r="T949" s="340"/>
      <c r="U949" s="190"/>
    </row>
    <row r="950" spans="1:21" customFormat="1" hidden="1" outlineLevel="1">
      <c r="A950" s="22"/>
      <c r="B950" t="s">
        <v>301</v>
      </c>
      <c r="C950" s="75" t="str">
        <f t="shared" si="159"/>
        <v>Natural Gas_Single Cycle Gas Turbine</v>
      </c>
      <c r="D950" s="75" t="s">
        <v>460</v>
      </c>
      <c r="E950" s="367"/>
      <c r="F950" t="s">
        <v>482</v>
      </c>
      <c r="G950" s="190"/>
      <c r="H950" s="370">
        <f>GJ_per_MWh/0.33</f>
        <v>10.909090909090908</v>
      </c>
      <c r="I950" s="219">
        <f t="shared" ref="I950:R951" si="164">H950</f>
        <v>10.909090909090908</v>
      </c>
      <c r="J950" s="219">
        <f t="shared" si="164"/>
        <v>10.909090909090908</v>
      </c>
      <c r="K950" s="219">
        <f t="shared" si="164"/>
        <v>10.909090909090908</v>
      </c>
      <c r="L950" s="219">
        <f t="shared" si="164"/>
        <v>10.909090909090908</v>
      </c>
      <c r="M950" s="219">
        <f t="shared" si="164"/>
        <v>10.909090909090908</v>
      </c>
      <c r="N950" s="219">
        <f t="shared" si="164"/>
        <v>10.909090909090908</v>
      </c>
      <c r="O950" s="219">
        <f t="shared" si="164"/>
        <v>10.909090909090908</v>
      </c>
      <c r="P950" s="219">
        <f t="shared" si="164"/>
        <v>10.909090909090908</v>
      </c>
      <c r="Q950" s="219">
        <f t="shared" si="164"/>
        <v>10.909090909090908</v>
      </c>
      <c r="R950" s="219">
        <f t="shared" si="164"/>
        <v>10.909090909090908</v>
      </c>
      <c r="S950" s="190"/>
      <c r="T950" s="340"/>
      <c r="U950" s="190"/>
    </row>
    <row r="951" spans="1:21" customFormat="1" hidden="1" outlineLevel="1">
      <c r="A951" s="22"/>
      <c r="B951" t="s">
        <v>301</v>
      </c>
      <c r="C951" s="75" t="str">
        <f t="shared" si="159"/>
        <v>Natural Gas_Single Cycle Gas Turbine</v>
      </c>
      <c r="D951" s="75" t="s">
        <v>464</v>
      </c>
      <c r="E951" s="367"/>
      <c r="F951" t="s">
        <v>483</v>
      </c>
      <c r="G951" s="190"/>
      <c r="H951" s="370">
        <v>1</v>
      </c>
      <c r="I951" s="219">
        <f t="shared" si="164"/>
        <v>1</v>
      </c>
      <c r="J951" s="219">
        <f t="shared" si="164"/>
        <v>1</v>
      </c>
      <c r="K951" s="219">
        <f t="shared" si="164"/>
        <v>1</v>
      </c>
      <c r="L951" s="219">
        <f t="shared" si="164"/>
        <v>1</v>
      </c>
      <c r="M951" s="219">
        <f t="shared" si="164"/>
        <v>1</v>
      </c>
      <c r="N951" s="219">
        <f t="shared" si="164"/>
        <v>1</v>
      </c>
      <c r="O951" s="219">
        <f t="shared" si="164"/>
        <v>1</v>
      </c>
      <c r="P951" s="219">
        <f t="shared" si="164"/>
        <v>1</v>
      </c>
      <c r="Q951" s="219">
        <f t="shared" si="164"/>
        <v>1</v>
      </c>
      <c r="R951" s="219">
        <f t="shared" si="164"/>
        <v>1</v>
      </c>
      <c r="S951" s="190"/>
      <c r="T951" s="340"/>
      <c r="U951" s="190"/>
    </row>
    <row r="952" spans="1:21" customFormat="1" hidden="1" outlineLevel="1">
      <c r="A952" s="22"/>
      <c r="B952" t="s">
        <v>50</v>
      </c>
      <c r="C952" s="382" t="s">
        <v>263</v>
      </c>
      <c r="D952" s="75"/>
      <c r="E952" s="367"/>
      <c r="G952" s="190"/>
      <c r="H952" s="383"/>
      <c r="I952" s="383"/>
      <c r="S952" s="190"/>
      <c r="T952" s="340"/>
      <c r="U952" s="190"/>
    </row>
    <row r="953" spans="1:21" customFormat="1" hidden="1" outlineLevel="1">
      <c r="A953" s="22"/>
      <c r="B953" s="374" t="s">
        <v>37</v>
      </c>
      <c r="C953" s="75" t="str">
        <f t="shared" ref="C953:C982" si="165">C952</f>
        <v>Natural Gas_Combined Cycle Gas Turbine</v>
      </c>
      <c r="D953" s="375"/>
      <c r="E953" s="376"/>
      <c r="F953" s="374" t="s">
        <v>39</v>
      </c>
      <c r="G953" s="377"/>
      <c r="H953">
        <v>2000</v>
      </c>
      <c r="I953" s="378">
        <f t="shared" ref="I953:R955" si="166">H953</f>
        <v>2000</v>
      </c>
      <c r="J953" s="378">
        <f t="shared" si="166"/>
        <v>2000</v>
      </c>
      <c r="K953" s="378">
        <f t="shared" si="166"/>
        <v>2000</v>
      </c>
      <c r="L953" s="378">
        <f t="shared" si="166"/>
        <v>2000</v>
      </c>
      <c r="M953" s="378">
        <f t="shared" si="166"/>
        <v>2000</v>
      </c>
      <c r="N953" s="378">
        <f t="shared" si="166"/>
        <v>2000</v>
      </c>
      <c r="O953" s="378">
        <f t="shared" si="166"/>
        <v>2000</v>
      </c>
      <c r="P953" s="378">
        <f t="shared" si="166"/>
        <v>2000</v>
      </c>
      <c r="Q953" s="378">
        <f t="shared" si="166"/>
        <v>2000</v>
      </c>
      <c r="R953" s="378">
        <f t="shared" si="166"/>
        <v>2000</v>
      </c>
      <c r="S953" s="190"/>
      <c r="T953" s="340"/>
      <c r="U953" s="190"/>
    </row>
    <row r="954" spans="1:21" customFormat="1" hidden="1" outlineLevel="1">
      <c r="A954" s="22"/>
      <c r="B954" s="374" t="s">
        <v>36</v>
      </c>
      <c r="C954" s="75" t="str">
        <f t="shared" si="165"/>
        <v>Natural Gas_Combined Cycle Gas Turbine</v>
      </c>
      <c r="D954" s="375"/>
      <c r="E954" s="376"/>
      <c r="F954" s="374" t="s">
        <v>39</v>
      </c>
      <c r="G954" s="377"/>
      <c r="H954">
        <v>2100</v>
      </c>
      <c r="I954" s="378">
        <f t="shared" si="166"/>
        <v>2100</v>
      </c>
      <c r="J954" s="378">
        <f t="shared" si="166"/>
        <v>2100</v>
      </c>
      <c r="K954" s="378">
        <f t="shared" si="166"/>
        <v>2100</v>
      </c>
      <c r="L954" s="378">
        <f t="shared" si="166"/>
        <v>2100</v>
      </c>
      <c r="M954" s="378">
        <f t="shared" si="166"/>
        <v>2100</v>
      </c>
      <c r="N954" s="378">
        <f t="shared" si="166"/>
        <v>2100</v>
      </c>
      <c r="O954" s="378">
        <f t="shared" si="166"/>
        <v>2100</v>
      </c>
      <c r="P954" s="378">
        <f t="shared" si="166"/>
        <v>2100</v>
      </c>
      <c r="Q954" s="378">
        <f t="shared" si="166"/>
        <v>2100</v>
      </c>
      <c r="R954" s="378">
        <f t="shared" si="166"/>
        <v>2100</v>
      </c>
      <c r="S954" s="190"/>
      <c r="T954" s="340"/>
      <c r="U954" s="190"/>
    </row>
    <row r="955" spans="1:21" customFormat="1" hidden="1" outlineLevel="1">
      <c r="A955" s="22"/>
      <c r="B955" s="374" t="s">
        <v>38</v>
      </c>
      <c r="C955" s="75" t="str">
        <f t="shared" si="165"/>
        <v>Natural Gas_Combined Cycle Gas Turbine</v>
      </c>
      <c r="D955" s="375"/>
      <c r="E955" s="376"/>
      <c r="F955" s="374" t="s">
        <v>10</v>
      </c>
      <c r="G955" s="377"/>
      <c r="H955" s="39">
        <v>30</v>
      </c>
      <c r="I955" s="221">
        <f t="shared" si="166"/>
        <v>30</v>
      </c>
      <c r="J955" s="221">
        <f t="shared" si="166"/>
        <v>30</v>
      </c>
      <c r="K955" s="221">
        <f t="shared" si="166"/>
        <v>30</v>
      </c>
      <c r="L955" s="221">
        <f t="shared" si="166"/>
        <v>30</v>
      </c>
      <c r="M955" s="221">
        <f t="shared" si="166"/>
        <v>30</v>
      </c>
      <c r="N955" s="221">
        <f t="shared" si="166"/>
        <v>30</v>
      </c>
      <c r="O955" s="221">
        <f t="shared" si="166"/>
        <v>30</v>
      </c>
      <c r="P955" s="221">
        <f t="shared" si="166"/>
        <v>30</v>
      </c>
      <c r="Q955" s="221">
        <f t="shared" si="166"/>
        <v>30</v>
      </c>
      <c r="R955" s="221">
        <f t="shared" si="166"/>
        <v>30</v>
      </c>
      <c r="S955" s="190"/>
      <c r="T955" s="340"/>
      <c r="U955" s="190"/>
    </row>
    <row r="956" spans="1:21" customFormat="1" hidden="1" outlineLevel="1">
      <c r="A956" s="22"/>
      <c r="B956" s="374" t="s">
        <v>353</v>
      </c>
      <c r="C956" s="75" t="str">
        <f t="shared" si="165"/>
        <v>Natural Gas_Combined Cycle Gas Turbine</v>
      </c>
      <c r="D956" s="375"/>
      <c r="E956" s="376"/>
      <c r="F956" s="374" t="s">
        <v>10</v>
      </c>
      <c r="G956" s="377"/>
      <c r="H956" s="39"/>
      <c r="I956" s="39"/>
      <c r="J956" s="39"/>
      <c r="K956" s="39"/>
      <c r="L956" s="39"/>
      <c r="M956" s="39"/>
      <c r="N956" s="39"/>
      <c r="O956" s="39"/>
      <c r="P956" s="39"/>
      <c r="Q956" s="39"/>
      <c r="R956" s="39"/>
      <c r="S956" s="190"/>
      <c r="T956" s="340"/>
      <c r="U956" s="190"/>
    </row>
    <row r="957" spans="1:21" customFormat="1" hidden="1" outlineLevel="1">
      <c r="A957" s="22"/>
      <c r="B957" s="374" t="s">
        <v>304</v>
      </c>
      <c r="C957" s="75" t="str">
        <f t="shared" si="165"/>
        <v>Natural Gas_Combined Cycle Gas Turbine</v>
      </c>
      <c r="D957" s="375"/>
      <c r="E957" s="376"/>
      <c r="F957" s="374" t="s">
        <v>96</v>
      </c>
      <c r="G957" s="377"/>
      <c r="H957" s="261">
        <v>0.125</v>
      </c>
      <c r="I957" s="264">
        <f t="shared" ref="I957:R957" si="167">H957</f>
        <v>0.125</v>
      </c>
      <c r="J957" s="264">
        <f t="shared" si="167"/>
        <v>0.125</v>
      </c>
      <c r="K957" s="264">
        <f t="shared" si="167"/>
        <v>0.125</v>
      </c>
      <c r="L957" s="264">
        <f t="shared" si="167"/>
        <v>0.125</v>
      </c>
      <c r="M957" s="264">
        <f t="shared" si="167"/>
        <v>0.125</v>
      </c>
      <c r="N957" s="264">
        <f t="shared" si="167"/>
        <v>0.125</v>
      </c>
      <c r="O957" s="264">
        <f t="shared" si="167"/>
        <v>0.125</v>
      </c>
      <c r="P957" s="264">
        <f t="shared" si="167"/>
        <v>0.125</v>
      </c>
      <c r="Q957" s="264">
        <f t="shared" si="167"/>
        <v>0.125</v>
      </c>
      <c r="R957" s="264">
        <f t="shared" si="167"/>
        <v>0.125</v>
      </c>
      <c r="S957" s="190"/>
      <c r="T957" s="340"/>
      <c r="U957" s="190"/>
    </row>
    <row r="958" spans="1:21" customFormat="1" hidden="1" outlineLevel="1">
      <c r="A958" s="22"/>
      <c r="B958" s="374" t="s">
        <v>350</v>
      </c>
      <c r="C958" s="75" t="str">
        <f t="shared" si="165"/>
        <v>Natural Gas_Combined Cycle Gas Turbine</v>
      </c>
      <c r="D958" s="375"/>
      <c r="E958" s="376"/>
      <c r="F958" s="374" t="s">
        <v>96</v>
      </c>
      <c r="G958" s="377"/>
      <c r="H958" s="261"/>
      <c r="I958" s="261"/>
      <c r="J958" s="261"/>
      <c r="K958" s="261"/>
      <c r="L958" s="261"/>
      <c r="M958" s="261"/>
      <c r="N958" s="261"/>
      <c r="O958" s="261"/>
      <c r="P958" s="261"/>
      <c r="Q958" s="261"/>
      <c r="R958" s="261"/>
      <c r="S958" s="190"/>
      <c r="T958" s="340"/>
      <c r="U958" s="190"/>
    </row>
    <row r="959" spans="1:21" customFormat="1" hidden="1" outlineLevel="1">
      <c r="A959" s="22"/>
      <c r="B959" s="374" t="s">
        <v>349</v>
      </c>
      <c r="C959" s="75" t="str">
        <f t="shared" si="165"/>
        <v>Natural Gas_Combined Cycle Gas Turbine</v>
      </c>
      <c r="D959" s="375"/>
      <c r="E959" s="376"/>
      <c r="F959" s="374" t="s">
        <v>96</v>
      </c>
      <c r="G959" s="377"/>
      <c r="H959" s="261"/>
      <c r="I959" s="261"/>
      <c r="J959" s="261"/>
      <c r="K959" s="261"/>
      <c r="L959" s="261"/>
      <c r="M959" s="261"/>
      <c r="N959" s="261"/>
      <c r="O959" s="261"/>
      <c r="P959" s="261"/>
      <c r="Q959" s="261"/>
      <c r="R959" s="261"/>
      <c r="S959" s="190"/>
      <c r="T959" s="340"/>
      <c r="U959" s="190"/>
    </row>
    <row r="960" spans="1:21" customFormat="1" hidden="1" outlineLevel="1">
      <c r="A960" s="22"/>
      <c r="B960" s="374" t="s">
        <v>74</v>
      </c>
      <c r="C960" s="75" t="str">
        <f t="shared" si="165"/>
        <v>Natural Gas_Combined Cycle Gas Turbine</v>
      </c>
      <c r="D960" s="375"/>
      <c r="E960" s="376"/>
      <c r="F960" s="374" t="s">
        <v>96</v>
      </c>
      <c r="G960" s="377"/>
      <c r="H960" s="261">
        <v>0</v>
      </c>
      <c r="I960" s="261"/>
      <c r="J960" s="261"/>
      <c r="K960" s="261"/>
      <c r="L960" s="261"/>
      <c r="M960" s="261"/>
      <c r="N960" s="261"/>
      <c r="O960" s="261"/>
      <c r="P960" s="261"/>
      <c r="Q960" s="261"/>
      <c r="R960" s="261"/>
      <c r="S960" s="190"/>
      <c r="T960" s="340"/>
      <c r="U960" s="190"/>
    </row>
    <row r="961" spans="1:21" customFormat="1" hidden="1" outlineLevel="1">
      <c r="A961" s="22"/>
      <c r="B961" s="68" t="s">
        <v>146</v>
      </c>
      <c r="C961" s="75" t="str">
        <f t="shared" si="165"/>
        <v>Natural Gas_Combined Cycle Gas Turbine</v>
      </c>
      <c r="D961" s="379"/>
      <c r="E961" s="380"/>
      <c r="F961" s="68" t="s">
        <v>96</v>
      </c>
      <c r="G961" s="381"/>
      <c r="H961" s="261"/>
      <c r="I961" s="261"/>
      <c r="J961" s="261"/>
      <c r="K961" s="261"/>
      <c r="L961" s="261"/>
      <c r="M961" s="261"/>
      <c r="N961" s="261"/>
      <c r="O961" s="261"/>
      <c r="P961" s="261"/>
      <c r="Q961" s="261"/>
      <c r="R961" s="261"/>
      <c r="S961" s="190"/>
      <c r="T961" s="340"/>
      <c r="U961" s="190"/>
    </row>
    <row r="962" spans="1:21" customFormat="1" hidden="1" outlineLevel="1">
      <c r="A962" s="22"/>
      <c r="B962" s="68" t="s">
        <v>147</v>
      </c>
      <c r="C962" s="75" t="str">
        <f t="shared" si="165"/>
        <v>Natural Gas_Combined Cycle Gas Turbine</v>
      </c>
      <c r="D962" s="379"/>
      <c r="E962" s="380"/>
      <c r="F962" s="68" t="s">
        <v>96</v>
      </c>
      <c r="G962" s="381"/>
      <c r="H962" s="261"/>
      <c r="I962" s="261"/>
      <c r="J962" s="261"/>
      <c r="K962" s="261"/>
      <c r="L962" s="261"/>
      <c r="M962" s="261"/>
      <c r="N962" s="261"/>
      <c r="O962" s="261"/>
      <c r="P962" s="261"/>
      <c r="Q962" s="261"/>
      <c r="R962" s="261"/>
      <c r="S962" s="190"/>
      <c r="T962" s="340"/>
      <c r="U962" s="190"/>
    </row>
    <row r="963" spans="1:21" customFormat="1" hidden="1" outlineLevel="1">
      <c r="A963" s="22"/>
      <c r="B963" s="68" t="s">
        <v>362</v>
      </c>
      <c r="C963" s="75" t="str">
        <f t="shared" si="165"/>
        <v>Natural Gas_Combined Cycle Gas Turbine</v>
      </c>
      <c r="D963" s="379"/>
      <c r="E963" s="380"/>
      <c r="F963" s="68" t="s">
        <v>96</v>
      </c>
      <c r="G963" s="381"/>
      <c r="H963" s="261"/>
      <c r="I963" s="261"/>
      <c r="J963" s="261"/>
      <c r="K963" s="261"/>
      <c r="L963" s="261"/>
      <c r="M963" s="261"/>
      <c r="N963" s="261"/>
      <c r="O963" s="261"/>
      <c r="P963" s="261"/>
      <c r="Q963" s="261"/>
      <c r="R963" s="261"/>
      <c r="S963" s="190"/>
      <c r="T963" s="340"/>
      <c r="U963" s="190"/>
    </row>
    <row r="964" spans="1:21" customFormat="1" hidden="1" outlineLevel="1">
      <c r="A964" s="22"/>
      <c r="B964" s="68" t="s">
        <v>363</v>
      </c>
      <c r="C964" s="75" t="str">
        <f t="shared" si="165"/>
        <v>Natural Gas_Combined Cycle Gas Turbine</v>
      </c>
      <c r="D964" s="379"/>
      <c r="E964" s="380"/>
      <c r="F964" s="68" t="s">
        <v>96</v>
      </c>
      <c r="G964" s="381"/>
      <c r="H964" s="261"/>
      <c r="I964" s="261"/>
      <c r="J964" s="261"/>
      <c r="K964" s="261"/>
      <c r="L964" s="261"/>
      <c r="M964" s="261"/>
      <c r="N964" s="261"/>
      <c r="O964" s="261"/>
      <c r="P964" s="261"/>
      <c r="Q964" s="261"/>
      <c r="R964" s="261"/>
      <c r="S964" s="190"/>
      <c r="T964" s="340"/>
      <c r="U964" s="190"/>
    </row>
    <row r="965" spans="1:21" customFormat="1" hidden="1" outlineLevel="1">
      <c r="A965" s="22"/>
      <c r="B965" s="374" t="s">
        <v>332</v>
      </c>
      <c r="C965" s="75" t="str">
        <f t="shared" si="165"/>
        <v>Natural Gas_Combined Cycle Gas Turbine</v>
      </c>
      <c r="D965" s="375"/>
      <c r="E965" s="376"/>
      <c r="F965" s="374" t="s">
        <v>189</v>
      </c>
      <c r="G965" s="377"/>
      <c r="H965" s="40">
        <f>150*8760*0.56</f>
        <v>735840.00000000012</v>
      </c>
      <c r="I965" s="384">
        <f t="shared" ref="I965:R966" si="168">H965</f>
        <v>735840.00000000012</v>
      </c>
      <c r="J965" s="384">
        <f t="shared" si="168"/>
        <v>735840.00000000012</v>
      </c>
      <c r="K965" s="384">
        <f t="shared" si="168"/>
        <v>735840.00000000012</v>
      </c>
      <c r="L965" s="384">
        <f t="shared" si="168"/>
        <v>735840.00000000012</v>
      </c>
      <c r="M965" s="384">
        <f t="shared" si="168"/>
        <v>735840.00000000012</v>
      </c>
      <c r="N965" s="384">
        <f t="shared" si="168"/>
        <v>735840.00000000012</v>
      </c>
      <c r="O965" s="384">
        <f t="shared" si="168"/>
        <v>735840.00000000012</v>
      </c>
      <c r="P965" s="384">
        <f t="shared" si="168"/>
        <v>735840.00000000012</v>
      </c>
      <c r="Q965" s="384">
        <f t="shared" si="168"/>
        <v>735840.00000000012</v>
      </c>
      <c r="R965" s="384">
        <f t="shared" si="168"/>
        <v>735840.00000000012</v>
      </c>
      <c r="S965" s="190"/>
      <c r="T965" s="340"/>
      <c r="U965" s="190"/>
    </row>
    <row r="966" spans="1:21" customFormat="1" hidden="1" outlineLevel="1">
      <c r="A966" s="22"/>
      <c r="B966" s="374" t="s">
        <v>470</v>
      </c>
      <c r="C966" s="75" t="str">
        <f t="shared" si="165"/>
        <v>Natural Gas_Combined Cycle Gas Turbine</v>
      </c>
      <c r="D966" s="375"/>
      <c r="E966" s="376"/>
      <c r="F966" s="374" t="s">
        <v>316</v>
      </c>
      <c r="G966" s="377"/>
      <c r="H966" s="41">
        <v>146700000</v>
      </c>
      <c r="I966" s="385">
        <f t="shared" si="168"/>
        <v>146700000</v>
      </c>
      <c r="J966" s="385">
        <f t="shared" si="168"/>
        <v>146700000</v>
      </c>
      <c r="K966" s="385">
        <f t="shared" si="168"/>
        <v>146700000</v>
      </c>
      <c r="L966" s="385">
        <f t="shared" si="168"/>
        <v>146700000</v>
      </c>
      <c r="M966" s="385">
        <f t="shared" si="168"/>
        <v>146700000</v>
      </c>
      <c r="N966" s="385">
        <f t="shared" si="168"/>
        <v>146700000</v>
      </c>
      <c r="O966" s="385">
        <f t="shared" si="168"/>
        <v>146700000</v>
      </c>
      <c r="P966" s="385">
        <f t="shared" si="168"/>
        <v>146700000</v>
      </c>
      <c r="Q966" s="385">
        <f t="shared" si="168"/>
        <v>146700000</v>
      </c>
      <c r="R966" s="385">
        <f t="shared" si="168"/>
        <v>146700000</v>
      </c>
      <c r="S966" s="190"/>
      <c r="T966" s="340"/>
      <c r="U966" s="190"/>
    </row>
    <row r="967" spans="1:21" customFormat="1" hidden="1" outlineLevel="1">
      <c r="A967" s="22"/>
      <c r="B967" s="374" t="s">
        <v>375</v>
      </c>
      <c r="C967" s="75" t="str">
        <f t="shared" si="165"/>
        <v>Natural Gas_Combined Cycle Gas Turbine</v>
      </c>
      <c r="D967" s="375"/>
      <c r="E967" s="376"/>
      <c r="F967" s="374" t="s">
        <v>96</v>
      </c>
      <c r="G967" s="377"/>
      <c r="H967" s="261"/>
      <c r="I967" s="261"/>
      <c r="J967" s="261"/>
      <c r="K967" s="261"/>
      <c r="L967" s="261"/>
      <c r="M967" s="261"/>
      <c r="N967" s="261"/>
      <c r="O967" s="261"/>
      <c r="P967" s="261"/>
      <c r="Q967" s="261"/>
      <c r="R967" s="261"/>
      <c r="S967" s="190"/>
      <c r="T967" s="340"/>
      <c r="U967" s="190"/>
    </row>
    <row r="968" spans="1:21" customFormat="1" hidden="1" outlineLevel="1">
      <c r="A968" s="22"/>
      <c r="B968" s="374" t="s">
        <v>432</v>
      </c>
      <c r="C968" s="75" t="str">
        <f t="shared" si="165"/>
        <v>Natural Gas_Combined Cycle Gas Turbine</v>
      </c>
      <c r="D968" s="375"/>
      <c r="E968" s="376"/>
      <c r="F968" s="374" t="s">
        <v>189</v>
      </c>
      <c r="G968" s="377"/>
      <c r="H968" s="39"/>
      <c r="I968" s="39"/>
      <c r="J968" s="39"/>
      <c r="K968" s="39"/>
      <c r="L968" s="39"/>
      <c r="M968" s="39"/>
      <c r="N968" s="39"/>
      <c r="O968" s="39"/>
      <c r="P968" s="39"/>
      <c r="Q968" s="39"/>
      <c r="R968" s="39"/>
      <c r="S968" s="190"/>
      <c r="T968" s="340"/>
      <c r="U968" s="190"/>
    </row>
    <row r="969" spans="1:21" customFormat="1" hidden="1" outlineLevel="1">
      <c r="A969" s="22"/>
      <c r="B969" s="374" t="s">
        <v>379</v>
      </c>
      <c r="C969" s="75" t="str">
        <f t="shared" si="165"/>
        <v>Natural Gas_Combined Cycle Gas Turbine</v>
      </c>
      <c r="D969" s="375"/>
      <c r="E969" s="376"/>
      <c r="F969" s="374"/>
      <c r="G969" s="377"/>
      <c r="H969" s="41"/>
      <c r="I969" s="41"/>
      <c r="J969" s="41"/>
      <c r="K969" s="41"/>
      <c r="L969" s="41"/>
      <c r="M969" s="41"/>
      <c r="N969" s="41"/>
      <c r="O969" s="41"/>
      <c r="P969" s="41"/>
      <c r="Q969" s="41"/>
      <c r="R969" s="41"/>
      <c r="S969" s="190"/>
      <c r="T969" s="340"/>
      <c r="U969" s="190"/>
    </row>
    <row r="970" spans="1:21" customFormat="1" hidden="1" outlineLevel="1">
      <c r="A970" s="22"/>
      <c r="B970" s="374" t="s">
        <v>361</v>
      </c>
      <c r="C970" s="75" t="str">
        <f t="shared" si="165"/>
        <v>Natural Gas_Combined Cycle Gas Turbine</v>
      </c>
      <c r="D970" s="375"/>
      <c r="E970" s="376"/>
      <c r="F970" s="374" t="s">
        <v>96</v>
      </c>
      <c r="G970" s="377"/>
      <c r="H970" s="261"/>
      <c r="I970" s="261"/>
      <c r="J970" s="261"/>
      <c r="K970" s="261"/>
      <c r="L970" s="261"/>
      <c r="M970" s="261"/>
      <c r="N970" s="261"/>
      <c r="O970" s="261"/>
      <c r="P970" s="261"/>
      <c r="Q970" s="261"/>
      <c r="R970" s="261"/>
      <c r="S970" s="190"/>
      <c r="T970" s="340"/>
      <c r="U970" s="190"/>
    </row>
    <row r="971" spans="1:21" customFormat="1" hidden="1" outlineLevel="1">
      <c r="A971" s="22"/>
      <c r="B971" s="374" t="s">
        <v>384</v>
      </c>
      <c r="C971" s="75" t="str">
        <f t="shared" si="165"/>
        <v>Natural Gas_Combined Cycle Gas Turbine</v>
      </c>
      <c r="D971" s="375"/>
      <c r="E971" s="376"/>
      <c r="F971" s="374" t="s">
        <v>316</v>
      </c>
      <c r="G971" s="377"/>
      <c r="H971" s="41"/>
      <c r="I971" s="41"/>
      <c r="J971" s="41"/>
      <c r="K971" s="41"/>
      <c r="L971" s="41"/>
      <c r="M971" s="41"/>
      <c r="N971" s="41"/>
      <c r="O971" s="41"/>
      <c r="P971" s="41"/>
      <c r="Q971" s="41"/>
      <c r="R971" s="41"/>
      <c r="S971" s="190"/>
      <c r="T971" s="340"/>
      <c r="U971" s="190"/>
    </row>
    <row r="972" spans="1:21" customFormat="1" hidden="1" outlineLevel="1">
      <c r="A972" s="22"/>
      <c r="B972" s="374" t="s">
        <v>386</v>
      </c>
      <c r="C972" s="75" t="str">
        <f t="shared" si="165"/>
        <v>Natural Gas_Combined Cycle Gas Turbine</v>
      </c>
      <c r="D972" s="375"/>
      <c r="E972" s="376"/>
      <c r="F972" s="374" t="s">
        <v>316</v>
      </c>
      <c r="G972" s="377"/>
      <c r="H972" s="39"/>
      <c r="I972" s="39"/>
      <c r="J972" s="39"/>
      <c r="K972" s="39"/>
      <c r="L972" s="39"/>
      <c r="M972" s="39"/>
      <c r="N972" s="39"/>
      <c r="O972" s="39"/>
      <c r="P972" s="39"/>
      <c r="Q972" s="39"/>
      <c r="R972" s="39"/>
      <c r="S972" s="190"/>
      <c r="T972" s="340"/>
      <c r="U972" s="190"/>
    </row>
    <row r="973" spans="1:21" customFormat="1" hidden="1" outlineLevel="1">
      <c r="A973" s="22"/>
      <c r="B973" s="374" t="s">
        <v>387</v>
      </c>
      <c r="C973" s="75" t="str">
        <f t="shared" si="165"/>
        <v>Natural Gas_Combined Cycle Gas Turbine</v>
      </c>
      <c r="D973" s="375"/>
      <c r="E973" s="376"/>
      <c r="F973" s="374"/>
      <c r="G973" s="377"/>
      <c r="H973" s="261"/>
      <c r="I973" s="261"/>
      <c r="J973" s="261"/>
      <c r="K973" s="261"/>
      <c r="L973" s="261"/>
      <c r="M973" s="261"/>
      <c r="N973" s="261"/>
      <c r="O973" s="261"/>
      <c r="P973" s="261"/>
      <c r="Q973" s="261"/>
      <c r="R973" s="261"/>
      <c r="S973" s="190"/>
      <c r="T973" s="340"/>
      <c r="U973" s="190"/>
    </row>
    <row r="974" spans="1:21" customFormat="1" hidden="1" outlineLevel="1">
      <c r="A974" s="22"/>
      <c r="B974" s="374" t="s">
        <v>388</v>
      </c>
      <c r="C974" s="75" t="str">
        <f t="shared" si="165"/>
        <v>Natural Gas_Combined Cycle Gas Turbine</v>
      </c>
      <c r="D974" s="375"/>
      <c r="E974" s="376"/>
      <c r="F974" s="374"/>
      <c r="G974" s="377"/>
      <c r="H974" s="39"/>
      <c r="I974" s="39"/>
      <c r="J974" s="39"/>
      <c r="K974" s="39"/>
      <c r="L974" s="39"/>
      <c r="M974" s="39"/>
      <c r="N974" s="39"/>
      <c r="O974" s="39"/>
      <c r="P974" s="39"/>
      <c r="Q974" s="39"/>
      <c r="R974" s="39"/>
      <c r="S974" s="190"/>
      <c r="T974" s="340"/>
      <c r="U974" s="190"/>
    </row>
    <row r="975" spans="1:21" customFormat="1" hidden="1" outlineLevel="1">
      <c r="A975" s="22"/>
      <c r="B975" s="374" t="s">
        <v>385</v>
      </c>
      <c r="C975" s="75" t="str">
        <f t="shared" si="165"/>
        <v>Natural Gas_Combined Cycle Gas Turbine</v>
      </c>
      <c r="D975" s="375"/>
      <c r="E975" s="376"/>
      <c r="F975" s="374" t="s">
        <v>331</v>
      </c>
      <c r="G975" s="377"/>
      <c r="H975" s="41"/>
      <c r="I975" s="41"/>
      <c r="J975" s="41"/>
      <c r="K975" s="41"/>
      <c r="L975" s="41"/>
      <c r="M975" s="41"/>
      <c r="N975" s="41"/>
      <c r="O975" s="41"/>
      <c r="P975" s="41"/>
      <c r="Q975" s="41"/>
      <c r="R975" s="41"/>
      <c r="S975" s="190"/>
      <c r="T975" s="340"/>
      <c r="U975" s="190"/>
    </row>
    <row r="976" spans="1:21" customFormat="1" hidden="1" outlineLevel="1">
      <c r="A976" s="22"/>
      <c r="B976" s="374" t="s">
        <v>389</v>
      </c>
      <c r="C976" s="75" t="str">
        <f t="shared" si="165"/>
        <v>Natural Gas_Combined Cycle Gas Turbine</v>
      </c>
      <c r="D976" s="375"/>
      <c r="E976" s="376"/>
      <c r="F976" s="374" t="s">
        <v>331</v>
      </c>
      <c r="G976" s="377"/>
      <c r="H976" s="39"/>
      <c r="I976" s="39"/>
      <c r="J976" s="39"/>
      <c r="K976" s="39"/>
      <c r="L976" s="39"/>
      <c r="M976" s="39"/>
      <c r="N976" s="39"/>
      <c r="O976" s="39"/>
      <c r="P976" s="39"/>
      <c r="Q976" s="39"/>
      <c r="R976" s="39"/>
      <c r="S976" s="190"/>
      <c r="T976" s="340"/>
      <c r="U976" s="190"/>
    </row>
    <row r="977" spans="1:21" customFormat="1" hidden="1" outlineLevel="1">
      <c r="A977" s="22"/>
      <c r="B977" s="374" t="s">
        <v>390</v>
      </c>
      <c r="C977" s="75" t="str">
        <f t="shared" si="165"/>
        <v>Natural Gas_Combined Cycle Gas Turbine</v>
      </c>
      <c r="D977" s="375"/>
      <c r="E977" s="376"/>
      <c r="F977" s="374"/>
      <c r="G977" s="377"/>
      <c r="H977" s="261"/>
      <c r="I977" s="261"/>
      <c r="J977" s="261"/>
      <c r="K977" s="261"/>
      <c r="L977" s="261"/>
      <c r="M977" s="261"/>
      <c r="N977" s="261"/>
      <c r="O977" s="261"/>
      <c r="P977" s="261"/>
      <c r="Q977" s="261"/>
      <c r="R977" s="261"/>
      <c r="S977" s="190"/>
      <c r="T977" s="340"/>
      <c r="U977" s="190"/>
    </row>
    <row r="978" spans="1:21" customFormat="1" hidden="1" outlineLevel="1">
      <c r="A978" s="22"/>
      <c r="B978" s="374" t="s">
        <v>391</v>
      </c>
      <c r="C978" s="75" t="str">
        <f t="shared" si="165"/>
        <v>Natural Gas_Combined Cycle Gas Turbine</v>
      </c>
      <c r="D978" s="375"/>
      <c r="E978" s="376"/>
      <c r="F978" s="374"/>
      <c r="G978" s="377"/>
      <c r="H978" s="39"/>
      <c r="I978" s="39"/>
      <c r="J978" s="39"/>
      <c r="K978" s="39"/>
      <c r="L978" s="39"/>
      <c r="M978" s="39"/>
      <c r="N978" s="39"/>
      <c r="O978" s="39"/>
      <c r="P978" s="39"/>
      <c r="Q978" s="39"/>
      <c r="R978" s="39"/>
      <c r="S978" s="190"/>
      <c r="T978" s="340"/>
      <c r="U978" s="190"/>
    </row>
    <row r="979" spans="1:21" customFormat="1" hidden="1" outlineLevel="1">
      <c r="A979" s="22"/>
      <c r="B979" s="374" t="s">
        <v>305</v>
      </c>
      <c r="C979" s="75" t="str">
        <f t="shared" si="165"/>
        <v>Natural Gas_Combined Cycle Gas Turbine</v>
      </c>
      <c r="D979" s="375"/>
      <c r="E979" s="376"/>
      <c r="F979" s="374" t="s">
        <v>331</v>
      </c>
      <c r="G979" s="377"/>
      <c r="H979" s="41">
        <v>1200000</v>
      </c>
      <c r="I979" s="385">
        <f t="shared" ref="I979:R979" si="169">H979</f>
        <v>1200000</v>
      </c>
      <c r="J979" s="385">
        <f t="shared" si="169"/>
        <v>1200000</v>
      </c>
      <c r="K979" s="385">
        <f t="shared" si="169"/>
        <v>1200000</v>
      </c>
      <c r="L979" s="385">
        <f t="shared" si="169"/>
        <v>1200000</v>
      </c>
      <c r="M979" s="385">
        <f t="shared" si="169"/>
        <v>1200000</v>
      </c>
      <c r="N979" s="385">
        <f t="shared" si="169"/>
        <v>1200000</v>
      </c>
      <c r="O979" s="385">
        <f t="shared" si="169"/>
        <v>1200000</v>
      </c>
      <c r="P979" s="385">
        <f t="shared" si="169"/>
        <v>1200000</v>
      </c>
      <c r="Q979" s="385">
        <f t="shared" si="169"/>
        <v>1200000</v>
      </c>
      <c r="R979" s="385">
        <f t="shared" si="169"/>
        <v>1200000</v>
      </c>
      <c r="S979" s="190"/>
      <c r="T979" s="340"/>
      <c r="U979" s="190"/>
    </row>
    <row r="980" spans="1:21" customFormat="1" hidden="1" outlineLevel="1">
      <c r="A980" s="22"/>
      <c r="B980" s="374" t="s">
        <v>352</v>
      </c>
      <c r="C980" s="75" t="str">
        <f t="shared" si="165"/>
        <v>Natural Gas_Combined Cycle Gas Turbine</v>
      </c>
      <c r="D980" s="375"/>
      <c r="E980" s="376"/>
      <c r="F980" s="374" t="s">
        <v>316</v>
      </c>
      <c r="G980" s="377"/>
      <c r="H980" s="41"/>
      <c r="I980" s="41"/>
      <c r="J980" s="41"/>
      <c r="K980" s="41"/>
      <c r="L980" s="41"/>
      <c r="M980" s="41"/>
      <c r="N980" s="41"/>
      <c r="O980" s="41"/>
      <c r="P980" s="41"/>
      <c r="Q980" s="41"/>
      <c r="R980" s="41"/>
      <c r="S980" s="190"/>
      <c r="T980" s="340"/>
      <c r="U980" s="190"/>
    </row>
    <row r="981" spans="1:21" customFormat="1" hidden="1" outlineLevel="1">
      <c r="A981" s="22"/>
      <c r="B981" t="s">
        <v>301</v>
      </c>
      <c r="C981" s="75" t="str">
        <f t="shared" si="165"/>
        <v>Natural Gas_Combined Cycle Gas Turbine</v>
      </c>
      <c r="D981" s="75" t="s">
        <v>460</v>
      </c>
      <c r="E981" s="367"/>
      <c r="F981" t="s">
        <v>482</v>
      </c>
      <c r="G981" s="190"/>
      <c r="H981" s="370">
        <f>GJ_per_MWh/0.45</f>
        <v>8</v>
      </c>
      <c r="I981" s="219">
        <f t="shared" ref="I981:R982" si="170">H981</f>
        <v>8</v>
      </c>
      <c r="J981" s="219">
        <f t="shared" si="170"/>
        <v>8</v>
      </c>
      <c r="K981" s="219">
        <f t="shared" si="170"/>
        <v>8</v>
      </c>
      <c r="L981" s="219">
        <f t="shared" si="170"/>
        <v>8</v>
      </c>
      <c r="M981" s="219">
        <f t="shared" si="170"/>
        <v>8</v>
      </c>
      <c r="N981" s="219">
        <f t="shared" si="170"/>
        <v>8</v>
      </c>
      <c r="O981" s="219">
        <f t="shared" si="170"/>
        <v>8</v>
      </c>
      <c r="P981" s="219">
        <f t="shared" si="170"/>
        <v>8</v>
      </c>
      <c r="Q981" s="219">
        <f t="shared" si="170"/>
        <v>8</v>
      </c>
      <c r="R981" s="219">
        <f t="shared" si="170"/>
        <v>8</v>
      </c>
      <c r="S981" s="190"/>
      <c r="T981" s="340"/>
      <c r="U981" s="190"/>
    </row>
    <row r="982" spans="1:21" customFormat="1" hidden="1" outlineLevel="1">
      <c r="A982" s="22"/>
      <c r="B982" t="s">
        <v>301</v>
      </c>
      <c r="C982" s="75" t="str">
        <f t="shared" si="165"/>
        <v>Natural Gas_Combined Cycle Gas Turbine</v>
      </c>
      <c r="D982" s="75" t="s">
        <v>464</v>
      </c>
      <c r="E982" s="367"/>
      <c r="F982" t="s">
        <v>483</v>
      </c>
      <c r="G982" s="190"/>
      <c r="H982" s="370">
        <v>1</v>
      </c>
      <c r="I982" s="219">
        <f t="shared" si="170"/>
        <v>1</v>
      </c>
      <c r="J982" s="219">
        <f t="shared" si="170"/>
        <v>1</v>
      </c>
      <c r="K982" s="219">
        <f t="shared" si="170"/>
        <v>1</v>
      </c>
      <c r="L982" s="219">
        <f t="shared" si="170"/>
        <v>1</v>
      </c>
      <c r="M982" s="219">
        <f t="shared" si="170"/>
        <v>1</v>
      </c>
      <c r="N982" s="219">
        <f t="shared" si="170"/>
        <v>1</v>
      </c>
      <c r="O982" s="219">
        <f t="shared" si="170"/>
        <v>1</v>
      </c>
      <c r="P982" s="219">
        <f t="shared" si="170"/>
        <v>1</v>
      </c>
      <c r="Q982" s="219">
        <f t="shared" si="170"/>
        <v>1</v>
      </c>
      <c r="R982" s="219">
        <f t="shared" si="170"/>
        <v>1</v>
      </c>
      <c r="S982" s="190"/>
      <c r="T982" s="340"/>
      <c r="U982" s="190"/>
    </row>
    <row r="983" spans="1:21" customFormat="1" hidden="1" outlineLevel="1">
      <c r="A983" s="22"/>
      <c r="B983" t="s">
        <v>50</v>
      </c>
      <c r="C983" s="382" t="s">
        <v>264</v>
      </c>
      <c r="D983" s="75"/>
      <c r="E983" s="367"/>
      <c r="G983" s="190"/>
      <c r="H983" s="383"/>
      <c r="I983" s="383"/>
      <c r="S983" s="190"/>
      <c r="T983" s="340"/>
      <c r="U983" s="190"/>
    </row>
    <row r="984" spans="1:21" customFormat="1" hidden="1" outlineLevel="1">
      <c r="A984" s="22"/>
      <c r="B984" s="374" t="s">
        <v>37</v>
      </c>
      <c r="C984" s="75" t="str">
        <f t="shared" ref="C984:C1013" si="171">C983</f>
        <v>Hydroelectric_reservoir</v>
      </c>
      <c r="D984" s="375"/>
      <c r="E984" s="376"/>
      <c r="F984" s="374" t="s">
        <v>39</v>
      </c>
      <c r="G984" s="377"/>
      <c r="H984">
        <v>2000</v>
      </c>
      <c r="I984" s="378">
        <f t="shared" ref="I984:R986" si="172">H984</f>
        <v>2000</v>
      </c>
      <c r="J984" s="378">
        <f t="shared" si="172"/>
        <v>2000</v>
      </c>
      <c r="K984" s="378">
        <f t="shared" si="172"/>
        <v>2000</v>
      </c>
      <c r="L984" s="378">
        <f t="shared" si="172"/>
        <v>2000</v>
      </c>
      <c r="M984" s="378">
        <f t="shared" si="172"/>
        <v>2000</v>
      </c>
      <c r="N984" s="378">
        <f t="shared" si="172"/>
        <v>2000</v>
      </c>
      <c r="O984" s="378">
        <f t="shared" si="172"/>
        <v>2000</v>
      </c>
      <c r="P984" s="378">
        <f t="shared" si="172"/>
        <v>2000</v>
      </c>
      <c r="Q984" s="378">
        <f t="shared" si="172"/>
        <v>2000</v>
      </c>
      <c r="R984" s="378">
        <f t="shared" si="172"/>
        <v>2000</v>
      </c>
      <c r="S984" s="190"/>
      <c r="T984" s="340"/>
      <c r="U984" s="190"/>
    </row>
    <row r="985" spans="1:21" customFormat="1" hidden="1" outlineLevel="1">
      <c r="A985" s="22"/>
      <c r="B985" s="374" t="s">
        <v>36</v>
      </c>
      <c r="C985" s="75" t="str">
        <f t="shared" si="171"/>
        <v>Hydroelectric_reservoir</v>
      </c>
      <c r="D985" s="375"/>
      <c r="E985" s="376"/>
      <c r="F985" s="374" t="s">
        <v>39</v>
      </c>
      <c r="G985" s="377"/>
      <c r="H985">
        <v>2100</v>
      </c>
      <c r="I985" s="378">
        <f t="shared" si="172"/>
        <v>2100</v>
      </c>
      <c r="J985" s="378">
        <f t="shared" si="172"/>
        <v>2100</v>
      </c>
      <c r="K985" s="378">
        <f t="shared" si="172"/>
        <v>2100</v>
      </c>
      <c r="L985" s="378">
        <f t="shared" si="172"/>
        <v>2100</v>
      </c>
      <c r="M985" s="378">
        <f t="shared" si="172"/>
        <v>2100</v>
      </c>
      <c r="N985" s="378">
        <f t="shared" si="172"/>
        <v>2100</v>
      </c>
      <c r="O985" s="378">
        <f t="shared" si="172"/>
        <v>2100</v>
      </c>
      <c r="P985" s="378">
        <f t="shared" si="172"/>
        <v>2100</v>
      </c>
      <c r="Q985" s="378">
        <f t="shared" si="172"/>
        <v>2100</v>
      </c>
      <c r="R985" s="378">
        <f t="shared" si="172"/>
        <v>2100</v>
      </c>
      <c r="S985" s="190"/>
      <c r="T985" s="340"/>
      <c r="U985" s="190"/>
    </row>
    <row r="986" spans="1:21" customFormat="1" hidden="1" outlineLevel="1">
      <c r="A986" s="22"/>
      <c r="B986" s="374" t="s">
        <v>38</v>
      </c>
      <c r="C986" s="75" t="str">
        <f t="shared" si="171"/>
        <v>Hydroelectric_reservoir</v>
      </c>
      <c r="D986" s="375"/>
      <c r="E986" s="376"/>
      <c r="F986" s="374" t="s">
        <v>10</v>
      </c>
      <c r="G986" s="377"/>
      <c r="H986" s="39">
        <v>50</v>
      </c>
      <c r="I986" s="221">
        <f t="shared" si="172"/>
        <v>50</v>
      </c>
      <c r="J986" s="221">
        <f t="shared" si="172"/>
        <v>50</v>
      </c>
      <c r="K986" s="221">
        <f t="shared" si="172"/>
        <v>50</v>
      </c>
      <c r="L986" s="221">
        <f t="shared" si="172"/>
        <v>50</v>
      </c>
      <c r="M986" s="221">
        <f t="shared" si="172"/>
        <v>50</v>
      </c>
      <c r="N986" s="221">
        <f t="shared" si="172"/>
        <v>50</v>
      </c>
      <c r="O986" s="221">
        <f t="shared" si="172"/>
        <v>50</v>
      </c>
      <c r="P986" s="221">
        <f t="shared" si="172"/>
        <v>50</v>
      </c>
      <c r="Q986" s="221">
        <f t="shared" si="172"/>
        <v>50</v>
      </c>
      <c r="R986" s="221">
        <f t="shared" si="172"/>
        <v>50</v>
      </c>
      <c r="S986" s="190"/>
      <c r="T986" s="340"/>
      <c r="U986" s="190"/>
    </row>
    <row r="987" spans="1:21" customFormat="1" hidden="1" outlineLevel="1">
      <c r="A987" s="22"/>
      <c r="B987" s="374" t="s">
        <v>353</v>
      </c>
      <c r="C987" s="75" t="str">
        <f t="shared" si="171"/>
        <v>Hydroelectric_reservoir</v>
      </c>
      <c r="D987" s="375"/>
      <c r="E987" s="376"/>
      <c r="F987" s="374" t="s">
        <v>10</v>
      </c>
      <c r="G987" s="377"/>
      <c r="H987" s="39"/>
      <c r="I987" s="39"/>
      <c r="J987" s="39"/>
      <c r="K987" s="39"/>
      <c r="L987" s="39"/>
      <c r="M987" s="39"/>
      <c r="N987" s="39"/>
      <c r="O987" s="39"/>
      <c r="P987" s="39"/>
      <c r="Q987" s="39"/>
      <c r="R987" s="39"/>
      <c r="S987" s="190"/>
      <c r="T987" s="340"/>
      <c r="U987" s="190"/>
    </row>
    <row r="988" spans="1:21" s="3" customFormat="1" hidden="1" outlineLevel="1">
      <c r="A988" s="21"/>
      <c r="B988" s="228" t="s">
        <v>304</v>
      </c>
      <c r="C988" s="75" t="str">
        <f t="shared" si="171"/>
        <v>Hydroelectric_reservoir</v>
      </c>
      <c r="D988" s="228"/>
      <c r="E988" s="355"/>
      <c r="F988" s="228" t="s">
        <v>96</v>
      </c>
      <c r="G988" s="5"/>
      <c r="H988" s="261">
        <v>0.125</v>
      </c>
      <c r="I988" s="264">
        <f t="shared" ref="I988:R988" si="173">H988</f>
        <v>0.125</v>
      </c>
      <c r="J988" s="264">
        <f t="shared" si="173"/>
        <v>0.125</v>
      </c>
      <c r="K988" s="264">
        <f t="shared" si="173"/>
        <v>0.125</v>
      </c>
      <c r="L988" s="264">
        <f t="shared" si="173"/>
        <v>0.125</v>
      </c>
      <c r="M988" s="264">
        <f t="shared" si="173"/>
        <v>0.125</v>
      </c>
      <c r="N988" s="264">
        <f t="shared" si="173"/>
        <v>0.125</v>
      </c>
      <c r="O988" s="264">
        <f t="shared" si="173"/>
        <v>0.125</v>
      </c>
      <c r="P988" s="264">
        <f t="shared" si="173"/>
        <v>0.125</v>
      </c>
      <c r="Q988" s="264">
        <f t="shared" si="173"/>
        <v>0.125</v>
      </c>
      <c r="R988" s="264">
        <f t="shared" si="173"/>
        <v>0.125</v>
      </c>
      <c r="S988" s="5"/>
      <c r="T988" s="25"/>
      <c r="U988" s="5"/>
    </row>
    <row r="989" spans="1:21" s="3" customFormat="1" hidden="1" outlineLevel="1">
      <c r="A989" s="21"/>
      <c r="B989" s="228" t="s">
        <v>350</v>
      </c>
      <c r="C989" s="75" t="str">
        <f t="shared" si="171"/>
        <v>Hydroelectric_reservoir</v>
      </c>
      <c r="D989" s="228"/>
      <c r="E989" s="355"/>
      <c r="F989" s="228" t="s">
        <v>96</v>
      </c>
      <c r="G989" s="5"/>
      <c r="H989" s="261"/>
      <c r="I989" s="261"/>
      <c r="J989" s="261"/>
      <c r="K989" s="261"/>
      <c r="L989" s="261"/>
      <c r="M989" s="261"/>
      <c r="N989" s="261"/>
      <c r="O989" s="261"/>
      <c r="P989" s="261"/>
      <c r="Q989" s="261"/>
      <c r="R989" s="261"/>
      <c r="S989" s="5"/>
      <c r="T989" s="25"/>
      <c r="U989" s="5"/>
    </row>
    <row r="990" spans="1:21" s="3" customFormat="1" hidden="1" outlineLevel="1">
      <c r="A990" s="21"/>
      <c r="B990" s="228" t="s">
        <v>349</v>
      </c>
      <c r="C990" s="75" t="str">
        <f t="shared" si="171"/>
        <v>Hydroelectric_reservoir</v>
      </c>
      <c r="D990" s="228"/>
      <c r="E990" s="355"/>
      <c r="F990" s="228" t="s">
        <v>96</v>
      </c>
      <c r="G990" s="5"/>
      <c r="H990" s="261"/>
      <c r="I990" s="261"/>
      <c r="J990" s="261"/>
      <c r="K990" s="261"/>
      <c r="L990" s="261"/>
      <c r="M990" s="261"/>
      <c r="N990" s="261"/>
      <c r="O990" s="261"/>
      <c r="P990" s="261"/>
      <c r="Q990" s="261"/>
      <c r="R990" s="261"/>
      <c r="S990" s="5"/>
      <c r="T990" s="25"/>
      <c r="U990" s="5"/>
    </row>
    <row r="991" spans="1:21" s="3" customFormat="1" hidden="1" outlineLevel="1">
      <c r="A991" s="21"/>
      <c r="B991" s="228" t="s">
        <v>74</v>
      </c>
      <c r="C991" s="75" t="str">
        <f t="shared" si="171"/>
        <v>Hydroelectric_reservoir</v>
      </c>
      <c r="D991" s="228"/>
      <c r="E991" s="355"/>
      <c r="F991" s="228" t="s">
        <v>96</v>
      </c>
      <c r="G991" s="5"/>
      <c r="H991" s="261">
        <v>0.1</v>
      </c>
      <c r="I991" s="261"/>
      <c r="J991" s="261"/>
      <c r="K991" s="261"/>
      <c r="L991" s="261"/>
      <c r="M991" s="261"/>
      <c r="N991" s="261"/>
      <c r="O991" s="261"/>
      <c r="P991" s="261"/>
      <c r="Q991" s="261"/>
      <c r="R991" s="261"/>
      <c r="S991" s="5"/>
      <c r="T991" s="25"/>
      <c r="U991" s="5"/>
    </row>
    <row r="992" spans="1:21" s="3" customFormat="1" hidden="1" outlineLevel="1">
      <c r="A992" s="21"/>
      <c r="B992" s="358" t="s">
        <v>146</v>
      </c>
      <c r="C992" s="75" t="str">
        <f t="shared" si="171"/>
        <v>Hydroelectric_reservoir</v>
      </c>
      <c r="D992" s="359"/>
      <c r="E992" s="360"/>
      <c r="F992" s="358" t="s">
        <v>96</v>
      </c>
      <c r="G992" s="5"/>
      <c r="H992" s="261"/>
      <c r="I992" s="261"/>
      <c r="J992" s="261"/>
      <c r="K992" s="261"/>
      <c r="L992" s="261"/>
      <c r="M992" s="261"/>
      <c r="N992" s="261"/>
      <c r="O992" s="261"/>
      <c r="P992" s="261"/>
      <c r="Q992" s="261"/>
      <c r="R992" s="261"/>
      <c r="S992" s="5"/>
      <c r="T992" s="25"/>
      <c r="U992" s="5"/>
    </row>
    <row r="993" spans="1:21" s="3" customFormat="1" hidden="1" outlineLevel="1">
      <c r="A993" s="21"/>
      <c r="B993" s="358" t="s">
        <v>147</v>
      </c>
      <c r="C993" s="75" t="str">
        <f t="shared" si="171"/>
        <v>Hydroelectric_reservoir</v>
      </c>
      <c r="D993" s="359"/>
      <c r="E993" s="360"/>
      <c r="F993" s="358" t="s">
        <v>96</v>
      </c>
      <c r="G993" s="5"/>
      <c r="H993" s="261"/>
      <c r="I993" s="261"/>
      <c r="J993" s="261"/>
      <c r="K993" s="261"/>
      <c r="L993" s="261"/>
      <c r="M993" s="261"/>
      <c r="N993" s="261"/>
      <c r="O993" s="261"/>
      <c r="P993" s="261"/>
      <c r="Q993" s="261"/>
      <c r="R993" s="261"/>
      <c r="S993" s="5"/>
      <c r="T993" s="25"/>
      <c r="U993" s="5"/>
    </row>
    <row r="994" spans="1:21" s="3" customFormat="1" hidden="1" outlineLevel="1">
      <c r="A994" s="21"/>
      <c r="B994" s="358" t="s">
        <v>362</v>
      </c>
      <c r="C994" s="75" t="str">
        <f t="shared" si="171"/>
        <v>Hydroelectric_reservoir</v>
      </c>
      <c r="D994" s="359"/>
      <c r="E994" s="360"/>
      <c r="F994" s="358" t="s">
        <v>96</v>
      </c>
      <c r="G994" s="5"/>
      <c r="H994" s="261"/>
      <c r="I994" s="261"/>
      <c r="J994" s="261"/>
      <c r="K994" s="261"/>
      <c r="L994" s="261"/>
      <c r="M994" s="261"/>
      <c r="N994" s="261"/>
      <c r="O994" s="261"/>
      <c r="P994" s="261"/>
      <c r="Q994" s="261"/>
      <c r="R994" s="261"/>
      <c r="S994" s="5"/>
      <c r="T994" s="25"/>
      <c r="U994" s="5"/>
    </row>
    <row r="995" spans="1:21" s="3" customFormat="1" hidden="1" outlineLevel="1">
      <c r="A995" s="21"/>
      <c r="B995" s="358" t="s">
        <v>363</v>
      </c>
      <c r="C995" s="75" t="str">
        <f t="shared" si="171"/>
        <v>Hydroelectric_reservoir</v>
      </c>
      <c r="D995" s="359"/>
      <c r="E995" s="360"/>
      <c r="F995" s="358" t="s">
        <v>96</v>
      </c>
      <c r="G995" s="5"/>
      <c r="H995" s="261"/>
      <c r="I995" s="261"/>
      <c r="J995" s="261"/>
      <c r="K995" s="261"/>
      <c r="L995" s="261"/>
      <c r="M995" s="261"/>
      <c r="N995" s="261"/>
      <c r="O995" s="261"/>
      <c r="P995" s="261"/>
      <c r="Q995" s="261"/>
      <c r="R995" s="261"/>
      <c r="S995" s="5"/>
      <c r="T995" s="25"/>
      <c r="U995" s="5"/>
    </row>
    <row r="996" spans="1:21" s="3" customFormat="1" hidden="1" outlineLevel="1">
      <c r="A996" s="21"/>
      <c r="B996" s="228" t="s">
        <v>332</v>
      </c>
      <c r="C996" s="75" t="str">
        <f t="shared" si="171"/>
        <v>Hydroelectric_reservoir</v>
      </c>
      <c r="D996" s="228"/>
      <c r="E996" s="355"/>
      <c r="F996" s="228" t="s">
        <v>189</v>
      </c>
      <c r="G996" s="5"/>
      <c r="H996" s="29">
        <f>300*8760*0.55</f>
        <v>1445400.0000000002</v>
      </c>
      <c r="I996" s="362">
        <f t="shared" ref="I996:R997" si="174">H996</f>
        <v>1445400.0000000002</v>
      </c>
      <c r="J996" s="362">
        <f t="shared" si="174"/>
        <v>1445400.0000000002</v>
      </c>
      <c r="K996" s="362">
        <f t="shared" si="174"/>
        <v>1445400.0000000002</v>
      </c>
      <c r="L996" s="362">
        <f t="shared" si="174"/>
        <v>1445400.0000000002</v>
      </c>
      <c r="M996" s="362">
        <f t="shared" si="174"/>
        <v>1445400.0000000002</v>
      </c>
      <c r="N996" s="362">
        <f t="shared" si="174"/>
        <v>1445400.0000000002</v>
      </c>
      <c r="O996" s="362">
        <f t="shared" si="174"/>
        <v>1445400.0000000002</v>
      </c>
      <c r="P996" s="362">
        <f t="shared" si="174"/>
        <v>1445400.0000000002</v>
      </c>
      <c r="Q996" s="362">
        <f t="shared" si="174"/>
        <v>1445400.0000000002</v>
      </c>
      <c r="R996" s="362">
        <f t="shared" si="174"/>
        <v>1445400.0000000002</v>
      </c>
      <c r="S996" s="5"/>
      <c r="T996" s="25"/>
      <c r="U996" s="5"/>
    </row>
    <row r="997" spans="1:21" s="3" customFormat="1" hidden="1" outlineLevel="1">
      <c r="A997" s="21"/>
      <c r="B997" s="228" t="s">
        <v>470</v>
      </c>
      <c r="C997" s="75" t="str">
        <f t="shared" si="171"/>
        <v>Hydroelectric_reservoir</v>
      </c>
      <c r="D997" s="228"/>
      <c r="E997" s="355"/>
      <c r="F997" s="228" t="s">
        <v>316</v>
      </c>
      <c r="G997" s="5"/>
      <c r="H997" s="54">
        <v>1500000000</v>
      </c>
      <c r="I997" s="270">
        <f t="shared" si="174"/>
        <v>1500000000</v>
      </c>
      <c r="J997" s="270">
        <f t="shared" si="174"/>
        <v>1500000000</v>
      </c>
      <c r="K997" s="270">
        <f t="shared" si="174"/>
        <v>1500000000</v>
      </c>
      <c r="L997" s="270">
        <f t="shared" si="174"/>
        <v>1500000000</v>
      </c>
      <c r="M997" s="270">
        <f t="shared" si="174"/>
        <v>1500000000</v>
      </c>
      <c r="N997" s="270">
        <f t="shared" si="174"/>
        <v>1500000000</v>
      </c>
      <c r="O997" s="270">
        <f t="shared" si="174"/>
        <v>1500000000</v>
      </c>
      <c r="P997" s="270">
        <f t="shared" si="174"/>
        <v>1500000000</v>
      </c>
      <c r="Q997" s="270">
        <f t="shared" si="174"/>
        <v>1500000000</v>
      </c>
      <c r="R997" s="270">
        <f t="shared" si="174"/>
        <v>1500000000</v>
      </c>
      <c r="S997" s="5"/>
      <c r="T997" s="25"/>
      <c r="U997" s="5"/>
    </row>
    <row r="998" spans="1:21" s="3" customFormat="1" hidden="1" outlineLevel="1">
      <c r="A998" s="21"/>
      <c r="B998" s="228" t="s">
        <v>375</v>
      </c>
      <c r="C998" s="75" t="str">
        <f t="shared" si="171"/>
        <v>Hydroelectric_reservoir</v>
      </c>
      <c r="D998" s="228"/>
      <c r="E998" s="355"/>
      <c r="F998" s="228" t="s">
        <v>96</v>
      </c>
      <c r="G998" s="5"/>
      <c r="H998" s="261"/>
      <c r="I998" s="261"/>
      <c r="J998" s="261"/>
      <c r="K998" s="261"/>
      <c r="L998" s="261"/>
      <c r="M998" s="261"/>
      <c r="N998" s="261"/>
      <c r="O998" s="261"/>
      <c r="P998" s="261"/>
      <c r="Q998" s="261"/>
      <c r="R998" s="261"/>
      <c r="S998" s="5"/>
      <c r="T998" s="25"/>
      <c r="U998" s="5"/>
    </row>
    <row r="999" spans="1:21" s="3" customFormat="1" hidden="1" outlineLevel="1">
      <c r="A999" s="21"/>
      <c r="B999" s="228" t="s">
        <v>432</v>
      </c>
      <c r="C999" s="75" t="str">
        <f t="shared" si="171"/>
        <v>Hydroelectric_reservoir</v>
      </c>
      <c r="D999" s="228"/>
      <c r="E999" s="355"/>
      <c r="F999" s="228" t="s">
        <v>189</v>
      </c>
      <c r="G999" s="5"/>
      <c r="H999" s="55"/>
      <c r="I999" s="55"/>
      <c r="J999" s="55"/>
      <c r="K999" s="55"/>
      <c r="L999" s="55"/>
      <c r="M999" s="55"/>
      <c r="N999" s="55"/>
      <c r="O999" s="55"/>
      <c r="P999" s="55"/>
      <c r="Q999" s="55"/>
      <c r="R999" s="55"/>
      <c r="S999" s="5"/>
      <c r="T999" s="25"/>
      <c r="U999" s="5"/>
    </row>
    <row r="1000" spans="1:21" s="3" customFormat="1" hidden="1" outlineLevel="1">
      <c r="A1000" s="21"/>
      <c r="B1000" s="228" t="s">
        <v>379</v>
      </c>
      <c r="C1000" s="75" t="str">
        <f t="shared" si="171"/>
        <v>Hydroelectric_reservoir</v>
      </c>
      <c r="D1000" s="228"/>
      <c r="E1000" s="355"/>
      <c r="F1000" s="228"/>
      <c r="G1000" s="5"/>
      <c r="H1000" s="54"/>
      <c r="I1000" s="54"/>
      <c r="J1000" s="54"/>
      <c r="K1000" s="54"/>
      <c r="L1000" s="54"/>
      <c r="M1000" s="54"/>
      <c r="N1000" s="54"/>
      <c r="O1000" s="54"/>
      <c r="P1000" s="54"/>
      <c r="Q1000" s="54"/>
      <c r="R1000" s="54"/>
      <c r="S1000" s="5"/>
      <c r="T1000" s="25"/>
      <c r="U1000" s="5"/>
    </row>
    <row r="1001" spans="1:21" s="3" customFormat="1" hidden="1" outlineLevel="1">
      <c r="A1001" s="21"/>
      <c r="B1001" s="228" t="s">
        <v>361</v>
      </c>
      <c r="C1001" s="75" t="str">
        <f t="shared" si="171"/>
        <v>Hydroelectric_reservoir</v>
      </c>
      <c r="D1001" s="228"/>
      <c r="E1001" s="355"/>
      <c r="F1001" s="228" t="s">
        <v>96</v>
      </c>
      <c r="G1001" s="5"/>
      <c r="H1001" s="261"/>
      <c r="I1001" s="261"/>
      <c r="J1001" s="261"/>
      <c r="K1001" s="261"/>
      <c r="L1001" s="261"/>
      <c r="M1001" s="261"/>
      <c r="N1001" s="261"/>
      <c r="O1001" s="261"/>
      <c r="P1001" s="261"/>
      <c r="Q1001" s="261"/>
      <c r="R1001" s="261"/>
      <c r="S1001" s="5"/>
      <c r="T1001" s="25"/>
      <c r="U1001" s="5"/>
    </row>
    <row r="1002" spans="1:21" s="3" customFormat="1" hidden="1" outlineLevel="1">
      <c r="A1002" s="21"/>
      <c r="B1002" s="228" t="s">
        <v>384</v>
      </c>
      <c r="C1002" s="75" t="str">
        <f t="shared" si="171"/>
        <v>Hydroelectric_reservoir</v>
      </c>
      <c r="D1002" s="228"/>
      <c r="E1002" s="355"/>
      <c r="F1002" s="228" t="s">
        <v>316</v>
      </c>
      <c r="G1002" s="5"/>
      <c r="H1002" s="54"/>
      <c r="I1002" s="54"/>
      <c r="J1002" s="54"/>
      <c r="K1002" s="54"/>
      <c r="L1002" s="54"/>
      <c r="M1002" s="54"/>
      <c r="N1002" s="54"/>
      <c r="O1002" s="54"/>
      <c r="P1002" s="54"/>
      <c r="Q1002" s="54"/>
      <c r="R1002" s="54"/>
      <c r="S1002" s="5"/>
      <c r="T1002" s="25"/>
      <c r="U1002" s="5"/>
    </row>
    <row r="1003" spans="1:21" s="3" customFormat="1" hidden="1" outlineLevel="1">
      <c r="A1003" s="21"/>
      <c r="B1003" s="228" t="s">
        <v>386</v>
      </c>
      <c r="C1003" s="75" t="str">
        <f t="shared" si="171"/>
        <v>Hydroelectric_reservoir</v>
      </c>
      <c r="D1003" s="228"/>
      <c r="E1003" s="355"/>
      <c r="F1003" s="228" t="s">
        <v>316</v>
      </c>
      <c r="G1003" s="5"/>
      <c r="H1003" s="55"/>
      <c r="I1003" s="55"/>
      <c r="J1003" s="55"/>
      <c r="K1003" s="55"/>
      <c r="L1003" s="55"/>
      <c r="M1003" s="55"/>
      <c r="N1003" s="55"/>
      <c r="O1003" s="55"/>
      <c r="P1003" s="55"/>
      <c r="Q1003" s="55"/>
      <c r="R1003" s="55"/>
      <c r="S1003" s="5"/>
      <c r="T1003" s="25"/>
      <c r="U1003" s="5"/>
    </row>
    <row r="1004" spans="1:21" s="3" customFormat="1" hidden="1" outlineLevel="1">
      <c r="A1004" s="21"/>
      <c r="B1004" s="228" t="s">
        <v>387</v>
      </c>
      <c r="C1004" s="75" t="str">
        <f t="shared" si="171"/>
        <v>Hydroelectric_reservoir</v>
      </c>
      <c r="D1004" s="228"/>
      <c r="E1004" s="355"/>
      <c r="F1004" s="228"/>
      <c r="G1004" s="5"/>
      <c r="H1004" s="261"/>
      <c r="I1004" s="261"/>
      <c r="J1004" s="261"/>
      <c r="K1004" s="261"/>
      <c r="L1004" s="261"/>
      <c r="M1004" s="261"/>
      <c r="N1004" s="261"/>
      <c r="O1004" s="261"/>
      <c r="P1004" s="261"/>
      <c r="Q1004" s="261"/>
      <c r="R1004" s="261"/>
      <c r="S1004" s="5"/>
      <c r="T1004" s="25"/>
      <c r="U1004" s="5"/>
    </row>
    <row r="1005" spans="1:21" s="3" customFormat="1" hidden="1" outlineLevel="1">
      <c r="A1005" s="21"/>
      <c r="B1005" s="228" t="s">
        <v>388</v>
      </c>
      <c r="C1005" s="75" t="str">
        <f t="shared" si="171"/>
        <v>Hydroelectric_reservoir</v>
      </c>
      <c r="D1005" s="228"/>
      <c r="E1005" s="355"/>
      <c r="F1005" s="228"/>
      <c r="G1005" s="5"/>
      <c r="H1005" s="55"/>
      <c r="I1005" s="55"/>
      <c r="J1005" s="55"/>
      <c r="K1005" s="55"/>
      <c r="L1005" s="55"/>
      <c r="M1005" s="55"/>
      <c r="N1005" s="55"/>
      <c r="O1005" s="55"/>
      <c r="P1005" s="55"/>
      <c r="Q1005" s="55"/>
      <c r="R1005" s="55"/>
      <c r="S1005" s="5"/>
      <c r="T1005" s="25"/>
      <c r="U1005" s="5"/>
    </row>
    <row r="1006" spans="1:21" s="3" customFormat="1" hidden="1" outlineLevel="1">
      <c r="A1006" s="21"/>
      <c r="B1006" s="228" t="s">
        <v>385</v>
      </c>
      <c r="C1006" s="75" t="str">
        <f t="shared" si="171"/>
        <v>Hydroelectric_reservoir</v>
      </c>
      <c r="D1006" s="228"/>
      <c r="E1006" s="355"/>
      <c r="F1006" s="228" t="s">
        <v>331</v>
      </c>
      <c r="G1006" s="5"/>
      <c r="H1006" s="54"/>
      <c r="I1006" s="54"/>
      <c r="J1006" s="54"/>
      <c r="K1006" s="54"/>
      <c r="L1006" s="54"/>
      <c r="M1006" s="54"/>
      <c r="N1006" s="54"/>
      <c r="O1006" s="54"/>
      <c r="P1006" s="54"/>
      <c r="Q1006" s="54"/>
      <c r="R1006" s="54"/>
      <c r="S1006" s="5"/>
      <c r="T1006" s="25"/>
      <c r="U1006" s="5"/>
    </row>
    <row r="1007" spans="1:21" s="3" customFormat="1" hidden="1" outlineLevel="1">
      <c r="A1007" s="21"/>
      <c r="B1007" s="228" t="s">
        <v>389</v>
      </c>
      <c r="C1007" s="75" t="str">
        <f t="shared" si="171"/>
        <v>Hydroelectric_reservoir</v>
      </c>
      <c r="D1007" s="228"/>
      <c r="E1007" s="355"/>
      <c r="F1007" s="228" t="s">
        <v>331</v>
      </c>
      <c r="G1007" s="5"/>
      <c r="H1007" s="55"/>
      <c r="I1007" s="55"/>
      <c r="J1007" s="55"/>
      <c r="K1007" s="55"/>
      <c r="L1007" s="55"/>
      <c r="M1007" s="55"/>
      <c r="N1007" s="55"/>
      <c r="O1007" s="55"/>
      <c r="P1007" s="55"/>
      <c r="Q1007" s="55"/>
      <c r="R1007" s="55"/>
      <c r="S1007" s="5"/>
      <c r="T1007" s="25"/>
      <c r="U1007" s="5"/>
    </row>
    <row r="1008" spans="1:21" s="3" customFormat="1" hidden="1" outlineLevel="1">
      <c r="A1008" s="21"/>
      <c r="B1008" s="228" t="s">
        <v>390</v>
      </c>
      <c r="C1008" s="75" t="str">
        <f t="shared" si="171"/>
        <v>Hydroelectric_reservoir</v>
      </c>
      <c r="D1008" s="228"/>
      <c r="E1008" s="355"/>
      <c r="F1008" s="228"/>
      <c r="G1008" s="5"/>
      <c r="H1008" s="261"/>
      <c r="I1008" s="261"/>
      <c r="J1008" s="261"/>
      <c r="K1008" s="261"/>
      <c r="L1008" s="261"/>
      <c r="M1008" s="261"/>
      <c r="N1008" s="261"/>
      <c r="O1008" s="261"/>
      <c r="P1008" s="261"/>
      <c r="Q1008" s="261"/>
      <c r="R1008" s="261"/>
      <c r="S1008" s="5"/>
      <c r="T1008" s="25"/>
      <c r="U1008" s="5"/>
    </row>
    <row r="1009" spans="1:21" s="3" customFormat="1" hidden="1" outlineLevel="1">
      <c r="A1009" s="21"/>
      <c r="B1009" s="228" t="s">
        <v>391</v>
      </c>
      <c r="C1009" s="75" t="str">
        <f t="shared" si="171"/>
        <v>Hydroelectric_reservoir</v>
      </c>
      <c r="D1009" s="228"/>
      <c r="E1009" s="355"/>
      <c r="F1009" s="228"/>
      <c r="G1009" s="5"/>
      <c r="H1009" s="55"/>
      <c r="I1009" s="55"/>
      <c r="J1009" s="55"/>
      <c r="K1009" s="55"/>
      <c r="L1009" s="55"/>
      <c r="M1009" s="55"/>
      <c r="N1009" s="55"/>
      <c r="O1009" s="55"/>
      <c r="P1009" s="55"/>
      <c r="Q1009" s="55"/>
      <c r="R1009" s="55"/>
      <c r="S1009" s="5"/>
      <c r="T1009" s="25"/>
      <c r="U1009" s="5"/>
    </row>
    <row r="1010" spans="1:21" s="3" customFormat="1" hidden="1" outlineLevel="1">
      <c r="A1010" s="21"/>
      <c r="B1010" s="228" t="s">
        <v>305</v>
      </c>
      <c r="C1010" s="75" t="str">
        <f t="shared" si="171"/>
        <v>Hydroelectric_reservoir</v>
      </c>
      <c r="D1010" s="228"/>
      <c r="E1010" s="355"/>
      <c r="F1010" s="228" t="s">
        <v>331</v>
      </c>
      <c r="G1010" s="5"/>
      <c r="H1010" s="54">
        <v>3000000</v>
      </c>
      <c r="I1010" s="270">
        <f t="shared" ref="I1010:R1010" si="175">H1010</f>
        <v>3000000</v>
      </c>
      <c r="J1010" s="270">
        <f t="shared" si="175"/>
        <v>3000000</v>
      </c>
      <c r="K1010" s="270">
        <f t="shared" si="175"/>
        <v>3000000</v>
      </c>
      <c r="L1010" s="270">
        <f t="shared" si="175"/>
        <v>3000000</v>
      </c>
      <c r="M1010" s="270">
        <f t="shared" si="175"/>
        <v>3000000</v>
      </c>
      <c r="N1010" s="270">
        <f t="shared" si="175"/>
        <v>3000000</v>
      </c>
      <c r="O1010" s="270">
        <f t="shared" si="175"/>
        <v>3000000</v>
      </c>
      <c r="P1010" s="270">
        <f t="shared" si="175"/>
        <v>3000000</v>
      </c>
      <c r="Q1010" s="270">
        <f t="shared" si="175"/>
        <v>3000000</v>
      </c>
      <c r="R1010" s="270">
        <f t="shared" si="175"/>
        <v>3000000</v>
      </c>
      <c r="S1010" s="5"/>
      <c r="T1010" s="25"/>
      <c r="U1010" s="5"/>
    </row>
    <row r="1011" spans="1:21" s="3" customFormat="1" hidden="1" outlineLevel="1">
      <c r="A1011" s="21"/>
      <c r="B1011" s="228" t="s">
        <v>352</v>
      </c>
      <c r="C1011" s="75" t="str">
        <f t="shared" si="171"/>
        <v>Hydroelectric_reservoir</v>
      </c>
      <c r="D1011" s="228"/>
      <c r="E1011" s="355"/>
      <c r="F1011" s="228" t="s">
        <v>316</v>
      </c>
      <c r="G1011" s="5"/>
      <c r="H1011" s="54"/>
      <c r="I1011" s="54"/>
      <c r="J1011" s="54"/>
      <c r="K1011" s="54"/>
      <c r="L1011" s="54"/>
      <c r="M1011" s="54"/>
      <c r="N1011" s="54"/>
      <c r="O1011" s="54"/>
      <c r="P1011" s="54"/>
      <c r="Q1011" s="54"/>
      <c r="R1011" s="54"/>
      <c r="S1011" s="5"/>
      <c r="T1011" s="25"/>
      <c r="U1011" s="5"/>
    </row>
    <row r="1012" spans="1:21" s="3" customFormat="1" hidden="1" outlineLevel="1">
      <c r="A1012" s="21"/>
      <c r="B1012" s="67" t="s">
        <v>301</v>
      </c>
      <c r="C1012" s="75" t="str">
        <f t="shared" si="171"/>
        <v>Hydroelectric_reservoir</v>
      </c>
      <c r="D1012" s="4" t="s">
        <v>463</v>
      </c>
      <c r="E1012" s="347"/>
      <c r="F1012" s="3" t="s">
        <v>482</v>
      </c>
      <c r="G1012" s="5"/>
      <c r="H1012" s="350">
        <f>GJ_per_MWh/0.9</f>
        <v>4</v>
      </c>
      <c r="I1012" s="363">
        <f t="shared" ref="I1012:R1013" si="176">H1012</f>
        <v>4</v>
      </c>
      <c r="J1012" s="363">
        <f t="shared" si="176"/>
        <v>4</v>
      </c>
      <c r="K1012" s="363">
        <f t="shared" si="176"/>
        <v>4</v>
      </c>
      <c r="L1012" s="363">
        <f t="shared" si="176"/>
        <v>4</v>
      </c>
      <c r="M1012" s="363">
        <f t="shared" si="176"/>
        <v>4</v>
      </c>
      <c r="N1012" s="363">
        <f t="shared" si="176"/>
        <v>4</v>
      </c>
      <c r="O1012" s="363">
        <f t="shared" si="176"/>
        <v>4</v>
      </c>
      <c r="P1012" s="363">
        <f t="shared" si="176"/>
        <v>4</v>
      </c>
      <c r="Q1012" s="363">
        <f t="shared" si="176"/>
        <v>4</v>
      </c>
      <c r="R1012" s="363">
        <f t="shared" si="176"/>
        <v>4</v>
      </c>
      <c r="S1012" s="5"/>
      <c r="T1012" s="13"/>
      <c r="U1012" s="5"/>
    </row>
    <row r="1013" spans="1:21" s="3" customFormat="1" hidden="1" outlineLevel="1">
      <c r="A1013" s="21"/>
      <c r="B1013" s="67" t="s">
        <v>301</v>
      </c>
      <c r="C1013" s="75" t="str">
        <f t="shared" si="171"/>
        <v>Hydroelectric_reservoir</v>
      </c>
      <c r="D1013" s="4" t="s">
        <v>464</v>
      </c>
      <c r="E1013" s="347"/>
      <c r="F1013" s="3" t="s">
        <v>483</v>
      </c>
      <c r="G1013" s="5"/>
      <c r="H1013" s="350">
        <v>1</v>
      </c>
      <c r="I1013" s="363">
        <f t="shared" si="176"/>
        <v>1</v>
      </c>
      <c r="J1013" s="363">
        <f t="shared" si="176"/>
        <v>1</v>
      </c>
      <c r="K1013" s="363">
        <f t="shared" si="176"/>
        <v>1</v>
      </c>
      <c r="L1013" s="363">
        <f t="shared" si="176"/>
        <v>1</v>
      </c>
      <c r="M1013" s="363">
        <f t="shared" si="176"/>
        <v>1</v>
      </c>
      <c r="N1013" s="363">
        <f t="shared" si="176"/>
        <v>1</v>
      </c>
      <c r="O1013" s="363">
        <f t="shared" si="176"/>
        <v>1</v>
      </c>
      <c r="P1013" s="363">
        <f t="shared" si="176"/>
        <v>1</v>
      </c>
      <c r="Q1013" s="363">
        <f t="shared" si="176"/>
        <v>1</v>
      </c>
      <c r="R1013" s="363">
        <f t="shared" si="176"/>
        <v>1</v>
      </c>
      <c r="S1013" s="5"/>
      <c r="T1013" s="13"/>
      <c r="U1013" s="5"/>
    </row>
    <row r="1014" spans="1:21" s="3" customFormat="1" hidden="1" outlineLevel="1">
      <c r="A1014" s="21" t="s">
        <v>436</v>
      </c>
      <c r="B1014" s="2"/>
      <c r="C1014" s="13"/>
      <c r="D1014" s="2"/>
      <c r="E1014" s="2"/>
      <c r="F1014" s="16"/>
      <c r="G1014" s="25"/>
      <c r="H1014" s="4"/>
      <c r="I1014" s="4"/>
      <c r="J1014" s="4"/>
      <c r="K1014" s="4"/>
      <c r="L1014" s="4"/>
      <c r="M1014" s="4"/>
      <c r="N1014" s="4"/>
      <c r="O1014" s="4"/>
      <c r="P1014" s="4"/>
      <c r="Q1014" s="4"/>
      <c r="R1014" s="4"/>
      <c r="S1014" s="5"/>
      <c r="T1014" s="13"/>
      <c r="U1014" s="5"/>
    </row>
    <row r="1015" spans="1:21" s="386" customFormat="1" collapsed="1">
      <c r="A1015" s="386" t="s">
        <v>71</v>
      </c>
      <c r="C1015" s="387"/>
      <c r="D1015" s="389"/>
      <c r="E1015" s="387"/>
      <c r="H1015" s="389"/>
      <c r="I1015" s="389"/>
      <c r="J1015" s="389"/>
      <c r="K1015" s="389"/>
      <c r="L1015" s="389"/>
      <c r="M1015" s="389"/>
      <c r="N1015" s="389"/>
      <c r="O1015" s="389"/>
      <c r="P1015" s="389"/>
      <c r="Q1015" s="389"/>
      <c r="R1015" s="389"/>
      <c r="T1015" s="387"/>
    </row>
    <row r="1016" spans="1:21" s="3" customFormat="1" hidden="1" outlineLevel="1">
      <c r="A1016" s="21"/>
      <c r="B1016" s="3" t="s">
        <v>300</v>
      </c>
      <c r="C1016" s="273" t="str">
        <f>A1015</f>
        <v>Renewables</v>
      </c>
      <c r="D1016" s="4" t="s">
        <v>458</v>
      </c>
      <c r="E1016" s="347"/>
      <c r="F1016" s="3" t="s">
        <v>189</v>
      </c>
      <c r="G1016" s="5"/>
      <c r="H1016" s="55"/>
      <c r="I1016" s="55"/>
      <c r="J1016" s="55"/>
      <c r="K1016" s="55"/>
      <c r="L1016" s="55"/>
      <c r="M1016" s="55"/>
      <c r="N1016" s="55"/>
      <c r="O1016" s="55"/>
      <c r="P1016" s="55"/>
      <c r="Q1016" s="55"/>
      <c r="R1016" s="55"/>
      <c r="S1016" s="5"/>
      <c r="T1016" s="13"/>
      <c r="U1016" s="5"/>
    </row>
    <row r="1017" spans="1:21" s="3" customFormat="1" hidden="1" outlineLevel="1">
      <c r="A1017" s="21"/>
      <c r="B1017" s="67" t="s">
        <v>466</v>
      </c>
      <c r="C1017" s="273" t="s">
        <v>111</v>
      </c>
      <c r="D1017" s="273"/>
      <c r="E1017" s="347"/>
      <c r="F1017" s="67"/>
      <c r="G1017" s="5"/>
      <c r="H1017" s="55"/>
      <c r="I1017" s="55"/>
      <c r="J1017" s="55"/>
      <c r="K1017" s="55"/>
      <c r="L1017" s="55"/>
      <c r="M1017" s="55"/>
      <c r="N1017" s="55"/>
      <c r="O1017" s="55"/>
      <c r="P1017" s="55"/>
      <c r="Q1017" s="55"/>
      <c r="R1017" s="55"/>
      <c r="S1017" s="5"/>
      <c r="T1017" s="13"/>
      <c r="U1017" s="5"/>
    </row>
    <row r="1018" spans="1:21" s="3" customFormat="1" hidden="1" outlineLevel="1">
      <c r="A1018" s="21"/>
      <c r="B1018" s="3" t="s">
        <v>46</v>
      </c>
      <c r="C1018" s="13" t="s">
        <v>20</v>
      </c>
      <c r="D1018" s="4"/>
      <c r="E1018" s="347"/>
      <c r="G1018" s="5"/>
      <c r="H1018" s="4"/>
      <c r="I1018" s="4"/>
      <c r="J1018" s="4"/>
      <c r="K1018" s="4"/>
      <c r="L1018" s="4"/>
      <c r="M1018" s="4"/>
      <c r="N1018" s="4"/>
      <c r="O1018" s="4"/>
      <c r="P1018" s="4"/>
      <c r="Q1018" s="4"/>
      <c r="R1018" s="4"/>
      <c r="S1018" s="5"/>
      <c r="T1018" s="13"/>
      <c r="U1018" s="5"/>
    </row>
    <row r="1019" spans="1:21" s="3" customFormat="1" hidden="1" outlineLevel="1">
      <c r="A1019" s="21"/>
      <c r="B1019" s="3" t="s">
        <v>65</v>
      </c>
      <c r="C1019" s="13" t="s">
        <v>34</v>
      </c>
      <c r="D1019" s="4"/>
      <c r="E1019" s="347"/>
      <c r="G1019" s="5"/>
      <c r="H1019" s="4">
        <v>10</v>
      </c>
      <c r="I1019" s="252">
        <f t="shared" ref="I1019:R1019" si="177">H1019</f>
        <v>10</v>
      </c>
      <c r="J1019" s="252">
        <f t="shared" si="177"/>
        <v>10</v>
      </c>
      <c r="K1019" s="252">
        <f t="shared" si="177"/>
        <v>10</v>
      </c>
      <c r="L1019" s="252">
        <f t="shared" si="177"/>
        <v>10</v>
      </c>
      <c r="M1019" s="252">
        <f t="shared" si="177"/>
        <v>10</v>
      </c>
      <c r="N1019" s="252">
        <f t="shared" si="177"/>
        <v>10</v>
      </c>
      <c r="O1019" s="252">
        <f t="shared" si="177"/>
        <v>10</v>
      </c>
      <c r="P1019" s="252">
        <f t="shared" si="177"/>
        <v>10</v>
      </c>
      <c r="Q1019" s="252">
        <f t="shared" si="177"/>
        <v>10</v>
      </c>
      <c r="R1019" s="252">
        <f t="shared" si="177"/>
        <v>10</v>
      </c>
      <c r="S1019" s="5"/>
      <c r="T1019" s="13"/>
      <c r="U1019" s="5"/>
    </row>
    <row r="1020" spans="1:21" s="3" customFormat="1" hidden="1" outlineLevel="1">
      <c r="A1020" s="21"/>
      <c r="B1020" s="67" t="s">
        <v>50</v>
      </c>
      <c r="C1020" s="13" t="s">
        <v>169</v>
      </c>
      <c r="D1020" s="4"/>
      <c r="E1020" s="347"/>
      <c r="G1020" s="5"/>
      <c r="H1020" s="4"/>
      <c r="I1020" s="4"/>
      <c r="J1020" s="4"/>
      <c r="K1020" s="4"/>
      <c r="L1020" s="4"/>
      <c r="M1020" s="4"/>
      <c r="N1020" s="4"/>
      <c r="O1020" s="4"/>
      <c r="P1020" s="4"/>
      <c r="Q1020" s="4"/>
      <c r="R1020" s="4"/>
      <c r="S1020" s="5"/>
      <c r="T1020" s="13"/>
      <c r="U1020" s="5"/>
    </row>
    <row r="1021" spans="1:21" s="3" customFormat="1" hidden="1" outlineLevel="1">
      <c r="A1021" s="21"/>
      <c r="B1021" s="228" t="s">
        <v>37</v>
      </c>
      <c r="C1021" s="273" t="str">
        <f t="shared" ref="C1021:C1050" si="178">C1020</f>
        <v>Solar PV</v>
      </c>
      <c r="D1021" s="228"/>
      <c r="E1021" s="355"/>
      <c r="F1021" s="228" t="s">
        <v>39</v>
      </c>
      <c r="G1021" s="5"/>
      <c r="H1021" s="265">
        <v>2010</v>
      </c>
      <c r="I1021" s="267">
        <f t="shared" ref="I1021:R1023" si="179">H1021</f>
        <v>2010</v>
      </c>
      <c r="J1021" s="267">
        <f t="shared" si="179"/>
        <v>2010</v>
      </c>
      <c r="K1021" s="267">
        <f t="shared" si="179"/>
        <v>2010</v>
      </c>
      <c r="L1021" s="267">
        <f t="shared" si="179"/>
        <v>2010</v>
      </c>
      <c r="M1021" s="267">
        <f t="shared" si="179"/>
        <v>2010</v>
      </c>
      <c r="N1021" s="267">
        <f t="shared" si="179"/>
        <v>2010</v>
      </c>
      <c r="O1021" s="267">
        <f t="shared" si="179"/>
        <v>2010</v>
      </c>
      <c r="P1021" s="267">
        <f t="shared" si="179"/>
        <v>2010</v>
      </c>
      <c r="Q1021" s="267">
        <f t="shared" si="179"/>
        <v>2010</v>
      </c>
      <c r="R1021" s="267">
        <f t="shared" si="179"/>
        <v>2010</v>
      </c>
      <c r="S1021" s="5"/>
      <c r="T1021" s="25"/>
      <c r="U1021" s="5"/>
    </row>
    <row r="1022" spans="1:21" s="3" customFormat="1" hidden="1" outlineLevel="1">
      <c r="A1022" s="21"/>
      <c r="B1022" s="228" t="s">
        <v>36</v>
      </c>
      <c r="C1022" s="273" t="str">
        <f t="shared" si="178"/>
        <v>Solar PV</v>
      </c>
      <c r="D1022" s="228"/>
      <c r="E1022" s="355"/>
      <c r="F1022" s="228" t="s">
        <v>39</v>
      </c>
      <c r="G1022" s="5"/>
      <c r="H1022" s="265">
        <v>2100</v>
      </c>
      <c r="I1022" s="267">
        <f t="shared" si="179"/>
        <v>2100</v>
      </c>
      <c r="J1022" s="267">
        <f t="shared" si="179"/>
        <v>2100</v>
      </c>
      <c r="K1022" s="267">
        <f t="shared" si="179"/>
        <v>2100</v>
      </c>
      <c r="L1022" s="267">
        <f t="shared" si="179"/>
        <v>2100</v>
      </c>
      <c r="M1022" s="267">
        <f t="shared" si="179"/>
        <v>2100</v>
      </c>
      <c r="N1022" s="267">
        <f t="shared" si="179"/>
        <v>2100</v>
      </c>
      <c r="O1022" s="267">
        <f t="shared" si="179"/>
        <v>2100</v>
      </c>
      <c r="P1022" s="267">
        <f t="shared" si="179"/>
        <v>2100</v>
      </c>
      <c r="Q1022" s="267">
        <f t="shared" si="179"/>
        <v>2100</v>
      </c>
      <c r="R1022" s="267">
        <f t="shared" si="179"/>
        <v>2100</v>
      </c>
      <c r="S1022" s="5"/>
      <c r="T1022" s="25"/>
      <c r="U1022" s="5"/>
    </row>
    <row r="1023" spans="1:21" s="3" customFormat="1" hidden="1" outlineLevel="1">
      <c r="A1023" s="21"/>
      <c r="B1023" s="228" t="s">
        <v>38</v>
      </c>
      <c r="C1023" s="273" t="str">
        <f t="shared" si="178"/>
        <v>Solar PV</v>
      </c>
      <c r="D1023" s="228"/>
      <c r="E1023" s="355"/>
      <c r="F1023" s="228" t="s">
        <v>10</v>
      </c>
      <c r="G1023" s="5"/>
      <c r="H1023" s="55">
        <v>30</v>
      </c>
      <c r="I1023" s="253">
        <f t="shared" si="179"/>
        <v>30</v>
      </c>
      <c r="J1023" s="253">
        <f t="shared" si="179"/>
        <v>30</v>
      </c>
      <c r="K1023" s="253">
        <f t="shared" si="179"/>
        <v>30</v>
      </c>
      <c r="L1023" s="253">
        <f t="shared" si="179"/>
        <v>30</v>
      </c>
      <c r="M1023" s="253">
        <f t="shared" si="179"/>
        <v>30</v>
      </c>
      <c r="N1023" s="253">
        <f t="shared" si="179"/>
        <v>30</v>
      </c>
      <c r="O1023" s="253">
        <f t="shared" si="179"/>
        <v>30</v>
      </c>
      <c r="P1023" s="253">
        <f t="shared" si="179"/>
        <v>30</v>
      </c>
      <c r="Q1023" s="253">
        <f t="shared" si="179"/>
        <v>30</v>
      </c>
      <c r="R1023" s="253">
        <f t="shared" si="179"/>
        <v>30</v>
      </c>
      <c r="S1023" s="5"/>
      <c r="T1023" s="25"/>
      <c r="U1023" s="5"/>
    </row>
    <row r="1024" spans="1:21" s="3" customFormat="1" hidden="1" outlineLevel="1">
      <c r="A1024" s="21"/>
      <c r="B1024" s="228" t="s">
        <v>353</v>
      </c>
      <c r="C1024" s="273" t="str">
        <f t="shared" si="178"/>
        <v>Solar PV</v>
      </c>
      <c r="D1024" s="228"/>
      <c r="E1024" s="355"/>
      <c r="F1024" s="228" t="s">
        <v>10</v>
      </c>
      <c r="G1024" s="5"/>
      <c r="H1024" s="55"/>
      <c r="I1024" s="55"/>
      <c r="J1024" s="55"/>
      <c r="K1024" s="55"/>
      <c r="L1024" s="55"/>
      <c r="M1024" s="55"/>
      <c r="N1024" s="55"/>
      <c r="O1024" s="55"/>
      <c r="P1024" s="55"/>
      <c r="Q1024" s="55"/>
      <c r="R1024" s="55"/>
      <c r="S1024" s="5"/>
      <c r="T1024" s="25"/>
      <c r="U1024" s="5"/>
    </row>
    <row r="1025" spans="1:21" s="3" customFormat="1" hidden="1" outlineLevel="1">
      <c r="A1025" s="21"/>
      <c r="B1025" s="228" t="s">
        <v>304</v>
      </c>
      <c r="C1025" s="273" t="str">
        <f t="shared" si="178"/>
        <v>Solar PV</v>
      </c>
      <c r="D1025" s="228"/>
      <c r="E1025" s="355"/>
      <c r="F1025" s="228" t="s">
        <v>96</v>
      </c>
      <c r="G1025" s="5"/>
      <c r="H1025" s="261">
        <v>0.125</v>
      </c>
      <c r="I1025" s="264">
        <f t="shared" ref="I1025:R1025" si="180">H1025</f>
        <v>0.125</v>
      </c>
      <c r="J1025" s="264">
        <f t="shared" si="180"/>
        <v>0.125</v>
      </c>
      <c r="K1025" s="264">
        <f t="shared" si="180"/>
        <v>0.125</v>
      </c>
      <c r="L1025" s="264">
        <f t="shared" si="180"/>
        <v>0.125</v>
      </c>
      <c r="M1025" s="264">
        <f t="shared" si="180"/>
        <v>0.125</v>
      </c>
      <c r="N1025" s="264">
        <f t="shared" si="180"/>
        <v>0.125</v>
      </c>
      <c r="O1025" s="264">
        <f t="shared" si="180"/>
        <v>0.125</v>
      </c>
      <c r="P1025" s="264">
        <f t="shared" si="180"/>
        <v>0.125</v>
      </c>
      <c r="Q1025" s="264">
        <f t="shared" si="180"/>
        <v>0.125</v>
      </c>
      <c r="R1025" s="264">
        <f t="shared" si="180"/>
        <v>0.125</v>
      </c>
      <c r="S1025" s="5"/>
      <c r="T1025" s="25"/>
      <c r="U1025" s="5"/>
    </row>
    <row r="1026" spans="1:21" s="3" customFormat="1" hidden="1" outlineLevel="1">
      <c r="A1026" s="21"/>
      <c r="B1026" s="228" t="s">
        <v>350</v>
      </c>
      <c r="C1026" s="273" t="str">
        <f t="shared" si="178"/>
        <v>Solar PV</v>
      </c>
      <c r="D1026" s="228"/>
      <c r="E1026" s="355"/>
      <c r="F1026" s="228" t="s">
        <v>96</v>
      </c>
      <c r="G1026" s="5"/>
      <c r="H1026" s="261"/>
      <c r="I1026" s="261"/>
      <c r="J1026" s="261"/>
      <c r="K1026" s="261"/>
      <c r="L1026" s="261"/>
      <c r="M1026" s="261"/>
      <c r="N1026" s="261"/>
      <c r="O1026" s="261"/>
      <c r="P1026" s="261"/>
      <c r="Q1026" s="261"/>
      <c r="R1026" s="261"/>
      <c r="S1026" s="5"/>
      <c r="T1026" s="25"/>
      <c r="U1026" s="5"/>
    </row>
    <row r="1027" spans="1:21" s="3" customFormat="1" hidden="1" outlineLevel="1">
      <c r="A1027" s="21"/>
      <c r="B1027" s="228" t="s">
        <v>349</v>
      </c>
      <c r="C1027" s="273" t="str">
        <f t="shared" si="178"/>
        <v>Solar PV</v>
      </c>
      <c r="D1027" s="228"/>
      <c r="E1027" s="355"/>
      <c r="F1027" s="228" t="s">
        <v>96</v>
      </c>
      <c r="G1027" s="5"/>
      <c r="H1027" s="261"/>
      <c r="I1027" s="261"/>
      <c r="J1027" s="261"/>
      <c r="K1027" s="261"/>
      <c r="L1027" s="261"/>
      <c r="M1027" s="261"/>
      <c r="N1027" s="261"/>
      <c r="O1027" s="261"/>
      <c r="P1027" s="261"/>
      <c r="Q1027" s="261"/>
      <c r="R1027" s="261"/>
      <c r="S1027" s="5"/>
      <c r="T1027" s="25"/>
      <c r="U1027" s="5"/>
    </row>
    <row r="1028" spans="1:21" s="3" customFormat="1" hidden="1" outlineLevel="1">
      <c r="A1028" s="21"/>
      <c r="B1028" s="228" t="s">
        <v>74</v>
      </c>
      <c r="C1028" s="273" t="str">
        <f t="shared" si="178"/>
        <v>Solar PV</v>
      </c>
      <c r="D1028" s="228"/>
      <c r="E1028" s="355"/>
      <c r="F1028" s="228" t="s">
        <v>96</v>
      </c>
      <c r="G1028" s="5"/>
      <c r="H1028" s="261">
        <v>0.2</v>
      </c>
      <c r="I1028" s="261"/>
      <c r="J1028" s="261"/>
      <c r="K1028" s="261"/>
      <c r="L1028" s="261"/>
      <c r="M1028" s="261"/>
      <c r="N1028" s="261"/>
      <c r="O1028" s="261"/>
      <c r="P1028" s="261"/>
      <c r="Q1028" s="261"/>
      <c r="R1028" s="261"/>
      <c r="S1028" s="5"/>
      <c r="T1028" s="25"/>
      <c r="U1028" s="5"/>
    </row>
    <row r="1029" spans="1:21" s="3" customFormat="1" hidden="1" outlineLevel="1">
      <c r="A1029" s="21"/>
      <c r="B1029" s="358" t="s">
        <v>146</v>
      </c>
      <c r="C1029" s="273" t="str">
        <f t="shared" si="178"/>
        <v>Solar PV</v>
      </c>
      <c r="D1029" s="359"/>
      <c r="E1029" s="360"/>
      <c r="F1029" s="358" t="s">
        <v>96</v>
      </c>
      <c r="G1029" s="5"/>
      <c r="H1029" s="261"/>
      <c r="I1029" s="261"/>
      <c r="J1029" s="261"/>
      <c r="K1029" s="261"/>
      <c r="L1029" s="261"/>
      <c r="M1029" s="261"/>
      <c r="N1029" s="261"/>
      <c r="O1029" s="261"/>
      <c r="P1029" s="261"/>
      <c r="Q1029" s="261"/>
      <c r="R1029" s="261"/>
      <c r="S1029" s="5"/>
      <c r="T1029" s="25"/>
      <c r="U1029" s="5"/>
    </row>
    <row r="1030" spans="1:21" s="3" customFormat="1" hidden="1" outlineLevel="1">
      <c r="A1030" s="21"/>
      <c r="B1030" s="358" t="s">
        <v>147</v>
      </c>
      <c r="C1030" s="273" t="str">
        <f t="shared" si="178"/>
        <v>Solar PV</v>
      </c>
      <c r="D1030" s="359"/>
      <c r="E1030" s="360"/>
      <c r="F1030" s="358" t="s">
        <v>96</v>
      </c>
      <c r="G1030" s="5"/>
      <c r="H1030" s="261"/>
      <c r="I1030" s="261"/>
      <c r="J1030" s="261"/>
      <c r="K1030" s="261"/>
      <c r="L1030" s="261"/>
      <c r="M1030" s="261"/>
      <c r="N1030" s="261"/>
      <c r="O1030" s="261"/>
      <c r="P1030" s="261"/>
      <c r="Q1030" s="261"/>
      <c r="R1030" s="261"/>
      <c r="S1030" s="5"/>
      <c r="T1030" s="25"/>
      <c r="U1030" s="5"/>
    </row>
    <row r="1031" spans="1:21" s="3" customFormat="1" hidden="1" outlineLevel="1">
      <c r="A1031" s="21"/>
      <c r="B1031" s="358" t="s">
        <v>362</v>
      </c>
      <c r="C1031" s="273" t="str">
        <f t="shared" si="178"/>
        <v>Solar PV</v>
      </c>
      <c r="D1031" s="359"/>
      <c r="E1031" s="360"/>
      <c r="F1031" s="358" t="s">
        <v>96</v>
      </c>
      <c r="G1031" s="5"/>
      <c r="H1031" s="261"/>
      <c r="I1031" s="261"/>
      <c r="J1031" s="261"/>
      <c r="K1031" s="261"/>
      <c r="L1031" s="261"/>
      <c r="M1031" s="261"/>
      <c r="N1031" s="261"/>
      <c r="O1031" s="261"/>
      <c r="P1031" s="261"/>
      <c r="Q1031" s="261"/>
      <c r="R1031" s="261"/>
      <c r="S1031" s="5"/>
      <c r="T1031" s="25"/>
      <c r="U1031" s="5"/>
    </row>
    <row r="1032" spans="1:21" s="3" customFormat="1" hidden="1" outlineLevel="1">
      <c r="A1032" s="21"/>
      <c r="B1032" s="358" t="s">
        <v>363</v>
      </c>
      <c r="C1032" s="273" t="str">
        <f t="shared" si="178"/>
        <v>Solar PV</v>
      </c>
      <c r="D1032" s="359"/>
      <c r="E1032" s="360"/>
      <c r="F1032" s="358" t="s">
        <v>96</v>
      </c>
      <c r="G1032" s="5"/>
      <c r="H1032" s="261"/>
      <c r="I1032" s="261"/>
      <c r="J1032" s="261"/>
      <c r="K1032" s="261"/>
      <c r="L1032" s="261"/>
      <c r="M1032" s="261"/>
      <c r="N1032" s="261"/>
      <c r="O1032" s="261"/>
      <c r="P1032" s="261"/>
      <c r="Q1032" s="261"/>
      <c r="R1032" s="261"/>
      <c r="S1032" s="5"/>
      <c r="T1032" s="25"/>
      <c r="U1032" s="5"/>
    </row>
    <row r="1033" spans="1:21" s="3" customFormat="1" hidden="1" outlineLevel="1">
      <c r="A1033" s="21"/>
      <c r="B1033" s="228" t="s">
        <v>332</v>
      </c>
      <c r="C1033" s="273" t="str">
        <f t="shared" si="178"/>
        <v>Solar PV</v>
      </c>
      <c r="D1033" s="228"/>
      <c r="E1033" s="355"/>
      <c r="F1033" s="228" t="s">
        <v>189</v>
      </c>
      <c r="G1033" s="5"/>
      <c r="H1033" s="29">
        <f>20*8760*0.15</f>
        <v>26280</v>
      </c>
      <c r="I1033" s="362">
        <f t="shared" ref="I1033:R1034" si="181">H1033</f>
        <v>26280</v>
      </c>
      <c r="J1033" s="362">
        <f t="shared" si="181"/>
        <v>26280</v>
      </c>
      <c r="K1033" s="362">
        <f t="shared" si="181"/>
        <v>26280</v>
      </c>
      <c r="L1033" s="362">
        <f t="shared" si="181"/>
        <v>26280</v>
      </c>
      <c r="M1033" s="362">
        <f t="shared" si="181"/>
        <v>26280</v>
      </c>
      <c r="N1033" s="362">
        <f t="shared" si="181"/>
        <v>26280</v>
      </c>
      <c r="O1033" s="362">
        <f t="shared" si="181"/>
        <v>26280</v>
      </c>
      <c r="P1033" s="362">
        <f t="shared" si="181"/>
        <v>26280</v>
      </c>
      <c r="Q1033" s="362">
        <f t="shared" si="181"/>
        <v>26280</v>
      </c>
      <c r="R1033" s="362">
        <f t="shared" si="181"/>
        <v>26280</v>
      </c>
      <c r="S1033" s="5"/>
      <c r="T1033" s="25"/>
      <c r="U1033" s="5"/>
    </row>
    <row r="1034" spans="1:21" s="3" customFormat="1" hidden="1" outlineLevel="1">
      <c r="A1034" s="21"/>
      <c r="B1034" s="228" t="s">
        <v>470</v>
      </c>
      <c r="C1034" s="273" t="str">
        <f t="shared" si="178"/>
        <v>Solar PV</v>
      </c>
      <c r="D1034" s="228"/>
      <c r="E1034" s="355"/>
      <c r="F1034" s="228" t="s">
        <v>316</v>
      </c>
      <c r="G1034" s="5"/>
      <c r="H1034" s="54">
        <v>50000000</v>
      </c>
      <c r="I1034" s="270">
        <f t="shared" si="181"/>
        <v>50000000</v>
      </c>
      <c r="J1034" s="270">
        <f t="shared" si="181"/>
        <v>50000000</v>
      </c>
      <c r="K1034" s="270">
        <f t="shared" si="181"/>
        <v>50000000</v>
      </c>
      <c r="L1034" s="270">
        <f t="shared" si="181"/>
        <v>50000000</v>
      </c>
      <c r="M1034" s="270">
        <f t="shared" si="181"/>
        <v>50000000</v>
      </c>
      <c r="N1034" s="270">
        <f t="shared" si="181"/>
        <v>50000000</v>
      </c>
      <c r="O1034" s="270">
        <f t="shared" si="181"/>
        <v>50000000</v>
      </c>
      <c r="P1034" s="270">
        <f t="shared" si="181"/>
        <v>50000000</v>
      </c>
      <c r="Q1034" s="270">
        <f t="shared" si="181"/>
        <v>50000000</v>
      </c>
      <c r="R1034" s="270">
        <f t="shared" si="181"/>
        <v>50000000</v>
      </c>
      <c r="S1034" s="5"/>
      <c r="T1034" s="25"/>
      <c r="U1034" s="5"/>
    </row>
    <row r="1035" spans="1:21" s="3" customFormat="1" hidden="1" outlineLevel="1">
      <c r="A1035" s="21"/>
      <c r="B1035" s="228" t="s">
        <v>375</v>
      </c>
      <c r="C1035" s="273" t="str">
        <f t="shared" si="178"/>
        <v>Solar PV</v>
      </c>
      <c r="D1035" s="228"/>
      <c r="E1035" s="355"/>
      <c r="F1035" s="228" t="s">
        <v>96</v>
      </c>
      <c r="G1035" s="5"/>
      <c r="H1035" s="261"/>
      <c r="I1035" s="261"/>
      <c r="J1035" s="261"/>
      <c r="K1035" s="261"/>
      <c r="L1035" s="261"/>
      <c r="M1035" s="261"/>
      <c r="N1035" s="261"/>
      <c r="O1035" s="261"/>
      <c r="P1035" s="261"/>
      <c r="Q1035" s="261"/>
      <c r="R1035" s="261"/>
      <c r="S1035" s="5"/>
      <c r="T1035" s="25"/>
      <c r="U1035" s="5"/>
    </row>
    <row r="1036" spans="1:21" s="3" customFormat="1" hidden="1" outlineLevel="1">
      <c r="A1036" s="21"/>
      <c r="B1036" s="228" t="s">
        <v>432</v>
      </c>
      <c r="C1036" s="273" t="str">
        <f t="shared" si="178"/>
        <v>Solar PV</v>
      </c>
      <c r="D1036" s="228"/>
      <c r="E1036" s="355"/>
      <c r="F1036" s="228" t="s">
        <v>189</v>
      </c>
      <c r="G1036" s="5"/>
      <c r="H1036" s="55"/>
      <c r="I1036" s="55"/>
      <c r="J1036" s="55"/>
      <c r="K1036" s="55"/>
      <c r="L1036" s="55"/>
      <c r="M1036" s="55"/>
      <c r="N1036" s="55"/>
      <c r="O1036" s="55"/>
      <c r="P1036" s="55"/>
      <c r="Q1036" s="55"/>
      <c r="R1036" s="55"/>
      <c r="S1036" s="5"/>
      <c r="T1036" s="25"/>
      <c r="U1036" s="5"/>
    </row>
    <row r="1037" spans="1:21" s="3" customFormat="1" hidden="1" outlineLevel="1">
      <c r="A1037" s="21"/>
      <c r="B1037" s="228" t="s">
        <v>379</v>
      </c>
      <c r="C1037" s="273" t="str">
        <f t="shared" si="178"/>
        <v>Solar PV</v>
      </c>
      <c r="D1037" s="228"/>
      <c r="E1037" s="355"/>
      <c r="F1037" s="228"/>
      <c r="G1037" s="5"/>
      <c r="H1037" s="54"/>
      <c r="I1037" s="54"/>
      <c r="J1037" s="54"/>
      <c r="K1037" s="54"/>
      <c r="L1037" s="54"/>
      <c r="M1037" s="54"/>
      <c r="N1037" s="54"/>
      <c r="O1037" s="54"/>
      <c r="P1037" s="54"/>
      <c r="Q1037" s="54"/>
      <c r="R1037" s="54"/>
      <c r="S1037" s="5"/>
      <c r="T1037" s="25"/>
      <c r="U1037" s="5"/>
    </row>
    <row r="1038" spans="1:21" s="3" customFormat="1" hidden="1" outlineLevel="1">
      <c r="A1038" s="21"/>
      <c r="B1038" s="228" t="s">
        <v>361</v>
      </c>
      <c r="C1038" s="273" t="str">
        <f t="shared" si="178"/>
        <v>Solar PV</v>
      </c>
      <c r="D1038" s="228"/>
      <c r="E1038" s="355"/>
      <c r="F1038" s="228" t="s">
        <v>96</v>
      </c>
      <c r="G1038" s="5"/>
      <c r="H1038" s="261"/>
      <c r="I1038" s="261"/>
      <c r="J1038" s="261"/>
      <c r="K1038" s="261"/>
      <c r="L1038" s="261"/>
      <c r="M1038" s="261"/>
      <c r="N1038" s="261"/>
      <c r="O1038" s="261"/>
      <c r="P1038" s="261"/>
      <c r="Q1038" s="261"/>
      <c r="R1038" s="261"/>
      <c r="S1038" s="5"/>
      <c r="T1038" s="25"/>
      <c r="U1038" s="5"/>
    </row>
    <row r="1039" spans="1:21" s="3" customFormat="1" hidden="1" outlineLevel="1">
      <c r="A1039" s="21"/>
      <c r="B1039" s="228" t="s">
        <v>384</v>
      </c>
      <c r="C1039" s="273" t="str">
        <f t="shared" si="178"/>
        <v>Solar PV</v>
      </c>
      <c r="D1039" s="228"/>
      <c r="E1039" s="355"/>
      <c r="F1039" s="228" t="s">
        <v>316</v>
      </c>
      <c r="G1039" s="5"/>
      <c r="H1039" s="54"/>
      <c r="I1039" s="54"/>
      <c r="J1039" s="54"/>
      <c r="K1039" s="54"/>
      <c r="L1039" s="54"/>
      <c r="M1039" s="54"/>
      <c r="N1039" s="54"/>
      <c r="O1039" s="54"/>
      <c r="P1039" s="54"/>
      <c r="Q1039" s="54"/>
      <c r="R1039" s="54"/>
      <c r="S1039" s="5"/>
      <c r="T1039" s="25"/>
      <c r="U1039" s="5"/>
    </row>
    <row r="1040" spans="1:21" s="3" customFormat="1" hidden="1" outlineLevel="1">
      <c r="A1040" s="21"/>
      <c r="B1040" s="228" t="s">
        <v>386</v>
      </c>
      <c r="C1040" s="273" t="str">
        <f t="shared" si="178"/>
        <v>Solar PV</v>
      </c>
      <c r="D1040" s="228"/>
      <c r="E1040" s="355"/>
      <c r="F1040" s="228" t="s">
        <v>316</v>
      </c>
      <c r="G1040" s="5"/>
      <c r="H1040" s="55"/>
      <c r="I1040" s="55"/>
      <c r="J1040" s="55"/>
      <c r="K1040" s="55"/>
      <c r="L1040" s="55"/>
      <c r="M1040" s="55"/>
      <c r="N1040" s="55"/>
      <c r="O1040" s="55"/>
      <c r="P1040" s="55"/>
      <c r="Q1040" s="55"/>
      <c r="R1040" s="55"/>
      <c r="S1040" s="5"/>
      <c r="T1040" s="25"/>
      <c r="U1040" s="5"/>
    </row>
    <row r="1041" spans="1:21" s="3" customFormat="1" hidden="1" outlineLevel="1">
      <c r="A1041" s="21"/>
      <c r="B1041" s="228" t="s">
        <v>387</v>
      </c>
      <c r="C1041" s="273" t="str">
        <f t="shared" si="178"/>
        <v>Solar PV</v>
      </c>
      <c r="D1041" s="228"/>
      <c r="E1041" s="355"/>
      <c r="F1041" s="228"/>
      <c r="G1041" s="5"/>
      <c r="H1041" s="261"/>
      <c r="I1041" s="261"/>
      <c r="J1041" s="261"/>
      <c r="K1041" s="261"/>
      <c r="L1041" s="261"/>
      <c r="M1041" s="261"/>
      <c r="N1041" s="261"/>
      <c r="O1041" s="261"/>
      <c r="P1041" s="261"/>
      <c r="Q1041" s="261"/>
      <c r="R1041" s="261"/>
      <c r="S1041" s="5"/>
      <c r="T1041" s="25"/>
      <c r="U1041" s="5"/>
    </row>
    <row r="1042" spans="1:21" s="3" customFormat="1" hidden="1" outlineLevel="1">
      <c r="A1042" s="21"/>
      <c r="B1042" s="228" t="s">
        <v>388</v>
      </c>
      <c r="C1042" s="273" t="str">
        <f t="shared" si="178"/>
        <v>Solar PV</v>
      </c>
      <c r="D1042" s="228"/>
      <c r="E1042" s="355"/>
      <c r="F1042" s="228"/>
      <c r="G1042" s="5"/>
      <c r="H1042" s="55"/>
      <c r="I1042" s="55"/>
      <c r="J1042" s="55"/>
      <c r="K1042" s="55"/>
      <c r="L1042" s="55"/>
      <c r="M1042" s="55"/>
      <c r="N1042" s="55"/>
      <c r="O1042" s="55"/>
      <c r="P1042" s="55"/>
      <c r="Q1042" s="55"/>
      <c r="R1042" s="55"/>
      <c r="S1042" s="5"/>
      <c r="T1042" s="25"/>
      <c r="U1042" s="5"/>
    </row>
    <row r="1043" spans="1:21" s="3" customFormat="1" hidden="1" outlineLevel="1">
      <c r="A1043" s="21"/>
      <c r="B1043" s="228" t="s">
        <v>385</v>
      </c>
      <c r="C1043" s="273" t="str">
        <f t="shared" si="178"/>
        <v>Solar PV</v>
      </c>
      <c r="D1043" s="228"/>
      <c r="E1043" s="355"/>
      <c r="F1043" s="228" t="s">
        <v>331</v>
      </c>
      <c r="G1043" s="5"/>
      <c r="H1043" s="54"/>
      <c r="I1043" s="54"/>
      <c r="J1043" s="54"/>
      <c r="K1043" s="54"/>
      <c r="L1043" s="54"/>
      <c r="M1043" s="54"/>
      <c r="N1043" s="54"/>
      <c r="O1043" s="54"/>
      <c r="P1043" s="54"/>
      <c r="Q1043" s="54"/>
      <c r="R1043" s="54"/>
      <c r="S1043" s="5"/>
      <c r="T1043" s="25"/>
      <c r="U1043" s="5"/>
    </row>
    <row r="1044" spans="1:21" s="3" customFormat="1" hidden="1" outlineLevel="1">
      <c r="A1044" s="21"/>
      <c r="B1044" s="228" t="s">
        <v>389</v>
      </c>
      <c r="C1044" s="273" t="str">
        <f t="shared" si="178"/>
        <v>Solar PV</v>
      </c>
      <c r="D1044" s="228"/>
      <c r="E1044" s="355"/>
      <c r="F1044" s="228" t="s">
        <v>331</v>
      </c>
      <c r="G1044" s="5"/>
      <c r="H1044" s="55"/>
      <c r="I1044" s="55"/>
      <c r="J1044" s="55"/>
      <c r="K1044" s="55"/>
      <c r="L1044" s="55"/>
      <c r="M1044" s="55"/>
      <c r="N1044" s="55"/>
      <c r="O1044" s="55"/>
      <c r="P1044" s="55"/>
      <c r="Q1044" s="55"/>
      <c r="R1044" s="55"/>
      <c r="S1044" s="5"/>
      <c r="T1044" s="25"/>
      <c r="U1044" s="5"/>
    </row>
    <row r="1045" spans="1:21" s="3" customFormat="1" hidden="1" outlineLevel="1">
      <c r="A1045" s="21"/>
      <c r="B1045" s="228" t="s">
        <v>390</v>
      </c>
      <c r="C1045" s="273" t="str">
        <f t="shared" si="178"/>
        <v>Solar PV</v>
      </c>
      <c r="D1045" s="228"/>
      <c r="E1045" s="355"/>
      <c r="F1045" s="228"/>
      <c r="G1045" s="5"/>
      <c r="H1045" s="261"/>
      <c r="I1045" s="261"/>
      <c r="J1045" s="261"/>
      <c r="K1045" s="261"/>
      <c r="L1045" s="261"/>
      <c r="M1045" s="261"/>
      <c r="N1045" s="261"/>
      <c r="O1045" s="261"/>
      <c r="P1045" s="261"/>
      <c r="Q1045" s="261"/>
      <c r="R1045" s="261"/>
      <c r="S1045" s="5"/>
      <c r="T1045" s="25"/>
      <c r="U1045" s="5"/>
    </row>
    <row r="1046" spans="1:21" s="3" customFormat="1" hidden="1" outlineLevel="1">
      <c r="A1046" s="21"/>
      <c r="B1046" s="228" t="s">
        <v>391</v>
      </c>
      <c r="C1046" s="273" t="str">
        <f t="shared" si="178"/>
        <v>Solar PV</v>
      </c>
      <c r="D1046" s="228"/>
      <c r="E1046" s="355"/>
      <c r="F1046" s="228"/>
      <c r="G1046" s="5"/>
      <c r="H1046" s="55"/>
      <c r="I1046" s="55"/>
      <c r="J1046" s="55"/>
      <c r="K1046" s="55"/>
      <c r="L1046" s="55"/>
      <c r="M1046" s="55"/>
      <c r="N1046" s="55"/>
      <c r="O1046" s="55"/>
      <c r="P1046" s="55"/>
      <c r="Q1046" s="55"/>
      <c r="R1046" s="55"/>
      <c r="S1046" s="5"/>
      <c r="T1046" s="25"/>
      <c r="U1046" s="5"/>
    </row>
    <row r="1047" spans="1:21" s="3" customFormat="1" hidden="1" outlineLevel="1">
      <c r="A1047" s="21"/>
      <c r="B1047" s="228" t="s">
        <v>305</v>
      </c>
      <c r="C1047" s="273" t="str">
        <f t="shared" si="178"/>
        <v>Solar PV</v>
      </c>
      <c r="D1047" s="228"/>
      <c r="E1047" s="355"/>
      <c r="F1047" s="228" t="s">
        <v>331</v>
      </c>
      <c r="G1047" s="5"/>
      <c r="H1047" s="54">
        <v>500000</v>
      </c>
      <c r="I1047" s="270">
        <f t="shared" ref="I1047:R1047" si="182">H1047</f>
        <v>500000</v>
      </c>
      <c r="J1047" s="270">
        <f t="shared" si="182"/>
        <v>500000</v>
      </c>
      <c r="K1047" s="270">
        <f t="shared" si="182"/>
        <v>500000</v>
      </c>
      <c r="L1047" s="270">
        <f t="shared" si="182"/>
        <v>500000</v>
      </c>
      <c r="M1047" s="270">
        <f t="shared" si="182"/>
        <v>500000</v>
      </c>
      <c r="N1047" s="270">
        <f t="shared" si="182"/>
        <v>500000</v>
      </c>
      <c r="O1047" s="270">
        <f t="shared" si="182"/>
        <v>500000</v>
      </c>
      <c r="P1047" s="270">
        <f t="shared" si="182"/>
        <v>500000</v>
      </c>
      <c r="Q1047" s="270">
        <f t="shared" si="182"/>
        <v>500000</v>
      </c>
      <c r="R1047" s="270">
        <f t="shared" si="182"/>
        <v>500000</v>
      </c>
      <c r="S1047" s="5"/>
      <c r="T1047" s="25"/>
      <c r="U1047" s="5"/>
    </row>
    <row r="1048" spans="1:21" s="3" customFormat="1" hidden="1" outlineLevel="1">
      <c r="A1048" s="21"/>
      <c r="B1048" s="228" t="s">
        <v>352</v>
      </c>
      <c r="C1048" s="273" t="str">
        <f t="shared" si="178"/>
        <v>Solar PV</v>
      </c>
      <c r="D1048" s="228"/>
      <c r="E1048" s="355"/>
      <c r="F1048" s="228" t="s">
        <v>316</v>
      </c>
      <c r="G1048" s="5"/>
      <c r="H1048" s="54"/>
      <c r="I1048" s="54"/>
      <c r="J1048" s="54"/>
      <c r="K1048" s="54"/>
      <c r="L1048" s="54"/>
      <c r="M1048" s="54"/>
      <c r="N1048" s="54"/>
      <c r="O1048" s="54"/>
      <c r="P1048" s="54"/>
      <c r="Q1048" s="54"/>
      <c r="R1048" s="54"/>
      <c r="S1048" s="5"/>
      <c r="T1048" s="25"/>
      <c r="U1048" s="5"/>
    </row>
    <row r="1049" spans="1:21" s="3" customFormat="1" hidden="1" outlineLevel="1">
      <c r="A1049" s="21"/>
      <c r="B1049" s="67" t="s">
        <v>301</v>
      </c>
      <c r="C1049" s="273" t="str">
        <f t="shared" si="178"/>
        <v>Solar PV</v>
      </c>
      <c r="D1049" s="4" t="s">
        <v>461</v>
      </c>
      <c r="E1049" s="347"/>
      <c r="F1049" s="3" t="s">
        <v>482</v>
      </c>
      <c r="G1049" s="5"/>
      <c r="H1049" s="350">
        <f>1/0.15</f>
        <v>6.666666666666667</v>
      </c>
      <c r="I1049" s="363">
        <f t="shared" ref="I1049:R1050" si="183">H1049</f>
        <v>6.666666666666667</v>
      </c>
      <c r="J1049" s="363">
        <f t="shared" si="183"/>
        <v>6.666666666666667</v>
      </c>
      <c r="K1049" s="363">
        <f t="shared" si="183"/>
        <v>6.666666666666667</v>
      </c>
      <c r="L1049" s="363">
        <f t="shared" si="183"/>
        <v>6.666666666666667</v>
      </c>
      <c r="M1049" s="363">
        <f t="shared" si="183"/>
        <v>6.666666666666667</v>
      </c>
      <c r="N1049" s="363">
        <f t="shared" si="183"/>
        <v>6.666666666666667</v>
      </c>
      <c r="O1049" s="363">
        <f t="shared" si="183"/>
        <v>6.666666666666667</v>
      </c>
      <c r="P1049" s="363">
        <f t="shared" si="183"/>
        <v>6.666666666666667</v>
      </c>
      <c r="Q1049" s="363">
        <f t="shared" si="183"/>
        <v>6.666666666666667</v>
      </c>
      <c r="R1049" s="363">
        <f t="shared" si="183"/>
        <v>6.666666666666667</v>
      </c>
      <c r="S1049" s="5"/>
      <c r="T1049" s="13"/>
      <c r="U1049" s="5"/>
    </row>
    <row r="1050" spans="1:21" s="3" customFormat="1" hidden="1" outlineLevel="1">
      <c r="A1050" s="21"/>
      <c r="B1050" s="67" t="s">
        <v>301</v>
      </c>
      <c r="C1050" s="273" t="str">
        <f t="shared" si="178"/>
        <v>Solar PV</v>
      </c>
      <c r="D1050" s="4" t="s">
        <v>464</v>
      </c>
      <c r="E1050" s="347"/>
      <c r="F1050" s="3" t="s">
        <v>483</v>
      </c>
      <c r="G1050" s="5"/>
      <c r="H1050" s="350">
        <v>1</v>
      </c>
      <c r="I1050" s="363">
        <f t="shared" si="183"/>
        <v>1</v>
      </c>
      <c r="J1050" s="363">
        <f t="shared" si="183"/>
        <v>1</v>
      </c>
      <c r="K1050" s="363">
        <f t="shared" si="183"/>
        <v>1</v>
      </c>
      <c r="L1050" s="363">
        <f t="shared" si="183"/>
        <v>1</v>
      </c>
      <c r="M1050" s="363">
        <f t="shared" si="183"/>
        <v>1</v>
      </c>
      <c r="N1050" s="363">
        <f t="shared" si="183"/>
        <v>1</v>
      </c>
      <c r="O1050" s="363">
        <f t="shared" si="183"/>
        <v>1</v>
      </c>
      <c r="P1050" s="363">
        <f t="shared" si="183"/>
        <v>1</v>
      </c>
      <c r="Q1050" s="363">
        <f t="shared" si="183"/>
        <v>1</v>
      </c>
      <c r="R1050" s="363">
        <f t="shared" si="183"/>
        <v>1</v>
      </c>
      <c r="S1050" s="5"/>
      <c r="T1050" s="13"/>
      <c r="U1050" s="5"/>
    </row>
    <row r="1051" spans="1:21" s="3" customFormat="1" hidden="1" outlineLevel="1">
      <c r="A1051" s="21"/>
      <c r="B1051" s="67" t="s">
        <v>50</v>
      </c>
      <c r="C1051" s="13" t="s">
        <v>170</v>
      </c>
      <c r="D1051" s="4"/>
      <c r="E1051" s="347"/>
      <c r="G1051" s="5"/>
      <c r="H1051" s="4"/>
      <c r="I1051" s="4"/>
      <c r="J1051" s="4"/>
      <c r="K1051" s="4"/>
      <c r="L1051" s="4"/>
      <c r="M1051" s="4"/>
      <c r="N1051" s="4"/>
      <c r="O1051" s="4"/>
      <c r="P1051" s="4"/>
      <c r="Q1051" s="4"/>
      <c r="R1051" s="4"/>
      <c r="S1051" s="5"/>
      <c r="T1051" s="13"/>
      <c r="U1051" s="5"/>
    </row>
    <row r="1052" spans="1:21" s="3" customFormat="1" hidden="1" outlineLevel="1">
      <c r="A1052" s="21"/>
      <c r="B1052" s="228" t="s">
        <v>37</v>
      </c>
      <c r="C1052" s="273" t="str">
        <f t="shared" ref="C1052:C1081" si="184">C1051</f>
        <v>Wind</v>
      </c>
      <c r="D1052" s="228"/>
      <c r="E1052" s="355"/>
      <c r="F1052" s="228" t="s">
        <v>39</v>
      </c>
      <c r="G1052" s="5"/>
      <c r="H1052" s="265">
        <v>2000</v>
      </c>
      <c r="I1052" s="267">
        <f t="shared" ref="I1052:R1054" si="185">H1052</f>
        <v>2000</v>
      </c>
      <c r="J1052" s="267">
        <f t="shared" si="185"/>
        <v>2000</v>
      </c>
      <c r="K1052" s="267">
        <f t="shared" si="185"/>
        <v>2000</v>
      </c>
      <c r="L1052" s="267">
        <f t="shared" si="185"/>
        <v>2000</v>
      </c>
      <c r="M1052" s="267">
        <f t="shared" si="185"/>
        <v>2000</v>
      </c>
      <c r="N1052" s="267">
        <f t="shared" si="185"/>
        <v>2000</v>
      </c>
      <c r="O1052" s="267">
        <f t="shared" si="185"/>
        <v>2000</v>
      </c>
      <c r="P1052" s="267">
        <f t="shared" si="185"/>
        <v>2000</v>
      </c>
      <c r="Q1052" s="267">
        <f t="shared" si="185"/>
        <v>2000</v>
      </c>
      <c r="R1052" s="267">
        <f t="shared" si="185"/>
        <v>2000</v>
      </c>
      <c r="S1052" s="5"/>
      <c r="T1052" s="25"/>
      <c r="U1052" s="5"/>
    </row>
    <row r="1053" spans="1:21" s="3" customFormat="1" hidden="1" outlineLevel="1">
      <c r="A1053" s="21"/>
      <c r="B1053" s="228" t="s">
        <v>36</v>
      </c>
      <c r="C1053" s="273" t="str">
        <f t="shared" si="184"/>
        <v>Wind</v>
      </c>
      <c r="D1053" s="228"/>
      <c r="E1053" s="355"/>
      <c r="F1053" s="228" t="s">
        <v>39</v>
      </c>
      <c r="G1053" s="5"/>
      <c r="H1053" s="265">
        <v>2100</v>
      </c>
      <c r="I1053" s="267">
        <f t="shared" si="185"/>
        <v>2100</v>
      </c>
      <c r="J1053" s="267">
        <f t="shared" si="185"/>
        <v>2100</v>
      </c>
      <c r="K1053" s="267">
        <f t="shared" si="185"/>
        <v>2100</v>
      </c>
      <c r="L1053" s="267">
        <f t="shared" si="185"/>
        <v>2100</v>
      </c>
      <c r="M1053" s="267">
        <f t="shared" si="185"/>
        <v>2100</v>
      </c>
      <c r="N1053" s="267">
        <f t="shared" si="185"/>
        <v>2100</v>
      </c>
      <c r="O1053" s="267">
        <f t="shared" si="185"/>
        <v>2100</v>
      </c>
      <c r="P1053" s="267">
        <f t="shared" si="185"/>
        <v>2100</v>
      </c>
      <c r="Q1053" s="267">
        <f t="shared" si="185"/>
        <v>2100</v>
      </c>
      <c r="R1053" s="267">
        <f t="shared" si="185"/>
        <v>2100</v>
      </c>
      <c r="S1053" s="5"/>
      <c r="T1053" s="25"/>
      <c r="U1053" s="5"/>
    </row>
    <row r="1054" spans="1:21" s="3" customFormat="1" hidden="1" outlineLevel="1">
      <c r="A1054" s="21"/>
      <c r="B1054" s="228" t="s">
        <v>38</v>
      </c>
      <c r="C1054" s="273" t="str">
        <f t="shared" si="184"/>
        <v>Wind</v>
      </c>
      <c r="D1054" s="228"/>
      <c r="E1054" s="355"/>
      <c r="F1054" s="228" t="s">
        <v>10</v>
      </c>
      <c r="G1054" s="5"/>
      <c r="H1054" s="55">
        <v>30</v>
      </c>
      <c r="I1054" s="253">
        <f t="shared" si="185"/>
        <v>30</v>
      </c>
      <c r="J1054" s="253">
        <f t="shared" si="185"/>
        <v>30</v>
      </c>
      <c r="K1054" s="253">
        <f t="shared" si="185"/>
        <v>30</v>
      </c>
      <c r="L1054" s="253">
        <f t="shared" si="185"/>
        <v>30</v>
      </c>
      <c r="M1054" s="253">
        <f t="shared" si="185"/>
        <v>30</v>
      </c>
      <c r="N1054" s="253">
        <f t="shared" si="185"/>
        <v>30</v>
      </c>
      <c r="O1054" s="253">
        <f t="shared" si="185"/>
        <v>30</v>
      </c>
      <c r="P1054" s="253">
        <f t="shared" si="185"/>
        <v>30</v>
      </c>
      <c r="Q1054" s="253">
        <f t="shared" si="185"/>
        <v>30</v>
      </c>
      <c r="R1054" s="253">
        <f t="shared" si="185"/>
        <v>30</v>
      </c>
      <c r="S1054" s="5"/>
      <c r="T1054" s="25"/>
      <c r="U1054" s="5"/>
    </row>
    <row r="1055" spans="1:21" s="3" customFormat="1" hidden="1" outlineLevel="1">
      <c r="A1055" s="21"/>
      <c r="B1055" s="228" t="s">
        <v>353</v>
      </c>
      <c r="C1055" s="273" t="str">
        <f t="shared" si="184"/>
        <v>Wind</v>
      </c>
      <c r="D1055" s="228"/>
      <c r="E1055" s="355"/>
      <c r="F1055" s="228" t="s">
        <v>10</v>
      </c>
      <c r="G1055" s="5"/>
      <c r="H1055" s="55"/>
      <c r="I1055" s="55"/>
      <c r="J1055" s="55"/>
      <c r="K1055" s="55"/>
      <c r="L1055" s="55"/>
      <c r="M1055" s="55"/>
      <c r="N1055" s="55"/>
      <c r="O1055" s="55"/>
      <c r="P1055" s="55"/>
      <c r="Q1055" s="55"/>
      <c r="R1055" s="55"/>
      <c r="S1055" s="5"/>
      <c r="T1055" s="25"/>
      <c r="U1055" s="5"/>
    </row>
    <row r="1056" spans="1:21" s="3" customFormat="1" hidden="1" outlineLevel="1">
      <c r="A1056" s="21"/>
      <c r="B1056" s="228" t="s">
        <v>304</v>
      </c>
      <c r="C1056" s="273" t="str">
        <f t="shared" si="184"/>
        <v>Wind</v>
      </c>
      <c r="D1056" s="228"/>
      <c r="E1056" s="355"/>
      <c r="F1056" s="228" t="s">
        <v>96</v>
      </c>
      <c r="G1056" s="5"/>
      <c r="H1056" s="261">
        <v>0.125</v>
      </c>
      <c r="I1056" s="264">
        <f t="shared" ref="I1056:R1056" si="186">H1056</f>
        <v>0.125</v>
      </c>
      <c r="J1056" s="264">
        <f t="shared" si="186"/>
        <v>0.125</v>
      </c>
      <c r="K1056" s="264">
        <f t="shared" si="186"/>
        <v>0.125</v>
      </c>
      <c r="L1056" s="264">
        <f t="shared" si="186"/>
        <v>0.125</v>
      </c>
      <c r="M1056" s="264">
        <f t="shared" si="186"/>
        <v>0.125</v>
      </c>
      <c r="N1056" s="264">
        <f t="shared" si="186"/>
        <v>0.125</v>
      </c>
      <c r="O1056" s="264">
        <f t="shared" si="186"/>
        <v>0.125</v>
      </c>
      <c r="P1056" s="264">
        <f t="shared" si="186"/>
        <v>0.125</v>
      </c>
      <c r="Q1056" s="264">
        <f t="shared" si="186"/>
        <v>0.125</v>
      </c>
      <c r="R1056" s="264">
        <f t="shared" si="186"/>
        <v>0.125</v>
      </c>
      <c r="S1056" s="5"/>
      <c r="T1056" s="25"/>
      <c r="U1056" s="5"/>
    </row>
    <row r="1057" spans="1:21" s="3" customFormat="1" hidden="1" outlineLevel="1">
      <c r="A1057" s="21"/>
      <c r="B1057" s="228" t="s">
        <v>350</v>
      </c>
      <c r="C1057" s="273" t="str">
        <f t="shared" si="184"/>
        <v>Wind</v>
      </c>
      <c r="D1057" s="228"/>
      <c r="E1057" s="355"/>
      <c r="F1057" s="228" t="s">
        <v>96</v>
      </c>
      <c r="G1057" s="5"/>
      <c r="H1057" s="261"/>
      <c r="I1057" s="261"/>
      <c r="J1057" s="261"/>
      <c r="K1057" s="261"/>
      <c r="L1057" s="261"/>
      <c r="M1057" s="261"/>
      <c r="N1057" s="261"/>
      <c r="O1057" s="261"/>
      <c r="P1057" s="261"/>
      <c r="Q1057" s="261"/>
      <c r="R1057" s="261"/>
      <c r="S1057" s="5"/>
      <c r="T1057" s="25"/>
      <c r="U1057" s="5"/>
    </row>
    <row r="1058" spans="1:21" s="3" customFormat="1" hidden="1" outlineLevel="1">
      <c r="A1058" s="21"/>
      <c r="B1058" s="228" t="s">
        <v>349</v>
      </c>
      <c r="C1058" s="273" t="str">
        <f t="shared" si="184"/>
        <v>Wind</v>
      </c>
      <c r="D1058" s="228"/>
      <c r="E1058" s="355"/>
      <c r="F1058" s="228" t="s">
        <v>96</v>
      </c>
      <c r="G1058" s="5"/>
      <c r="H1058" s="261"/>
      <c r="I1058" s="261"/>
      <c r="J1058" s="261"/>
      <c r="K1058" s="261"/>
      <c r="L1058" s="261"/>
      <c r="M1058" s="261"/>
      <c r="N1058" s="261"/>
      <c r="O1058" s="261"/>
      <c r="P1058" s="261"/>
      <c r="Q1058" s="261"/>
      <c r="R1058" s="261"/>
      <c r="S1058" s="5"/>
      <c r="T1058" s="25"/>
      <c r="U1058" s="5"/>
    </row>
    <row r="1059" spans="1:21" s="3" customFormat="1" hidden="1" outlineLevel="1">
      <c r="A1059" s="21"/>
      <c r="B1059" s="228" t="s">
        <v>74</v>
      </c>
      <c r="C1059" s="273" t="str">
        <f t="shared" si="184"/>
        <v>Wind</v>
      </c>
      <c r="D1059" s="228"/>
      <c r="E1059" s="355"/>
      <c r="F1059" s="228" t="s">
        <v>96</v>
      </c>
      <c r="G1059" s="5"/>
      <c r="H1059" s="261">
        <v>0.8</v>
      </c>
      <c r="I1059" s="261"/>
      <c r="J1059" s="261"/>
      <c r="K1059" s="261"/>
      <c r="L1059" s="261"/>
      <c r="M1059" s="261"/>
      <c r="N1059" s="261"/>
      <c r="O1059" s="261"/>
      <c r="P1059" s="261"/>
      <c r="Q1059" s="261"/>
      <c r="R1059" s="261"/>
      <c r="S1059" s="5"/>
      <c r="T1059" s="25"/>
      <c r="U1059" s="5"/>
    </row>
    <row r="1060" spans="1:21" s="3" customFormat="1" hidden="1" outlineLevel="1">
      <c r="A1060" s="21"/>
      <c r="B1060" s="358" t="s">
        <v>146</v>
      </c>
      <c r="C1060" s="273" t="str">
        <f t="shared" si="184"/>
        <v>Wind</v>
      </c>
      <c r="D1060" s="359"/>
      <c r="E1060" s="360"/>
      <c r="F1060" s="358" t="s">
        <v>96</v>
      </c>
      <c r="G1060" s="5"/>
      <c r="H1060" s="261"/>
      <c r="I1060" s="261"/>
      <c r="J1060" s="261"/>
      <c r="K1060" s="261"/>
      <c r="L1060" s="261"/>
      <c r="M1060" s="261"/>
      <c r="N1060" s="261"/>
      <c r="O1060" s="261"/>
      <c r="P1060" s="261"/>
      <c r="Q1060" s="261"/>
      <c r="R1060" s="261"/>
      <c r="S1060" s="5"/>
      <c r="T1060" s="25"/>
      <c r="U1060" s="5"/>
    </row>
    <row r="1061" spans="1:21" s="3" customFormat="1" hidden="1" outlineLevel="1">
      <c r="A1061" s="21"/>
      <c r="B1061" s="358" t="s">
        <v>147</v>
      </c>
      <c r="C1061" s="273" t="str">
        <f t="shared" si="184"/>
        <v>Wind</v>
      </c>
      <c r="D1061" s="359"/>
      <c r="E1061" s="360"/>
      <c r="F1061" s="358" t="s">
        <v>96</v>
      </c>
      <c r="G1061" s="5"/>
      <c r="H1061" s="261"/>
      <c r="I1061" s="261"/>
      <c r="J1061" s="261"/>
      <c r="K1061" s="261"/>
      <c r="L1061" s="261"/>
      <c r="M1061" s="261"/>
      <c r="N1061" s="261"/>
      <c r="O1061" s="261"/>
      <c r="P1061" s="261"/>
      <c r="Q1061" s="261"/>
      <c r="R1061" s="261"/>
      <c r="S1061" s="5"/>
      <c r="T1061" s="25"/>
      <c r="U1061" s="5"/>
    </row>
    <row r="1062" spans="1:21" s="3" customFormat="1" hidden="1" outlineLevel="1">
      <c r="A1062" s="21"/>
      <c r="B1062" s="358" t="s">
        <v>362</v>
      </c>
      <c r="C1062" s="273" t="str">
        <f t="shared" si="184"/>
        <v>Wind</v>
      </c>
      <c r="D1062" s="359"/>
      <c r="E1062" s="360"/>
      <c r="F1062" s="358" t="s">
        <v>96</v>
      </c>
      <c r="G1062" s="5"/>
      <c r="H1062" s="261"/>
      <c r="I1062" s="261"/>
      <c r="J1062" s="261"/>
      <c r="K1062" s="261"/>
      <c r="L1062" s="261"/>
      <c r="M1062" s="261"/>
      <c r="N1062" s="261"/>
      <c r="O1062" s="261"/>
      <c r="P1062" s="261"/>
      <c r="Q1062" s="261"/>
      <c r="R1062" s="261"/>
      <c r="S1062" s="5"/>
      <c r="T1062" s="25"/>
      <c r="U1062" s="5"/>
    </row>
    <row r="1063" spans="1:21" s="3" customFormat="1" hidden="1" outlineLevel="1">
      <c r="A1063" s="21"/>
      <c r="B1063" s="358" t="s">
        <v>363</v>
      </c>
      <c r="C1063" s="273" t="str">
        <f t="shared" si="184"/>
        <v>Wind</v>
      </c>
      <c r="D1063" s="359"/>
      <c r="E1063" s="360"/>
      <c r="F1063" s="358" t="s">
        <v>96</v>
      </c>
      <c r="G1063" s="5"/>
      <c r="H1063" s="261"/>
      <c r="I1063" s="261"/>
      <c r="J1063" s="261"/>
      <c r="K1063" s="261"/>
      <c r="L1063" s="261"/>
      <c r="M1063" s="261"/>
      <c r="N1063" s="261"/>
      <c r="O1063" s="261"/>
      <c r="P1063" s="261"/>
      <c r="Q1063" s="261"/>
      <c r="R1063" s="261"/>
      <c r="S1063" s="5"/>
      <c r="T1063" s="25"/>
      <c r="U1063" s="5"/>
    </row>
    <row r="1064" spans="1:21" s="3" customFormat="1" hidden="1" outlineLevel="1">
      <c r="A1064" s="21"/>
      <c r="B1064" s="228" t="s">
        <v>332</v>
      </c>
      <c r="C1064" s="273" t="str">
        <f t="shared" si="184"/>
        <v>Wind</v>
      </c>
      <c r="D1064" s="228"/>
      <c r="E1064" s="355"/>
      <c r="F1064" s="228" t="s">
        <v>189</v>
      </c>
      <c r="G1064" s="5"/>
      <c r="H1064" s="29">
        <f>100*8760*0.15</f>
        <v>131400</v>
      </c>
      <c r="I1064" s="362">
        <f t="shared" ref="I1064:R1065" si="187">H1064</f>
        <v>131400</v>
      </c>
      <c r="J1064" s="362">
        <f t="shared" si="187"/>
        <v>131400</v>
      </c>
      <c r="K1064" s="362">
        <f t="shared" si="187"/>
        <v>131400</v>
      </c>
      <c r="L1064" s="362">
        <f t="shared" si="187"/>
        <v>131400</v>
      </c>
      <c r="M1064" s="362">
        <f t="shared" si="187"/>
        <v>131400</v>
      </c>
      <c r="N1064" s="362">
        <f t="shared" si="187"/>
        <v>131400</v>
      </c>
      <c r="O1064" s="362">
        <f t="shared" si="187"/>
        <v>131400</v>
      </c>
      <c r="P1064" s="362">
        <f t="shared" si="187"/>
        <v>131400</v>
      </c>
      <c r="Q1064" s="362">
        <f t="shared" si="187"/>
        <v>131400</v>
      </c>
      <c r="R1064" s="362">
        <f t="shared" si="187"/>
        <v>131400</v>
      </c>
      <c r="S1064" s="5"/>
      <c r="T1064" s="25"/>
      <c r="U1064" s="5"/>
    </row>
    <row r="1065" spans="1:21" s="3" customFormat="1" hidden="1" outlineLevel="1">
      <c r="A1065" s="21"/>
      <c r="B1065" s="228" t="s">
        <v>470</v>
      </c>
      <c r="C1065" s="273" t="str">
        <f t="shared" si="184"/>
        <v>Wind</v>
      </c>
      <c r="D1065" s="228"/>
      <c r="E1065" s="355"/>
      <c r="F1065" s="228" t="s">
        <v>316</v>
      </c>
      <c r="G1065" s="5"/>
      <c r="H1065" s="54">
        <v>190000000</v>
      </c>
      <c r="I1065" s="270">
        <f t="shared" si="187"/>
        <v>190000000</v>
      </c>
      <c r="J1065" s="270">
        <f t="shared" si="187"/>
        <v>190000000</v>
      </c>
      <c r="K1065" s="270">
        <f t="shared" si="187"/>
        <v>190000000</v>
      </c>
      <c r="L1065" s="270">
        <f t="shared" si="187"/>
        <v>190000000</v>
      </c>
      <c r="M1065" s="270">
        <f t="shared" si="187"/>
        <v>190000000</v>
      </c>
      <c r="N1065" s="270">
        <f t="shared" si="187"/>
        <v>190000000</v>
      </c>
      <c r="O1065" s="270">
        <f t="shared" si="187"/>
        <v>190000000</v>
      </c>
      <c r="P1065" s="270">
        <f t="shared" si="187"/>
        <v>190000000</v>
      </c>
      <c r="Q1065" s="270">
        <f t="shared" si="187"/>
        <v>190000000</v>
      </c>
      <c r="R1065" s="270">
        <f t="shared" si="187"/>
        <v>190000000</v>
      </c>
      <c r="S1065" s="5"/>
      <c r="T1065" s="25"/>
      <c r="U1065" s="5"/>
    </row>
    <row r="1066" spans="1:21" s="3" customFormat="1" hidden="1" outlineLevel="1">
      <c r="A1066" s="21"/>
      <c r="B1066" s="228" t="s">
        <v>375</v>
      </c>
      <c r="C1066" s="273" t="str">
        <f t="shared" si="184"/>
        <v>Wind</v>
      </c>
      <c r="D1066" s="228"/>
      <c r="E1066" s="355"/>
      <c r="F1066" s="228" t="s">
        <v>96</v>
      </c>
      <c r="G1066" s="5"/>
      <c r="H1066" s="261"/>
      <c r="I1066" s="261"/>
      <c r="J1066" s="261"/>
      <c r="K1066" s="261"/>
      <c r="L1066" s="261"/>
      <c r="M1066" s="261"/>
      <c r="N1066" s="261"/>
      <c r="O1066" s="261"/>
      <c r="P1066" s="261"/>
      <c r="Q1066" s="261"/>
      <c r="R1066" s="261"/>
      <c r="S1066" s="5"/>
      <c r="T1066" s="25"/>
      <c r="U1066" s="5"/>
    </row>
    <row r="1067" spans="1:21" s="3" customFormat="1" hidden="1" outlineLevel="1">
      <c r="A1067" s="21"/>
      <c r="B1067" s="228" t="s">
        <v>432</v>
      </c>
      <c r="C1067" s="273" t="str">
        <f t="shared" si="184"/>
        <v>Wind</v>
      </c>
      <c r="D1067" s="228"/>
      <c r="E1067" s="355"/>
      <c r="F1067" s="228" t="s">
        <v>189</v>
      </c>
      <c r="G1067" s="5"/>
      <c r="H1067" s="55"/>
      <c r="I1067" s="55"/>
      <c r="J1067" s="55"/>
      <c r="K1067" s="55"/>
      <c r="L1067" s="55"/>
      <c r="M1067" s="55"/>
      <c r="N1067" s="55"/>
      <c r="O1067" s="55"/>
      <c r="P1067" s="55"/>
      <c r="Q1067" s="55"/>
      <c r="R1067" s="55"/>
      <c r="S1067" s="5"/>
      <c r="T1067" s="25"/>
      <c r="U1067" s="5"/>
    </row>
    <row r="1068" spans="1:21" s="3" customFormat="1" hidden="1" outlineLevel="1">
      <c r="A1068" s="21"/>
      <c r="B1068" s="228" t="s">
        <v>379</v>
      </c>
      <c r="C1068" s="273" t="str">
        <f t="shared" si="184"/>
        <v>Wind</v>
      </c>
      <c r="D1068" s="228"/>
      <c r="E1068" s="355"/>
      <c r="F1068" s="228"/>
      <c r="G1068" s="5"/>
      <c r="H1068" s="54"/>
      <c r="I1068" s="54"/>
      <c r="J1068" s="54"/>
      <c r="K1068" s="54"/>
      <c r="L1068" s="54"/>
      <c r="M1068" s="54"/>
      <c r="N1068" s="54"/>
      <c r="O1068" s="54"/>
      <c r="P1068" s="54"/>
      <c r="Q1068" s="54"/>
      <c r="R1068" s="54"/>
      <c r="S1068" s="5"/>
      <c r="T1068" s="25"/>
      <c r="U1068" s="5"/>
    </row>
    <row r="1069" spans="1:21" s="3" customFormat="1" hidden="1" outlineLevel="1">
      <c r="A1069" s="21"/>
      <c r="B1069" s="228" t="s">
        <v>361</v>
      </c>
      <c r="C1069" s="273" t="str">
        <f t="shared" si="184"/>
        <v>Wind</v>
      </c>
      <c r="D1069" s="228"/>
      <c r="E1069" s="355"/>
      <c r="F1069" s="228" t="s">
        <v>96</v>
      </c>
      <c r="G1069" s="5"/>
      <c r="H1069" s="261"/>
      <c r="I1069" s="261"/>
      <c r="J1069" s="261"/>
      <c r="K1069" s="261"/>
      <c r="L1069" s="261"/>
      <c r="M1069" s="261"/>
      <c r="N1069" s="261"/>
      <c r="O1069" s="261"/>
      <c r="P1069" s="261"/>
      <c r="Q1069" s="261"/>
      <c r="R1069" s="261"/>
      <c r="S1069" s="5"/>
      <c r="T1069" s="25"/>
      <c r="U1069" s="5"/>
    </row>
    <row r="1070" spans="1:21" s="3" customFormat="1" hidden="1" outlineLevel="1">
      <c r="A1070" s="21"/>
      <c r="B1070" s="228" t="s">
        <v>384</v>
      </c>
      <c r="C1070" s="273" t="str">
        <f t="shared" si="184"/>
        <v>Wind</v>
      </c>
      <c r="D1070" s="228"/>
      <c r="E1070" s="355"/>
      <c r="F1070" s="228" t="s">
        <v>316</v>
      </c>
      <c r="G1070" s="5"/>
      <c r="H1070" s="54"/>
      <c r="I1070" s="54"/>
      <c r="J1070" s="54"/>
      <c r="K1070" s="54"/>
      <c r="L1070" s="54"/>
      <c r="M1070" s="54"/>
      <c r="N1070" s="54"/>
      <c r="O1070" s="54"/>
      <c r="P1070" s="54"/>
      <c r="Q1070" s="54"/>
      <c r="R1070" s="54"/>
      <c r="S1070" s="5"/>
      <c r="T1070" s="25"/>
      <c r="U1070" s="5"/>
    </row>
    <row r="1071" spans="1:21" s="3" customFormat="1" hidden="1" outlineLevel="1">
      <c r="A1071" s="21"/>
      <c r="B1071" s="228" t="s">
        <v>386</v>
      </c>
      <c r="C1071" s="273" t="str">
        <f t="shared" si="184"/>
        <v>Wind</v>
      </c>
      <c r="D1071" s="228"/>
      <c r="E1071" s="355"/>
      <c r="F1071" s="228" t="s">
        <v>316</v>
      </c>
      <c r="G1071" s="5"/>
      <c r="H1071" s="55"/>
      <c r="I1071" s="55"/>
      <c r="J1071" s="55"/>
      <c r="K1071" s="55"/>
      <c r="L1071" s="55"/>
      <c r="M1071" s="55"/>
      <c r="N1071" s="55"/>
      <c r="O1071" s="55"/>
      <c r="P1071" s="55"/>
      <c r="Q1071" s="55"/>
      <c r="R1071" s="55"/>
      <c r="S1071" s="5"/>
      <c r="T1071" s="25"/>
      <c r="U1071" s="5"/>
    </row>
    <row r="1072" spans="1:21" s="3" customFormat="1" hidden="1" outlineLevel="1">
      <c r="A1072" s="21"/>
      <c r="B1072" s="228" t="s">
        <v>387</v>
      </c>
      <c r="C1072" s="273" t="str">
        <f t="shared" si="184"/>
        <v>Wind</v>
      </c>
      <c r="D1072" s="228"/>
      <c r="E1072" s="355"/>
      <c r="F1072" s="228"/>
      <c r="G1072" s="5"/>
      <c r="H1072" s="261"/>
      <c r="I1072" s="261"/>
      <c r="J1072" s="261"/>
      <c r="K1072" s="261"/>
      <c r="L1072" s="261"/>
      <c r="M1072" s="261"/>
      <c r="N1072" s="261"/>
      <c r="O1072" s="261"/>
      <c r="P1072" s="261"/>
      <c r="Q1072" s="261"/>
      <c r="R1072" s="261"/>
      <c r="S1072" s="5"/>
      <c r="T1072" s="25"/>
      <c r="U1072" s="5"/>
    </row>
    <row r="1073" spans="1:21" s="3" customFormat="1" hidden="1" outlineLevel="1">
      <c r="A1073" s="21"/>
      <c r="B1073" s="228" t="s">
        <v>388</v>
      </c>
      <c r="C1073" s="273" t="str">
        <f t="shared" si="184"/>
        <v>Wind</v>
      </c>
      <c r="D1073" s="228"/>
      <c r="E1073" s="355"/>
      <c r="F1073" s="228"/>
      <c r="G1073" s="5"/>
      <c r="H1073" s="55"/>
      <c r="I1073" s="55"/>
      <c r="J1073" s="55"/>
      <c r="K1073" s="55"/>
      <c r="L1073" s="55"/>
      <c r="M1073" s="55"/>
      <c r="N1073" s="55"/>
      <c r="O1073" s="55"/>
      <c r="P1073" s="55"/>
      <c r="Q1073" s="55"/>
      <c r="R1073" s="55"/>
      <c r="S1073" s="5"/>
      <c r="T1073" s="25"/>
      <c r="U1073" s="5"/>
    </row>
    <row r="1074" spans="1:21" s="3" customFormat="1" hidden="1" outlineLevel="1">
      <c r="A1074" s="21"/>
      <c r="B1074" s="228" t="s">
        <v>385</v>
      </c>
      <c r="C1074" s="273" t="str">
        <f t="shared" si="184"/>
        <v>Wind</v>
      </c>
      <c r="D1074" s="228"/>
      <c r="E1074" s="355"/>
      <c r="F1074" s="228" t="s">
        <v>331</v>
      </c>
      <c r="G1074" s="5"/>
      <c r="H1074" s="54"/>
      <c r="I1074" s="54"/>
      <c r="J1074" s="54"/>
      <c r="K1074" s="54"/>
      <c r="L1074" s="54"/>
      <c r="M1074" s="54"/>
      <c r="N1074" s="54"/>
      <c r="O1074" s="54"/>
      <c r="P1074" s="54"/>
      <c r="Q1074" s="54"/>
      <c r="R1074" s="54"/>
      <c r="S1074" s="5"/>
      <c r="T1074" s="25"/>
      <c r="U1074" s="5"/>
    </row>
    <row r="1075" spans="1:21" s="3" customFormat="1" hidden="1" outlineLevel="1">
      <c r="A1075" s="21"/>
      <c r="B1075" s="228" t="s">
        <v>389</v>
      </c>
      <c r="C1075" s="273" t="str">
        <f t="shared" si="184"/>
        <v>Wind</v>
      </c>
      <c r="D1075" s="228"/>
      <c r="E1075" s="355"/>
      <c r="F1075" s="228" t="s">
        <v>331</v>
      </c>
      <c r="G1075" s="5"/>
      <c r="H1075" s="55"/>
      <c r="I1075" s="55"/>
      <c r="J1075" s="55"/>
      <c r="K1075" s="55"/>
      <c r="L1075" s="55"/>
      <c r="M1075" s="55"/>
      <c r="N1075" s="55"/>
      <c r="O1075" s="55"/>
      <c r="P1075" s="55"/>
      <c r="Q1075" s="55"/>
      <c r="R1075" s="55"/>
      <c r="S1075" s="5"/>
      <c r="T1075" s="25"/>
      <c r="U1075" s="5"/>
    </row>
    <row r="1076" spans="1:21" s="3" customFormat="1" hidden="1" outlineLevel="1">
      <c r="A1076" s="21"/>
      <c r="B1076" s="228" t="s">
        <v>390</v>
      </c>
      <c r="C1076" s="273" t="str">
        <f t="shared" si="184"/>
        <v>Wind</v>
      </c>
      <c r="D1076" s="228"/>
      <c r="E1076" s="355"/>
      <c r="F1076" s="228"/>
      <c r="G1076" s="5"/>
      <c r="H1076" s="261"/>
      <c r="I1076" s="261"/>
      <c r="J1076" s="261"/>
      <c r="K1076" s="261"/>
      <c r="L1076" s="261"/>
      <c r="M1076" s="261"/>
      <c r="N1076" s="261"/>
      <c r="O1076" s="261"/>
      <c r="P1076" s="261"/>
      <c r="Q1076" s="261"/>
      <c r="R1076" s="261"/>
      <c r="S1076" s="5"/>
      <c r="T1076" s="25"/>
      <c r="U1076" s="5"/>
    </row>
    <row r="1077" spans="1:21" s="3" customFormat="1" hidden="1" outlineLevel="1">
      <c r="A1077" s="21"/>
      <c r="B1077" s="228" t="s">
        <v>391</v>
      </c>
      <c r="C1077" s="273" t="str">
        <f t="shared" si="184"/>
        <v>Wind</v>
      </c>
      <c r="D1077" s="228"/>
      <c r="E1077" s="355"/>
      <c r="F1077" s="228"/>
      <c r="G1077" s="5"/>
      <c r="H1077" s="55"/>
      <c r="I1077" s="55"/>
      <c r="J1077" s="55"/>
      <c r="K1077" s="55"/>
      <c r="L1077" s="55"/>
      <c r="M1077" s="55"/>
      <c r="N1077" s="55"/>
      <c r="O1077" s="55"/>
      <c r="P1077" s="55"/>
      <c r="Q1077" s="55"/>
      <c r="R1077" s="55"/>
      <c r="S1077" s="5"/>
      <c r="T1077" s="25"/>
      <c r="U1077" s="5"/>
    </row>
    <row r="1078" spans="1:21" s="3" customFormat="1" hidden="1" outlineLevel="1">
      <c r="A1078" s="21"/>
      <c r="B1078" s="228" t="s">
        <v>305</v>
      </c>
      <c r="C1078" s="273" t="str">
        <f t="shared" si="184"/>
        <v>Wind</v>
      </c>
      <c r="D1078" s="228"/>
      <c r="E1078" s="355"/>
      <c r="F1078" s="228" t="s">
        <v>331</v>
      </c>
      <c r="G1078" s="5"/>
      <c r="H1078" s="54">
        <v>4000000</v>
      </c>
      <c r="I1078" s="270">
        <f t="shared" ref="I1078:R1078" si="188">H1078</f>
        <v>4000000</v>
      </c>
      <c r="J1078" s="270">
        <f t="shared" si="188"/>
        <v>4000000</v>
      </c>
      <c r="K1078" s="270">
        <f t="shared" si="188"/>
        <v>4000000</v>
      </c>
      <c r="L1078" s="270">
        <f t="shared" si="188"/>
        <v>4000000</v>
      </c>
      <c r="M1078" s="270">
        <f t="shared" si="188"/>
        <v>4000000</v>
      </c>
      <c r="N1078" s="270">
        <f t="shared" si="188"/>
        <v>4000000</v>
      </c>
      <c r="O1078" s="270">
        <f t="shared" si="188"/>
        <v>4000000</v>
      </c>
      <c r="P1078" s="270">
        <f t="shared" si="188"/>
        <v>4000000</v>
      </c>
      <c r="Q1078" s="270">
        <f t="shared" si="188"/>
        <v>4000000</v>
      </c>
      <c r="R1078" s="270">
        <f t="shared" si="188"/>
        <v>4000000</v>
      </c>
      <c r="S1078" s="5"/>
      <c r="T1078" s="25"/>
      <c r="U1078" s="5"/>
    </row>
    <row r="1079" spans="1:21" s="3" customFormat="1" hidden="1" outlineLevel="1">
      <c r="A1079" s="21"/>
      <c r="B1079" s="228" t="s">
        <v>352</v>
      </c>
      <c r="C1079" s="273" t="str">
        <f t="shared" si="184"/>
        <v>Wind</v>
      </c>
      <c r="D1079" s="228"/>
      <c r="E1079" s="355"/>
      <c r="F1079" s="228" t="s">
        <v>316</v>
      </c>
      <c r="G1079" s="5"/>
      <c r="H1079" s="54"/>
      <c r="I1079" s="54"/>
      <c r="J1079" s="54"/>
      <c r="K1079" s="54"/>
      <c r="L1079" s="54"/>
      <c r="M1079" s="54"/>
      <c r="N1079" s="54"/>
      <c r="O1079" s="54"/>
      <c r="P1079" s="54"/>
      <c r="Q1079" s="54"/>
      <c r="R1079" s="54"/>
      <c r="S1079" s="5"/>
      <c r="T1079" s="25"/>
      <c r="U1079" s="5"/>
    </row>
    <row r="1080" spans="1:21" s="3" customFormat="1" hidden="1" outlineLevel="1">
      <c r="A1080" s="21"/>
      <c r="B1080" s="67" t="s">
        <v>301</v>
      </c>
      <c r="C1080" s="273" t="str">
        <f t="shared" si="184"/>
        <v>Wind</v>
      </c>
      <c r="D1080" s="4" t="s">
        <v>462</v>
      </c>
      <c r="E1080" s="347"/>
      <c r="F1080" s="3" t="s">
        <v>482</v>
      </c>
      <c r="G1080" s="5"/>
      <c r="H1080" s="350">
        <f>1/0.35</f>
        <v>2.8571428571428572</v>
      </c>
      <c r="I1080" s="363">
        <f t="shared" ref="I1080:R1081" si="189">H1080</f>
        <v>2.8571428571428572</v>
      </c>
      <c r="J1080" s="363">
        <f t="shared" si="189"/>
        <v>2.8571428571428572</v>
      </c>
      <c r="K1080" s="363">
        <f t="shared" si="189"/>
        <v>2.8571428571428572</v>
      </c>
      <c r="L1080" s="363">
        <f t="shared" si="189"/>
        <v>2.8571428571428572</v>
      </c>
      <c r="M1080" s="363">
        <f t="shared" si="189"/>
        <v>2.8571428571428572</v>
      </c>
      <c r="N1080" s="363">
        <f t="shared" si="189"/>
        <v>2.8571428571428572</v>
      </c>
      <c r="O1080" s="363">
        <f t="shared" si="189"/>
        <v>2.8571428571428572</v>
      </c>
      <c r="P1080" s="363">
        <f t="shared" si="189"/>
        <v>2.8571428571428572</v>
      </c>
      <c r="Q1080" s="363">
        <f t="shared" si="189"/>
        <v>2.8571428571428572</v>
      </c>
      <c r="R1080" s="363">
        <f t="shared" si="189"/>
        <v>2.8571428571428572</v>
      </c>
      <c r="S1080" s="5"/>
      <c r="T1080" s="13"/>
      <c r="U1080" s="5"/>
    </row>
    <row r="1081" spans="1:21" s="3" customFormat="1" hidden="1" outlineLevel="1">
      <c r="A1081" s="21"/>
      <c r="B1081" s="67" t="s">
        <v>301</v>
      </c>
      <c r="C1081" s="273" t="str">
        <f t="shared" si="184"/>
        <v>Wind</v>
      </c>
      <c r="D1081" s="4" t="s">
        <v>464</v>
      </c>
      <c r="E1081" s="347"/>
      <c r="F1081" s="3" t="s">
        <v>483</v>
      </c>
      <c r="G1081" s="5"/>
      <c r="H1081" s="350">
        <v>1</v>
      </c>
      <c r="I1081" s="363">
        <f t="shared" si="189"/>
        <v>1</v>
      </c>
      <c r="J1081" s="363">
        <f t="shared" si="189"/>
        <v>1</v>
      </c>
      <c r="K1081" s="363">
        <f t="shared" si="189"/>
        <v>1</v>
      </c>
      <c r="L1081" s="363">
        <f t="shared" si="189"/>
        <v>1</v>
      </c>
      <c r="M1081" s="363">
        <f t="shared" si="189"/>
        <v>1</v>
      </c>
      <c r="N1081" s="363">
        <f t="shared" si="189"/>
        <v>1</v>
      </c>
      <c r="O1081" s="363">
        <f t="shared" si="189"/>
        <v>1</v>
      </c>
      <c r="P1081" s="363">
        <f t="shared" si="189"/>
        <v>1</v>
      </c>
      <c r="Q1081" s="363">
        <f t="shared" si="189"/>
        <v>1</v>
      </c>
      <c r="R1081" s="363">
        <f t="shared" si="189"/>
        <v>1</v>
      </c>
      <c r="S1081" s="5"/>
      <c r="T1081" s="13"/>
      <c r="U1081" s="5"/>
    </row>
    <row r="1082" spans="1:21" s="3" customFormat="1" hidden="1" outlineLevel="1">
      <c r="A1082" s="21" t="s">
        <v>436</v>
      </c>
      <c r="B1082" s="2"/>
      <c r="C1082" s="13"/>
      <c r="D1082" s="2"/>
      <c r="E1082" s="2"/>
      <c r="F1082" s="16"/>
      <c r="G1082" s="25"/>
      <c r="H1082" s="4"/>
      <c r="I1082" s="4"/>
      <c r="J1082" s="4"/>
      <c r="K1082" s="4"/>
      <c r="L1082" s="4"/>
      <c r="M1082" s="4"/>
      <c r="N1082" s="4"/>
      <c r="O1082" s="4"/>
      <c r="P1082" s="4"/>
      <c r="Q1082" s="4"/>
      <c r="R1082" s="4"/>
      <c r="S1082" s="5"/>
      <c r="T1082" s="13"/>
      <c r="U1082" s="5"/>
    </row>
    <row r="1083" spans="1:21" s="386" customFormat="1">
      <c r="A1083" s="386" t="s">
        <v>333</v>
      </c>
      <c r="C1083" s="387"/>
      <c r="F1083" s="388"/>
      <c r="G1083" s="387"/>
      <c r="H1083" s="389"/>
      <c r="I1083" s="389"/>
      <c r="J1083" s="389"/>
      <c r="K1083" s="389"/>
      <c r="L1083" s="389"/>
      <c r="M1083" s="389"/>
      <c r="N1083" s="389"/>
      <c r="O1083" s="389"/>
      <c r="P1083" s="389"/>
      <c r="Q1083" s="389"/>
      <c r="R1083" s="389"/>
      <c r="T1083" s="387"/>
    </row>
    <row r="1084" spans="1:21" s="3" customFormat="1" outlineLevel="1">
      <c r="A1084" s="21"/>
      <c r="B1084" s="3" t="s">
        <v>300</v>
      </c>
      <c r="C1084" s="273" t="str">
        <f>A1083</f>
        <v>Transmission Losses</v>
      </c>
      <c r="D1084" s="4" t="s">
        <v>464</v>
      </c>
      <c r="E1084" s="347"/>
      <c r="F1084" s="3" t="s">
        <v>315</v>
      </c>
      <c r="G1084" s="5"/>
      <c r="H1084" s="55"/>
      <c r="I1084" s="55"/>
      <c r="J1084" s="55"/>
      <c r="K1084" s="55"/>
      <c r="L1084" s="55"/>
      <c r="M1084" s="55"/>
      <c r="N1084" s="55"/>
      <c r="O1084" s="55"/>
      <c r="P1084" s="55"/>
      <c r="Q1084" s="55"/>
      <c r="R1084" s="55"/>
      <c r="S1084" s="5"/>
      <c r="T1084" s="13"/>
      <c r="U1084" s="5"/>
    </row>
    <row r="1085" spans="1:21" s="3" customFormat="1" outlineLevel="1">
      <c r="A1085" s="21"/>
      <c r="B1085" s="67" t="s">
        <v>466</v>
      </c>
      <c r="C1085" s="273" t="s">
        <v>111</v>
      </c>
      <c r="D1085" s="273"/>
      <c r="E1085" s="347"/>
      <c r="F1085" s="67"/>
      <c r="G1085" s="5"/>
      <c r="H1085" s="55"/>
      <c r="I1085" s="55"/>
      <c r="J1085" s="55"/>
      <c r="K1085" s="55"/>
      <c r="L1085" s="55"/>
      <c r="M1085" s="55"/>
      <c r="N1085" s="55"/>
      <c r="O1085" s="55"/>
      <c r="P1085" s="55"/>
      <c r="Q1085" s="55"/>
      <c r="R1085" s="55"/>
      <c r="S1085" s="5"/>
      <c r="T1085" s="13"/>
      <c r="U1085" s="5"/>
    </row>
    <row r="1086" spans="1:21" s="3" customFormat="1" outlineLevel="1">
      <c r="A1086" s="21"/>
      <c r="B1086" s="3" t="s">
        <v>46</v>
      </c>
      <c r="C1086" s="13" t="s">
        <v>20</v>
      </c>
      <c r="D1086" s="4"/>
      <c r="E1086" s="347"/>
      <c r="G1086" s="5"/>
      <c r="H1086" s="132"/>
      <c r="I1086" s="132"/>
      <c r="J1086" s="132"/>
      <c r="K1086" s="132"/>
      <c r="L1086" s="132"/>
      <c r="M1086" s="132"/>
      <c r="N1086" s="132"/>
      <c r="O1086" s="132"/>
      <c r="P1086" s="132"/>
      <c r="Q1086" s="132"/>
      <c r="R1086" s="132"/>
      <c r="S1086" s="5"/>
      <c r="T1086" s="13"/>
      <c r="U1086" s="5"/>
    </row>
    <row r="1087" spans="1:21" s="3" customFormat="1" outlineLevel="1">
      <c r="A1087" s="21"/>
      <c r="B1087" s="3" t="s">
        <v>65</v>
      </c>
      <c r="C1087" s="13" t="s">
        <v>34</v>
      </c>
      <c r="D1087" s="4"/>
      <c r="E1087" s="347"/>
      <c r="G1087" s="5"/>
      <c r="H1087" s="222">
        <v>10</v>
      </c>
      <c r="I1087" s="132"/>
      <c r="J1087" s="132"/>
      <c r="K1087" s="132"/>
      <c r="L1087" s="132"/>
      <c r="M1087" s="132"/>
      <c r="N1087" s="132"/>
      <c r="O1087" s="132"/>
      <c r="P1087" s="132"/>
      <c r="Q1087" s="132"/>
      <c r="R1087" s="132"/>
      <c r="S1087" s="5"/>
      <c r="T1087" s="13"/>
      <c r="U1087" s="5"/>
    </row>
    <row r="1088" spans="1:21" s="3" customFormat="1" outlineLevel="1">
      <c r="A1088" s="21"/>
      <c r="B1088" s="67" t="s">
        <v>50</v>
      </c>
      <c r="C1088" s="13" t="s">
        <v>333</v>
      </c>
      <c r="D1088" s="4"/>
      <c r="E1088" s="347"/>
      <c r="G1088" s="5"/>
      <c r="H1088" s="132"/>
      <c r="I1088" s="4"/>
      <c r="J1088" s="4"/>
      <c r="K1088" s="4"/>
      <c r="L1088" s="4"/>
      <c r="M1088" s="4"/>
      <c r="N1088" s="4"/>
      <c r="O1088" s="4"/>
      <c r="P1088" s="4"/>
      <c r="Q1088" s="4"/>
      <c r="R1088" s="4"/>
      <c r="S1088" s="5"/>
      <c r="T1088" s="13"/>
      <c r="U1088" s="5"/>
    </row>
    <row r="1089" spans="1:21" s="3" customFormat="1" outlineLevel="1">
      <c r="A1089" s="21"/>
      <c r="B1089" s="228" t="s">
        <v>37</v>
      </c>
      <c r="C1089" s="273" t="str">
        <f t="shared" ref="C1089:C1116" si="190">C1088</f>
        <v>Transmission Losses</v>
      </c>
      <c r="D1089" s="228"/>
      <c r="E1089" s="355"/>
      <c r="F1089" s="228" t="s">
        <v>39</v>
      </c>
      <c r="G1089" s="5"/>
      <c r="H1089" s="265">
        <v>2000</v>
      </c>
      <c r="I1089" s="267">
        <f t="shared" ref="I1089:R1091" si="191">H1089</f>
        <v>2000</v>
      </c>
      <c r="J1089" s="267">
        <f t="shared" si="191"/>
        <v>2000</v>
      </c>
      <c r="K1089" s="267">
        <f t="shared" si="191"/>
        <v>2000</v>
      </c>
      <c r="L1089" s="267">
        <f t="shared" si="191"/>
        <v>2000</v>
      </c>
      <c r="M1089" s="267">
        <f t="shared" si="191"/>
        <v>2000</v>
      </c>
      <c r="N1089" s="267">
        <f t="shared" si="191"/>
        <v>2000</v>
      </c>
      <c r="O1089" s="267">
        <f t="shared" si="191"/>
        <v>2000</v>
      </c>
      <c r="P1089" s="267">
        <f t="shared" si="191"/>
        <v>2000</v>
      </c>
      <c r="Q1089" s="267">
        <f t="shared" si="191"/>
        <v>2000</v>
      </c>
      <c r="R1089" s="267">
        <f t="shared" si="191"/>
        <v>2000</v>
      </c>
      <c r="S1089" s="5"/>
      <c r="T1089" s="25"/>
      <c r="U1089" s="5"/>
    </row>
    <row r="1090" spans="1:21" s="3" customFormat="1" outlineLevel="1">
      <c r="A1090" s="21"/>
      <c r="B1090" s="228" t="s">
        <v>36</v>
      </c>
      <c r="C1090" s="273" t="str">
        <f t="shared" si="190"/>
        <v>Transmission Losses</v>
      </c>
      <c r="D1090" s="228"/>
      <c r="E1090" s="355"/>
      <c r="F1090" s="228" t="s">
        <v>39</v>
      </c>
      <c r="G1090" s="5"/>
      <c r="H1090" s="265">
        <v>2100</v>
      </c>
      <c r="I1090" s="267">
        <f t="shared" si="191"/>
        <v>2100</v>
      </c>
      <c r="J1090" s="267">
        <f t="shared" si="191"/>
        <v>2100</v>
      </c>
      <c r="K1090" s="267">
        <f t="shared" si="191"/>
        <v>2100</v>
      </c>
      <c r="L1090" s="267">
        <f t="shared" si="191"/>
        <v>2100</v>
      </c>
      <c r="M1090" s="267">
        <f t="shared" si="191"/>
        <v>2100</v>
      </c>
      <c r="N1090" s="267">
        <f t="shared" si="191"/>
        <v>2100</v>
      </c>
      <c r="O1090" s="267">
        <f t="shared" si="191"/>
        <v>2100</v>
      </c>
      <c r="P1090" s="267">
        <f t="shared" si="191"/>
        <v>2100</v>
      </c>
      <c r="Q1090" s="267">
        <f t="shared" si="191"/>
        <v>2100</v>
      </c>
      <c r="R1090" s="267">
        <f t="shared" si="191"/>
        <v>2100</v>
      </c>
      <c r="S1090" s="5"/>
      <c r="T1090" s="25"/>
      <c r="U1090" s="5"/>
    </row>
    <row r="1091" spans="1:21" s="3" customFormat="1" outlineLevel="1">
      <c r="A1091" s="21"/>
      <c r="B1091" s="228" t="s">
        <v>38</v>
      </c>
      <c r="C1091" s="273" t="str">
        <f t="shared" si="190"/>
        <v>Transmission Losses</v>
      </c>
      <c r="D1091" s="228"/>
      <c r="E1091" s="355"/>
      <c r="F1091" s="228" t="s">
        <v>10</v>
      </c>
      <c r="G1091" s="5"/>
      <c r="H1091" s="55">
        <v>50</v>
      </c>
      <c r="I1091" s="253">
        <f t="shared" si="191"/>
        <v>50</v>
      </c>
      <c r="J1091" s="253">
        <f t="shared" si="191"/>
        <v>50</v>
      </c>
      <c r="K1091" s="253">
        <f t="shared" si="191"/>
        <v>50</v>
      </c>
      <c r="L1091" s="253">
        <f t="shared" si="191"/>
        <v>50</v>
      </c>
      <c r="M1091" s="253">
        <f t="shared" si="191"/>
        <v>50</v>
      </c>
      <c r="N1091" s="253">
        <f t="shared" si="191"/>
        <v>50</v>
      </c>
      <c r="O1091" s="253">
        <f t="shared" si="191"/>
        <v>50</v>
      </c>
      <c r="P1091" s="253">
        <f t="shared" si="191"/>
        <v>50</v>
      </c>
      <c r="Q1091" s="253">
        <f t="shared" si="191"/>
        <v>50</v>
      </c>
      <c r="R1091" s="253">
        <f t="shared" si="191"/>
        <v>50</v>
      </c>
      <c r="S1091" s="5"/>
      <c r="T1091" s="25"/>
      <c r="U1091" s="5"/>
    </row>
    <row r="1092" spans="1:21" s="3" customFormat="1" outlineLevel="1">
      <c r="A1092" s="21"/>
      <c r="B1092" s="228" t="s">
        <v>353</v>
      </c>
      <c r="C1092" s="273" t="str">
        <f t="shared" si="190"/>
        <v>Transmission Losses</v>
      </c>
      <c r="D1092" s="228"/>
      <c r="E1092" s="355"/>
      <c r="F1092" s="228" t="s">
        <v>10</v>
      </c>
      <c r="G1092" s="5"/>
      <c r="H1092" s="55"/>
      <c r="I1092" s="55"/>
      <c r="J1092" s="55"/>
      <c r="K1092" s="55"/>
      <c r="L1092" s="55"/>
      <c r="M1092" s="55"/>
      <c r="N1092" s="55"/>
      <c r="O1092" s="55"/>
      <c r="P1092" s="55"/>
      <c r="Q1092" s="55"/>
      <c r="R1092" s="55"/>
      <c r="S1092" s="5"/>
      <c r="T1092" s="25"/>
      <c r="U1092" s="5"/>
    </row>
    <row r="1093" spans="1:21" s="3" customFormat="1" outlineLevel="1">
      <c r="A1093" s="21"/>
      <c r="B1093" s="228" t="s">
        <v>304</v>
      </c>
      <c r="C1093" s="273" t="str">
        <f t="shared" si="190"/>
        <v>Transmission Losses</v>
      </c>
      <c r="D1093" s="228"/>
      <c r="E1093" s="355"/>
      <c r="F1093" s="228" t="s">
        <v>96</v>
      </c>
      <c r="G1093" s="5"/>
      <c r="H1093" s="261">
        <v>0.125</v>
      </c>
      <c r="I1093" s="264">
        <f t="shared" ref="I1093:R1093" si="192">H1093</f>
        <v>0.125</v>
      </c>
      <c r="J1093" s="264">
        <f t="shared" si="192"/>
        <v>0.125</v>
      </c>
      <c r="K1093" s="264">
        <f t="shared" si="192"/>
        <v>0.125</v>
      </c>
      <c r="L1093" s="264">
        <f t="shared" si="192"/>
        <v>0.125</v>
      </c>
      <c r="M1093" s="264">
        <f t="shared" si="192"/>
        <v>0.125</v>
      </c>
      <c r="N1093" s="264">
        <f t="shared" si="192"/>
        <v>0.125</v>
      </c>
      <c r="O1093" s="264">
        <f t="shared" si="192"/>
        <v>0.125</v>
      </c>
      <c r="P1093" s="264">
        <f t="shared" si="192"/>
        <v>0.125</v>
      </c>
      <c r="Q1093" s="264">
        <f t="shared" si="192"/>
        <v>0.125</v>
      </c>
      <c r="R1093" s="264">
        <f t="shared" si="192"/>
        <v>0.125</v>
      </c>
      <c r="S1093" s="5"/>
      <c r="T1093" s="25"/>
      <c r="U1093" s="5"/>
    </row>
    <row r="1094" spans="1:21" s="3" customFormat="1" outlineLevel="1">
      <c r="A1094" s="21"/>
      <c r="B1094" s="228" t="s">
        <v>350</v>
      </c>
      <c r="C1094" s="273" t="str">
        <f t="shared" si="190"/>
        <v>Transmission Losses</v>
      </c>
      <c r="D1094" s="228"/>
      <c r="E1094" s="355"/>
      <c r="F1094" s="228" t="s">
        <v>96</v>
      </c>
      <c r="G1094" s="5"/>
      <c r="H1094" s="261"/>
      <c r="I1094" s="261"/>
      <c r="J1094" s="261"/>
      <c r="K1094" s="261"/>
      <c r="L1094" s="261"/>
      <c r="M1094" s="261"/>
      <c r="N1094" s="261"/>
      <c r="O1094" s="261"/>
      <c r="P1094" s="261"/>
      <c r="Q1094" s="261"/>
      <c r="R1094" s="261"/>
      <c r="S1094" s="5"/>
      <c r="T1094" s="25"/>
      <c r="U1094" s="5"/>
    </row>
    <row r="1095" spans="1:21" s="3" customFormat="1" outlineLevel="1">
      <c r="A1095" s="21"/>
      <c r="B1095" s="228" t="s">
        <v>349</v>
      </c>
      <c r="C1095" s="273" t="str">
        <f t="shared" si="190"/>
        <v>Transmission Losses</v>
      </c>
      <c r="D1095" s="228"/>
      <c r="E1095" s="355"/>
      <c r="F1095" s="228" t="s">
        <v>96</v>
      </c>
      <c r="G1095" s="5"/>
      <c r="H1095" s="261"/>
      <c r="I1095" s="261"/>
      <c r="J1095" s="261"/>
      <c r="K1095" s="261"/>
      <c r="L1095" s="261"/>
      <c r="M1095" s="261"/>
      <c r="N1095" s="261"/>
      <c r="O1095" s="261"/>
      <c r="P1095" s="261"/>
      <c r="Q1095" s="261"/>
      <c r="R1095" s="261"/>
      <c r="S1095" s="5"/>
      <c r="T1095" s="25"/>
      <c r="U1095" s="5"/>
    </row>
    <row r="1096" spans="1:21" s="3" customFormat="1" outlineLevel="1">
      <c r="A1096" s="21"/>
      <c r="B1096" s="228" t="s">
        <v>74</v>
      </c>
      <c r="C1096" s="273" t="str">
        <f t="shared" si="190"/>
        <v>Transmission Losses</v>
      </c>
      <c r="D1096" s="228"/>
      <c r="E1096" s="355"/>
      <c r="F1096" s="228" t="s">
        <v>96</v>
      </c>
      <c r="G1096" s="5"/>
      <c r="H1096" s="261">
        <v>1</v>
      </c>
      <c r="I1096" s="261"/>
      <c r="J1096" s="261"/>
      <c r="K1096" s="261"/>
      <c r="L1096" s="261"/>
      <c r="M1096" s="261"/>
      <c r="N1096" s="261"/>
      <c r="O1096" s="261"/>
      <c r="P1096" s="261"/>
      <c r="Q1096" s="261"/>
      <c r="R1096" s="261"/>
      <c r="S1096" s="5"/>
      <c r="T1096" s="25"/>
      <c r="U1096" s="5"/>
    </row>
    <row r="1097" spans="1:21" s="3" customFormat="1" outlineLevel="1">
      <c r="A1097" s="21"/>
      <c r="B1097" s="358" t="s">
        <v>146</v>
      </c>
      <c r="C1097" s="273" t="str">
        <f t="shared" si="190"/>
        <v>Transmission Losses</v>
      </c>
      <c r="D1097" s="359"/>
      <c r="E1097" s="360"/>
      <c r="F1097" s="358" t="s">
        <v>96</v>
      </c>
      <c r="G1097" s="5"/>
      <c r="H1097" s="261"/>
      <c r="I1097" s="261"/>
      <c r="J1097" s="261"/>
      <c r="K1097" s="261"/>
      <c r="L1097" s="261"/>
      <c r="M1097" s="261"/>
      <c r="N1097" s="261"/>
      <c r="O1097" s="261"/>
      <c r="P1097" s="261"/>
      <c r="Q1097" s="261"/>
      <c r="R1097" s="261"/>
      <c r="S1097" s="5"/>
      <c r="T1097" s="25"/>
      <c r="U1097" s="5"/>
    </row>
    <row r="1098" spans="1:21" s="3" customFormat="1" outlineLevel="1">
      <c r="A1098" s="21"/>
      <c r="B1098" s="358" t="s">
        <v>147</v>
      </c>
      <c r="C1098" s="273" t="str">
        <f t="shared" si="190"/>
        <v>Transmission Losses</v>
      </c>
      <c r="D1098" s="359"/>
      <c r="E1098" s="360"/>
      <c r="F1098" s="358" t="s">
        <v>96</v>
      </c>
      <c r="G1098" s="5"/>
      <c r="H1098" s="261"/>
      <c r="I1098" s="261"/>
      <c r="J1098" s="261"/>
      <c r="K1098" s="261"/>
      <c r="L1098" s="261"/>
      <c r="M1098" s="261"/>
      <c r="N1098" s="261"/>
      <c r="O1098" s="261"/>
      <c r="P1098" s="261"/>
      <c r="Q1098" s="261"/>
      <c r="R1098" s="261"/>
      <c r="S1098" s="5"/>
      <c r="T1098" s="25"/>
      <c r="U1098" s="5"/>
    </row>
    <row r="1099" spans="1:21" s="3" customFormat="1" outlineLevel="1">
      <c r="A1099" s="21"/>
      <c r="B1099" s="358" t="s">
        <v>362</v>
      </c>
      <c r="C1099" s="273" t="str">
        <f t="shared" si="190"/>
        <v>Transmission Losses</v>
      </c>
      <c r="D1099" s="359"/>
      <c r="E1099" s="360"/>
      <c r="F1099" s="358" t="s">
        <v>96</v>
      </c>
      <c r="G1099" s="5"/>
      <c r="H1099" s="261"/>
      <c r="I1099" s="261"/>
      <c r="J1099" s="261"/>
      <c r="K1099" s="261"/>
      <c r="L1099" s="261"/>
      <c r="M1099" s="261"/>
      <c r="N1099" s="261"/>
      <c r="O1099" s="261"/>
      <c r="P1099" s="261"/>
      <c r="Q1099" s="261"/>
      <c r="R1099" s="261"/>
      <c r="S1099" s="5"/>
      <c r="T1099" s="25"/>
      <c r="U1099" s="5"/>
    </row>
    <row r="1100" spans="1:21" s="3" customFormat="1" outlineLevel="1">
      <c r="A1100" s="21"/>
      <c r="B1100" s="358" t="s">
        <v>363</v>
      </c>
      <c r="C1100" s="273" t="str">
        <f t="shared" si="190"/>
        <v>Transmission Losses</v>
      </c>
      <c r="D1100" s="359"/>
      <c r="E1100" s="360"/>
      <c r="F1100" s="358" t="s">
        <v>96</v>
      </c>
      <c r="G1100" s="5"/>
      <c r="H1100" s="261"/>
      <c r="I1100" s="261"/>
      <c r="J1100" s="261"/>
      <c r="K1100" s="261"/>
      <c r="L1100" s="261"/>
      <c r="M1100" s="261"/>
      <c r="N1100" s="261"/>
      <c r="O1100" s="261"/>
      <c r="P1100" s="261"/>
      <c r="Q1100" s="261"/>
      <c r="R1100" s="261"/>
      <c r="S1100" s="5"/>
      <c r="T1100" s="25"/>
      <c r="U1100" s="5"/>
    </row>
    <row r="1101" spans="1:21" s="3" customFormat="1" outlineLevel="1">
      <c r="A1101" s="21"/>
      <c r="B1101" s="228" t="s">
        <v>332</v>
      </c>
      <c r="C1101" s="273" t="str">
        <f t="shared" si="190"/>
        <v>Transmission Losses</v>
      </c>
      <c r="D1101" s="228"/>
      <c r="E1101" s="355"/>
      <c r="F1101" s="228" t="s">
        <v>315</v>
      </c>
      <c r="G1101" s="5"/>
      <c r="H1101" s="29">
        <v>1</v>
      </c>
      <c r="I1101" s="362">
        <f t="shared" ref="I1101:R1102" si="193">H1101</f>
        <v>1</v>
      </c>
      <c r="J1101" s="362">
        <f t="shared" si="193"/>
        <v>1</v>
      </c>
      <c r="K1101" s="362">
        <f t="shared" si="193"/>
        <v>1</v>
      </c>
      <c r="L1101" s="362">
        <f t="shared" si="193"/>
        <v>1</v>
      </c>
      <c r="M1101" s="362">
        <f t="shared" si="193"/>
        <v>1</v>
      </c>
      <c r="N1101" s="362">
        <f t="shared" si="193"/>
        <v>1</v>
      </c>
      <c r="O1101" s="362">
        <f t="shared" si="193"/>
        <v>1</v>
      </c>
      <c r="P1101" s="362">
        <f t="shared" si="193"/>
        <v>1</v>
      </c>
      <c r="Q1101" s="362">
        <f t="shared" si="193"/>
        <v>1</v>
      </c>
      <c r="R1101" s="362">
        <f t="shared" si="193"/>
        <v>1</v>
      </c>
      <c r="S1101" s="5"/>
      <c r="T1101" s="25"/>
      <c r="U1101" s="5"/>
    </row>
    <row r="1102" spans="1:21" s="3" customFormat="1" outlineLevel="1">
      <c r="A1102" s="21"/>
      <c r="B1102" s="228" t="s">
        <v>470</v>
      </c>
      <c r="C1102" s="273" t="str">
        <f t="shared" si="190"/>
        <v>Transmission Losses</v>
      </c>
      <c r="D1102" s="228"/>
      <c r="E1102" s="355"/>
      <c r="F1102" s="228" t="s">
        <v>316</v>
      </c>
      <c r="G1102" s="5"/>
      <c r="H1102" s="54">
        <v>10</v>
      </c>
      <c r="I1102" s="270">
        <f t="shared" si="193"/>
        <v>10</v>
      </c>
      <c r="J1102" s="270">
        <f t="shared" si="193"/>
        <v>10</v>
      </c>
      <c r="K1102" s="270">
        <f t="shared" si="193"/>
        <v>10</v>
      </c>
      <c r="L1102" s="270">
        <f t="shared" si="193"/>
        <v>10</v>
      </c>
      <c r="M1102" s="270">
        <f t="shared" si="193"/>
        <v>10</v>
      </c>
      <c r="N1102" s="270">
        <f t="shared" si="193"/>
        <v>10</v>
      </c>
      <c r="O1102" s="270">
        <f t="shared" si="193"/>
        <v>10</v>
      </c>
      <c r="P1102" s="270">
        <f t="shared" si="193"/>
        <v>10</v>
      </c>
      <c r="Q1102" s="270">
        <f t="shared" si="193"/>
        <v>10</v>
      </c>
      <c r="R1102" s="270">
        <f t="shared" si="193"/>
        <v>10</v>
      </c>
      <c r="S1102" s="5"/>
      <c r="T1102" s="25"/>
      <c r="U1102" s="5"/>
    </row>
    <row r="1103" spans="1:21" s="3" customFormat="1" outlineLevel="1">
      <c r="A1103" s="21"/>
      <c r="B1103" s="228" t="s">
        <v>375</v>
      </c>
      <c r="C1103" s="273" t="str">
        <f t="shared" si="190"/>
        <v>Transmission Losses</v>
      </c>
      <c r="D1103" s="228"/>
      <c r="E1103" s="355"/>
      <c r="F1103" s="228" t="s">
        <v>96</v>
      </c>
      <c r="G1103" s="5"/>
      <c r="H1103" s="261"/>
      <c r="I1103" s="261"/>
      <c r="J1103" s="261"/>
      <c r="K1103" s="261"/>
      <c r="L1103" s="261"/>
      <c r="M1103" s="261"/>
      <c r="N1103" s="261"/>
      <c r="O1103" s="261"/>
      <c r="P1103" s="261"/>
      <c r="Q1103" s="261"/>
      <c r="R1103" s="261"/>
      <c r="S1103" s="5"/>
      <c r="T1103" s="25"/>
      <c r="U1103" s="5"/>
    </row>
    <row r="1104" spans="1:21" s="3" customFormat="1" outlineLevel="1">
      <c r="A1104" s="21"/>
      <c r="B1104" s="228" t="s">
        <v>432</v>
      </c>
      <c r="C1104" s="273" t="str">
        <f t="shared" si="190"/>
        <v>Transmission Losses</v>
      </c>
      <c r="D1104" s="228"/>
      <c r="E1104" s="355"/>
      <c r="F1104" s="228" t="s">
        <v>315</v>
      </c>
      <c r="G1104" s="5"/>
      <c r="H1104" s="55"/>
      <c r="I1104" s="55"/>
      <c r="J1104" s="55"/>
      <c r="K1104" s="55"/>
      <c r="L1104" s="55"/>
      <c r="M1104" s="55"/>
      <c r="N1104" s="55"/>
      <c r="O1104" s="55"/>
      <c r="P1104" s="55"/>
      <c r="Q1104" s="55"/>
      <c r="R1104" s="55"/>
      <c r="S1104" s="5"/>
      <c r="T1104" s="25"/>
      <c r="U1104" s="5"/>
    </row>
    <row r="1105" spans="1:21" s="3" customFormat="1" outlineLevel="1">
      <c r="A1105" s="21"/>
      <c r="B1105" s="228" t="s">
        <v>379</v>
      </c>
      <c r="C1105" s="273" t="str">
        <f t="shared" si="190"/>
        <v>Transmission Losses</v>
      </c>
      <c r="D1105" s="228"/>
      <c r="E1105" s="355"/>
      <c r="F1105" s="228"/>
      <c r="G1105" s="5"/>
      <c r="H1105" s="54"/>
      <c r="I1105" s="54"/>
      <c r="J1105" s="54"/>
      <c r="K1105" s="54"/>
      <c r="L1105" s="54"/>
      <c r="M1105" s="54"/>
      <c r="N1105" s="54"/>
      <c r="O1105" s="54"/>
      <c r="P1105" s="54"/>
      <c r="Q1105" s="54"/>
      <c r="R1105" s="54"/>
      <c r="S1105" s="5"/>
      <c r="T1105" s="25"/>
      <c r="U1105" s="5"/>
    </row>
    <row r="1106" spans="1:21" s="3" customFormat="1" outlineLevel="1">
      <c r="A1106" s="21"/>
      <c r="B1106" s="228" t="s">
        <v>361</v>
      </c>
      <c r="C1106" s="273" t="str">
        <f t="shared" si="190"/>
        <v>Transmission Losses</v>
      </c>
      <c r="D1106" s="228"/>
      <c r="E1106" s="355"/>
      <c r="F1106" s="228" t="s">
        <v>96</v>
      </c>
      <c r="G1106" s="5"/>
      <c r="H1106" s="261"/>
      <c r="I1106" s="261"/>
      <c r="J1106" s="261"/>
      <c r="K1106" s="261"/>
      <c r="L1106" s="261"/>
      <c r="M1106" s="261"/>
      <c r="N1106" s="261"/>
      <c r="O1106" s="261"/>
      <c r="P1106" s="261"/>
      <c r="Q1106" s="261"/>
      <c r="R1106" s="261"/>
      <c r="S1106" s="5"/>
      <c r="T1106" s="25"/>
      <c r="U1106" s="5"/>
    </row>
    <row r="1107" spans="1:21" s="3" customFormat="1" outlineLevel="1">
      <c r="A1107" s="21"/>
      <c r="B1107" s="228" t="s">
        <v>384</v>
      </c>
      <c r="C1107" s="273" t="str">
        <f t="shared" si="190"/>
        <v>Transmission Losses</v>
      </c>
      <c r="D1107" s="228"/>
      <c r="E1107" s="355"/>
      <c r="F1107" s="228" t="s">
        <v>316</v>
      </c>
      <c r="G1107" s="5"/>
      <c r="H1107" s="54"/>
      <c r="I1107" s="54"/>
      <c r="J1107" s="54"/>
      <c r="K1107" s="54"/>
      <c r="L1107" s="54"/>
      <c r="M1107" s="54"/>
      <c r="N1107" s="54"/>
      <c r="O1107" s="54"/>
      <c r="P1107" s="54"/>
      <c r="Q1107" s="54"/>
      <c r="R1107" s="54"/>
      <c r="S1107" s="5"/>
      <c r="T1107" s="25"/>
      <c r="U1107" s="5"/>
    </row>
    <row r="1108" spans="1:21" s="3" customFormat="1" outlineLevel="1">
      <c r="A1108" s="21"/>
      <c r="B1108" s="228" t="s">
        <v>386</v>
      </c>
      <c r="C1108" s="273" t="str">
        <f t="shared" si="190"/>
        <v>Transmission Losses</v>
      </c>
      <c r="D1108" s="228"/>
      <c r="E1108" s="355"/>
      <c r="F1108" s="228" t="s">
        <v>316</v>
      </c>
      <c r="G1108" s="5"/>
      <c r="H1108" s="55"/>
      <c r="I1108" s="55"/>
      <c r="J1108" s="55"/>
      <c r="K1108" s="55"/>
      <c r="L1108" s="55"/>
      <c r="M1108" s="55"/>
      <c r="N1108" s="55"/>
      <c r="O1108" s="55"/>
      <c r="P1108" s="55"/>
      <c r="Q1108" s="55"/>
      <c r="R1108" s="55"/>
      <c r="S1108" s="5"/>
      <c r="T1108" s="25"/>
      <c r="U1108" s="5"/>
    </row>
    <row r="1109" spans="1:21" s="3" customFormat="1" outlineLevel="1">
      <c r="A1109" s="21"/>
      <c r="B1109" s="228" t="s">
        <v>387</v>
      </c>
      <c r="C1109" s="273" t="str">
        <f t="shared" si="190"/>
        <v>Transmission Losses</v>
      </c>
      <c r="D1109" s="228"/>
      <c r="E1109" s="355"/>
      <c r="F1109" s="228"/>
      <c r="G1109" s="5"/>
      <c r="H1109" s="261"/>
      <c r="I1109" s="261"/>
      <c r="J1109" s="261"/>
      <c r="K1109" s="261"/>
      <c r="L1109" s="261"/>
      <c r="M1109" s="261"/>
      <c r="N1109" s="261"/>
      <c r="O1109" s="261"/>
      <c r="P1109" s="261"/>
      <c r="Q1109" s="261"/>
      <c r="R1109" s="261"/>
      <c r="S1109" s="5"/>
      <c r="T1109" s="25"/>
      <c r="U1109" s="5"/>
    </row>
    <row r="1110" spans="1:21" s="3" customFormat="1" outlineLevel="1">
      <c r="A1110" s="21"/>
      <c r="B1110" s="228" t="s">
        <v>388</v>
      </c>
      <c r="C1110" s="273" t="str">
        <f t="shared" si="190"/>
        <v>Transmission Losses</v>
      </c>
      <c r="D1110" s="228"/>
      <c r="E1110" s="355"/>
      <c r="F1110" s="228"/>
      <c r="G1110" s="5"/>
      <c r="H1110" s="55"/>
      <c r="I1110" s="55"/>
      <c r="J1110" s="55"/>
      <c r="K1110" s="55"/>
      <c r="L1110" s="55"/>
      <c r="M1110" s="55"/>
      <c r="N1110" s="55"/>
      <c r="O1110" s="55"/>
      <c r="P1110" s="55"/>
      <c r="Q1110" s="55"/>
      <c r="R1110" s="55"/>
      <c r="S1110" s="5"/>
      <c r="T1110" s="25"/>
      <c r="U1110" s="5"/>
    </row>
    <row r="1111" spans="1:21" s="3" customFormat="1" outlineLevel="1">
      <c r="A1111" s="21"/>
      <c r="B1111" s="228" t="s">
        <v>385</v>
      </c>
      <c r="C1111" s="273" t="str">
        <f t="shared" si="190"/>
        <v>Transmission Losses</v>
      </c>
      <c r="D1111" s="228"/>
      <c r="E1111" s="355"/>
      <c r="F1111" s="228" t="s">
        <v>402</v>
      </c>
      <c r="G1111" s="5"/>
      <c r="H1111" s="54"/>
      <c r="I1111" s="54"/>
      <c r="J1111" s="54"/>
      <c r="K1111" s="54"/>
      <c r="L1111" s="54"/>
      <c r="M1111" s="54"/>
      <c r="N1111" s="54"/>
      <c r="O1111" s="54"/>
      <c r="P1111" s="54"/>
      <c r="Q1111" s="54"/>
      <c r="R1111" s="54"/>
      <c r="S1111" s="5"/>
      <c r="T1111" s="25"/>
      <c r="U1111" s="5"/>
    </row>
    <row r="1112" spans="1:21" s="3" customFormat="1" outlineLevel="1">
      <c r="A1112" s="21"/>
      <c r="B1112" s="228" t="s">
        <v>389</v>
      </c>
      <c r="C1112" s="273" t="str">
        <f t="shared" si="190"/>
        <v>Transmission Losses</v>
      </c>
      <c r="D1112" s="228"/>
      <c r="E1112" s="355"/>
      <c r="F1112" s="228" t="s">
        <v>402</v>
      </c>
      <c r="G1112" s="5"/>
      <c r="H1112" s="55"/>
      <c r="I1112" s="55"/>
      <c r="J1112" s="55"/>
      <c r="K1112" s="55"/>
      <c r="L1112" s="55"/>
      <c r="M1112" s="55"/>
      <c r="N1112" s="55"/>
      <c r="O1112" s="55"/>
      <c r="P1112" s="55"/>
      <c r="Q1112" s="55"/>
      <c r="R1112" s="55"/>
      <c r="S1112" s="5"/>
      <c r="T1112" s="25"/>
      <c r="U1112" s="5"/>
    </row>
    <row r="1113" spans="1:21" s="3" customFormat="1" outlineLevel="1">
      <c r="A1113" s="21"/>
      <c r="B1113" s="228" t="s">
        <v>390</v>
      </c>
      <c r="C1113" s="273" t="str">
        <f t="shared" si="190"/>
        <v>Transmission Losses</v>
      </c>
      <c r="D1113" s="228"/>
      <c r="E1113" s="355"/>
      <c r="F1113" s="228"/>
      <c r="G1113" s="5"/>
      <c r="H1113" s="261"/>
      <c r="I1113" s="261"/>
      <c r="J1113" s="261"/>
      <c r="K1113" s="261"/>
      <c r="L1113" s="261"/>
      <c r="M1113" s="261"/>
      <c r="N1113" s="261"/>
      <c r="O1113" s="261"/>
      <c r="P1113" s="261"/>
      <c r="Q1113" s="261"/>
      <c r="R1113" s="261"/>
      <c r="S1113" s="5"/>
      <c r="T1113" s="25"/>
      <c r="U1113" s="5"/>
    </row>
    <row r="1114" spans="1:21" s="3" customFormat="1" outlineLevel="1">
      <c r="A1114" s="21"/>
      <c r="B1114" s="228" t="s">
        <v>391</v>
      </c>
      <c r="C1114" s="273" t="str">
        <f t="shared" si="190"/>
        <v>Transmission Losses</v>
      </c>
      <c r="D1114" s="228"/>
      <c r="E1114" s="355"/>
      <c r="F1114" s="228"/>
      <c r="G1114" s="5"/>
      <c r="H1114" s="55"/>
      <c r="I1114" s="55"/>
      <c r="J1114" s="55"/>
      <c r="K1114" s="55"/>
      <c r="L1114" s="55"/>
      <c r="M1114" s="55"/>
      <c r="N1114" s="55"/>
      <c r="O1114" s="55"/>
      <c r="P1114" s="55"/>
      <c r="Q1114" s="55"/>
      <c r="R1114" s="55"/>
      <c r="S1114" s="5"/>
      <c r="T1114" s="25"/>
      <c r="U1114" s="5"/>
    </row>
    <row r="1115" spans="1:21" s="3" customFormat="1" outlineLevel="1">
      <c r="A1115" s="21"/>
      <c r="B1115" s="228" t="s">
        <v>305</v>
      </c>
      <c r="C1115" s="273" t="str">
        <f t="shared" si="190"/>
        <v>Transmission Losses</v>
      </c>
      <c r="D1115" s="228"/>
      <c r="E1115" s="355"/>
      <c r="F1115" s="228" t="s">
        <v>402</v>
      </c>
      <c r="G1115" s="5"/>
      <c r="H1115" s="54">
        <v>1.22</v>
      </c>
      <c r="I1115" s="270">
        <f t="shared" ref="I1115:R1115" si="194">H1115</f>
        <v>1.22</v>
      </c>
      <c r="J1115" s="270">
        <f t="shared" si="194"/>
        <v>1.22</v>
      </c>
      <c r="K1115" s="270">
        <f t="shared" si="194"/>
        <v>1.22</v>
      </c>
      <c r="L1115" s="270">
        <f t="shared" si="194"/>
        <v>1.22</v>
      </c>
      <c r="M1115" s="270">
        <f t="shared" si="194"/>
        <v>1.22</v>
      </c>
      <c r="N1115" s="270">
        <f t="shared" si="194"/>
        <v>1.22</v>
      </c>
      <c r="O1115" s="270">
        <f t="shared" si="194"/>
        <v>1.22</v>
      </c>
      <c r="P1115" s="270">
        <f t="shared" si="194"/>
        <v>1.22</v>
      </c>
      <c r="Q1115" s="270">
        <f t="shared" si="194"/>
        <v>1.22</v>
      </c>
      <c r="R1115" s="270">
        <f t="shared" si="194"/>
        <v>1.22</v>
      </c>
      <c r="S1115" s="5"/>
      <c r="T1115" s="25"/>
      <c r="U1115" s="5"/>
    </row>
    <row r="1116" spans="1:21" s="3" customFormat="1" outlineLevel="1">
      <c r="A1116" s="21"/>
      <c r="B1116" s="228" t="s">
        <v>352</v>
      </c>
      <c r="C1116" s="273" t="str">
        <f t="shared" si="190"/>
        <v>Transmission Losses</v>
      </c>
      <c r="D1116" s="228"/>
      <c r="E1116" s="355"/>
      <c r="F1116" s="228" t="s">
        <v>316</v>
      </c>
      <c r="G1116" s="5"/>
      <c r="H1116" s="54"/>
      <c r="I1116" s="54"/>
      <c r="J1116" s="54"/>
      <c r="K1116" s="54"/>
      <c r="L1116" s="54"/>
      <c r="M1116" s="54"/>
      <c r="N1116" s="54"/>
      <c r="O1116" s="54"/>
      <c r="P1116" s="54"/>
      <c r="Q1116" s="54"/>
      <c r="R1116" s="54"/>
      <c r="S1116" s="5"/>
      <c r="T1116" s="25"/>
      <c r="U1116" s="5"/>
    </row>
    <row r="1117" spans="1:21" s="3" customFormat="1" outlineLevel="2">
      <c r="A1117" s="21" t="s">
        <v>436</v>
      </c>
      <c r="B1117" s="2"/>
      <c r="C1117" s="13"/>
      <c r="D1117" s="2"/>
      <c r="E1117" s="2"/>
      <c r="F1117" s="9"/>
      <c r="G1117" s="13"/>
      <c r="H1117" s="4"/>
      <c r="I1117" s="4"/>
      <c r="J1117" s="4"/>
      <c r="K1117" s="4"/>
      <c r="L1117" s="4"/>
      <c r="M1117" s="4"/>
      <c r="N1117" s="4"/>
      <c r="O1117" s="4"/>
      <c r="P1117" s="4"/>
      <c r="Q1117" s="4"/>
      <c r="R1117" s="4"/>
      <c r="S1117" s="5"/>
      <c r="T1117" s="13"/>
      <c r="U1117" s="5"/>
    </row>
    <row r="1118" spans="1:21" s="390" customFormat="1">
      <c r="A1118" s="390" t="s">
        <v>13</v>
      </c>
      <c r="C1118" s="391"/>
      <c r="F1118" s="392"/>
      <c r="G1118" s="391"/>
      <c r="H1118" s="405"/>
      <c r="I1118" s="405"/>
      <c r="J1118" s="405"/>
      <c r="K1118" s="405"/>
      <c r="L1118" s="405"/>
      <c r="M1118" s="405"/>
      <c r="N1118" s="405"/>
      <c r="O1118" s="405"/>
      <c r="P1118" s="405"/>
      <c r="Q1118" s="405"/>
      <c r="R1118" s="405"/>
      <c r="T1118" s="391"/>
    </row>
    <row r="1119" spans="1:21" s="3" customFormat="1" outlineLevel="1">
      <c r="A1119" s="21"/>
      <c r="B1119" s="67" t="s">
        <v>300</v>
      </c>
      <c r="C1119" s="4" t="str">
        <f>A1118</f>
        <v>Natural Gas</v>
      </c>
      <c r="D1119" s="4" t="s">
        <v>460</v>
      </c>
      <c r="E1119" s="347"/>
      <c r="F1119" s="3" t="s">
        <v>33</v>
      </c>
      <c r="G1119" s="5"/>
      <c r="H1119" s="55"/>
      <c r="I1119" s="55"/>
      <c r="J1119" s="55"/>
      <c r="K1119" s="55"/>
      <c r="L1119" s="55"/>
      <c r="M1119" s="55"/>
      <c r="N1119" s="55"/>
      <c r="O1119" s="55"/>
      <c r="P1119" s="55"/>
      <c r="Q1119" s="55"/>
      <c r="R1119" s="55"/>
      <c r="S1119" s="5"/>
      <c r="T1119" s="13"/>
      <c r="U1119" s="5"/>
    </row>
    <row r="1120" spans="1:21" s="3" customFormat="1" ht="16" customHeight="1" outlineLevel="1">
      <c r="A1120" s="21"/>
      <c r="B1120" s="67" t="s">
        <v>466</v>
      </c>
      <c r="C1120" s="273" t="s">
        <v>111</v>
      </c>
      <c r="D1120" s="273"/>
      <c r="E1120" s="347"/>
      <c r="F1120" s="67"/>
      <c r="G1120" s="5"/>
      <c r="H1120" s="55"/>
      <c r="I1120" s="55"/>
      <c r="J1120" s="55"/>
      <c r="K1120" s="55"/>
      <c r="L1120" s="55"/>
      <c r="M1120" s="55"/>
      <c r="N1120" s="55"/>
      <c r="O1120" s="55"/>
      <c r="P1120" s="55"/>
      <c r="Q1120" s="55"/>
      <c r="R1120" s="55"/>
      <c r="S1120" s="5"/>
      <c r="T1120" s="25"/>
      <c r="U1120" s="5"/>
    </row>
    <row r="1121" spans="1:21" s="3" customFormat="1" outlineLevel="1">
      <c r="A1121" s="21"/>
      <c r="B1121" s="3" t="s">
        <v>46</v>
      </c>
      <c r="C1121" s="13" t="s">
        <v>484</v>
      </c>
      <c r="D1121" s="4"/>
      <c r="E1121" s="347"/>
      <c r="G1121" s="5"/>
      <c r="H1121" s="132"/>
      <c r="I1121" s="132"/>
      <c r="J1121" s="132"/>
      <c r="K1121" s="132"/>
      <c r="L1121" s="132"/>
      <c r="M1121" s="132"/>
      <c r="N1121" s="132"/>
      <c r="O1121" s="132"/>
      <c r="P1121" s="132"/>
      <c r="Q1121" s="132"/>
      <c r="R1121" s="132"/>
      <c r="S1121" s="5"/>
      <c r="T1121" s="13"/>
      <c r="U1121" s="5"/>
    </row>
    <row r="1122" spans="1:21" s="3" customFormat="1" outlineLevel="1">
      <c r="A1122" s="21"/>
      <c r="B1122" s="67" t="s">
        <v>485</v>
      </c>
      <c r="C1122" s="4" t="s">
        <v>13</v>
      </c>
      <c r="D1122" s="4"/>
      <c r="E1122" s="347"/>
      <c r="F1122" s="67" t="s">
        <v>317</v>
      </c>
      <c r="G1122" s="5"/>
      <c r="H1122" s="54">
        <v>8.4936032074005272</v>
      </c>
      <c r="I1122" s="54">
        <v>8.3972486872784486</v>
      </c>
      <c r="J1122" s="54">
        <v>4.0408957689610068</v>
      </c>
      <c r="K1122" s="54">
        <v>2.247462324417568</v>
      </c>
      <c r="L1122" s="54">
        <v>1.9162573502928744</v>
      </c>
      <c r="M1122" s="54">
        <v>2.5431810513146162</v>
      </c>
      <c r="N1122" s="54">
        <v>3.0163310143498943</v>
      </c>
      <c r="O1122" s="54">
        <v>3.6077684681439912</v>
      </c>
      <c r="P1122" s="54">
        <v>3.8561721987375113</v>
      </c>
      <c r="Q1122" s="54">
        <v>3.8561721987375113</v>
      </c>
      <c r="R1122" s="54">
        <v>3.8561721987375113</v>
      </c>
      <c r="S1122" s="5"/>
      <c r="T1122" s="13"/>
      <c r="U1122" s="5"/>
    </row>
    <row r="1123" spans="1:21" s="3" customFormat="1" outlineLevel="1">
      <c r="A1123" s="21" t="s">
        <v>436</v>
      </c>
      <c r="B1123" s="2"/>
      <c r="C1123" s="13"/>
      <c r="D1123" s="2"/>
      <c r="E1123" s="2"/>
      <c r="F1123" s="16"/>
      <c r="G1123" s="25"/>
      <c r="H1123" s="4"/>
      <c r="I1123" s="4"/>
      <c r="J1123" s="4"/>
      <c r="K1123" s="4"/>
      <c r="L1123" s="4"/>
      <c r="M1123" s="4"/>
      <c r="N1123" s="4"/>
      <c r="O1123" s="4"/>
      <c r="P1123" s="4"/>
      <c r="Q1123" s="4"/>
      <c r="R1123" s="4"/>
      <c r="S1123" s="5"/>
      <c r="T1123" s="13"/>
      <c r="U1123" s="5"/>
    </row>
    <row r="1124" spans="1:21" s="390" customFormat="1">
      <c r="A1124" s="390" t="s">
        <v>250</v>
      </c>
      <c r="C1124" s="391"/>
      <c r="F1124" s="392"/>
      <c r="G1124" s="391"/>
      <c r="H1124" s="405"/>
      <c r="I1124" s="405"/>
      <c r="J1124" s="405"/>
      <c r="K1124" s="405"/>
      <c r="L1124" s="405"/>
      <c r="M1124" s="405"/>
      <c r="N1124" s="405"/>
      <c r="O1124" s="405"/>
      <c r="P1124" s="405"/>
      <c r="Q1124" s="405"/>
      <c r="R1124" s="405"/>
      <c r="T1124" s="391"/>
    </row>
    <row r="1125" spans="1:21" s="3" customFormat="1" outlineLevel="1">
      <c r="A1125" s="21"/>
      <c r="B1125" s="67" t="s">
        <v>300</v>
      </c>
      <c r="C1125" s="4" t="str">
        <f>A1124</f>
        <v>Solar</v>
      </c>
      <c r="D1125" s="4" t="s">
        <v>461</v>
      </c>
      <c r="E1125" s="347"/>
      <c r="F1125" s="3" t="s">
        <v>33</v>
      </c>
      <c r="G1125" s="5"/>
      <c r="H1125" s="55"/>
      <c r="I1125" s="55"/>
      <c r="J1125" s="55"/>
      <c r="K1125" s="55"/>
      <c r="L1125" s="55"/>
      <c r="M1125" s="55"/>
      <c r="N1125" s="55"/>
      <c r="O1125" s="55"/>
      <c r="P1125" s="55"/>
      <c r="Q1125" s="55"/>
      <c r="R1125" s="55"/>
      <c r="S1125" s="5"/>
      <c r="T1125" s="13"/>
      <c r="U1125" s="5"/>
    </row>
    <row r="1126" spans="1:21" s="3" customFormat="1" outlineLevel="1">
      <c r="A1126" s="21"/>
      <c r="B1126" s="67" t="s">
        <v>466</v>
      </c>
      <c r="C1126" s="273" t="s">
        <v>111</v>
      </c>
      <c r="D1126" s="273"/>
      <c r="E1126" s="347"/>
      <c r="F1126" s="67"/>
      <c r="G1126" s="5"/>
      <c r="H1126" s="55"/>
      <c r="I1126" s="55"/>
      <c r="J1126" s="55"/>
      <c r="K1126" s="55"/>
      <c r="L1126" s="55"/>
      <c r="M1126" s="55"/>
      <c r="N1126" s="55"/>
      <c r="O1126" s="55"/>
      <c r="P1126" s="55"/>
      <c r="Q1126" s="55"/>
      <c r="R1126" s="55"/>
      <c r="S1126" s="5"/>
      <c r="T1126" s="25"/>
      <c r="U1126" s="5"/>
    </row>
    <row r="1127" spans="1:21" s="3" customFormat="1" outlineLevel="1">
      <c r="A1127" s="21"/>
      <c r="B1127" s="3" t="s">
        <v>46</v>
      </c>
      <c r="C1127" s="13" t="s">
        <v>484</v>
      </c>
      <c r="D1127" s="4"/>
      <c r="E1127" s="347"/>
      <c r="G1127" s="5"/>
      <c r="H1127" s="132"/>
      <c r="I1127" s="132"/>
      <c r="J1127" s="132"/>
      <c r="K1127" s="132"/>
      <c r="L1127" s="132"/>
      <c r="M1127" s="132"/>
      <c r="N1127" s="132"/>
      <c r="O1127" s="132"/>
      <c r="P1127" s="132"/>
      <c r="Q1127" s="132"/>
      <c r="R1127" s="132"/>
      <c r="S1127" s="5"/>
      <c r="T1127" s="13"/>
      <c r="U1127" s="5"/>
    </row>
    <row r="1128" spans="1:21" s="3" customFormat="1" outlineLevel="1">
      <c r="A1128" s="21"/>
      <c r="B1128" s="67" t="s">
        <v>485</v>
      </c>
      <c r="C1128" s="4" t="s">
        <v>250</v>
      </c>
      <c r="D1128" s="4"/>
      <c r="E1128" s="347"/>
      <c r="F1128" s="67" t="s">
        <v>317</v>
      </c>
      <c r="G1128" s="5"/>
      <c r="H1128" s="54">
        <v>19</v>
      </c>
      <c r="I1128" s="54">
        <v>25</v>
      </c>
      <c r="J1128" s="54">
        <v>29</v>
      </c>
      <c r="K1128" s="54">
        <v>32</v>
      </c>
      <c r="L1128" s="54">
        <v>32.64</v>
      </c>
      <c r="M1128" s="54">
        <v>33.2928</v>
      </c>
      <c r="N1128" s="54">
        <v>33.958655999999998</v>
      </c>
      <c r="O1128" s="54">
        <v>34.637829119999999</v>
      </c>
      <c r="P1128" s="54">
        <v>35.330585702400001</v>
      </c>
      <c r="Q1128" s="54">
        <v>36.037197416448002</v>
      </c>
      <c r="R1128" s="54">
        <v>36.757941364776961</v>
      </c>
      <c r="S1128" s="5"/>
      <c r="T1128" s="13"/>
      <c r="U1128" s="5"/>
    </row>
    <row r="1129" spans="1:21" s="3" customFormat="1" outlineLevel="1">
      <c r="A1129" s="21" t="s">
        <v>436</v>
      </c>
      <c r="B1129" s="2"/>
      <c r="C1129" s="13"/>
      <c r="D1129" s="2"/>
      <c r="E1129" s="2"/>
      <c r="F1129" s="16"/>
      <c r="G1129" s="25"/>
      <c r="H1129" s="4"/>
      <c r="I1129" s="4"/>
      <c r="J1129" s="4"/>
      <c r="K1129" s="4"/>
      <c r="L1129" s="4"/>
      <c r="M1129" s="4"/>
      <c r="N1129" s="4"/>
      <c r="O1129" s="4"/>
      <c r="P1129" s="4"/>
      <c r="Q1129" s="4"/>
      <c r="R1129" s="4"/>
      <c r="S1129" s="5"/>
      <c r="T1129" s="13"/>
      <c r="U1129" s="5"/>
    </row>
    <row r="1130" spans="1:21" s="390" customFormat="1">
      <c r="A1130" s="390" t="s">
        <v>170</v>
      </c>
      <c r="C1130" s="391"/>
      <c r="F1130" s="392"/>
      <c r="G1130" s="391"/>
      <c r="H1130" s="405"/>
      <c r="I1130" s="405"/>
      <c r="J1130" s="405"/>
      <c r="K1130" s="405"/>
      <c r="L1130" s="405"/>
      <c r="M1130" s="405"/>
      <c r="N1130" s="405"/>
      <c r="O1130" s="405"/>
      <c r="P1130" s="405"/>
      <c r="Q1130" s="405"/>
      <c r="R1130" s="405"/>
      <c r="T1130" s="391"/>
    </row>
    <row r="1131" spans="1:21" s="3" customFormat="1" outlineLevel="1">
      <c r="A1131" s="21"/>
      <c r="B1131" s="67" t="s">
        <v>300</v>
      </c>
      <c r="C1131" s="4" t="str">
        <f>A1130</f>
        <v>Wind</v>
      </c>
      <c r="D1131" s="4" t="s">
        <v>462</v>
      </c>
      <c r="E1131" s="347"/>
      <c r="F1131" s="3" t="s">
        <v>33</v>
      </c>
      <c r="G1131" s="5"/>
      <c r="H1131" s="55"/>
      <c r="I1131" s="55"/>
      <c r="J1131" s="55"/>
      <c r="K1131" s="55"/>
      <c r="L1131" s="55"/>
      <c r="M1131" s="55"/>
      <c r="N1131" s="55"/>
      <c r="O1131" s="55"/>
      <c r="P1131" s="55"/>
      <c r="Q1131" s="55"/>
      <c r="R1131" s="55"/>
      <c r="S1131" s="5"/>
      <c r="T1131" s="13"/>
      <c r="U1131" s="5"/>
    </row>
    <row r="1132" spans="1:21" s="3" customFormat="1" outlineLevel="1">
      <c r="A1132" s="21"/>
      <c r="B1132" s="67" t="s">
        <v>466</v>
      </c>
      <c r="C1132" s="273" t="s">
        <v>111</v>
      </c>
      <c r="D1132" s="273"/>
      <c r="E1132" s="347"/>
      <c r="F1132" s="67"/>
      <c r="G1132" s="5"/>
      <c r="H1132" s="55"/>
      <c r="I1132" s="55"/>
      <c r="J1132" s="55"/>
      <c r="K1132" s="55"/>
      <c r="L1132" s="55"/>
      <c r="M1132" s="55"/>
      <c r="N1132" s="55"/>
      <c r="O1132" s="55"/>
      <c r="P1132" s="55"/>
      <c r="Q1132" s="55"/>
      <c r="R1132" s="55"/>
      <c r="S1132" s="5"/>
      <c r="T1132" s="25"/>
      <c r="U1132" s="5"/>
    </row>
    <row r="1133" spans="1:21" s="3" customFormat="1" outlineLevel="1">
      <c r="A1133" s="21"/>
      <c r="B1133" s="3" t="s">
        <v>46</v>
      </c>
      <c r="C1133" s="13" t="s">
        <v>484</v>
      </c>
      <c r="D1133" s="4"/>
      <c r="E1133" s="347"/>
      <c r="G1133" s="5"/>
      <c r="H1133" s="132"/>
      <c r="I1133" s="132"/>
      <c r="J1133" s="132"/>
      <c r="K1133" s="132"/>
      <c r="L1133" s="132"/>
      <c r="M1133" s="132"/>
      <c r="N1133" s="132"/>
      <c r="O1133" s="132"/>
      <c r="P1133" s="132"/>
      <c r="Q1133" s="132"/>
      <c r="R1133" s="132"/>
      <c r="S1133" s="5"/>
      <c r="T1133" s="13"/>
      <c r="U1133" s="5"/>
    </row>
    <row r="1134" spans="1:21" s="3" customFormat="1" outlineLevel="1">
      <c r="A1134" s="21"/>
      <c r="B1134" s="67" t="s">
        <v>485</v>
      </c>
      <c r="C1134" s="4" t="s">
        <v>170</v>
      </c>
      <c r="D1134" s="4"/>
      <c r="E1134" s="347"/>
      <c r="F1134" s="67" t="s">
        <v>317</v>
      </c>
      <c r="G1134" s="5"/>
      <c r="H1134" s="54">
        <v>19</v>
      </c>
      <c r="I1134" s="54">
        <v>25</v>
      </c>
      <c r="J1134" s="54">
        <v>29</v>
      </c>
      <c r="K1134" s="54">
        <v>32</v>
      </c>
      <c r="L1134" s="54">
        <v>32.64</v>
      </c>
      <c r="M1134" s="54">
        <v>33.2928</v>
      </c>
      <c r="N1134" s="54">
        <v>33.958655999999998</v>
      </c>
      <c r="O1134" s="54">
        <v>34.637829119999999</v>
      </c>
      <c r="P1134" s="54">
        <v>35.330585702400001</v>
      </c>
      <c r="Q1134" s="54">
        <v>36.037197416448002</v>
      </c>
      <c r="R1134" s="54">
        <v>36.757941364776961</v>
      </c>
      <c r="S1134" s="5"/>
      <c r="T1134" s="13"/>
      <c r="U1134" s="5"/>
    </row>
    <row r="1135" spans="1:21" s="3" customFormat="1" outlineLevel="1">
      <c r="A1135" s="21"/>
      <c r="C1135" s="13"/>
      <c r="D1135" s="4"/>
      <c r="E1135" s="347"/>
      <c r="G1135" s="5"/>
      <c r="H1135" s="4"/>
      <c r="I1135" s="4"/>
      <c r="J1135" s="4"/>
      <c r="K1135" s="4"/>
      <c r="L1135" s="4"/>
      <c r="M1135" s="4"/>
      <c r="N1135" s="4"/>
      <c r="O1135" s="4"/>
      <c r="P1135" s="4"/>
      <c r="Q1135" s="4"/>
      <c r="R1135" s="4"/>
      <c r="S1135" s="5"/>
      <c r="T1135" s="13"/>
      <c r="U1135" s="5"/>
    </row>
    <row r="1136" spans="1:21" s="390" customFormat="1">
      <c r="A1136" s="390" t="s">
        <v>405</v>
      </c>
      <c r="C1136" s="391"/>
      <c r="F1136" s="392"/>
      <c r="G1136" s="391"/>
      <c r="H1136" s="405"/>
      <c r="I1136" s="405"/>
      <c r="J1136" s="405"/>
      <c r="K1136" s="405"/>
      <c r="L1136" s="405"/>
      <c r="M1136" s="405"/>
      <c r="N1136" s="405"/>
      <c r="O1136" s="405"/>
      <c r="P1136" s="405"/>
      <c r="Q1136" s="405"/>
      <c r="R1136" s="405"/>
      <c r="T1136" s="391"/>
    </row>
    <row r="1137" spans="1:21" s="3" customFormat="1" outlineLevel="1">
      <c r="A1137" s="21"/>
      <c r="B1137" s="67" t="s">
        <v>300</v>
      </c>
      <c r="C1137" s="4" t="str">
        <f>A1136</f>
        <v>Water</v>
      </c>
      <c r="D1137" s="4" t="s">
        <v>463</v>
      </c>
      <c r="E1137" s="347"/>
      <c r="F1137" s="3" t="s">
        <v>33</v>
      </c>
      <c r="G1137" s="5"/>
      <c r="H1137" s="55"/>
      <c r="I1137" s="55"/>
      <c r="J1137" s="55"/>
      <c r="K1137" s="55"/>
      <c r="L1137" s="55"/>
      <c r="M1137" s="55"/>
      <c r="N1137" s="55"/>
      <c r="O1137" s="55"/>
      <c r="P1137" s="55"/>
      <c r="Q1137" s="55"/>
      <c r="R1137" s="55"/>
      <c r="S1137" s="5"/>
      <c r="T1137" s="13"/>
      <c r="U1137" s="5"/>
    </row>
    <row r="1138" spans="1:21" s="3" customFormat="1" outlineLevel="1">
      <c r="A1138" s="21"/>
      <c r="B1138" s="67" t="s">
        <v>466</v>
      </c>
      <c r="C1138" s="273" t="s">
        <v>111</v>
      </c>
      <c r="D1138" s="273"/>
      <c r="E1138" s="347"/>
      <c r="F1138" s="67"/>
      <c r="G1138" s="5"/>
      <c r="H1138" s="55"/>
      <c r="I1138" s="55"/>
      <c r="J1138" s="55"/>
      <c r="K1138" s="55"/>
      <c r="L1138" s="55"/>
      <c r="M1138" s="55"/>
      <c r="N1138" s="55"/>
      <c r="O1138" s="55"/>
      <c r="P1138" s="55"/>
      <c r="Q1138" s="55"/>
      <c r="R1138" s="55"/>
      <c r="S1138" s="5"/>
      <c r="T1138" s="25"/>
      <c r="U1138" s="5"/>
    </row>
    <row r="1139" spans="1:21" s="3" customFormat="1" ht="17" customHeight="1" outlineLevel="1">
      <c r="A1139" s="21"/>
      <c r="B1139" s="3" t="s">
        <v>46</v>
      </c>
      <c r="C1139" s="13" t="s">
        <v>484</v>
      </c>
      <c r="D1139" s="4"/>
      <c r="E1139" s="347"/>
      <c r="G1139" s="5"/>
      <c r="H1139" s="132"/>
      <c r="I1139" s="132"/>
      <c r="J1139" s="132"/>
      <c r="K1139" s="132"/>
      <c r="L1139" s="132"/>
      <c r="M1139" s="132"/>
      <c r="N1139" s="132"/>
      <c r="O1139" s="132"/>
      <c r="P1139" s="132"/>
      <c r="Q1139" s="132"/>
      <c r="R1139" s="132"/>
      <c r="S1139" s="5"/>
      <c r="T1139" s="13"/>
      <c r="U1139" s="5"/>
    </row>
    <row r="1140" spans="1:21" s="3" customFormat="1" outlineLevel="1">
      <c r="A1140" s="21"/>
      <c r="B1140" s="67" t="s">
        <v>485</v>
      </c>
      <c r="C1140" s="273" t="s">
        <v>405</v>
      </c>
      <c r="D1140" s="4"/>
      <c r="E1140" s="347"/>
      <c r="F1140" s="67" t="s">
        <v>317</v>
      </c>
      <c r="G1140" s="5"/>
      <c r="H1140" s="54">
        <v>19</v>
      </c>
      <c r="I1140" s="54">
        <v>25</v>
      </c>
      <c r="J1140" s="54">
        <v>29</v>
      </c>
      <c r="K1140" s="54">
        <v>32</v>
      </c>
      <c r="L1140" s="54">
        <v>32.64</v>
      </c>
      <c r="M1140" s="54">
        <v>33.2928</v>
      </c>
      <c r="N1140" s="54">
        <v>33.958655999999998</v>
      </c>
      <c r="O1140" s="54">
        <v>34.637829119999999</v>
      </c>
      <c r="P1140" s="54">
        <v>35.330585702400001</v>
      </c>
      <c r="Q1140" s="54">
        <v>36.037197416448002</v>
      </c>
      <c r="R1140" s="54">
        <v>36.757941364776961</v>
      </c>
      <c r="S1140" s="5"/>
      <c r="T1140" s="13"/>
      <c r="U1140" s="5"/>
    </row>
    <row r="1141" spans="1:21" s="3" customFormat="1">
      <c r="A1141" s="21" t="s">
        <v>436</v>
      </c>
      <c r="B1141" s="2"/>
      <c r="C1141" s="13"/>
      <c r="D1141" s="2"/>
      <c r="E1141" s="2"/>
      <c r="F1141" s="16"/>
      <c r="G1141" s="25"/>
      <c r="H1141" s="4"/>
      <c r="I1141" s="4"/>
      <c r="J1141" s="4"/>
      <c r="K1141" s="4"/>
      <c r="L1141" s="4"/>
      <c r="M1141" s="4"/>
      <c r="N1141" s="4"/>
      <c r="O1141" s="4"/>
      <c r="P1141" s="4"/>
      <c r="Q1141" s="4"/>
      <c r="R1141" s="4"/>
      <c r="S1141" s="5"/>
      <c r="T1141" s="13"/>
      <c r="U1141" s="5"/>
    </row>
    <row r="1142" spans="1:21" s="3" customFormat="1">
      <c r="A1142" s="21" t="s">
        <v>436</v>
      </c>
      <c r="B1142" s="2"/>
      <c r="C1142" s="13"/>
      <c r="D1142" s="2"/>
      <c r="E1142" s="2"/>
      <c r="F1142" s="16"/>
      <c r="G1142" s="25"/>
      <c r="H1142" s="4"/>
      <c r="I1142" s="4"/>
      <c r="J1142" s="4"/>
      <c r="K1142" s="4"/>
      <c r="L1142" s="4"/>
      <c r="M1142" s="4"/>
      <c r="N1142" s="4"/>
      <c r="O1142" s="4"/>
      <c r="P1142" s="4"/>
      <c r="Q1142" s="4"/>
      <c r="R1142" s="4"/>
      <c r="S1142" s="5"/>
      <c r="T1142" s="13"/>
      <c r="U1142" s="5"/>
    </row>
    <row r="1143" spans="1:21" s="3" customFormat="1">
      <c r="A1143" s="21" t="s">
        <v>436</v>
      </c>
      <c r="B1143" s="2"/>
      <c r="C1143" s="13"/>
      <c r="D1143" s="2"/>
      <c r="E1143" s="2"/>
      <c r="F1143" s="16"/>
      <c r="G1143" s="25"/>
      <c r="H1143" s="4"/>
      <c r="I1143" s="4"/>
      <c r="J1143" s="4"/>
      <c r="K1143" s="4"/>
      <c r="L1143" s="4"/>
      <c r="M1143" s="4"/>
      <c r="N1143" s="4"/>
      <c r="O1143" s="4"/>
      <c r="P1143" s="4"/>
      <c r="Q1143" s="4"/>
      <c r="R1143" s="4"/>
      <c r="S1143" s="5"/>
      <c r="T1143" s="13"/>
      <c r="U1143" s="5"/>
    </row>
    <row r="1144" spans="1:21" s="3" customFormat="1">
      <c r="A1144" s="21" t="s">
        <v>436</v>
      </c>
      <c r="B1144" s="2"/>
      <c r="C1144" s="13"/>
      <c r="D1144" s="2"/>
      <c r="E1144" s="2"/>
      <c r="F1144" s="16"/>
      <c r="G1144" s="25"/>
      <c r="H1144" s="4"/>
      <c r="I1144" s="4"/>
      <c r="J1144" s="4"/>
      <c r="K1144" s="4"/>
      <c r="L1144" s="4"/>
      <c r="M1144" s="4"/>
      <c r="N1144" s="4"/>
      <c r="O1144" s="4"/>
      <c r="P1144" s="4"/>
      <c r="Q1144" s="4"/>
      <c r="R1144" s="4"/>
      <c r="S1144" s="5"/>
      <c r="T1144" s="13"/>
      <c r="U1144" s="5"/>
    </row>
    <row r="1145" spans="1:21" s="3" customFormat="1">
      <c r="A1145" s="21" t="s">
        <v>436</v>
      </c>
      <c r="B1145" s="2"/>
      <c r="C1145" s="13"/>
      <c r="D1145" s="2"/>
      <c r="E1145" s="2"/>
      <c r="F1145" s="16"/>
      <c r="G1145" s="25"/>
      <c r="H1145" s="4"/>
      <c r="I1145" s="4"/>
      <c r="J1145" s="4"/>
      <c r="K1145" s="4"/>
      <c r="L1145" s="4"/>
      <c r="M1145" s="4"/>
      <c r="N1145" s="4"/>
      <c r="O1145" s="4"/>
      <c r="P1145" s="4"/>
      <c r="Q1145" s="4"/>
      <c r="R1145" s="4"/>
      <c r="S1145" s="5"/>
      <c r="T1145" s="13"/>
      <c r="U1145" s="5"/>
    </row>
    <row r="1146" spans="1:21" s="3" customFormat="1">
      <c r="A1146" s="21" t="s">
        <v>436</v>
      </c>
      <c r="B1146" s="2"/>
      <c r="C1146" s="13"/>
      <c r="D1146" s="2"/>
      <c r="E1146" s="2"/>
      <c r="F1146" s="16"/>
      <c r="G1146" s="25"/>
      <c r="H1146" s="4"/>
      <c r="I1146" s="4"/>
      <c r="J1146" s="4"/>
      <c r="K1146" s="4"/>
      <c r="L1146" s="4"/>
      <c r="M1146" s="4"/>
      <c r="N1146" s="4"/>
      <c r="O1146" s="4"/>
      <c r="P1146" s="4"/>
      <c r="Q1146" s="4"/>
      <c r="R1146" s="4"/>
      <c r="S1146" s="5"/>
      <c r="T1146" s="13"/>
      <c r="U1146" s="5"/>
    </row>
    <row r="1147" spans="1:21" s="3" customFormat="1">
      <c r="A1147" s="21" t="s">
        <v>436</v>
      </c>
      <c r="B1147" s="2"/>
      <c r="C1147" s="13"/>
      <c r="D1147" s="2"/>
      <c r="E1147" s="2"/>
      <c r="F1147" s="16"/>
      <c r="G1147" s="25"/>
      <c r="H1147" s="4"/>
      <c r="I1147" s="4"/>
      <c r="J1147" s="4"/>
      <c r="K1147" s="4"/>
      <c r="L1147" s="4"/>
      <c r="M1147" s="4"/>
      <c r="N1147" s="4"/>
      <c r="O1147" s="4"/>
      <c r="P1147" s="4"/>
      <c r="Q1147" s="4"/>
      <c r="R1147" s="4"/>
      <c r="S1147" s="5"/>
      <c r="T1147" s="13"/>
      <c r="U1147" s="5"/>
    </row>
    <row r="1148" spans="1:21" s="3" customFormat="1">
      <c r="A1148" s="21" t="s">
        <v>436</v>
      </c>
      <c r="B1148" s="2"/>
      <c r="C1148" s="13"/>
      <c r="D1148" s="2"/>
      <c r="E1148" s="2"/>
      <c r="F1148" s="16"/>
      <c r="G1148" s="25"/>
      <c r="H1148" s="4"/>
      <c r="I1148" s="4"/>
      <c r="J1148" s="4"/>
      <c r="K1148" s="4"/>
      <c r="L1148" s="4"/>
      <c r="M1148" s="4"/>
      <c r="N1148" s="4"/>
      <c r="O1148" s="4"/>
      <c r="P1148" s="4"/>
      <c r="Q1148" s="4"/>
      <c r="R1148" s="4"/>
      <c r="S1148" s="5"/>
      <c r="T1148" s="13"/>
      <c r="U1148" s="5"/>
    </row>
    <row r="1149" spans="1:21" s="3" customFormat="1">
      <c r="A1149" s="21" t="s">
        <v>436</v>
      </c>
      <c r="B1149" s="2"/>
      <c r="C1149" s="13"/>
      <c r="D1149" s="2"/>
      <c r="E1149" s="2"/>
      <c r="F1149" s="16"/>
      <c r="G1149" s="25"/>
      <c r="H1149" s="4"/>
      <c r="I1149" s="4"/>
      <c r="J1149" s="4"/>
      <c r="K1149" s="4"/>
      <c r="L1149" s="4"/>
      <c r="M1149" s="4"/>
      <c r="N1149" s="4"/>
      <c r="O1149" s="4"/>
      <c r="P1149" s="4"/>
      <c r="Q1149" s="4"/>
      <c r="R1149" s="4"/>
      <c r="S1149" s="5"/>
      <c r="T1149" s="13"/>
      <c r="U1149" s="5"/>
    </row>
    <row r="1150" spans="1:21" s="3" customFormat="1">
      <c r="A1150" s="21" t="s">
        <v>436</v>
      </c>
      <c r="B1150" s="2"/>
      <c r="C1150" s="13"/>
      <c r="D1150" s="2"/>
      <c r="E1150" s="2"/>
      <c r="F1150" s="16"/>
      <c r="G1150" s="25"/>
      <c r="H1150" s="4"/>
      <c r="I1150" s="4"/>
      <c r="J1150" s="4"/>
      <c r="K1150" s="4"/>
      <c r="L1150" s="4"/>
      <c r="M1150" s="4"/>
      <c r="N1150" s="4"/>
      <c r="O1150" s="4"/>
      <c r="P1150" s="4"/>
      <c r="Q1150" s="4"/>
      <c r="R1150" s="4"/>
      <c r="S1150" s="5"/>
      <c r="T1150" s="13"/>
      <c r="U1150" s="5"/>
    </row>
    <row r="1151" spans="1:21" s="3" customFormat="1">
      <c r="A1151" s="21" t="s">
        <v>436</v>
      </c>
      <c r="B1151" s="2"/>
      <c r="C1151" s="13"/>
      <c r="D1151" s="2"/>
      <c r="E1151" s="2"/>
      <c r="F1151" s="16"/>
      <c r="G1151" s="25"/>
      <c r="H1151" s="4"/>
      <c r="I1151" s="4"/>
      <c r="J1151" s="4"/>
      <c r="K1151" s="4"/>
      <c r="L1151" s="4"/>
      <c r="M1151" s="4"/>
      <c r="N1151" s="4"/>
      <c r="O1151" s="4"/>
      <c r="P1151" s="4"/>
      <c r="Q1151" s="4"/>
      <c r="R1151" s="4"/>
      <c r="S1151" s="5"/>
      <c r="T1151" s="13"/>
      <c r="U1151" s="5"/>
    </row>
    <row r="1152" spans="1:21" s="3" customFormat="1">
      <c r="A1152" s="21" t="s">
        <v>436</v>
      </c>
      <c r="B1152" s="2"/>
      <c r="C1152" s="13"/>
      <c r="D1152" s="2"/>
      <c r="E1152" s="2"/>
      <c r="F1152" s="16"/>
      <c r="G1152" s="25"/>
      <c r="H1152" s="4"/>
      <c r="I1152" s="4"/>
      <c r="J1152" s="4"/>
      <c r="K1152" s="4"/>
      <c r="L1152" s="4"/>
      <c r="M1152" s="4"/>
      <c r="N1152" s="4"/>
      <c r="O1152" s="4"/>
      <c r="P1152" s="4"/>
      <c r="Q1152" s="4"/>
      <c r="R1152" s="4"/>
      <c r="S1152" s="5"/>
      <c r="T1152" s="13"/>
      <c r="U1152" s="5"/>
    </row>
    <row r="1153" spans="1:21" s="3" customFormat="1">
      <c r="A1153" s="21" t="s">
        <v>436</v>
      </c>
      <c r="B1153" s="2"/>
      <c r="C1153" s="13"/>
      <c r="D1153" s="2"/>
      <c r="E1153" s="2"/>
      <c r="F1153" s="16"/>
      <c r="G1153" s="25"/>
      <c r="H1153" s="4"/>
      <c r="I1153" s="4"/>
      <c r="J1153" s="4"/>
      <c r="K1153" s="4"/>
      <c r="L1153" s="4"/>
      <c r="M1153" s="4"/>
      <c r="N1153" s="4"/>
      <c r="O1153" s="4"/>
      <c r="P1153" s="4"/>
      <c r="Q1153" s="4"/>
      <c r="R1153" s="4"/>
      <c r="S1153" s="5"/>
      <c r="T1153" s="13"/>
      <c r="U1153" s="5"/>
    </row>
    <row r="1154" spans="1:21" s="3" customFormat="1">
      <c r="A1154" s="21" t="s">
        <v>436</v>
      </c>
      <c r="B1154" s="2"/>
      <c r="C1154" s="13"/>
      <c r="D1154" s="2"/>
      <c r="E1154" s="2"/>
      <c r="F1154" s="16"/>
      <c r="G1154" s="25"/>
      <c r="H1154" s="4"/>
      <c r="I1154" s="4"/>
      <c r="J1154" s="4"/>
      <c r="K1154" s="4"/>
      <c r="L1154" s="4"/>
      <c r="M1154" s="4"/>
      <c r="N1154" s="4"/>
      <c r="O1154" s="4"/>
      <c r="P1154" s="4"/>
      <c r="Q1154" s="4"/>
      <c r="R1154" s="4"/>
      <c r="S1154" s="5"/>
      <c r="T1154" s="13"/>
      <c r="U1154" s="5"/>
    </row>
    <row r="1155" spans="1:21" s="3" customFormat="1">
      <c r="A1155" s="21" t="s">
        <v>436</v>
      </c>
      <c r="B1155" s="2"/>
      <c r="C1155" s="13"/>
      <c r="D1155" s="2"/>
      <c r="E1155" s="2"/>
      <c r="F1155" s="16"/>
      <c r="G1155" s="25"/>
      <c r="H1155" s="4"/>
      <c r="I1155" s="4"/>
      <c r="J1155" s="4"/>
      <c r="K1155" s="4"/>
      <c r="L1155" s="4"/>
      <c r="M1155" s="4"/>
      <c r="N1155" s="4"/>
      <c r="O1155" s="4"/>
      <c r="P1155" s="4"/>
      <c r="Q1155" s="4"/>
      <c r="R1155" s="4"/>
      <c r="S1155" s="5"/>
      <c r="T1155" s="13"/>
      <c r="U1155" s="5"/>
    </row>
    <row r="1156" spans="1:21" s="3" customFormat="1">
      <c r="A1156" s="21" t="s">
        <v>436</v>
      </c>
      <c r="B1156" s="2"/>
      <c r="C1156" s="13"/>
      <c r="D1156" s="2"/>
      <c r="E1156" s="2"/>
      <c r="F1156" s="16"/>
      <c r="G1156" s="25"/>
      <c r="H1156" s="4"/>
      <c r="I1156" s="4"/>
      <c r="J1156" s="4"/>
      <c r="K1156" s="4"/>
      <c r="L1156" s="4"/>
      <c r="M1156" s="4"/>
      <c r="N1156" s="4"/>
      <c r="O1156" s="4"/>
      <c r="P1156" s="4"/>
      <c r="Q1156" s="4"/>
      <c r="R1156" s="4"/>
      <c r="S1156" s="5"/>
      <c r="T1156" s="13"/>
      <c r="U1156" s="5"/>
    </row>
    <row r="1157" spans="1:21" s="3" customFormat="1">
      <c r="A1157" s="21" t="s">
        <v>436</v>
      </c>
      <c r="B1157" s="2"/>
      <c r="C1157" s="13"/>
      <c r="D1157" s="2"/>
      <c r="E1157" s="2"/>
      <c r="F1157" s="16"/>
      <c r="G1157" s="25"/>
      <c r="H1157" s="4"/>
      <c r="I1157" s="4"/>
      <c r="J1157" s="4"/>
      <c r="K1157" s="4"/>
      <c r="L1157" s="4"/>
      <c r="M1157" s="4"/>
      <c r="N1157" s="4"/>
      <c r="O1157" s="4"/>
      <c r="P1157" s="4"/>
      <c r="Q1157" s="4"/>
      <c r="R1157" s="4"/>
      <c r="S1157" s="5"/>
      <c r="T1157" s="13"/>
      <c r="U1157" s="5"/>
    </row>
    <row r="1158" spans="1:21" s="3" customFormat="1">
      <c r="A1158" s="21" t="s">
        <v>436</v>
      </c>
      <c r="B1158" s="2"/>
      <c r="C1158" s="13"/>
      <c r="D1158" s="2"/>
      <c r="E1158" s="2"/>
      <c r="F1158" s="16"/>
      <c r="G1158" s="25"/>
      <c r="H1158" s="4"/>
      <c r="I1158" s="4"/>
      <c r="J1158" s="4"/>
      <c r="K1158" s="4"/>
      <c r="L1158" s="4"/>
      <c r="M1158" s="4"/>
      <c r="N1158" s="4"/>
      <c r="O1158" s="4"/>
      <c r="P1158" s="4"/>
      <c r="Q1158" s="4"/>
      <c r="R1158" s="4"/>
      <c r="S1158" s="5"/>
      <c r="T1158" s="13"/>
      <c r="U1158" s="5"/>
    </row>
    <row r="1159" spans="1:21" s="3" customFormat="1">
      <c r="A1159" s="21" t="s">
        <v>436</v>
      </c>
      <c r="B1159" s="2"/>
      <c r="C1159" s="13"/>
      <c r="D1159" s="2"/>
      <c r="E1159" s="2"/>
      <c r="F1159" s="16"/>
      <c r="G1159" s="25"/>
      <c r="H1159" s="4"/>
      <c r="I1159" s="4"/>
      <c r="J1159" s="4"/>
      <c r="K1159" s="4"/>
      <c r="L1159" s="4"/>
      <c r="M1159" s="4"/>
      <c r="N1159" s="4"/>
      <c r="O1159" s="4"/>
      <c r="P1159" s="4"/>
      <c r="Q1159" s="4"/>
      <c r="R1159" s="4"/>
      <c r="S1159" s="5"/>
      <c r="T1159" s="13"/>
      <c r="U1159" s="5"/>
    </row>
    <row r="1160" spans="1:21" s="3" customFormat="1">
      <c r="A1160" s="21" t="s">
        <v>436</v>
      </c>
      <c r="B1160" s="2"/>
      <c r="C1160" s="13"/>
      <c r="D1160" s="2"/>
      <c r="E1160" s="2"/>
      <c r="F1160" s="16"/>
      <c r="G1160" s="25"/>
      <c r="H1160" s="4"/>
      <c r="I1160" s="4"/>
      <c r="J1160" s="4"/>
      <c r="K1160" s="4"/>
      <c r="L1160" s="4"/>
      <c r="M1160" s="4"/>
      <c r="N1160" s="4"/>
      <c r="O1160" s="4"/>
      <c r="P1160" s="4"/>
      <c r="Q1160" s="4"/>
      <c r="R1160" s="4"/>
      <c r="S1160" s="5"/>
      <c r="T1160" s="13"/>
      <c r="U1160" s="5"/>
    </row>
    <row r="1161" spans="1:21">
      <c r="A1161" s="21" t="s">
        <v>436</v>
      </c>
      <c r="C1161" s="13"/>
      <c r="F1161" s="16"/>
      <c r="G1161" s="25"/>
      <c r="H1161" s="18"/>
      <c r="I1161" s="18"/>
      <c r="J1161" s="18"/>
      <c r="K1161" s="18"/>
      <c r="L1161" s="18"/>
      <c r="M1161" s="18"/>
      <c r="N1161" s="18"/>
      <c r="O1161" s="18"/>
      <c r="P1161" s="18"/>
      <c r="Q1161" s="18"/>
      <c r="R1161" s="18"/>
      <c r="S1161" s="5"/>
      <c r="T1161" s="13"/>
      <c r="U1161" s="5"/>
    </row>
  </sheetData>
  <autoFilter ref="A2:R1161" xr:uid="{F15D2B19-AC18-462B-AA3D-79CC91612AA2}"/>
  <phoneticPr fontId="22" type="noConversion"/>
  <conditionalFormatting sqref="A3:Z840 A842:Z100001">
    <cfRule type="expression" dxfId="32" priority="13" stopIfTrue="1">
      <formula>$A3&lt;&gt;""</formula>
    </cfRule>
  </conditionalFormatting>
  <conditionalFormatting sqref="B3:Z840 B842:Z100001">
    <cfRule type="expression" dxfId="31" priority="14" stopIfTrue="1">
      <formula>$B3="Technology"</formula>
    </cfRule>
    <cfRule type="expression" dxfId="30" priority="15" stopIfTrue="1">
      <formula>$B3="Service"</formula>
    </cfRule>
  </conditionalFormatting>
  <conditionalFormatting sqref="C3:C840 C842:C100001">
    <cfRule type="expression" dxfId="29" priority="16" stopIfTrue="1">
      <formula>AND(C3="",$G3&lt;&gt;"")</formula>
    </cfRule>
  </conditionalFormatting>
  <conditionalFormatting sqref="A841:B841 D841:Z841">
    <cfRule type="expression" dxfId="28" priority="9" stopIfTrue="1">
      <formula>$A841&lt;&gt;""</formula>
    </cfRule>
  </conditionalFormatting>
  <conditionalFormatting sqref="B841 D841:Z841">
    <cfRule type="expression" dxfId="27" priority="10" stopIfTrue="1">
      <formula>$B841="Technology"</formula>
    </cfRule>
    <cfRule type="expression" dxfId="26" priority="11" stopIfTrue="1">
      <formula>$B841="Service"</formula>
    </cfRule>
  </conditionalFormatting>
  <conditionalFormatting sqref="C841">
    <cfRule type="expression" dxfId="9" priority="1" stopIfTrue="1">
      <formula>$A841&lt;&gt;""</formula>
    </cfRule>
  </conditionalFormatting>
  <conditionalFormatting sqref="C841">
    <cfRule type="expression" dxfId="8" priority="2" stopIfTrue="1">
      <formula>$B841="Technology"</formula>
    </cfRule>
    <cfRule type="expression" dxfId="7" priority="3" stopIfTrue="1">
      <formula>$B841="Service"</formula>
    </cfRule>
  </conditionalFormatting>
  <conditionalFormatting sqref="C841">
    <cfRule type="expression" dxfId="6" priority="4" stopIfTrue="1">
      <formula>AND(C841="",$G841&lt;&gt;"")</formula>
    </cfRule>
  </conditionalFormatting>
  <dataValidations count="2">
    <dataValidation type="list" allowBlank="1" showInputMessage="1" showErrorMessage="1" sqref="C220:E220 C39:E39 C64:E64 C286:E286 C412:E412 C846:G847 C853:G854 C918:G919 C1017:E1018 C658:E658 C726:E726 C16:E16 C12:E12 C6:E7 C824:G825 C1086:E1086 C1121:E1121 C1127:E1127 C1133:E1133 C24:E24 C1139:E1139" xr:uid="{50CCA800-BDAB-456E-B8F0-6485910F555D}">
      <formula1>Competition</formula1>
    </dataValidation>
    <dataValidation type="list" allowBlank="1" showInputMessage="1" showErrorMessage="1" sqref="C23:E23 C38:E38 C63:E63 C219:E219 C285:E285 C411:E411 C657:E657 C725:E725 C1085:E1085 C1120:E1120 C1126:E1126 C1132:E1132 C1138:E1138" xr:uid="{1EF0DD05-9CA7-6641-8115-FD4EDE6CD4A3}">
      <formula1>"Demand,Supply"</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topLeftCell="A2" workbookViewId="0">
      <selection activeCell="B6" sqref="B6"/>
    </sheetView>
  </sheetViews>
  <sheetFormatPr baseColWidth="10" defaultColWidth="9.1640625" defaultRowHeight="15" outlineLevelRow="1" outlineLevelCol="1"/>
  <cols>
    <col min="1" max="1" width="2.6640625" style="247" customWidth="1"/>
    <col min="2" max="2" width="24" style="278" customWidth="1" outlineLevel="1"/>
    <col min="3" max="3" width="20.5" style="245" customWidth="1" outlineLevel="1"/>
    <col min="4" max="4" width="16.83203125" style="245" customWidth="1" outlineLevel="1"/>
    <col min="5" max="5" width="2.6640625" style="247" customWidth="1"/>
    <col min="6" max="6" width="49.1640625" style="248" customWidth="1"/>
    <col min="7" max="7" width="2.6640625" style="247" customWidth="1"/>
    <col min="8" max="8" width="44" style="248" bestFit="1" customWidth="1"/>
    <col min="9" max="9" width="49.1640625" style="248" customWidth="1"/>
    <col min="10" max="10" width="10.33203125" style="248" bestFit="1" customWidth="1"/>
    <col min="11" max="11" width="27.6640625" style="248" bestFit="1" customWidth="1"/>
    <col min="12" max="12" width="82.6640625" style="249" customWidth="1"/>
    <col min="13" max="13" width="9.1640625" style="286"/>
    <col min="14" max="23" width="9.1640625" style="68"/>
    <col min="24" max="24" width="2.6640625" style="248" customWidth="1"/>
    <col min="25" max="16384" width="9.1640625" style="68"/>
  </cols>
  <sheetData>
    <row r="1" spans="1:85">
      <c r="N1" s="311" t="s">
        <v>414</v>
      </c>
    </row>
    <row r="2" spans="1:85" ht="16">
      <c r="A2" s="223"/>
      <c r="B2" s="274" t="s">
        <v>351</v>
      </c>
      <c r="C2" s="227" t="s">
        <v>357</v>
      </c>
      <c r="D2" s="227" t="s">
        <v>356</v>
      </c>
      <c r="E2" s="223"/>
      <c r="F2" s="224" t="s">
        <v>413</v>
      </c>
      <c r="G2" s="223"/>
      <c r="H2" s="224" t="s">
        <v>9</v>
      </c>
      <c r="I2" s="224" t="s">
        <v>76</v>
      </c>
      <c r="J2" s="224" t="s">
        <v>6</v>
      </c>
      <c r="K2" s="224" t="s">
        <v>15</v>
      </c>
      <c r="L2" s="225" t="s">
        <v>114</v>
      </c>
      <c r="M2" s="284">
        <v>2000</v>
      </c>
      <c r="N2" s="33">
        <v>2005</v>
      </c>
      <c r="O2" s="33">
        <v>2010</v>
      </c>
      <c r="P2" s="33">
        <v>2015</v>
      </c>
      <c r="Q2" s="33">
        <v>2020</v>
      </c>
      <c r="R2" s="33">
        <v>2025</v>
      </c>
      <c r="S2" s="33">
        <v>2030</v>
      </c>
      <c r="T2" s="33">
        <v>2035</v>
      </c>
      <c r="U2" s="33">
        <v>2040</v>
      </c>
      <c r="V2" s="33">
        <v>2045</v>
      </c>
      <c r="W2" s="33">
        <v>2050</v>
      </c>
      <c r="X2" s="226"/>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31" customFormat="1">
      <c r="B3" s="275"/>
      <c r="C3" s="235"/>
      <c r="D3" s="235"/>
      <c r="F3" s="232"/>
      <c r="H3" s="232" t="s">
        <v>345</v>
      </c>
      <c r="I3" s="232"/>
      <c r="K3" s="232"/>
      <c r="L3" s="233"/>
      <c r="M3" s="285"/>
      <c r="X3" s="234"/>
    </row>
    <row r="4" spans="1:85" ht="16" outlineLevel="1">
      <c r="A4" s="236"/>
      <c r="B4" s="276" t="s">
        <v>354</v>
      </c>
      <c r="C4" s="250" t="s">
        <v>359</v>
      </c>
      <c r="D4" s="241">
        <v>2000</v>
      </c>
      <c r="E4" s="236"/>
      <c r="F4" s="237"/>
      <c r="G4" s="236"/>
      <c r="H4" s="237" t="s">
        <v>37</v>
      </c>
      <c r="I4" s="237"/>
      <c r="J4" s="237"/>
      <c r="K4" s="237" t="s">
        <v>39</v>
      </c>
      <c r="L4" s="238" t="s">
        <v>369</v>
      </c>
      <c r="X4" s="239"/>
    </row>
    <row r="5" spans="1:85" s="242" customFormat="1" ht="32" outlineLevel="1">
      <c r="A5" s="236"/>
      <c r="B5" s="276" t="s">
        <v>354</v>
      </c>
      <c r="C5" s="250" t="s">
        <v>359</v>
      </c>
      <c r="D5" s="241">
        <v>2100</v>
      </c>
      <c r="E5" s="236"/>
      <c r="F5" s="237"/>
      <c r="G5" s="236"/>
      <c r="H5" s="237" t="s">
        <v>36</v>
      </c>
      <c r="I5" s="237"/>
      <c r="J5" s="237"/>
      <c r="K5" s="237" t="s">
        <v>39</v>
      </c>
      <c r="L5" s="238" t="s">
        <v>368</v>
      </c>
      <c r="M5" s="287"/>
      <c r="X5" s="239"/>
    </row>
    <row r="6" spans="1:85" s="242" customFormat="1" outlineLevel="1">
      <c r="A6" s="236"/>
      <c r="B6" s="276" t="s">
        <v>354</v>
      </c>
      <c r="C6" s="250" t="s">
        <v>359</v>
      </c>
      <c r="D6" s="241">
        <v>10</v>
      </c>
      <c r="E6" s="236"/>
      <c r="F6" s="237"/>
      <c r="G6" s="236"/>
      <c r="H6" s="237" t="s">
        <v>38</v>
      </c>
      <c r="I6" s="237"/>
      <c r="J6" s="237"/>
      <c r="K6" s="237" t="s">
        <v>10</v>
      </c>
      <c r="L6" s="238"/>
      <c r="M6" s="287"/>
      <c r="X6" s="239"/>
    </row>
    <row r="7" spans="1:85" s="242" customFormat="1" outlineLevel="1">
      <c r="A7" s="236"/>
      <c r="B7" s="277" t="s">
        <v>355</v>
      </c>
      <c r="C7" s="251" t="s">
        <v>360</v>
      </c>
      <c r="D7" s="243"/>
      <c r="E7" s="236"/>
      <c r="F7" s="237"/>
      <c r="G7" s="236"/>
      <c r="H7" s="237" t="s">
        <v>353</v>
      </c>
      <c r="I7" s="237"/>
      <c r="J7" s="237"/>
      <c r="K7" s="237" t="s">
        <v>10</v>
      </c>
      <c r="L7" s="238"/>
      <c r="M7" s="287"/>
      <c r="X7" s="239"/>
    </row>
    <row r="8" spans="1:85" s="242" customFormat="1" outlineLevel="1">
      <c r="A8" s="236"/>
      <c r="B8" s="276" t="s">
        <v>354</v>
      </c>
      <c r="C8" s="250" t="s">
        <v>359</v>
      </c>
      <c r="D8" s="243">
        <v>0.1</v>
      </c>
      <c r="E8" s="236"/>
      <c r="F8" s="237"/>
      <c r="G8" s="236"/>
      <c r="H8" s="237" t="s">
        <v>304</v>
      </c>
      <c r="I8" s="237"/>
      <c r="J8" s="237"/>
      <c r="K8" s="237" t="s">
        <v>96</v>
      </c>
      <c r="L8" s="238"/>
      <c r="M8" s="287"/>
      <c r="X8" s="239"/>
    </row>
    <row r="9" spans="1:85" s="242" customFormat="1" outlineLevel="1">
      <c r="A9" s="236"/>
      <c r="B9" s="276" t="s">
        <v>354</v>
      </c>
      <c r="C9" s="250" t="s">
        <v>359</v>
      </c>
      <c r="D9" s="243">
        <v>0.1</v>
      </c>
      <c r="E9" s="236"/>
      <c r="F9" s="237"/>
      <c r="G9" s="236"/>
      <c r="H9" s="237" t="s">
        <v>350</v>
      </c>
      <c r="I9" s="237"/>
      <c r="J9" s="237"/>
      <c r="K9" s="237" t="s">
        <v>96</v>
      </c>
      <c r="L9" s="238"/>
      <c r="M9" s="287"/>
      <c r="X9" s="239"/>
    </row>
    <row r="10" spans="1:85" s="242" customFormat="1" outlineLevel="1">
      <c r="A10" s="236"/>
      <c r="B10" s="276" t="s">
        <v>354</v>
      </c>
      <c r="C10" s="250" t="s">
        <v>359</v>
      </c>
      <c r="D10" s="243">
        <v>0.1</v>
      </c>
      <c r="E10" s="236"/>
      <c r="F10" s="237"/>
      <c r="G10" s="236"/>
      <c r="H10" s="237" t="s">
        <v>349</v>
      </c>
      <c r="I10" s="237"/>
      <c r="J10" s="237"/>
      <c r="K10" s="237" t="s">
        <v>96</v>
      </c>
      <c r="L10" s="238"/>
      <c r="M10" s="287"/>
      <c r="X10" s="239"/>
    </row>
    <row r="11" spans="1:85" s="242" customFormat="1" ht="16" outlineLevel="1">
      <c r="A11" s="236"/>
      <c r="B11" s="276" t="s">
        <v>354</v>
      </c>
      <c r="C11" s="240" t="s">
        <v>358</v>
      </c>
      <c r="D11" s="241"/>
      <c r="E11" s="236"/>
      <c r="F11" s="237"/>
      <c r="G11" s="236"/>
      <c r="H11" s="237" t="s">
        <v>74</v>
      </c>
      <c r="I11" s="237"/>
      <c r="J11" s="237"/>
      <c r="K11" s="237" t="s">
        <v>96</v>
      </c>
      <c r="L11" s="238" t="s">
        <v>374</v>
      </c>
      <c r="M11" s="287"/>
      <c r="X11" s="239"/>
    </row>
    <row r="12" spans="1:85" s="242" customFormat="1" ht="16" outlineLevel="1">
      <c r="A12" s="236"/>
      <c r="B12" s="276" t="s">
        <v>354</v>
      </c>
      <c r="C12" s="251" t="s">
        <v>360</v>
      </c>
      <c r="D12" s="244">
        <v>1</v>
      </c>
      <c r="E12" s="236"/>
      <c r="F12" s="68"/>
      <c r="G12" s="236"/>
      <c r="H12" s="68" t="s">
        <v>146</v>
      </c>
      <c r="I12" s="68"/>
      <c r="K12" s="68" t="s">
        <v>96</v>
      </c>
      <c r="L12" s="69" t="s">
        <v>364</v>
      </c>
      <c r="M12" s="287"/>
      <c r="X12" s="239"/>
    </row>
    <row r="13" spans="1:85" s="242" customFormat="1" ht="32" outlineLevel="1">
      <c r="A13" s="236"/>
      <c r="B13" s="276" t="s">
        <v>354</v>
      </c>
      <c r="C13" s="251" t="s">
        <v>360</v>
      </c>
      <c r="D13" s="244">
        <v>0</v>
      </c>
      <c r="E13" s="236"/>
      <c r="F13" s="68"/>
      <c r="G13" s="236"/>
      <c r="H13" s="68" t="s">
        <v>147</v>
      </c>
      <c r="I13" s="68"/>
      <c r="K13" s="68" t="s">
        <v>96</v>
      </c>
      <c r="L13" s="69" t="s">
        <v>365</v>
      </c>
      <c r="M13" s="287"/>
      <c r="X13" s="239"/>
    </row>
    <row r="14" spans="1:85" s="242" customFormat="1" ht="16" outlineLevel="1">
      <c r="A14" s="236"/>
      <c r="B14" s="276" t="s">
        <v>354</v>
      </c>
      <c r="C14" s="251" t="s">
        <v>360</v>
      </c>
      <c r="D14" s="244">
        <v>1</v>
      </c>
      <c r="E14" s="236"/>
      <c r="F14" s="68"/>
      <c r="G14" s="236"/>
      <c r="H14" s="68" t="s">
        <v>362</v>
      </c>
      <c r="I14" s="68"/>
      <c r="K14" s="68" t="s">
        <v>96</v>
      </c>
      <c r="L14" s="69" t="s">
        <v>366</v>
      </c>
      <c r="M14" s="287"/>
      <c r="X14" s="239"/>
    </row>
    <row r="15" spans="1:85" s="242" customFormat="1" ht="16" outlineLevel="1">
      <c r="A15" s="236"/>
      <c r="B15" s="276" t="s">
        <v>354</v>
      </c>
      <c r="C15" s="251" t="s">
        <v>360</v>
      </c>
      <c r="D15" s="244">
        <v>0</v>
      </c>
      <c r="E15" s="236"/>
      <c r="F15" s="68"/>
      <c r="G15" s="236"/>
      <c r="H15" s="68" t="s">
        <v>363</v>
      </c>
      <c r="I15" s="68"/>
      <c r="K15" s="68" t="s">
        <v>96</v>
      </c>
      <c r="L15" s="69" t="s">
        <v>367</v>
      </c>
      <c r="M15" s="287"/>
      <c r="X15" s="239"/>
    </row>
    <row r="16" spans="1:85" s="242" customFormat="1" ht="16" outlineLevel="1">
      <c r="A16" s="236"/>
      <c r="B16" s="277" t="s">
        <v>355</v>
      </c>
      <c r="C16" s="250" t="s">
        <v>359</v>
      </c>
      <c r="D16" s="241">
        <v>1</v>
      </c>
      <c r="E16" s="236"/>
      <c r="F16" s="237"/>
      <c r="G16" s="236"/>
      <c r="H16" s="237" t="s">
        <v>332</v>
      </c>
      <c r="I16" s="237"/>
      <c r="J16" s="237"/>
      <c r="K16" s="237" t="s">
        <v>348</v>
      </c>
      <c r="L16" s="238" t="s">
        <v>373</v>
      </c>
      <c r="M16" s="287"/>
      <c r="X16" s="239"/>
    </row>
    <row r="17" spans="1:24" s="242" customFormat="1" ht="32" outlineLevel="1">
      <c r="A17" s="236"/>
      <c r="B17" s="277" t="s">
        <v>355</v>
      </c>
      <c r="C17" s="250" t="s">
        <v>359</v>
      </c>
      <c r="D17" s="244">
        <v>0</v>
      </c>
      <c r="E17" s="236"/>
      <c r="F17" s="237"/>
      <c r="G17" s="236"/>
      <c r="H17" s="237" t="s">
        <v>150</v>
      </c>
      <c r="I17" s="237"/>
      <c r="J17" s="237"/>
      <c r="K17" s="237" t="s">
        <v>316</v>
      </c>
      <c r="L17" s="238" t="s">
        <v>372</v>
      </c>
      <c r="M17" s="287"/>
      <c r="X17" s="239"/>
    </row>
    <row r="18" spans="1:24" s="242" customFormat="1" ht="64" outlineLevel="1">
      <c r="A18" s="236"/>
      <c r="B18" s="277" t="s">
        <v>355</v>
      </c>
      <c r="C18" s="250" t="s">
        <v>359</v>
      </c>
      <c r="D18" s="244">
        <v>0</v>
      </c>
      <c r="E18" s="236"/>
      <c r="F18" s="237"/>
      <c r="G18" s="236"/>
      <c r="H18" s="237" t="s">
        <v>375</v>
      </c>
      <c r="I18" s="237"/>
      <c r="J18" s="237"/>
      <c r="K18" s="237" t="s">
        <v>96</v>
      </c>
      <c r="L18" s="238" t="s">
        <v>393</v>
      </c>
      <c r="M18" s="287"/>
      <c r="X18" s="239"/>
    </row>
    <row r="19" spans="1:24" s="242" customFormat="1" ht="16" outlineLevel="1">
      <c r="A19" s="236"/>
      <c r="B19" s="277" t="s">
        <v>355</v>
      </c>
      <c r="C19" s="250" t="s">
        <v>359</v>
      </c>
      <c r="D19" s="244">
        <v>0</v>
      </c>
      <c r="E19" s="236"/>
      <c r="F19" s="237"/>
      <c r="G19" s="236"/>
      <c r="H19" s="237" t="s">
        <v>432</v>
      </c>
      <c r="I19" s="237"/>
      <c r="J19" s="237"/>
      <c r="K19" s="237" t="s">
        <v>348</v>
      </c>
      <c r="L19" s="238" t="s">
        <v>433</v>
      </c>
      <c r="M19" s="287"/>
      <c r="X19" s="239"/>
    </row>
    <row r="20" spans="1:24" s="242" customFormat="1" ht="16" outlineLevel="1">
      <c r="A20" s="236"/>
      <c r="B20" s="277" t="s">
        <v>355</v>
      </c>
      <c r="C20" s="250" t="s">
        <v>359</v>
      </c>
      <c r="D20" s="244">
        <v>1</v>
      </c>
      <c r="E20" s="236"/>
      <c r="F20" s="237"/>
      <c r="G20" s="236"/>
      <c r="H20" s="237" t="s">
        <v>379</v>
      </c>
      <c r="I20" s="237"/>
      <c r="J20" s="237"/>
      <c r="K20" s="237"/>
      <c r="L20" s="238" t="s">
        <v>380</v>
      </c>
      <c r="M20" s="287"/>
      <c r="X20" s="239"/>
    </row>
    <row r="21" spans="1:24" s="242" customFormat="1" ht="16" outlineLevel="1">
      <c r="A21" s="236"/>
      <c r="B21" s="277" t="s">
        <v>355</v>
      </c>
      <c r="C21" s="250" t="s">
        <v>359</v>
      </c>
      <c r="D21" s="244">
        <v>0</v>
      </c>
      <c r="E21" s="236"/>
      <c r="F21" s="237"/>
      <c r="G21" s="236"/>
      <c r="H21" s="237" t="s">
        <v>361</v>
      </c>
      <c r="I21" s="237"/>
      <c r="J21" s="237"/>
      <c r="K21" s="237" t="s">
        <v>96</v>
      </c>
      <c r="L21" s="238" t="s">
        <v>394</v>
      </c>
      <c r="M21" s="287"/>
      <c r="X21" s="239"/>
    </row>
    <row r="22" spans="1:24" s="242" customFormat="1" ht="32" outlineLevel="1">
      <c r="A22" s="236"/>
      <c r="B22" s="277" t="s">
        <v>355</v>
      </c>
      <c r="C22" s="250" t="s">
        <v>359</v>
      </c>
      <c r="D22" s="244">
        <v>0</v>
      </c>
      <c r="E22" s="236"/>
      <c r="F22" s="237"/>
      <c r="G22" s="236"/>
      <c r="H22" s="237" t="s">
        <v>384</v>
      </c>
      <c r="I22" s="237"/>
      <c r="J22" s="237"/>
      <c r="K22" s="237" t="s">
        <v>316</v>
      </c>
      <c r="L22" s="238" t="s">
        <v>371</v>
      </c>
      <c r="M22" s="287"/>
      <c r="X22" s="239"/>
    </row>
    <row r="23" spans="1:24" s="242" customFormat="1" ht="32" outlineLevel="1">
      <c r="A23" s="236"/>
      <c r="B23" s="277" t="s">
        <v>355</v>
      </c>
      <c r="C23" s="250" t="s">
        <v>359</v>
      </c>
      <c r="D23" s="244">
        <v>0</v>
      </c>
      <c r="E23" s="236"/>
      <c r="F23" s="237"/>
      <c r="G23" s="236"/>
      <c r="H23" s="237" t="s">
        <v>386</v>
      </c>
      <c r="I23" s="237"/>
      <c r="J23" s="237"/>
      <c r="K23" s="237" t="s">
        <v>316</v>
      </c>
      <c r="L23" s="238" t="s">
        <v>392</v>
      </c>
      <c r="M23" s="287"/>
      <c r="X23" s="239"/>
    </row>
    <row r="24" spans="1:24" s="242" customFormat="1" outlineLevel="1">
      <c r="A24" s="236"/>
      <c r="B24" s="277" t="s">
        <v>355</v>
      </c>
      <c r="C24" s="250" t="s">
        <v>359</v>
      </c>
      <c r="D24" s="244">
        <v>0</v>
      </c>
      <c r="E24" s="236"/>
      <c r="F24" s="237"/>
      <c r="G24" s="236"/>
      <c r="H24" s="237" t="s">
        <v>387</v>
      </c>
      <c r="I24" s="237"/>
      <c r="J24" s="237"/>
      <c r="K24" s="237"/>
      <c r="L24" s="238"/>
      <c r="M24" s="287"/>
      <c r="X24" s="239"/>
    </row>
    <row r="25" spans="1:24" s="242" customFormat="1" outlineLevel="1">
      <c r="A25" s="236"/>
      <c r="B25" s="277" t="s">
        <v>355</v>
      </c>
      <c r="C25" s="250" t="s">
        <v>359</v>
      </c>
      <c r="D25" s="244">
        <v>0</v>
      </c>
      <c r="E25" s="236"/>
      <c r="F25" s="237"/>
      <c r="G25" s="236"/>
      <c r="H25" s="237" t="s">
        <v>388</v>
      </c>
      <c r="I25" s="237"/>
      <c r="J25" s="237"/>
      <c r="K25" s="237"/>
      <c r="L25" s="238"/>
      <c r="M25" s="287"/>
      <c r="X25" s="239"/>
    </row>
    <row r="26" spans="1:24" s="242" customFormat="1" ht="16" outlineLevel="1">
      <c r="A26" s="236"/>
      <c r="B26" s="277" t="s">
        <v>355</v>
      </c>
      <c r="C26" s="250" t="s">
        <v>359</v>
      </c>
      <c r="D26" s="244">
        <v>0</v>
      </c>
      <c r="E26" s="236"/>
      <c r="F26" s="237"/>
      <c r="G26" s="236"/>
      <c r="H26" s="237" t="s">
        <v>385</v>
      </c>
      <c r="I26" s="237"/>
      <c r="J26" s="237"/>
      <c r="K26" s="237" t="s">
        <v>347</v>
      </c>
      <c r="L26" s="238" t="s">
        <v>424</v>
      </c>
      <c r="M26" s="287"/>
      <c r="X26" s="239"/>
    </row>
    <row r="27" spans="1:24" s="242" customFormat="1" ht="45" customHeight="1" outlineLevel="1">
      <c r="A27" s="236"/>
      <c r="B27" s="277" t="s">
        <v>355</v>
      </c>
      <c r="C27" s="250" t="s">
        <v>359</v>
      </c>
      <c r="D27" s="244">
        <v>0</v>
      </c>
      <c r="E27" s="236"/>
      <c r="F27" s="237"/>
      <c r="G27" s="236"/>
      <c r="H27" s="237" t="s">
        <v>389</v>
      </c>
      <c r="I27" s="237"/>
      <c r="J27" s="237"/>
      <c r="K27" s="237" t="s">
        <v>347</v>
      </c>
      <c r="L27" s="238" t="s">
        <v>425</v>
      </c>
      <c r="M27" s="287"/>
      <c r="X27" s="239"/>
    </row>
    <row r="28" spans="1:24" s="242" customFormat="1" outlineLevel="1">
      <c r="A28" s="236"/>
      <c r="B28" s="277" t="s">
        <v>355</v>
      </c>
      <c r="C28" s="250" t="s">
        <v>359</v>
      </c>
      <c r="D28" s="244">
        <v>0</v>
      </c>
      <c r="E28" s="236"/>
      <c r="F28" s="237"/>
      <c r="G28" s="236"/>
      <c r="H28" s="237" t="s">
        <v>390</v>
      </c>
      <c r="I28" s="237"/>
      <c r="J28" s="237"/>
      <c r="K28" s="237"/>
      <c r="L28" s="238"/>
      <c r="M28" s="287"/>
      <c r="X28" s="239"/>
    </row>
    <row r="29" spans="1:24" s="242" customFormat="1" outlineLevel="1">
      <c r="A29" s="236"/>
      <c r="B29" s="277" t="s">
        <v>355</v>
      </c>
      <c r="C29" s="250" t="s">
        <v>359</v>
      </c>
      <c r="D29" s="244">
        <v>0</v>
      </c>
      <c r="E29" s="236"/>
      <c r="F29" s="237"/>
      <c r="G29" s="236"/>
      <c r="H29" s="237" t="s">
        <v>391</v>
      </c>
      <c r="I29" s="237"/>
      <c r="J29" s="237"/>
      <c r="K29" s="237"/>
      <c r="L29" s="238"/>
      <c r="M29" s="287"/>
      <c r="X29" s="239"/>
    </row>
    <row r="30" spans="1:24" s="242" customFormat="1" ht="16" outlineLevel="1">
      <c r="A30" s="236"/>
      <c r="B30" s="277" t="s">
        <v>355</v>
      </c>
      <c r="C30" s="250" t="s">
        <v>359</v>
      </c>
      <c r="D30" s="244">
        <v>0</v>
      </c>
      <c r="E30" s="236"/>
      <c r="F30" s="237"/>
      <c r="G30" s="236"/>
      <c r="H30" s="237" t="s">
        <v>305</v>
      </c>
      <c r="I30" s="237"/>
      <c r="J30" s="237"/>
      <c r="K30" s="237" t="s">
        <v>347</v>
      </c>
      <c r="L30" s="238" t="s">
        <v>423</v>
      </c>
      <c r="M30" s="287"/>
      <c r="X30" s="239"/>
    </row>
    <row r="31" spans="1:24" s="242" customFormat="1" ht="32" outlineLevel="1">
      <c r="A31" s="236"/>
      <c r="B31" s="277" t="s">
        <v>355</v>
      </c>
      <c r="C31" s="251" t="s">
        <v>360</v>
      </c>
      <c r="D31" s="244">
        <v>0</v>
      </c>
      <c r="E31" s="236"/>
      <c r="F31" s="237"/>
      <c r="G31" s="236"/>
      <c r="H31" s="237" t="s">
        <v>352</v>
      </c>
      <c r="I31" s="237"/>
      <c r="J31" s="237"/>
      <c r="K31" s="237" t="s">
        <v>316</v>
      </c>
      <c r="L31" s="238" t="s">
        <v>370</v>
      </c>
      <c r="M31" s="287"/>
      <c r="X31" s="239"/>
    </row>
    <row r="32" spans="1:24" s="242" customFormat="1" outlineLevel="1">
      <c r="A32" s="236"/>
      <c r="B32" s="277" t="s">
        <v>355</v>
      </c>
      <c r="C32" s="251" t="s">
        <v>360</v>
      </c>
      <c r="D32" s="241"/>
      <c r="E32" s="236"/>
      <c r="F32" s="237"/>
      <c r="G32" s="236"/>
      <c r="H32" s="237" t="s">
        <v>301</v>
      </c>
      <c r="I32" s="237"/>
      <c r="J32" s="237" t="s">
        <v>410</v>
      </c>
      <c r="K32" s="237" t="s">
        <v>346</v>
      </c>
      <c r="L32" s="237"/>
      <c r="M32" s="287"/>
      <c r="X32" s="239"/>
    </row>
    <row r="33" spans="1:24" s="242" customFormat="1" outlineLevel="1">
      <c r="A33" s="236"/>
      <c r="B33" s="277" t="s">
        <v>355</v>
      </c>
      <c r="C33" s="251" t="s">
        <v>360</v>
      </c>
      <c r="D33" s="241"/>
      <c r="E33" s="236"/>
      <c r="F33" s="237"/>
      <c r="G33" s="236"/>
      <c r="H33" s="237" t="s">
        <v>301</v>
      </c>
      <c r="I33" s="237"/>
      <c r="J33" s="237" t="s">
        <v>411</v>
      </c>
      <c r="K33" s="237" t="s">
        <v>346</v>
      </c>
      <c r="L33" s="237"/>
      <c r="M33" s="287"/>
      <c r="X33" s="239"/>
    </row>
    <row r="34" spans="1:24" s="242" customFormat="1" outlineLevel="1">
      <c r="A34" s="236"/>
      <c r="B34" s="277" t="s">
        <v>355</v>
      </c>
      <c r="C34" s="251" t="s">
        <v>360</v>
      </c>
      <c r="D34" s="241"/>
      <c r="E34" s="236"/>
      <c r="F34" s="237"/>
      <c r="G34" s="236"/>
      <c r="H34" s="237" t="s">
        <v>301</v>
      </c>
      <c r="I34" s="237"/>
      <c r="J34" s="237" t="s">
        <v>412</v>
      </c>
      <c r="K34" s="237" t="s">
        <v>346</v>
      </c>
      <c r="L34" s="237"/>
      <c r="M34" s="287"/>
      <c r="X34" s="239"/>
    </row>
    <row r="35" spans="1:24" s="242" customFormat="1">
      <c r="A35" s="236"/>
      <c r="B35" s="278"/>
      <c r="C35" s="245"/>
      <c r="D35" s="245"/>
      <c r="E35" s="236"/>
      <c r="F35" s="237"/>
      <c r="G35" s="236"/>
      <c r="H35" s="237"/>
      <c r="I35" s="237"/>
      <c r="J35" s="237"/>
      <c r="K35" s="237"/>
      <c r="L35" s="238"/>
      <c r="M35" s="287"/>
      <c r="X35" s="239"/>
    </row>
    <row r="36" spans="1:24" s="300" customFormat="1">
      <c r="A36" s="293"/>
      <c r="B36" s="294"/>
      <c r="C36" s="295"/>
      <c r="D36" s="295"/>
      <c r="E36" s="293"/>
      <c r="F36" s="296"/>
      <c r="G36" s="293"/>
      <c r="H36" s="297" t="s">
        <v>0</v>
      </c>
      <c r="I36" s="296"/>
      <c r="J36" s="296"/>
      <c r="K36" s="296"/>
      <c r="L36" s="298"/>
      <c r="M36" s="299"/>
      <c r="X36" s="301"/>
    </row>
    <row r="37" spans="1:24" s="309" customFormat="1">
      <c r="A37" s="302"/>
      <c r="B37" s="303"/>
      <c r="C37" s="304"/>
      <c r="D37" s="304"/>
      <c r="E37" s="302"/>
      <c r="F37" s="305"/>
      <c r="G37" s="302"/>
      <c r="H37" s="306" t="s">
        <v>1</v>
      </c>
      <c r="I37" s="305"/>
      <c r="J37" s="305"/>
      <c r="K37" s="305"/>
      <c r="L37" s="307"/>
      <c r="M37" s="308"/>
      <c r="X37" s="310"/>
    </row>
    <row r="38" spans="1:24" s="290" customFormat="1">
      <c r="A38" s="231"/>
      <c r="B38" s="289"/>
      <c r="C38" s="215"/>
      <c r="D38" s="215"/>
      <c r="E38" s="231"/>
      <c r="F38" s="212"/>
      <c r="G38" s="231"/>
      <c r="H38" s="288" t="s">
        <v>50</v>
      </c>
      <c r="I38" s="212"/>
      <c r="J38" s="211"/>
      <c r="K38" s="211"/>
      <c r="L38" s="215" t="s">
        <v>27</v>
      </c>
      <c r="M38" s="289"/>
      <c r="N38" s="215"/>
      <c r="O38" s="215"/>
      <c r="P38" s="215"/>
      <c r="Q38" s="215"/>
      <c r="R38" s="215"/>
      <c r="S38" s="215"/>
      <c r="T38" s="215"/>
      <c r="U38" s="215"/>
      <c r="V38" s="215"/>
      <c r="W38" s="215"/>
      <c r="X38" s="234"/>
    </row>
    <row r="39" spans="1:24" s="242" customFormat="1" outlineLevel="1">
      <c r="A39" s="236"/>
      <c r="B39" s="279"/>
      <c r="C39" s="266"/>
      <c r="D39" s="266"/>
      <c r="E39" s="236"/>
      <c r="F39" s="237"/>
      <c r="G39" s="236"/>
      <c r="H39" s="237" t="s">
        <v>37</v>
      </c>
      <c r="I39" s="237"/>
      <c r="J39" s="237"/>
      <c r="K39" s="67" t="s">
        <v>39</v>
      </c>
      <c r="L39" s="273" t="s">
        <v>27</v>
      </c>
      <c r="M39" s="279">
        <v>1940</v>
      </c>
      <c r="N39" s="266">
        <f t="shared" ref="N39:W41" si="0">M39</f>
        <v>1940</v>
      </c>
      <c r="O39" s="266">
        <f t="shared" si="0"/>
        <v>1940</v>
      </c>
      <c r="P39" s="266">
        <f t="shared" si="0"/>
        <v>1940</v>
      </c>
      <c r="Q39" s="266">
        <f t="shared" si="0"/>
        <v>1940</v>
      </c>
      <c r="R39" s="266">
        <f t="shared" si="0"/>
        <v>1940</v>
      </c>
      <c r="S39" s="266">
        <f t="shared" si="0"/>
        <v>1940</v>
      </c>
      <c r="T39" s="266">
        <f t="shared" si="0"/>
        <v>1940</v>
      </c>
      <c r="U39" s="266">
        <f t="shared" si="0"/>
        <v>1940</v>
      </c>
      <c r="V39" s="266">
        <f t="shared" si="0"/>
        <v>1940</v>
      </c>
      <c r="W39" s="266">
        <f t="shared" si="0"/>
        <v>1940</v>
      </c>
      <c r="X39" s="239"/>
    </row>
    <row r="40" spans="1:24" s="242" customFormat="1" outlineLevel="1">
      <c r="A40" s="236"/>
      <c r="B40" s="279"/>
      <c r="C40" s="266"/>
      <c r="D40" s="266"/>
      <c r="E40" s="236"/>
      <c r="F40" s="237"/>
      <c r="G40" s="236"/>
      <c r="H40" s="237" t="s">
        <v>36</v>
      </c>
      <c r="I40" s="237"/>
      <c r="J40" s="237"/>
      <c r="K40" s="67" t="s">
        <v>39</v>
      </c>
      <c r="L40" s="273" t="s">
        <v>27</v>
      </c>
      <c r="M40" s="279">
        <v>2000</v>
      </c>
      <c r="N40" s="266">
        <f t="shared" si="0"/>
        <v>2000</v>
      </c>
      <c r="O40" s="266">
        <f t="shared" si="0"/>
        <v>2000</v>
      </c>
      <c r="P40" s="266">
        <f t="shared" si="0"/>
        <v>2000</v>
      </c>
      <c r="Q40" s="266">
        <f t="shared" si="0"/>
        <v>2000</v>
      </c>
      <c r="R40" s="266">
        <f t="shared" si="0"/>
        <v>2000</v>
      </c>
      <c r="S40" s="266">
        <f t="shared" si="0"/>
        <v>2000</v>
      </c>
      <c r="T40" s="266">
        <f t="shared" si="0"/>
        <v>2000</v>
      </c>
      <c r="U40" s="266">
        <f t="shared" si="0"/>
        <v>2000</v>
      </c>
      <c r="V40" s="266">
        <f t="shared" si="0"/>
        <v>2000</v>
      </c>
      <c r="W40" s="266">
        <f t="shared" si="0"/>
        <v>2000</v>
      </c>
      <c r="X40" s="239"/>
    </row>
    <row r="41" spans="1:24" s="242" customFormat="1" outlineLevel="1">
      <c r="A41" s="236"/>
      <c r="B41" s="280"/>
      <c r="C41" s="221"/>
      <c r="D41" s="221"/>
      <c r="E41" s="236"/>
      <c r="F41" s="237"/>
      <c r="G41" s="236"/>
      <c r="H41" s="237" t="s">
        <v>38</v>
      </c>
      <c r="I41" s="237"/>
      <c r="J41" s="237"/>
      <c r="K41" s="67" t="s">
        <v>10</v>
      </c>
      <c r="L41" s="273" t="s">
        <v>27</v>
      </c>
      <c r="M41" s="280">
        <v>25</v>
      </c>
      <c r="N41" s="221">
        <f t="shared" si="0"/>
        <v>25</v>
      </c>
      <c r="O41" s="221">
        <f t="shared" si="0"/>
        <v>25</v>
      </c>
      <c r="P41" s="221">
        <f t="shared" si="0"/>
        <v>25</v>
      </c>
      <c r="Q41" s="221">
        <f t="shared" si="0"/>
        <v>25</v>
      </c>
      <c r="R41" s="221">
        <f t="shared" si="0"/>
        <v>25</v>
      </c>
      <c r="S41" s="221">
        <f t="shared" si="0"/>
        <v>25</v>
      </c>
      <c r="T41" s="221">
        <f t="shared" si="0"/>
        <v>25</v>
      </c>
      <c r="U41" s="221">
        <f t="shared" si="0"/>
        <v>25</v>
      </c>
      <c r="V41" s="221">
        <f t="shared" si="0"/>
        <v>25</v>
      </c>
      <c r="W41" s="221">
        <f t="shared" si="0"/>
        <v>25</v>
      </c>
      <c r="X41" s="239"/>
    </row>
    <row r="42" spans="1:24" s="242" customFormat="1" outlineLevel="1">
      <c r="A42" s="236"/>
      <c r="B42" s="280"/>
      <c r="C42" s="55"/>
      <c r="D42" s="55"/>
      <c r="E42" s="236"/>
      <c r="F42" s="237"/>
      <c r="G42" s="236"/>
      <c r="H42" s="237" t="s">
        <v>353</v>
      </c>
      <c r="I42" s="237"/>
      <c r="J42" s="237"/>
      <c r="K42" s="237" t="s">
        <v>10</v>
      </c>
      <c r="L42" s="273" t="s">
        <v>27</v>
      </c>
      <c r="M42" s="280"/>
      <c r="N42" s="55"/>
      <c r="O42" s="55"/>
      <c r="P42" s="55"/>
      <c r="Q42" s="55"/>
      <c r="R42" s="55"/>
      <c r="S42" s="55"/>
      <c r="T42" s="55"/>
      <c r="U42" s="55"/>
      <c r="V42" s="55"/>
      <c r="W42" s="55"/>
      <c r="X42" s="239"/>
    </row>
    <row r="43" spans="1:24" s="242" customFormat="1" outlineLevel="1">
      <c r="A43" s="236"/>
      <c r="B43" s="281"/>
      <c r="C43" s="262"/>
      <c r="D43" s="262"/>
      <c r="E43" s="236"/>
      <c r="F43" s="237"/>
      <c r="G43" s="236"/>
      <c r="H43" s="237" t="s">
        <v>304</v>
      </c>
      <c r="I43" s="237"/>
      <c r="J43" s="237"/>
      <c r="K43" s="67" t="s">
        <v>96</v>
      </c>
      <c r="L43" s="273" t="s">
        <v>27</v>
      </c>
      <c r="M43" s="281">
        <v>0.25</v>
      </c>
      <c r="N43" s="262">
        <f t="shared" ref="N43:W43" si="1">M43</f>
        <v>0.25</v>
      </c>
      <c r="O43" s="262">
        <f t="shared" si="1"/>
        <v>0.25</v>
      </c>
      <c r="P43" s="262">
        <f t="shared" si="1"/>
        <v>0.25</v>
      </c>
      <c r="Q43" s="262">
        <f t="shared" si="1"/>
        <v>0.25</v>
      </c>
      <c r="R43" s="262">
        <f t="shared" si="1"/>
        <v>0.25</v>
      </c>
      <c r="S43" s="262">
        <f t="shared" si="1"/>
        <v>0.25</v>
      </c>
      <c r="T43" s="262">
        <f t="shared" si="1"/>
        <v>0.25</v>
      </c>
      <c r="U43" s="262">
        <f t="shared" si="1"/>
        <v>0.25</v>
      </c>
      <c r="V43" s="262">
        <f t="shared" si="1"/>
        <v>0.25</v>
      </c>
      <c r="W43" s="262">
        <f t="shared" si="1"/>
        <v>0.25</v>
      </c>
      <c r="X43" s="239"/>
    </row>
    <row r="44" spans="1:24" s="242" customFormat="1" outlineLevel="1">
      <c r="A44" s="236"/>
      <c r="B44" s="281"/>
      <c r="C44" s="261"/>
      <c r="D44" s="261"/>
      <c r="E44" s="236"/>
      <c r="F44" s="237"/>
      <c r="G44" s="236"/>
      <c r="H44" s="237" t="s">
        <v>350</v>
      </c>
      <c r="I44" s="237"/>
      <c r="J44" s="237"/>
      <c r="K44" s="237" t="s">
        <v>96</v>
      </c>
      <c r="L44" s="273" t="s">
        <v>27</v>
      </c>
      <c r="M44" s="281"/>
      <c r="N44" s="261"/>
      <c r="O44" s="261"/>
      <c r="P44" s="261"/>
      <c r="Q44" s="261"/>
      <c r="R44" s="261"/>
      <c r="S44" s="261"/>
      <c r="T44" s="261"/>
      <c r="U44" s="261"/>
      <c r="V44" s="261"/>
      <c r="W44" s="261"/>
      <c r="X44" s="239"/>
    </row>
    <row r="45" spans="1:24" s="242" customFormat="1" outlineLevel="1">
      <c r="A45" s="236"/>
      <c r="B45" s="281"/>
      <c r="C45" s="261"/>
      <c r="D45" s="261"/>
      <c r="E45" s="236"/>
      <c r="F45" s="237"/>
      <c r="G45" s="236"/>
      <c r="H45" s="237" t="s">
        <v>349</v>
      </c>
      <c r="I45" s="237"/>
      <c r="J45" s="237"/>
      <c r="K45" s="237" t="s">
        <v>96</v>
      </c>
      <c r="L45" s="273" t="s">
        <v>27</v>
      </c>
      <c r="M45" s="281"/>
      <c r="N45" s="261"/>
      <c r="O45" s="261"/>
      <c r="P45" s="261"/>
      <c r="Q45" s="261"/>
      <c r="R45" s="261"/>
      <c r="S45" s="261"/>
      <c r="T45" s="261"/>
      <c r="U45" s="261"/>
      <c r="V45" s="261"/>
      <c r="W45" s="261"/>
      <c r="X45" s="239"/>
    </row>
    <row r="46" spans="1:24" s="242" customFormat="1" outlineLevel="1">
      <c r="A46" s="236"/>
      <c r="B46" s="281"/>
      <c r="C46" s="261"/>
      <c r="D46" s="261"/>
      <c r="E46" s="236"/>
      <c r="F46" s="237"/>
      <c r="G46" s="236"/>
      <c r="H46" s="237" t="s">
        <v>74</v>
      </c>
      <c r="I46" s="237"/>
      <c r="J46" s="237"/>
      <c r="K46" s="67" t="s">
        <v>96</v>
      </c>
      <c r="L46" s="273" t="s">
        <v>27</v>
      </c>
      <c r="M46" s="281">
        <v>0.16700000000000001</v>
      </c>
      <c r="N46" s="261"/>
      <c r="O46" s="261"/>
      <c r="P46" s="261"/>
      <c r="Q46" s="261"/>
      <c r="R46" s="261"/>
      <c r="S46" s="261"/>
      <c r="T46" s="261"/>
      <c r="U46" s="261"/>
      <c r="V46" s="261"/>
      <c r="W46" s="261"/>
      <c r="X46" s="239"/>
    </row>
    <row r="47" spans="1:24" s="242" customFormat="1" outlineLevel="1">
      <c r="A47" s="236"/>
      <c r="B47" s="281"/>
      <c r="C47" s="261"/>
      <c r="D47" s="261"/>
      <c r="E47" s="236"/>
      <c r="F47" s="68"/>
      <c r="G47" s="236"/>
      <c r="H47" s="68" t="s">
        <v>146</v>
      </c>
      <c r="I47" s="68"/>
      <c r="K47" s="68" t="s">
        <v>96</v>
      </c>
      <c r="L47" s="273" t="s">
        <v>27</v>
      </c>
      <c r="M47" s="281"/>
      <c r="N47" s="261"/>
      <c r="O47" s="261"/>
      <c r="P47" s="261"/>
      <c r="Q47" s="261"/>
      <c r="R47" s="261"/>
      <c r="S47" s="261"/>
      <c r="T47" s="261"/>
      <c r="U47" s="261"/>
      <c r="V47" s="261"/>
      <c r="W47" s="261"/>
      <c r="X47" s="239"/>
    </row>
    <row r="48" spans="1:24" s="242" customFormat="1" outlineLevel="1">
      <c r="A48" s="236"/>
      <c r="B48" s="281"/>
      <c r="C48" s="261"/>
      <c r="D48" s="261"/>
      <c r="E48" s="236"/>
      <c r="F48" s="68"/>
      <c r="G48" s="236"/>
      <c r="H48" s="68" t="s">
        <v>147</v>
      </c>
      <c r="I48" s="68"/>
      <c r="K48" s="68" t="s">
        <v>96</v>
      </c>
      <c r="L48" s="273" t="s">
        <v>27</v>
      </c>
      <c r="M48" s="281"/>
      <c r="N48" s="261"/>
      <c r="O48" s="261"/>
      <c r="P48" s="261"/>
      <c r="Q48" s="261"/>
      <c r="R48" s="261"/>
      <c r="S48" s="261"/>
      <c r="T48" s="261"/>
      <c r="U48" s="261"/>
      <c r="V48" s="261"/>
      <c r="W48" s="261"/>
      <c r="X48" s="239"/>
    </row>
    <row r="49" spans="1:24" s="242" customFormat="1" outlineLevel="1">
      <c r="A49" s="236"/>
      <c r="B49" s="281"/>
      <c r="C49" s="261"/>
      <c r="D49" s="261"/>
      <c r="E49" s="236"/>
      <c r="F49" s="68"/>
      <c r="G49" s="236"/>
      <c r="H49" s="68" t="s">
        <v>362</v>
      </c>
      <c r="I49" s="68"/>
      <c r="K49" s="68" t="s">
        <v>96</v>
      </c>
      <c r="L49" s="273" t="s">
        <v>27</v>
      </c>
      <c r="M49" s="281"/>
      <c r="N49" s="261"/>
      <c r="O49" s="261"/>
      <c r="P49" s="261"/>
      <c r="Q49" s="261"/>
      <c r="R49" s="261"/>
      <c r="S49" s="261"/>
      <c r="T49" s="261"/>
      <c r="U49" s="261"/>
      <c r="V49" s="261"/>
      <c r="W49" s="261"/>
      <c r="X49" s="239"/>
    </row>
    <row r="50" spans="1:24" s="242" customFormat="1" outlineLevel="1">
      <c r="A50" s="236"/>
      <c r="B50" s="281"/>
      <c r="C50" s="261"/>
      <c r="D50" s="261"/>
      <c r="E50" s="236"/>
      <c r="F50" s="68"/>
      <c r="G50" s="236"/>
      <c r="H50" s="68" t="s">
        <v>363</v>
      </c>
      <c r="I50" s="68"/>
      <c r="K50" s="68" t="s">
        <v>96</v>
      </c>
      <c r="L50" s="273" t="s">
        <v>27</v>
      </c>
      <c r="M50" s="281"/>
      <c r="N50" s="261"/>
      <c r="O50" s="261"/>
      <c r="P50" s="261"/>
      <c r="Q50" s="261"/>
      <c r="R50" s="261"/>
      <c r="S50" s="261"/>
      <c r="T50" s="261"/>
      <c r="U50" s="261"/>
      <c r="V50" s="261"/>
      <c r="W50" s="261"/>
      <c r="X50" s="239"/>
    </row>
    <row r="51" spans="1:24" s="242" customFormat="1" outlineLevel="1">
      <c r="A51" s="236"/>
      <c r="B51" s="280"/>
      <c r="C51" s="55"/>
      <c r="D51" s="55"/>
      <c r="E51" s="236"/>
      <c r="F51" s="237"/>
      <c r="G51" s="236"/>
      <c r="H51" s="237" t="s">
        <v>332</v>
      </c>
      <c r="I51" s="237"/>
      <c r="J51" s="237"/>
      <c r="K51" s="67" t="s">
        <v>35</v>
      </c>
      <c r="L51" s="273" t="s">
        <v>27</v>
      </c>
      <c r="M51" s="280"/>
      <c r="N51" s="55"/>
      <c r="O51" s="55"/>
      <c r="P51" s="55"/>
      <c r="Q51" s="55"/>
      <c r="R51" s="55"/>
      <c r="S51" s="55"/>
      <c r="T51" s="55"/>
      <c r="U51" s="55"/>
      <c r="V51" s="55"/>
      <c r="W51" s="55"/>
      <c r="X51" s="239"/>
    </row>
    <row r="52" spans="1:24" s="242" customFormat="1" outlineLevel="1">
      <c r="A52" s="236"/>
      <c r="B52" s="280"/>
      <c r="C52" s="55"/>
      <c r="D52" s="55"/>
      <c r="E52" s="236"/>
      <c r="F52" s="237"/>
      <c r="G52" s="236"/>
      <c r="H52" s="237" t="s">
        <v>150</v>
      </c>
      <c r="I52" s="237"/>
      <c r="J52" s="237"/>
      <c r="K52" s="67" t="s">
        <v>316</v>
      </c>
      <c r="L52" s="273" t="s">
        <v>27</v>
      </c>
      <c r="M52" s="280"/>
      <c r="N52" s="55"/>
      <c r="O52" s="55"/>
      <c r="P52" s="55"/>
      <c r="Q52" s="55"/>
      <c r="R52" s="55"/>
      <c r="S52" s="55"/>
      <c r="T52" s="55"/>
      <c r="U52" s="55"/>
      <c r="V52" s="55"/>
      <c r="W52" s="55"/>
      <c r="X52" s="239"/>
    </row>
    <row r="53" spans="1:24" s="242" customFormat="1" outlineLevel="1">
      <c r="A53" s="236"/>
      <c r="B53" s="281"/>
      <c r="C53" s="261"/>
      <c r="D53" s="261"/>
      <c r="E53" s="236"/>
      <c r="F53" s="237"/>
      <c r="G53" s="236"/>
      <c r="H53" s="237" t="s">
        <v>375</v>
      </c>
      <c r="I53" s="237"/>
      <c r="J53" s="237"/>
      <c r="K53" s="237" t="s">
        <v>96</v>
      </c>
      <c r="L53" s="273" t="s">
        <v>27</v>
      </c>
      <c r="M53" s="281"/>
      <c r="N53" s="261"/>
      <c r="O53" s="261"/>
      <c r="P53" s="261"/>
      <c r="Q53" s="261"/>
      <c r="R53" s="261"/>
      <c r="S53" s="261"/>
      <c r="T53" s="261"/>
      <c r="U53" s="261"/>
      <c r="V53" s="261"/>
      <c r="W53" s="261"/>
      <c r="X53" s="239"/>
    </row>
    <row r="54" spans="1:24" s="242" customFormat="1" outlineLevel="1">
      <c r="A54" s="236"/>
      <c r="B54" s="280"/>
      <c r="C54" s="55"/>
      <c r="D54" s="55"/>
      <c r="E54" s="236"/>
      <c r="F54" s="237"/>
      <c r="G54" s="236"/>
      <c r="H54" s="237" t="s">
        <v>432</v>
      </c>
      <c r="I54" s="237"/>
      <c r="J54" s="237"/>
      <c r="K54" s="67" t="s">
        <v>35</v>
      </c>
      <c r="L54" s="273" t="s">
        <v>27</v>
      </c>
      <c r="M54" s="280"/>
      <c r="N54" s="55"/>
      <c r="O54" s="55"/>
      <c r="P54" s="55"/>
      <c r="Q54" s="55"/>
      <c r="R54" s="55"/>
      <c r="S54" s="55"/>
      <c r="T54" s="55"/>
      <c r="U54" s="55"/>
      <c r="V54" s="55"/>
      <c r="W54" s="55"/>
      <c r="X54" s="239"/>
    </row>
    <row r="55" spans="1:24" s="242" customFormat="1" outlineLevel="1">
      <c r="A55" s="236"/>
      <c r="B55" s="282"/>
      <c r="C55" s="54"/>
      <c r="D55" s="54"/>
      <c r="E55" s="236"/>
      <c r="F55" s="237"/>
      <c r="G55" s="236"/>
      <c r="H55" s="237" t="s">
        <v>379</v>
      </c>
      <c r="I55" s="237"/>
      <c r="J55" s="237"/>
      <c r="K55" s="237"/>
      <c r="L55" s="273" t="s">
        <v>27</v>
      </c>
      <c r="M55" s="282"/>
      <c r="N55" s="54"/>
      <c r="O55" s="54"/>
      <c r="P55" s="54"/>
      <c r="Q55" s="54"/>
      <c r="R55" s="54"/>
      <c r="S55" s="54"/>
      <c r="T55" s="54"/>
      <c r="U55" s="54"/>
      <c r="V55" s="54"/>
      <c r="W55" s="54"/>
      <c r="X55" s="239"/>
    </row>
    <row r="56" spans="1:24" s="242" customFormat="1" outlineLevel="1">
      <c r="A56" s="236"/>
      <c r="B56" s="281"/>
      <c r="C56" s="261"/>
      <c r="D56" s="261"/>
      <c r="E56" s="236"/>
      <c r="F56" s="237"/>
      <c r="G56" s="236"/>
      <c r="H56" s="237" t="s">
        <v>361</v>
      </c>
      <c r="I56" s="237"/>
      <c r="J56" s="237"/>
      <c r="K56" s="237" t="s">
        <v>96</v>
      </c>
      <c r="L56" s="273" t="s">
        <v>27</v>
      </c>
      <c r="M56" s="281"/>
      <c r="N56" s="261"/>
      <c r="O56" s="261"/>
      <c r="P56" s="261"/>
      <c r="Q56" s="261"/>
      <c r="R56" s="261"/>
      <c r="S56" s="261"/>
      <c r="T56" s="261"/>
      <c r="U56" s="261"/>
      <c r="V56" s="261"/>
      <c r="W56" s="261"/>
      <c r="X56" s="239"/>
    </row>
    <row r="57" spans="1:24" s="242" customFormat="1" outlineLevel="1">
      <c r="A57" s="236"/>
      <c r="B57" s="280"/>
      <c r="C57" s="55"/>
      <c r="D57" s="55"/>
      <c r="E57" s="236"/>
      <c r="F57" s="237"/>
      <c r="G57" s="236"/>
      <c r="H57" s="237" t="s">
        <v>384</v>
      </c>
      <c r="I57" s="237"/>
      <c r="J57" s="237"/>
      <c r="K57" s="237" t="s">
        <v>316</v>
      </c>
      <c r="L57" s="273" t="s">
        <v>27</v>
      </c>
      <c r="M57" s="280"/>
      <c r="N57" s="55"/>
      <c r="O57" s="55"/>
      <c r="P57" s="55"/>
      <c r="Q57" s="55"/>
      <c r="R57" s="55"/>
      <c r="S57" s="55"/>
      <c r="T57" s="55"/>
      <c r="U57" s="55"/>
      <c r="V57" s="55"/>
      <c r="W57" s="55"/>
      <c r="X57" s="239"/>
    </row>
    <row r="58" spans="1:24" s="242" customFormat="1" outlineLevel="1">
      <c r="A58" s="236"/>
      <c r="B58" s="280"/>
      <c r="C58" s="55"/>
      <c r="D58" s="55"/>
      <c r="E58" s="236"/>
      <c r="F58" s="237"/>
      <c r="G58" s="236"/>
      <c r="H58" s="237" t="s">
        <v>386</v>
      </c>
      <c r="I58" s="237"/>
      <c r="J58" s="237"/>
      <c r="K58" s="237" t="s">
        <v>316</v>
      </c>
      <c r="L58" s="273" t="s">
        <v>27</v>
      </c>
      <c r="M58" s="280"/>
      <c r="N58" s="55"/>
      <c r="O58" s="55"/>
      <c r="P58" s="55"/>
      <c r="Q58" s="55"/>
      <c r="R58" s="55"/>
      <c r="S58" s="55"/>
      <c r="T58" s="55"/>
      <c r="U58" s="55"/>
      <c r="V58" s="55"/>
      <c r="W58" s="55"/>
      <c r="X58" s="239"/>
    </row>
    <row r="59" spans="1:24" s="242" customFormat="1" outlineLevel="1">
      <c r="A59" s="236"/>
      <c r="B59" s="282"/>
      <c r="C59" s="54"/>
      <c r="D59" s="54"/>
      <c r="E59" s="236"/>
      <c r="F59" s="237"/>
      <c r="G59" s="236"/>
      <c r="H59" s="237" t="s">
        <v>387</v>
      </c>
      <c r="I59" s="237"/>
      <c r="J59" s="237"/>
      <c r="K59" s="237"/>
      <c r="L59" s="273" t="s">
        <v>27</v>
      </c>
      <c r="M59" s="282"/>
      <c r="N59" s="54"/>
      <c r="O59" s="54"/>
      <c r="P59" s="54"/>
      <c r="Q59" s="54"/>
      <c r="R59" s="54"/>
      <c r="S59" s="54"/>
      <c r="T59" s="54"/>
      <c r="U59" s="54"/>
      <c r="V59" s="54"/>
      <c r="W59" s="54"/>
      <c r="X59" s="239"/>
    </row>
    <row r="60" spans="1:24" s="242" customFormat="1" outlineLevel="1">
      <c r="A60" s="236"/>
      <c r="B60" s="282"/>
      <c r="C60" s="54"/>
      <c r="D60" s="54"/>
      <c r="E60" s="236"/>
      <c r="F60" s="237"/>
      <c r="G60" s="236"/>
      <c r="H60" s="237" t="s">
        <v>388</v>
      </c>
      <c r="I60" s="237"/>
      <c r="J60" s="237"/>
      <c r="K60" s="237"/>
      <c r="L60" s="273" t="s">
        <v>27</v>
      </c>
      <c r="M60" s="282"/>
      <c r="N60" s="54"/>
      <c r="O60" s="54"/>
      <c r="P60" s="54"/>
      <c r="Q60" s="54"/>
      <c r="R60" s="54"/>
      <c r="S60" s="54"/>
      <c r="T60" s="54"/>
      <c r="U60" s="54"/>
      <c r="V60" s="54"/>
      <c r="W60" s="54"/>
      <c r="X60" s="239"/>
    </row>
    <row r="61" spans="1:24" s="242" customFormat="1" outlineLevel="1">
      <c r="A61" s="236"/>
      <c r="B61" s="280"/>
      <c r="C61" s="55"/>
      <c r="D61" s="55"/>
      <c r="E61" s="236"/>
      <c r="F61" s="237"/>
      <c r="G61" s="236"/>
      <c r="H61" s="237" t="s">
        <v>385</v>
      </c>
      <c r="I61" s="237"/>
      <c r="J61" s="237"/>
      <c r="K61" s="67" t="s">
        <v>319</v>
      </c>
      <c r="L61" s="273" t="s">
        <v>27</v>
      </c>
      <c r="M61" s="280"/>
      <c r="N61" s="55"/>
      <c r="O61" s="55"/>
      <c r="P61" s="55"/>
      <c r="Q61" s="55"/>
      <c r="R61" s="55"/>
      <c r="S61" s="55"/>
      <c r="T61" s="55"/>
      <c r="U61" s="55"/>
      <c r="V61" s="55"/>
      <c r="W61" s="55"/>
      <c r="X61" s="239"/>
    </row>
    <row r="62" spans="1:24" s="242" customFormat="1" outlineLevel="1">
      <c r="A62" s="236"/>
      <c r="B62" s="280"/>
      <c r="C62" s="55"/>
      <c r="D62" s="55"/>
      <c r="E62" s="236"/>
      <c r="F62" s="237"/>
      <c r="G62" s="236"/>
      <c r="H62" s="237" t="s">
        <v>389</v>
      </c>
      <c r="I62" s="237"/>
      <c r="J62" s="237"/>
      <c r="K62" s="67" t="s">
        <v>319</v>
      </c>
      <c r="L62" s="273" t="s">
        <v>27</v>
      </c>
      <c r="M62" s="280"/>
      <c r="N62" s="55"/>
      <c r="O62" s="55"/>
      <c r="P62" s="55"/>
      <c r="Q62" s="55"/>
      <c r="R62" s="55"/>
      <c r="S62" s="55"/>
      <c r="T62" s="55"/>
      <c r="U62" s="55"/>
      <c r="V62" s="55"/>
      <c r="W62" s="55"/>
      <c r="X62" s="239"/>
    </row>
    <row r="63" spans="1:24" s="242" customFormat="1" outlineLevel="1">
      <c r="A63" s="236"/>
      <c r="B63" s="282"/>
      <c r="C63" s="54"/>
      <c r="D63" s="54"/>
      <c r="E63" s="236"/>
      <c r="F63" s="237"/>
      <c r="G63" s="236"/>
      <c r="H63" s="237" t="s">
        <v>390</v>
      </c>
      <c r="I63" s="237"/>
      <c r="J63" s="237"/>
      <c r="K63" s="237"/>
      <c r="L63" s="273" t="s">
        <v>27</v>
      </c>
      <c r="M63" s="282"/>
      <c r="N63" s="54"/>
      <c r="O63" s="54"/>
      <c r="P63" s="54"/>
      <c r="Q63" s="54"/>
      <c r="R63" s="54"/>
      <c r="S63" s="54"/>
      <c r="T63" s="54"/>
      <c r="U63" s="54"/>
      <c r="V63" s="54"/>
      <c r="W63" s="54"/>
      <c r="X63" s="239"/>
    </row>
    <row r="64" spans="1:24" s="242" customFormat="1" outlineLevel="1">
      <c r="A64" s="236"/>
      <c r="B64" s="282"/>
      <c r="C64" s="54"/>
      <c r="D64" s="54"/>
      <c r="E64" s="236"/>
      <c r="F64" s="237"/>
      <c r="G64" s="236"/>
      <c r="H64" s="237" t="s">
        <v>391</v>
      </c>
      <c r="I64" s="237"/>
      <c r="J64" s="237"/>
      <c r="K64" s="237"/>
      <c r="L64" s="273" t="s">
        <v>27</v>
      </c>
      <c r="M64" s="282"/>
      <c r="N64" s="54"/>
      <c r="O64" s="54"/>
      <c r="P64" s="54"/>
      <c r="Q64" s="54"/>
      <c r="R64" s="54"/>
      <c r="S64" s="54"/>
      <c r="T64" s="54"/>
      <c r="U64" s="54"/>
      <c r="V64" s="54"/>
      <c r="W64" s="54"/>
      <c r="X64" s="239"/>
    </row>
    <row r="65" spans="1:24" s="242" customFormat="1" outlineLevel="1">
      <c r="A65" s="236"/>
      <c r="B65" s="280"/>
      <c r="C65" s="55"/>
      <c r="D65" s="55"/>
      <c r="E65" s="236"/>
      <c r="F65" s="237"/>
      <c r="G65" s="236"/>
      <c r="H65" s="237" t="s">
        <v>305</v>
      </c>
      <c r="I65" s="237"/>
      <c r="J65" s="237"/>
      <c r="K65" s="67" t="s">
        <v>319</v>
      </c>
      <c r="L65" s="273" t="s">
        <v>27</v>
      </c>
      <c r="M65" s="280"/>
      <c r="N65" s="55"/>
      <c r="O65" s="55"/>
      <c r="P65" s="55"/>
      <c r="Q65" s="55"/>
      <c r="R65" s="55"/>
      <c r="S65" s="55"/>
      <c r="T65" s="55"/>
      <c r="U65" s="55"/>
      <c r="V65" s="55"/>
      <c r="W65" s="55"/>
      <c r="X65" s="239"/>
    </row>
    <row r="66" spans="1:24" s="242" customFormat="1" outlineLevel="1">
      <c r="A66" s="236"/>
      <c r="B66" s="280"/>
      <c r="C66" s="55"/>
      <c r="D66" s="55"/>
      <c r="E66" s="236"/>
      <c r="F66" s="237"/>
      <c r="G66" s="236"/>
      <c r="H66" s="237" t="s">
        <v>352</v>
      </c>
      <c r="I66" s="237"/>
      <c r="J66" s="237"/>
      <c r="K66" s="237" t="s">
        <v>316</v>
      </c>
      <c r="L66" s="273" t="s">
        <v>27</v>
      </c>
      <c r="M66" s="280"/>
      <c r="N66" s="55"/>
      <c r="O66" s="55"/>
      <c r="P66" s="55"/>
      <c r="Q66" s="55"/>
      <c r="R66" s="55"/>
      <c r="S66" s="55"/>
      <c r="T66" s="55"/>
      <c r="U66" s="55"/>
      <c r="V66" s="55"/>
      <c r="W66" s="55"/>
      <c r="X66" s="239"/>
    </row>
    <row r="67" spans="1:24" s="242" customFormat="1" outlineLevel="1">
      <c r="A67" s="236"/>
      <c r="B67" s="282"/>
      <c r="C67" s="54"/>
      <c r="D67" s="54"/>
      <c r="E67" s="236"/>
      <c r="F67" s="25"/>
      <c r="G67" s="236"/>
      <c r="H67" s="67" t="s">
        <v>301</v>
      </c>
      <c r="I67" s="25"/>
      <c r="J67" s="67"/>
      <c r="K67" s="67" t="s">
        <v>44</v>
      </c>
      <c r="L67" s="273" t="s">
        <v>27</v>
      </c>
      <c r="M67" s="282">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39"/>
    </row>
    <row r="68" spans="1:24" s="242" customFormat="1" outlineLevel="1">
      <c r="A68" s="236"/>
      <c r="B68" s="282"/>
      <c r="C68" s="54"/>
      <c r="D68" s="54"/>
      <c r="E68" s="236"/>
      <c r="F68" s="25"/>
      <c r="G68" s="236"/>
      <c r="H68" s="67" t="s">
        <v>301</v>
      </c>
      <c r="I68" s="25"/>
      <c r="J68" s="67"/>
      <c r="K68" s="67" t="s">
        <v>44</v>
      </c>
      <c r="L68" s="273" t="s">
        <v>27</v>
      </c>
      <c r="M68" s="282">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39"/>
    </row>
    <row r="69" spans="1:24" s="290" customFormat="1">
      <c r="A69" s="231"/>
      <c r="B69" s="275"/>
      <c r="C69" s="291"/>
      <c r="D69" s="291"/>
      <c r="E69" s="231"/>
      <c r="F69" s="212"/>
      <c r="G69" s="231"/>
      <c r="H69" s="288" t="s">
        <v>50</v>
      </c>
      <c r="I69" s="212"/>
      <c r="J69" s="211"/>
      <c r="K69" s="211"/>
      <c r="L69" s="292" t="s">
        <v>26</v>
      </c>
      <c r="M69" s="215"/>
      <c r="N69" s="215"/>
      <c r="O69" s="215"/>
      <c r="P69" s="215"/>
      <c r="Q69" s="215"/>
      <c r="R69" s="215"/>
      <c r="S69" s="215"/>
      <c r="T69" s="215"/>
      <c r="U69" s="215"/>
      <c r="V69" s="215"/>
      <c r="W69" s="215"/>
      <c r="X69" s="234"/>
    </row>
    <row r="70" spans="1:24" s="242" customFormat="1" outlineLevel="1">
      <c r="A70" s="236"/>
      <c r="B70" s="278"/>
      <c r="C70" s="245"/>
      <c r="D70" s="245"/>
      <c r="E70" s="236"/>
      <c r="F70" s="237"/>
      <c r="G70" s="236"/>
      <c r="H70" s="237" t="s">
        <v>37</v>
      </c>
      <c r="I70" s="237"/>
      <c r="J70" s="237"/>
      <c r="K70" s="67" t="s">
        <v>39</v>
      </c>
      <c r="L70" s="196" t="s">
        <v>26</v>
      </c>
      <c r="M70" s="265">
        <v>1960</v>
      </c>
      <c r="N70" s="266">
        <f t="shared" ref="N70:W72" si="3">M70</f>
        <v>1960</v>
      </c>
      <c r="O70" s="266">
        <f t="shared" si="3"/>
        <v>1960</v>
      </c>
      <c r="P70" s="266">
        <f t="shared" si="3"/>
        <v>1960</v>
      </c>
      <c r="Q70" s="266">
        <f t="shared" si="3"/>
        <v>1960</v>
      </c>
      <c r="R70" s="266">
        <f t="shared" si="3"/>
        <v>1960</v>
      </c>
      <c r="S70" s="266">
        <f t="shared" si="3"/>
        <v>1960</v>
      </c>
      <c r="T70" s="266">
        <f t="shared" si="3"/>
        <v>1960</v>
      </c>
      <c r="U70" s="266">
        <f t="shared" si="3"/>
        <v>1960</v>
      </c>
      <c r="V70" s="266">
        <f t="shared" si="3"/>
        <v>1960</v>
      </c>
      <c r="W70" s="266">
        <f t="shared" si="3"/>
        <v>1960</v>
      </c>
      <c r="X70" s="239"/>
    </row>
    <row r="71" spans="1:24" s="242" customFormat="1" outlineLevel="1">
      <c r="A71" s="236"/>
      <c r="B71" s="278"/>
      <c r="C71" s="245"/>
      <c r="D71" s="245"/>
      <c r="E71" s="236"/>
      <c r="F71" s="237"/>
      <c r="G71" s="236"/>
      <c r="H71" s="237" t="s">
        <v>36</v>
      </c>
      <c r="I71" s="237"/>
      <c r="J71" s="237"/>
      <c r="K71" s="67" t="s">
        <v>39</v>
      </c>
      <c r="L71" s="196" t="s">
        <v>26</v>
      </c>
      <c r="M71" s="265">
        <v>2000</v>
      </c>
      <c r="N71" s="266">
        <f t="shared" si="3"/>
        <v>2000</v>
      </c>
      <c r="O71" s="266">
        <f t="shared" si="3"/>
        <v>2000</v>
      </c>
      <c r="P71" s="266">
        <f t="shared" si="3"/>
        <v>2000</v>
      </c>
      <c r="Q71" s="266">
        <f t="shared" si="3"/>
        <v>2000</v>
      </c>
      <c r="R71" s="266">
        <f t="shared" si="3"/>
        <v>2000</v>
      </c>
      <c r="S71" s="266">
        <f t="shared" si="3"/>
        <v>2000</v>
      </c>
      <c r="T71" s="266">
        <f t="shared" si="3"/>
        <v>2000</v>
      </c>
      <c r="U71" s="266">
        <f t="shared" si="3"/>
        <v>2000</v>
      </c>
      <c r="V71" s="266">
        <f t="shared" si="3"/>
        <v>2000</v>
      </c>
      <c r="W71" s="266">
        <f t="shared" si="3"/>
        <v>2000</v>
      </c>
      <c r="X71" s="239"/>
    </row>
    <row r="72" spans="1:24" s="242" customFormat="1" outlineLevel="1">
      <c r="A72" s="236"/>
      <c r="B72" s="278"/>
      <c r="C72" s="245"/>
      <c r="D72" s="245"/>
      <c r="E72" s="236"/>
      <c r="F72" s="237"/>
      <c r="G72" s="236"/>
      <c r="H72" s="237" t="s">
        <v>38</v>
      </c>
      <c r="I72" s="237"/>
      <c r="J72" s="237"/>
      <c r="K72" s="67" t="s">
        <v>10</v>
      </c>
      <c r="L72" s="196" t="s">
        <v>26</v>
      </c>
      <c r="M72" s="55">
        <v>25</v>
      </c>
      <c r="N72" s="221">
        <f t="shared" si="3"/>
        <v>25</v>
      </c>
      <c r="O72" s="221">
        <f t="shared" si="3"/>
        <v>25</v>
      </c>
      <c r="P72" s="221">
        <f t="shared" si="3"/>
        <v>25</v>
      </c>
      <c r="Q72" s="221">
        <f t="shared" si="3"/>
        <v>25</v>
      </c>
      <c r="R72" s="221">
        <f t="shared" si="3"/>
        <v>25</v>
      </c>
      <c r="S72" s="221">
        <f t="shared" si="3"/>
        <v>25</v>
      </c>
      <c r="T72" s="221">
        <f t="shared" si="3"/>
        <v>25</v>
      </c>
      <c r="U72" s="221">
        <f t="shared" si="3"/>
        <v>25</v>
      </c>
      <c r="V72" s="221">
        <f t="shared" si="3"/>
        <v>25</v>
      </c>
      <c r="W72" s="221">
        <f t="shared" si="3"/>
        <v>25</v>
      </c>
      <c r="X72" s="239"/>
    </row>
    <row r="73" spans="1:24" s="242" customFormat="1" outlineLevel="1">
      <c r="A73" s="236"/>
      <c r="B73" s="278"/>
      <c r="C73" s="245"/>
      <c r="D73" s="245"/>
      <c r="E73" s="236"/>
      <c r="F73" s="237"/>
      <c r="G73" s="236"/>
      <c r="H73" s="237" t="s">
        <v>353</v>
      </c>
      <c r="I73" s="237"/>
      <c r="J73" s="237"/>
      <c r="K73" s="237" t="s">
        <v>10</v>
      </c>
      <c r="L73" s="196" t="s">
        <v>26</v>
      </c>
      <c r="M73" s="55"/>
      <c r="N73" s="55"/>
      <c r="O73" s="55"/>
      <c r="P73" s="55"/>
      <c r="Q73" s="55"/>
      <c r="R73" s="55"/>
      <c r="S73" s="55"/>
      <c r="T73" s="55"/>
      <c r="U73" s="55"/>
      <c r="V73" s="55"/>
      <c r="W73" s="55"/>
      <c r="X73" s="239"/>
    </row>
    <row r="74" spans="1:24" s="242" customFormat="1" outlineLevel="1">
      <c r="A74" s="236"/>
      <c r="B74" s="278"/>
      <c r="C74" s="245"/>
      <c r="D74" s="245"/>
      <c r="E74" s="236"/>
      <c r="F74" s="237"/>
      <c r="G74" s="236"/>
      <c r="H74" s="237" t="s">
        <v>304</v>
      </c>
      <c r="I74" s="237"/>
      <c r="J74" s="237"/>
      <c r="K74" s="67" t="s">
        <v>96</v>
      </c>
      <c r="L74" s="196" t="s">
        <v>26</v>
      </c>
      <c r="M74" s="261">
        <v>0.25</v>
      </c>
      <c r="N74" s="262">
        <f t="shared" ref="N74:W74" si="4">M74</f>
        <v>0.25</v>
      </c>
      <c r="O74" s="262">
        <f t="shared" si="4"/>
        <v>0.25</v>
      </c>
      <c r="P74" s="262">
        <f t="shared" si="4"/>
        <v>0.25</v>
      </c>
      <c r="Q74" s="262">
        <f t="shared" si="4"/>
        <v>0.25</v>
      </c>
      <c r="R74" s="262">
        <f t="shared" si="4"/>
        <v>0.25</v>
      </c>
      <c r="S74" s="262">
        <f t="shared" si="4"/>
        <v>0.25</v>
      </c>
      <c r="T74" s="262">
        <f t="shared" si="4"/>
        <v>0.25</v>
      </c>
      <c r="U74" s="262">
        <f t="shared" si="4"/>
        <v>0.25</v>
      </c>
      <c r="V74" s="262">
        <f t="shared" si="4"/>
        <v>0.25</v>
      </c>
      <c r="W74" s="262">
        <f t="shared" si="4"/>
        <v>0.25</v>
      </c>
      <c r="X74" s="239"/>
    </row>
    <row r="75" spans="1:24" s="242" customFormat="1" outlineLevel="1">
      <c r="A75" s="236"/>
      <c r="B75" s="278"/>
      <c r="C75" s="245"/>
      <c r="D75" s="245"/>
      <c r="E75" s="236"/>
      <c r="F75" s="237"/>
      <c r="G75" s="236"/>
      <c r="H75" s="237" t="s">
        <v>350</v>
      </c>
      <c r="I75" s="237"/>
      <c r="J75" s="237"/>
      <c r="K75" s="237" t="s">
        <v>96</v>
      </c>
      <c r="L75" s="196" t="s">
        <v>26</v>
      </c>
      <c r="M75" s="261"/>
      <c r="N75" s="261"/>
      <c r="O75" s="261"/>
      <c r="P75" s="261"/>
      <c r="Q75" s="261"/>
      <c r="R75" s="261"/>
      <c r="S75" s="261"/>
      <c r="T75" s="261"/>
      <c r="U75" s="261"/>
      <c r="V75" s="261"/>
      <c r="W75" s="261"/>
      <c r="X75" s="239"/>
    </row>
    <row r="76" spans="1:24" s="242" customFormat="1" outlineLevel="1">
      <c r="A76" s="236"/>
      <c r="B76" s="278"/>
      <c r="C76" s="245"/>
      <c r="D76" s="245"/>
      <c r="E76" s="236"/>
      <c r="F76" s="237"/>
      <c r="G76" s="236"/>
      <c r="H76" s="237" t="s">
        <v>349</v>
      </c>
      <c r="I76" s="237"/>
      <c r="J76" s="237"/>
      <c r="K76" s="237" t="s">
        <v>96</v>
      </c>
      <c r="L76" s="196" t="s">
        <v>26</v>
      </c>
      <c r="M76" s="261"/>
      <c r="N76" s="261"/>
      <c r="O76" s="261"/>
      <c r="P76" s="261"/>
      <c r="Q76" s="261"/>
      <c r="R76" s="261"/>
      <c r="S76" s="261"/>
      <c r="T76" s="261"/>
      <c r="U76" s="261"/>
      <c r="V76" s="261"/>
      <c r="W76" s="261"/>
      <c r="X76" s="239"/>
    </row>
    <row r="77" spans="1:24" s="242" customFormat="1" outlineLevel="1">
      <c r="A77" s="236"/>
      <c r="B77" s="278"/>
      <c r="C77" s="245"/>
      <c r="D77" s="245"/>
      <c r="E77" s="236"/>
      <c r="F77" s="237"/>
      <c r="G77" s="236"/>
      <c r="H77" s="237" t="s">
        <v>74</v>
      </c>
      <c r="I77" s="237"/>
      <c r="J77" s="237"/>
      <c r="K77" s="67" t="s">
        <v>96</v>
      </c>
      <c r="L77" s="196" t="s">
        <v>26</v>
      </c>
      <c r="M77" s="261">
        <v>0.83299999999999996</v>
      </c>
      <c r="N77" s="261"/>
      <c r="O77" s="261"/>
      <c r="P77" s="261"/>
      <c r="Q77" s="261"/>
      <c r="R77" s="261"/>
      <c r="S77" s="261"/>
      <c r="T77" s="261"/>
      <c r="U77" s="261"/>
      <c r="V77" s="261"/>
      <c r="W77" s="261"/>
      <c r="X77" s="239"/>
    </row>
    <row r="78" spans="1:24" s="242" customFormat="1" outlineLevel="1">
      <c r="A78" s="236"/>
      <c r="B78" s="278"/>
      <c r="C78" s="245"/>
      <c r="D78" s="245"/>
      <c r="E78" s="236"/>
      <c r="F78" s="68"/>
      <c r="G78" s="236"/>
      <c r="H78" s="68" t="s">
        <v>146</v>
      </c>
      <c r="I78" s="68"/>
      <c r="K78" s="68" t="s">
        <v>96</v>
      </c>
      <c r="L78" s="196" t="s">
        <v>26</v>
      </c>
      <c r="M78" s="261"/>
      <c r="N78" s="261"/>
      <c r="O78" s="261"/>
      <c r="P78" s="261"/>
      <c r="Q78" s="261"/>
      <c r="R78" s="261"/>
      <c r="S78" s="261"/>
      <c r="T78" s="261"/>
      <c r="U78" s="261"/>
      <c r="V78" s="261"/>
      <c r="W78" s="261"/>
      <c r="X78" s="239"/>
    </row>
    <row r="79" spans="1:24" s="242" customFormat="1" outlineLevel="1">
      <c r="A79" s="236"/>
      <c r="B79" s="278"/>
      <c r="C79" s="245"/>
      <c r="D79" s="245"/>
      <c r="E79" s="236"/>
      <c r="F79" s="68"/>
      <c r="G79" s="236"/>
      <c r="H79" s="68" t="s">
        <v>147</v>
      </c>
      <c r="I79" s="68"/>
      <c r="K79" s="68" t="s">
        <v>96</v>
      </c>
      <c r="L79" s="196" t="s">
        <v>26</v>
      </c>
      <c r="M79" s="261"/>
      <c r="N79" s="261"/>
      <c r="O79" s="261"/>
      <c r="P79" s="261"/>
      <c r="Q79" s="261"/>
      <c r="R79" s="261"/>
      <c r="S79" s="261"/>
      <c r="T79" s="261"/>
      <c r="U79" s="261"/>
      <c r="V79" s="261"/>
      <c r="W79" s="261"/>
      <c r="X79" s="239"/>
    </row>
    <row r="80" spans="1:24" s="242" customFormat="1" outlineLevel="1">
      <c r="A80" s="236"/>
      <c r="B80" s="278"/>
      <c r="C80" s="245"/>
      <c r="D80" s="245"/>
      <c r="E80" s="236"/>
      <c r="F80" s="68"/>
      <c r="G80" s="236"/>
      <c r="H80" s="68" t="s">
        <v>362</v>
      </c>
      <c r="I80" s="68"/>
      <c r="K80" s="68" t="s">
        <v>96</v>
      </c>
      <c r="L80" s="196" t="s">
        <v>26</v>
      </c>
      <c r="M80" s="261"/>
      <c r="N80" s="261"/>
      <c r="O80" s="261"/>
      <c r="P80" s="261"/>
      <c r="Q80" s="261"/>
      <c r="R80" s="261"/>
      <c r="S80" s="261"/>
      <c r="T80" s="261"/>
      <c r="U80" s="261"/>
      <c r="V80" s="261"/>
      <c r="W80" s="261"/>
      <c r="X80" s="239"/>
    </row>
    <row r="81" spans="1:24" s="242" customFormat="1" outlineLevel="1">
      <c r="A81" s="236"/>
      <c r="B81" s="278"/>
      <c r="C81" s="245"/>
      <c r="D81" s="245"/>
      <c r="E81" s="236"/>
      <c r="F81" s="68"/>
      <c r="G81" s="236"/>
      <c r="H81" s="68" t="s">
        <v>363</v>
      </c>
      <c r="I81" s="68"/>
      <c r="K81" s="68" t="s">
        <v>96</v>
      </c>
      <c r="L81" s="196" t="s">
        <v>26</v>
      </c>
      <c r="M81" s="261"/>
      <c r="N81" s="261"/>
      <c r="O81" s="261"/>
      <c r="P81" s="261"/>
      <c r="Q81" s="261"/>
      <c r="R81" s="261"/>
      <c r="S81" s="261"/>
      <c r="T81" s="261"/>
      <c r="U81" s="261"/>
      <c r="V81" s="261"/>
      <c r="W81" s="261"/>
      <c r="X81" s="239"/>
    </row>
    <row r="82" spans="1:24" s="242" customFormat="1" outlineLevel="1">
      <c r="A82" s="236"/>
      <c r="B82" s="278"/>
      <c r="C82" s="245"/>
      <c r="D82" s="245"/>
      <c r="E82" s="236"/>
      <c r="F82" s="237"/>
      <c r="G82" s="236"/>
      <c r="H82" s="237" t="s">
        <v>332</v>
      </c>
      <c r="I82" s="237"/>
      <c r="J82" s="237"/>
      <c r="K82" s="67" t="s">
        <v>35</v>
      </c>
      <c r="L82" s="196" t="s">
        <v>26</v>
      </c>
      <c r="M82" s="55"/>
      <c r="N82" s="55"/>
      <c r="O82" s="55"/>
      <c r="P82" s="55"/>
      <c r="Q82" s="55"/>
      <c r="R82" s="55"/>
      <c r="S82" s="55"/>
      <c r="T82" s="55"/>
      <c r="U82" s="55"/>
      <c r="V82" s="55"/>
      <c r="W82" s="55"/>
      <c r="X82" s="239"/>
    </row>
    <row r="83" spans="1:24" s="242" customFormat="1" outlineLevel="1">
      <c r="A83" s="236"/>
      <c r="B83" s="278"/>
      <c r="C83" s="245"/>
      <c r="D83" s="245"/>
      <c r="E83" s="236"/>
      <c r="F83" s="237"/>
      <c r="G83" s="236"/>
      <c r="H83" s="237" t="s">
        <v>150</v>
      </c>
      <c r="I83" s="237"/>
      <c r="J83" s="237"/>
      <c r="K83" s="67" t="s">
        <v>316</v>
      </c>
      <c r="L83" s="196" t="s">
        <v>26</v>
      </c>
      <c r="M83" s="55"/>
      <c r="N83" s="55"/>
      <c r="O83" s="55"/>
      <c r="P83" s="55"/>
      <c r="Q83" s="55"/>
      <c r="R83" s="55"/>
      <c r="S83" s="55"/>
      <c r="T83" s="55"/>
      <c r="U83" s="55"/>
      <c r="V83" s="55"/>
      <c r="W83" s="55"/>
      <c r="X83" s="239"/>
    </row>
    <row r="84" spans="1:24" s="242" customFormat="1" outlineLevel="1">
      <c r="A84" s="236"/>
      <c r="B84" s="278"/>
      <c r="C84" s="245"/>
      <c r="D84" s="245"/>
      <c r="E84" s="236"/>
      <c r="F84" s="237"/>
      <c r="G84" s="236"/>
      <c r="H84" s="237" t="s">
        <v>375</v>
      </c>
      <c r="I84" s="237"/>
      <c r="J84" s="237"/>
      <c r="K84" s="237" t="s">
        <v>96</v>
      </c>
      <c r="L84" s="196" t="s">
        <v>26</v>
      </c>
      <c r="M84" s="261"/>
      <c r="N84" s="261"/>
      <c r="O84" s="261"/>
      <c r="P84" s="261"/>
      <c r="Q84" s="261"/>
      <c r="R84" s="261"/>
      <c r="S84" s="261"/>
      <c r="T84" s="261"/>
      <c r="U84" s="261"/>
      <c r="V84" s="261"/>
      <c r="W84" s="261"/>
      <c r="X84" s="239"/>
    </row>
    <row r="85" spans="1:24" s="242" customFormat="1" outlineLevel="1">
      <c r="A85" s="236"/>
      <c r="B85" s="278"/>
      <c r="C85" s="245"/>
      <c r="D85" s="245"/>
      <c r="E85" s="236"/>
      <c r="F85" s="237"/>
      <c r="G85" s="236"/>
      <c r="H85" s="237" t="s">
        <v>432</v>
      </c>
      <c r="I85" s="237"/>
      <c r="J85" s="237"/>
      <c r="K85" s="67" t="s">
        <v>35</v>
      </c>
      <c r="L85" s="196" t="s">
        <v>26</v>
      </c>
      <c r="M85" s="55"/>
      <c r="N85" s="55"/>
      <c r="O85" s="55"/>
      <c r="P85" s="55"/>
      <c r="Q85" s="55"/>
      <c r="R85" s="55"/>
      <c r="S85" s="55"/>
      <c r="T85" s="55"/>
      <c r="U85" s="55"/>
      <c r="V85" s="55"/>
      <c r="W85" s="55"/>
      <c r="X85" s="239"/>
    </row>
    <row r="86" spans="1:24" s="242" customFormat="1" outlineLevel="1">
      <c r="A86" s="236"/>
      <c r="B86" s="278"/>
      <c r="C86" s="245"/>
      <c r="D86" s="245"/>
      <c r="E86" s="236"/>
      <c r="F86" s="237"/>
      <c r="G86" s="236"/>
      <c r="H86" s="237" t="s">
        <v>379</v>
      </c>
      <c r="I86" s="237"/>
      <c r="J86" s="237"/>
      <c r="K86" s="237"/>
      <c r="L86" s="196" t="s">
        <v>26</v>
      </c>
      <c r="M86" s="54"/>
      <c r="N86" s="54"/>
      <c r="O86" s="54"/>
      <c r="P86" s="54"/>
      <c r="Q86" s="54"/>
      <c r="R86" s="54"/>
      <c r="S86" s="54"/>
      <c r="T86" s="54"/>
      <c r="U86" s="54"/>
      <c r="V86" s="54"/>
      <c r="W86" s="54"/>
      <c r="X86" s="239"/>
    </row>
    <row r="87" spans="1:24" s="242" customFormat="1" outlineLevel="1">
      <c r="A87" s="236"/>
      <c r="B87" s="278"/>
      <c r="C87" s="245"/>
      <c r="D87" s="245"/>
      <c r="E87" s="236"/>
      <c r="F87" s="237"/>
      <c r="G87" s="236"/>
      <c r="H87" s="237" t="s">
        <v>361</v>
      </c>
      <c r="I87" s="237"/>
      <c r="J87" s="237"/>
      <c r="K87" s="237" t="s">
        <v>96</v>
      </c>
      <c r="L87" s="196" t="s">
        <v>26</v>
      </c>
      <c r="M87" s="261"/>
      <c r="N87" s="261"/>
      <c r="O87" s="261"/>
      <c r="P87" s="261"/>
      <c r="Q87" s="261"/>
      <c r="R87" s="261"/>
      <c r="S87" s="261"/>
      <c r="T87" s="261"/>
      <c r="U87" s="261"/>
      <c r="V87" s="261"/>
      <c r="W87" s="261"/>
      <c r="X87" s="239"/>
    </row>
    <row r="88" spans="1:24" s="242" customFormat="1" outlineLevel="1">
      <c r="A88" s="236"/>
      <c r="B88" s="278"/>
      <c r="C88" s="245"/>
      <c r="D88" s="245"/>
      <c r="E88" s="236"/>
      <c r="F88" s="237"/>
      <c r="G88" s="236"/>
      <c r="H88" s="237" t="s">
        <v>384</v>
      </c>
      <c r="I88" s="237"/>
      <c r="J88" s="237"/>
      <c r="K88" s="237" t="s">
        <v>316</v>
      </c>
      <c r="L88" s="196" t="s">
        <v>26</v>
      </c>
      <c r="M88" s="55"/>
      <c r="N88" s="55"/>
      <c r="O88" s="55"/>
      <c r="P88" s="55"/>
      <c r="Q88" s="55"/>
      <c r="R88" s="55"/>
      <c r="S88" s="55"/>
      <c r="T88" s="55"/>
      <c r="U88" s="55"/>
      <c r="V88" s="55"/>
      <c r="W88" s="55"/>
      <c r="X88" s="239"/>
    </row>
    <row r="89" spans="1:24" s="242" customFormat="1" outlineLevel="1">
      <c r="A89" s="236"/>
      <c r="B89" s="278"/>
      <c r="C89" s="245"/>
      <c r="D89" s="245"/>
      <c r="E89" s="236"/>
      <c r="F89" s="237"/>
      <c r="G89" s="236"/>
      <c r="H89" s="237" t="s">
        <v>386</v>
      </c>
      <c r="I89" s="237"/>
      <c r="J89" s="237"/>
      <c r="K89" s="237" t="s">
        <v>316</v>
      </c>
      <c r="L89" s="196" t="s">
        <v>26</v>
      </c>
      <c r="M89" s="55"/>
      <c r="N89" s="55"/>
      <c r="O89" s="55"/>
      <c r="P89" s="55"/>
      <c r="Q89" s="55"/>
      <c r="R89" s="55"/>
      <c r="S89" s="55"/>
      <c r="T89" s="55"/>
      <c r="U89" s="55"/>
      <c r="V89" s="55"/>
      <c r="W89" s="55"/>
      <c r="X89" s="239"/>
    </row>
    <row r="90" spans="1:24" s="242" customFormat="1" outlineLevel="1">
      <c r="A90" s="236"/>
      <c r="B90" s="283"/>
      <c r="C90" s="230"/>
      <c r="D90" s="230"/>
      <c r="E90" s="236"/>
      <c r="F90" s="237"/>
      <c r="G90" s="236"/>
      <c r="H90" s="237" t="s">
        <v>387</v>
      </c>
      <c r="I90" s="237"/>
      <c r="J90" s="237"/>
      <c r="K90" s="237"/>
      <c r="L90" s="196" t="s">
        <v>26</v>
      </c>
      <c r="M90" s="54"/>
      <c r="N90" s="54"/>
      <c r="O90" s="54"/>
      <c r="P90" s="54"/>
      <c r="Q90" s="54"/>
      <c r="R90" s="54"/>
      <c r="S90" s="54"/>
      <c r="T90" s="54"/>
      <c r="U90" s="54"/>
      <c r="V90" s="54"/>
      <c r="W90" s="54"/>
      <c r="X90" s="239"/>
    </row>
    <row r="91" spans="1:24" s="242" customFormat="1" outlineLevel="1">
      <c r="A91" s="236"/>
      <c r="B91" s="283"/>
      <c r="C91" s="230"/>
      <c r="D91" s="230"/>
      <c r="E91" s="236"/>
      <c r="F91" s="237"/>
      <c r="G91" s="236"/>
      <c r="H91" s="237" t="s">
        <v>388</v>
      </c>
      <c r="I91" s="237"/>
      <c r="J91" s="237"/>
      <c r="K91" s="237"/>
      <c r="L91" s="196" t="s">
        <v>26</v>
      </c>
      <c r="M91" s="54"/>
      <c r="N91" s="54"/>
      <c r="O91" s="54"/>
      <c r="P91" s="54"/>
      <c r="Q91" s="54"/>
      <c r="R91" s="54"/>
      <c r="S91" s="54"/>
      <c r="T91" s="54"/>
      <c r="U91" s="54"/>
      <c r="V91" s="54"/>
      <c r="W91" s="54"/>
      <c r="X91" s="239"/>
    </row>
    <row r="92" spans="1:24" s="242" customFormat="1" outlineLevel="1">
      <c r="A92" s="236"/>
      <c r="B92" s="283"/>
      <c r="C92" s="230"/>
      <c r="D92" s="230"/>
      <c r="E92" s="236"/>
      <c r="F92" s="237"/>
      <c r="G92" s="236"/>
      <c r="H92" s="237" t="s">
        <v>385</v>
      </c>
      <c r="I92" s="237"/>
      <c r="J92" s="237"/>
      <c r="K92" s="67" t="s">
        <v>319</v>
      </c>
      <c r="L92" s="196" t="s">
        <v>26</v>
      </c>
      <c r="M92" s="55"/>
      <c r="N92" s="55"/>
      <c r="O92" s="55"/>
      <c r="P92" s="55"/>
      <c r="Q92" s="55"/>
      <c r="R92" s="55"/>
      <c r="S92" s="55"/>
      <c r="T92" s="55"/>
      <c r="U92" s="55"/>
      <c r="V92" s="55"/>
      <c r="W92" s="55"/>
      <c r="X92" s="239"/>
    </row>
    <row r="93" spans="1:24" s="242" customFormat="1" outlineLevel="1">
      <c r="A93" s="236"/>
      <c r="B93" s="283"/>
      <c r="C93" s="230"/>
      <c r="D93" s="230"/>
      <c r="E93" s="236"/>
      <c r="F93" s="237"/>
      <c r="G93" s="236"/>
      <c r="H93" s="237" t="s">
        <v>389</v>
      </c>
      <c r="I93" s="237"/>
      <c r="J93" s="237"/>
      <c r="K93" s="67" t="s">
        <v>319</v>
      </c>
      <c r="L93" s="196" t="s">
        <v>26</v>
      </c>
      <c r="M93" s="55"/>
      <c r="N93" s="55"/>
      <c r="O93" s="55"/>
      <c r="P93" s="55"/>
      <c r="Q93" s="55"/>
      <c r="R93" s="55"/>
      <c r="S93" s="55"/>
      <c r="T93" s="55"/>
      <c r="U93" s="55"/>
      <c r="V93" s="55"/>
      <c r="W93" s="55"/>
      <c r="X93" s="239"/>
    </row>
    <row r="94" spans="1:24" s="242" customFormat="1" outlineLevel="1">
      <c r="A94" s="236"/>
      <c r="B94" s="283"/>
      <c r="C94" s="230"/>
      <c r="D94" s="230"/>
      <c r="E94" s="236"/>
      <c r="F94" s="237"/>
      <c r="G94" s="236"/>
      <c r="H94" s="237" t="s">
        <v>390</v>
      </c>
      <c r="I94" s="237"/>
      <c r="J94" s="237"/>
      <c r="K94" s="237"/>
      <c r="L94" s="196" t="s">
        <v>26</v>
      </c>
      <c r="M94" s="54"/>
      <c r="N94" s="54"/>
      <c r="O94" s="54"/>
      <c r="P94" s="54"/>
      <c r="Q94" s="54"/>
      <c r="R94" s="54"/>
      <c r="S94" s="54"/>
      <c r="T94" s="54"/>
      <c r="U94" s="54"/>
      <c r="V94" s="54"/>
      <c r="W94" s="54"/>
      <c r="X94" s="239"/>
    </row>
    <row r="95" spans="1:24" s="242" customFormat="1" outlineLevel="1">
      <c r="A95" s="236"/>
      <c r="B95" s="283"/>
      <c r="C95" s="230"/>
      <c r="D95" s="230"/>
      <c r="E95" s="236"/>
      <c r="F95" s="237"/>
      <c r="G95" s="236"/>
      <c r="H95" s="237" t="s">
        <v>391</v>
      </c>
      <c r="I95" s="237"/>
      <c r="J95" s="237"/>
      <c r="K95" s="237"/>
      <c r="L95" s="196" t="s">
        <v>26</v>
      </c>
      <c r="M95" s="54"/>
      <c r="N95" s="54"/>
      <c r="O95" s="54"/>
      <c r="P95" s="54"/>
      <c r="Q95" s="54"/>
      <c r="R95" s="54"/>
      <c r="S95" s="54"/>
      <c r="T95" s="54"/>
      <c r="U95" s="54"/>
      <c r="V95" s="54"/>
      <c r="W95" s="54"/>
      <c r="X95" s="239"/>
    </row>
    <row r="96" spans="1:24" s="242" customFormat="1" outlineLevel="1">
      <c r="A96" s="236"/>
      <c r="B96" s="283"/>
      <c r="C96" s="230"/>
      <c r="D96" s="230"/>
      <c r="E96" s="236"/>
      <c r="F96" s="237"/>
      <c r="G96" s="236"/>
      <c r="H96" s="237" t="s">
        <v>305</v>
      </c>
      <c r="I96" s="237"/>
      <c r="J96" s="237"/>
      <c r="K96" s="67" t="s">
        <v>319</v>
      </c>
      <c r="L96" s="196" t="s">
        <v>26</v>
      </c>
      <c r="M96" s="55"/>
      <c r="N96" s="55"/>
      <c r="O96" s="55"/>
      <c r="P96" s="55"/>
      <c r="Q96" s="55"/>
      <c r="R96" s="55"/>
      <c r="S96" s="55"/>
      <c r="T96" s="55"/>
      <c r="U96" s="55"/>
      <c r="V96" s="55"/>
      <c r="W96" s="55"/>
      <c r="X96" s="239"/>
    </row>
    <row r="97" spans="1:24" s="242" customFormat="1" outlineLevel="1">
      <c r="A97" s="236"/>
      <c r="B97" s="283"/>
      <c r="C97" s="230"/>
      <c r="D97" s="230"/>
      <c r="E97" s="236"/>
      <c r="F97" s="237"/>
      <c r="G97" s="236"/>
      <c r="H97" s="237" t="s">
        <v>352</v>
      </c>
      <c r="I97" s="237"/>
      <c r="J97" s="237"/>
      <c r="K97" s="237" t="s">
        <v>316</v>
      </c>
      <c r="L97" s="196" t="s">
        <v>26</v>
      </c>
      <c r="M97" s="55"/>
      <c r="N97" s="55"/>
      <c r="O97" s="55"/>
      <c r="P97" s="55"/>
      <c r="Q97" s="55"/>
      <c r="R97" s="55"/>
      <c r="S97" s="55"/>
      <c r="T97" s="55"/>
      <c r="U97" s="55"/>
      <c r="V97" s="55"/>
      <c r="W97" s="55"/>
      <c r="X97" s="239"/>
    </row>
    <row r="98" spans="1:24" s="242" customFormat="1" outlineLevel="1">
      <c r="A98" s="236"/>
      <c r="B98" s="283"/>
      <c r="C98" s="230"/>
      <c r="D98" s="230"/>
      <c r="E98" s="236"/>
      <c r="F98" s="25"/>
      <c r="G98" s="236"/>
      <c r="H98" s="67" t="s">
        <v>301</v>
      </c>
      <c r="I98" s="25"/>
      <c r="J98" s="67"/>
      <c r="K98" s="67" t="s">
        <v>44</v>
      </c>
      <c r="L98" s="196" t="s">
        <v>26</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39"/>
    </row>
    <row r="99" spans="1:24" s="242" customFormat="1" outlineLevel="1">
      <c r="A99" s="236"/>
      <c r="B99" s="283"/>
      <c r="C99" s="230"/>
      <c r="D99" s="230"/>
      <c r="E99" s="236"/>
      <c r="F99" s="25"/>
      <c r="G99" s="236"/>
      <c r="H99" s="67" t="s">
        <v>301</v>
      </c>
      <c r="I99" s="25"/>
      <c r="J99" s="67"/>
      <c r="K99" s="67" t="s">
        <v>44</v>
      </c>
      <c r="L99" s="196" t="s">
        <v>26</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39"/>
    </row>
    <row r="100" spans="1:24" s="290" customFormat="1">
      <c r="A100" s="231"/>
      <c r="B100" s="275"/>
      <c r="C100" s="235"/>
      <c r="D100" s="235"/>
      <c r="E100" s="231"/>
      <c r="F100" s="212"/>
      <c r="G100" s="231"/>
      <c r="H100" s="288" t="s">
        <v>50</v>
      </c>
      <c r="I100" s="212"/>
      <c r="J100" s="211"/>
      <c r="K100" s="211"/>
      <c r="L100" s="292" t="s">
        <v>28</v>
      </c>
      <c r="M100" s="215"/>
      <c r="N100" s="215"/>
      <c r="O100" s="215"/>
      <c r="P100" s="215"/>
      <c r="Q100" s="215"/>
      <c r="R100" s="215"/>
      <c r="S100" s="215"/>
      <c r="T100" s="215"/>
      <c r="U100" s="215"/>
      <c r="V100" s="215"/>
      <c r="W100" s="215"/>
      <c r="X100" s="234"/>
    </row>
    <row r="101" spans="1:24" s="242" customFormat="1" outlineLevel="1">
      <c r="A101" s="236"/>
      <c r="B101" s="283"/>
      <c r="C101" s="230"/>
      <c r="D101" s="230"/>
      <c r="E101" s="236"/>
      <c r="F101" s="237"/>
      <c r="G101" s="236"/>
      <c r="H101" s="237" t="s">
        <v>37</v>
      </c>
      <c r="I101" s="237"/>
      <c r="J101" s="237"/>
      <c r="K101" s="67" t="s">
        <v>39</v>
      </c>
      <c r="L101" s="196" t="s">
        <v>28</v>
      </c>
      <c r="M101" s="265">
        <v>2000</v>
      </c>
      <c r="N101" s="266">
        <f t="shared" ref="N101:W103" si="6">M101</f>
        <v>2000</v>
      </c>
      <c r="O101" s="266">
        <f t="shared" si="6"/>
        <v>2000</v>
      </c>
      <c r="P101" s="266">
        <f t="shared" si="6"/>
        <v>2000</v>
      </c>
      <c r="Q101" s="266">
        <f t="shared" si="6"/>
        <v>2000</v>
      </c>
      <c r="R101" s="266">
        <f t="shared" si="6"/>
        <v>2000</v>
      </c>
      <c r="S101" s="266">
        <f t="shared" si="6"/>
        <v>2000</v>
      </c>
      <c r="T101" s="266">
        <f t="shared" si="6"/>
        <v>2000</v>
      </c>
      <c r="U101" s="266">
        <f t="shared" si="6"/>
        <v>2000</v>
      </c>
      <c r="V101" s="266">
        <f t="shared" si="6"/>
        <v>2000</v>
      </c>
      <c r="W101" s="266">
        <f t="shared" si="6"/>
        <v>2000</v>
      </c>
      <c r="X101" s="239"/>
    </row>
    <row r="102" spans="1:24" s="242" customFormat="1" outlineLevel="1">
      <c r="A102" s="236"/>
      <c r="B102" s="283"/>
      <c r="C102" s="230"/>
      <c r="D102" s="230"/>
      <c r="E102" s="236"/>
      <c r="F102" s="237"/>
      <c r="G102" s="236"/>
      <c r="H102" s="237" t="s">
        <v>36</v>
      </c>
      <c r="I102" s="237"/>
      <c r="J102" s="237"/>
      <c r="K102" s="67" t="s">
        <v>39</v>
      </c>
      <c r="L102" s="196" t="s">
        <v>28</v>
      </c>
      <c r="M102" s="265">
        <v>2100</v>
      </c>
      <c r="N102" s="266">
        <f t="shared" si="6"/>
        <v>2100</v>
      </c>
      <c r="O102" s="266">
        <f t="shared" si="6"/>
        <v>2100</v>
      </c>
      <c r="P102" s="266">
        <f t="shared" si="6"/>
        <v>2100</v>
      </c>
      <c r="Q102" s="266">
        <f t="shared" si="6"/>
        <v>2100</v>
      </c>
      <c r="R102" s="266">
        <f t="shared" si="6"/>
        <v>2100</v>
      </c>
      <c r="S102" s="266">
        <f t="shared" si="6"/>
        <v>2100</v>
      </c>
      <c r="T102" s="266">
        <f t="shared" si="6"/>
        <v>2100</v>
      </c>
      <c r="U102" s="266">
        <f t="shared" si="6"/>
        <v>2100</v>
      </c>
      <c r="V102" s="266">
        <f t="shared" si="6"/>
        <v>2100</v>
      </c>
      <c r="W102" s="266">
        <f t="shared" si="6"/>
        <v>2100</v>
      </c>
      <c r="X102" s="239"/>
    </row>
    <row r="103" spans="1:24" s="242" customFormat="1" outlineLevel="1">
      <c r="A103" s="236"/>
      <c r="B103" s="283"/>
      <c r="C103" s="230"/>
      <c r="D103" s="230"/>
      <c r="E103" s="236"/>
      <c r="F103" s="237"/>
      <c r="G103" s="236"/>
      <c r="H103" s="237" t="s">
        <v>38</v>
      </c>
      <c r="I103" s="237"/>
      <c r="J103" s="237"/>
      <c r="K103" s="67" t="s">
        <v>10</v>
      </c>
      <c r="L103" s="196" t="s">
        <v>28</v>
      </c>
      <c r="M103" s="55">
        <v>25</v>
      </c>
      <c r="N103" s="221">
        <f t="shared" si="6"/>
        <v>25</v>
      </c>
      <c r="O103" s="221">
        <f t="shared" si="6"/>
        <v>25</v>
      </c>
      <c r="P103" s="221">
        <f t="shared" si="6"/>
        <v>25</v>
      </c>
      <c r="Q103" s="221">
        <f t="shared" si="6"/>
        <v>25</v>
      </c>
      <c r="R103" s="221">
        <f t="shared" si="6"/>
        <v>25</v>
      </c>
      <c r="S103" s="221">
        <f t="shared" si="6"/>
        <v>25</v>
      </c>
      <c r="T103" s="221">
        <f t="shared" si="6"/>
        <v>25</v>
      </c>
      <c r="U103" s="221">
        <f t="shared" si="6"/>
        <v>25</v>
      </c>
      <c r="V103" s="221">
        <f t="shared" si="6"/>
        <v>25</v>
      </c>
      <c r="W103" s="221">
        <f t="shared" si="6"/>
        <v>25</v>
      </c>
      <c r="X103" s="239"/>
    </row>
    <row r="104" spans="1:24" s="242" customFormat="1" outlineLevel="1">
      <c r="A104" s="236"/>
      <c r="B104" s="283"/>
      <c r="C104" s="230"/>
      <c r="D104" s="230"/>
      <c r="E104" s="236"/>
      <c r="F104" s="237"/>
      <c r="G104" s="236"/>
      <c r="H104" s="237" t="s">
        <v>353</v>
      </c>
      <c r="I104" s="237"/>
      <c r="J104" s="237"/>
      <c r="K104" s="237" t="s">
        <v>10</v>
      </c>
      <c r="L104" s="196" t="s">
        <v>28</v>
      </c>
      <c r="M104" s="55"/>
      <c r="N104" s="55"/>
      <c r="O104" s="55"/>
      <c r="P104" s="55"/>
      <c r="Q104" s="55"/>
      <c r="R104" s="55"/>
      <c r="S104" s="55"/>
      <c r="T104" s="55"/>
      <c r="U104" s="55"/>
      <c r="V104" s="55"/>
      <c r="W104" s="55"/>
      <c r="X104" s="239"/>
    </row>
    <row r="105" spans="1:24" s="242" customFormat="1" outlineLevel="1">
      <c r="A105" s="236"/>
      <c r="B105" s="283"/>
      <c r="C105" s="230"/>
      <c r="D105" s="230"/>
      <c r="E105" s="236"/>
      <c r="F105" s="237"/>
      <c r="G105" s="236"/>
      <c r="H105" s="237" t="s">
        <v>304</v>
      </c>
      <c r="I105" s="237"/>
      <c r="J105" s="237"/>
      <c r="K105" s="67" t="s">
        <v>96</v>
      </c>
      <c r="L105" s="196" t="s">
        <v>28</v>
      </c>
      <c r="M105" s="261">
        <v>0.25</v>
      </c>
      <c r="N105" s="262">
        <f t="shared" ref="N105:W105" si="7">M105</f>
        <v>0.25</v>
      </c>
      <c r="O105" s="262">
        <f t="shared" si="7"/>
        <v>0.25</v>
      </c>
      <c r="P105" s="262">
        <f t="shared" si="7"/>
        <v>0.25</v>
      </c>
      <c r="Q105" s="262">
        <f t="shared" si="7"/>
        <v>0.25</v>
      </c>
      <c r="R105" s="262">
        <f t="shared" si="7"/>
        <v>0.25</v>
      </c>
      <c r="S105" s="262">
        <f t="shared" si="7"/>
        <v>0.25</v>
      </c>
      <c r="T105" s="262">
        <f t="shared" si="7"/>
        <v>0.25</v>
      </c>
      <c r="U105" s="262">
        <f t="shared" si="7"/>
        <v>0.25</v>
      </c>
      <c r="V105" s="262">
        <f t="shared" si="7"/>
        <v>0.25</v>
      </c>
      <c r="W105" s="262">
        <f t="shared" si="7"/>
        <v>0.25</v>
      </c>
      <c r="X105" s="239"/>
    </row>
    <row r="106" spans="1:24" s="242" customFormat="1" outlineLevel="1">
      <c r="A106" s="236"/>
      <c r="B106" s="283"/>
      <c r="C106" s="230"/>
      <c r="D106" s="230"/>
      <c r="E106" s="236"/>
      <c r="F106" s="237"/>
      <c r="G106" s="236"/>
      <c r="H106" s="237" t="s">
        <v>350</v>
      </c>
      <c r="I106" s="237"/>
      <c r="J106" s="237"/>
      <c r="K106" s="237" t="s">
        <v>96</v>
      </c>
      <c r="L106" s="196" t="s">
        <v>28</v>
      </c>
      <c r="M106" s="261"/>
      <c r="N106" s="261"/>
      <c r="O106" s="261"/>
      <c r="P106" s="261"/>
      <c r="Q106" s="261"/>
      <c r="R106" s="261"/>
      <c r="S106" s="261"/>
      <c r="T106" s="261"/>
      <c r="U106" s="261"/>
      <c r="V106" s="261"/>
      <c r="W106" s="261"/>
      <c r="X106" s="239"/>
    </row>
    <row r="107" spans="1:24" s="242" customFormat="1" outlineLevel="1">
      <c r="A107" s="236"/>
      <c r="B107" s="283"/>
      <c r="C107" s="230"/>
      <c r="D107" s="230"/>
      <c r="E107" s="236"/>
      <c r="F107" s="237"/>
      <c r="G107" s="236"/>
      <c r="H107" s="237" t="s">
        <v>349</v>
      </c>
      <c r="I107" s="237"/>
      <c r="J107" s="237"/>
      <c r="K107" s="237" t="s">
        <v>96</v>
      </c>
      <c r="L107" s="196" t="s">
        <v>28</v>
      </c>
      <c r="M107" s="261"/>
      <c r="N107" s="261"/>
      <c r="O107" s="261"/>
      <c r="P107" s="261"/>
      <c r="Q107" s="261"/>
      <c r="R107" s="261"/>
      <c r="S107" s="261"/>
      <c r="T107" s="261"/>
      <c r="U107" s="261"/>
      <c r="V107" s="261"/>
      <c r="W107" s="261"/>
      <c r="X107" s="239"/>
    </row>
    <row r="108" spans="1:24" s="242" customFormat="1" outlineLevel="1">
      <c r="A108" s="236"/>
      <c r="B108" s="283"/>
      <c r="C108" s="230"/>
      <c r="D108" s="230"/>
      <c r="E108" s="236"/>
      <c r="F108" s="237"/>
      <c r="G108" s="236"/>
      <c r="H108" s="237" t="s">
        <v>74</v>
      </c>
      <c r="I108" s="237"/>
      <c r="J108" s="237"/>
      <c r="K108" s="67" t="s">
        <v>96</v>
      </c>
      <c r="L108" s="196" t="s">
        <v>28</v>
      </c>
      <c r="M108" s="261">
        <v>0</v>
      </c>
      <c r="N108" s="261"/>
      <c r="O108" s="261"/>
      <c r="P108" s="261"/>
      <c r="Q108" s="261"/>
      <c r="R108" s="261"/>
      <c r="S108" s="261"/>
      <c r="T108" s="261"/>
      <c r="U108" s="261"/>
      <c r="V108" s="261"/>
      <c r="W108" s="261"/>
      <c r="X108" s="239"/>
    </row>
    <row r="109" spans="1:24" s="242" customFormat="1" outlineLevel="1">
      <c r="A109" s="236"/>
      <c r="B109" s="283"/>
      <c r="C109" s="230"/>
      <c r="D109" s="230"/>
      <c r="E109" s="236"/>
      <c r="F109" s="68"/>
      <c r="G109" s="236"/>
      <c r="H109" s="68" t="s">
        <v>146</v>
      </c>
      <c r="I109" s="68"/>
      <c r="K109" s="68" t="s">
        <v>96</v>
      </c>
      <c r="L109" s="196" t="s">
        <v>28</v>
      </c>
      <c r="M109" s="261"/>
      <c r="N109" s="261"/>
      <c r="O109" s="261"/>
      <c r="P109" s="261"/>
      <c r="Q109" s="261"/>
      <c r="R109" s="261"/>
      <c r="S109" s="261"/>
      <c r="T109" s="261"/>
      <c r="U109" s="261"/>
      <c r="V109" s="261"/>
      <c r="W109" s="261"/>
      <c r="X109" s="239"/>
    </row>
    <row r="110" spans="1:24" s="242" customFormat="1" outlineLevel="1">
      <c r="A110" s="236"/>
      <c r="B110" s="283"/>
      <c r="C110" s="230"/>
      <c r="D110" s="230"/>
      <c r="E110" s="236"/>
      <c r="F110" s="68"/>
      <c r="G110" s="236"/>
      <c r="H110" s="68" t="s">
        <v>147</v>
      </c>
      <c r="I110" s="68"/>
      <c r="K110" s="68" t="s">
        <v>96</v>
      </c>
      <c r="L110" s="196" t="s">
        <v>28</v>
      </c>
      <c r="M110" s="261"/>
      <c r="N110" s="261"/>
      <c r="O110" s="261"/>
      <c r="P110" s="261"/>
      <c r="Q110" s="261"/>
      <c r="R110" s="261"/>
      <c r="S110" s="261"/>
      <c r="T110" s="261"/>
      <c r="U110" s="261"/>
      <c r="V110" s="261"/>
      <c r="W110" s="261"/>
      <c r="X110" s="239"/>
    </row>
    <row r="111" spans="1:24" s="242" customFormat="1" outlineLevel="1">
      <c r="A111" s="236"/>
      <c r="B111" s="283"/>
      <c r="C111" s="230"/>
      <c r="D111" s="230"/>
      <c r="E111" s="236"/>
      <c r="F111" s="68"/>
      <c r="G111" s="236"/>
      <c r="H111" s="68" t="s">
        <v>362</v>
      </c>
      <c r="I111" s="68"/>
      <c r="K111" s="68" t="s">
        <v>96</v>
      </c>
      <c r="L111" s="196" t="s">
        <v>28</v>
      </c>
      <c r="M111" s="261"/>
      <c r="N111" s="261"/>
      <c r="O111" s="261"/>
      <c r="P111" s="261"/>
      <c r="Q111" s="261"/>
      <c r="R111" s="261"/>
      <c r="S111" s="261"/>
      <c r="T111" s="261"/>
      <c r="U111" s="261"/>
      <c r="V111" s="261"/>
      <c r="W111" s="261"/>
      <c r="X111" s="239"/>
    </row>
    <row r="112" spans="1:24" s="242" customFormat="1" outlineLevel="1">
      <c r="A112" s="236"/>
      <c r="B112" s="283"/>
      <c r="C112" s="230"/>
      <c r="D112" s="230"/>
      <c r="E112" s="236"/>
      <c r="F112" s="68"/>
      <c r="G112" s="236"/>
      <c r="H112" s="68" t="s">
        <v>363</v>
      </c>
      <c r="I112" s="68"/>
      <c r="K112" s="68" t="s">
        <v>96</v>
      </c>
      <c r="L112" s="196" t="s">
        <v>28</v>
      </c>
      <c r="M112" s="261"/>
      <c r="N112" s="261"/>
      <c r="O112" s="261"/>
      <c r="P112" s="261"/>
      <c r="Q112" s="261"/>
      <c r="R112" s="261"/>
      <c r="S112" s="261"/>
      <c r="T112" s="261"/>
      <c r="U112" s="261"/>
      <c r="V112" s="261"/>
      <c r="W112" s="261"/>
      <c r="X112" s="239"/>
    </row>
    <row r="113" spans="1:24" s="242" customFormat="1" outlineLevel="1">
      <c r="A113" s="236"/>
      <c r="B113" s="283"/>
      <c r="C113" s="230"/>
      <c r="D113" s="230"/>
      <c r="E113" s="236"/>
      <c r="F113" s="237"/>
      <c r="G113" s="236"/>
      <c r="H113" s="237" t="s">
        <v>332</v>
      </c>
      <c r="I113" s="237"/>
      <c r="J113" s="237"/>
      <c r="K113" s="67" t="s">
        <v>35</v>
      </c>
      <c r="L113" s="196" t="s">
        <v>28</v>
      </c>
      <c r="M113" s="55"/>
      <c r="N113" s="55"/>
      <c r="O113" s="55"/>
      <c r="P113" s="55"/>
      <c r="Q113" s="55"/>
      <c r="R113" s="55"/>
      <c r="S113" s="55"/>
      <c r="T113" s="55"/>
      <c r="U113" s="55"/>
      <c r="V113" s="55"/>
      <c r="W113" s="55"/>
      <c r="X113" s="239"/>
    </row>
    <row r="114" spans="1:24" s="242" customFormat="1" outlineLevel="1">
      <c r="A114" s="236"/>
      <c r="B114" s="283"/>
      <c r="C114" s="230"/>
      <c r="D114" s="230"/>
      <c r="E114" s="236"/>
      <c r="F114" s="237"/>
      <c r="G114" s="236"/>
      <c r="H114" s="237" t="s">
        <v>150</v>
      </c>
      <c r="I114" s="237"/>
      <c r="J114" s="237"/>
      <c r="K114" s="67" t="s">
        <v>316</v>
      </c>
      <c r="L114" s="196" t="s">
        <v>28</v>
      </c>
      <c r="M114" s="55">
        <v>2655</v>
      </c>
      <c r="N114" s="253">
        <f t="shared" ref="N114:W114" si="8">M114</f>
        <v>2655</v>
      </c>
      <c r="O114" s="253">
        <f t="shared" si="8"/>
        <v>2655</v>
      </c>
      <c r="P114" s="253">
        <f t="shared" si="8"/>
        <v>2655</v>
      </c>
      <c r="Q114" s="253">
        <f t="shared" si="8"/>
        <v>2655</v>
      </c>
      <c r="R114" s="253">
        <f t="shared" si="8"/>
        <v>2655</v>
      </c>
      <c r="S114" s="253">
        <f t="shared" si="8"/>
        <v>2655</v>
      </c>
      <c r="T114" s="253">
        <f t="shared" si="8"/>
        <v>2655</v>
      </c>
      <c r="U114" s="253">
        <f t="shared" si="8"/>
        <v>2655</v>
      </c>
      <c r="V114" s="253">
        <f t="shared" si="8"/>
        <v>2655</v>
      </c>
      <c r="W114" s="253">
        <f t="shared" si="8"/>
        <v>2655</v>
      </c>
      <c r="X114" s="239"/>
    </row>
    <row r="115" spans="1:24" s="242" customFormat="1" outlineLevel="1">
      <c r="A115" s="236"/>
      <c r="B115" s="283"/>
      <c r="C115" s="230"/>
      <c r="D115" s="230"/>
      <c r="E115" s="236"/>
      <c r="F115" s="237"/>
      <c r="G115" s="236"/>
      <c r="H115" s="237" t="s">
        <v>375</v>
      </c>
      <c r="I115" s="237"/>
      <c r="J115" s="237"/>
      <c r="K115" s="237" t="s">
        <v>96</v>
      </c>
      <c r="L115" s="196" t="s">
        <v>28</v>
      </c>
      <c r="M115" s="261"/>
      <c r="N115" s="261"/>
      <c r="O115" s="261"/>
      <c r="P115" s="261"/>
      <c r="Q115" s="261"/>
      <c r="R115" s="261"/>
      <c r="S115" s="261"/>
      <c r="T115" s="261"/>
      <c r="U115" s="261"/>
      <c r="V115" s="261"/>
      <c r="W115" s="261"/>
      <c r="X115" s="239"/>
    </row>
    <row r="116" spans="1:24" s="242" customFormat="1" outlineLevel="1">
      <c r="A116" s="236"/>
      <c r="B116" s="283"/>
      <c r="C116" s="230"/>
      <c r="D116" s="230"/>
      <c r="E116" s="236"/>
      <c r="F116" s="237"/>
      <c r="G116" s="236"/>
      <c r="H116" s="237" t="s">
        <v>432</v>
      </c>
      <c r="I116" s="237"/>
      <c r="J116" s="237"/>
      <c r="K116" s="67" t="s">
        <v>35</v>
      </c>
      <c r="L116" s="196" t="s">
        <v>28</v>
      </c>
      <c r="M116" s="55"/>
      <c r="N116" s="55"/>
      <c r="O116" s="55"/>
      <c r="P116" s="55"/>
      <c r="Q116" s="55"/>
      <c r="R116" s="55"/>
      <c r="S116" s="55"/>
      <c r="T116" s="55"/>
      <c r="U116" s="55"/>
      <c r="V116" s="55"/>
      <c r="W116" s="55"/>
      <c r="X116" s="239"/>
    </row>
    <row r="117" spans="1:24" s="242" customFormat="1" outlineLevel="1">
      <c r="A117" s="236"/>
      <c r="B117" s="283"/>
      <c r="C117" s="230"/>
      <c r="D117" s="230"/>
      <c r="E117" s="236"/>
      <c r="F117" s="237"/>
      <c r="G117" s="236"/>
      <c r="H117" s="237" t="s">
        <v>379</v>
      </c>
      <c r="I117" s="237"/>
      <c r="J117" s="237"/>
      <c r="K117" s="237"/>
      <c r="L117" s="196" t="s">
        <v>28</v>
      </c>
      <c r="M117" s="54"/>
      <c r="N117" s="54"/>
      <c r="O117" s="54"/>
      <c r="P117" s="54"/>
      <c r="Q117" s="54"/>
      <c r="R117" s="54"/>
      <c r="S117" s="54"/>
      <c r="T117" s="54"/>
      <c r="U117" s="54"/>
      <c r="V117" s="54"/>
      <c r="W117" s="54"/>
      <c r="X117" s="239"/>
    </row>
    <row r="118" spans="1:24" s="242" customFormat="1" outlineLevel="1">
      <c r="A118" s="236"/>
      <c r="B118" s="283"/>
      <c r="C118" s="230"/>
      <c r="D118" s="230"/>
      <c r="E118" s="236"/>
      <c r="F118" s="237"/>
      <c r="G118" s="236"/>
      <c r="H118" s="237" t="s">
        <v>361</v>
      </c>
      <c r="I118" s="237"/>
      <c r="J118" s="237"/>
      <c r="K118" s="237" t="s">
        <v>96</v>
      </c>
      <c r="L118" s="196" t="s">
        <v>28</v>
      </c>
      <c r="M118" s="261"/>
      <c r="N118" s="261"/>
      <c r="O118" s="261"/>
      <c r="P118" s="261"/>
      <c r="Q118" s="261"/>
      <c r="R118" s="261"/>
      <c r="S118" s="261"/>
      <c r="T118" s="261"/>
      <c r="U118" s="261"/>
      <c r="V118" s="261"/>
      <c r="W118" s="261"/>
      <c r="X118" s="239"/>
    </row>
    <row r="119" spans="1:24" s="242" customFormat="1" outlineLevel="1">
      <c r="A119" s="236"/>
      <c r="B119" s="283"/>
      <c r="C119" s="230"/>
      <c r="D119" s="230"/>
      <c r="E119" s="236"/>
      <c r="F119" s="237"/>
      <c r="G119" s="236"/>
      <c r="H119" s="237" t="s">
        <v>384</v>
      </c>
      <c r="I119" s="237"/>
      <c r="J119" s="237"/>
      <c r="K119" s="237" t="s">
        <v>316</v>
      </c>
      <c r="L119" s="196" t="s">
        <v>28</v>
      </c>
      <c r="M119" s="55"/>
      <c r="N119" s="55"/>
      <c r="O119" s="55"/>
      <c r="P119" s="55"/>
      <c r="Q119" s="55"/>
      <c r="R119" s="55"/>
      <c r="S119" s="55"/>
      <c r="T119" s="55"/>
      <c r="U119" s="55"/>
      <c r="V119" s="55"/>
      <c r="W119" s="55"/>
      <c r="X119" s="239"/>
    </row>
    <row r="120" spans="1:24" s="242" customFormat="1" outlineLevel="1">
      <c r="A120" s="236"/>
      <c r="B120" s="283"/>
      <c r="C120" s="230"/>
      <c r="D120" s="230"/>
      <c r="E120" s="236"/>
      <c r="F120" s="237"/>
      <c r="G120" s="236"/>
      <c r="H120" s="237" t="s">
        <v>386</v>
      </c>
      <c r="I120" s="237"/>
      <c r="J120" s="237"/>
      <c r="K120" s="237" t="s">
        <v>316</v>
      </c>
      <c r="L120" s="196" t="s">
        <v>28</v>
      </c>
      <c r="M120" s="55"/>
      <c r="N120" s="55"/>
      <c r="O120" s="55"/>
      <c r="P120" s="55"/>
      <c r="Q120" s="55"/>
      <c r="R120" s="55"/>
      <c r="S120" s="55"/>
      <c r="T120" s="55"/>
      <c r="U120" s="55"/>
      <c r="V120" s="55"/>
      <c r="W120" s="55"/>
      <c r="X120" s="239"/>
    </row>
    <row r="121" spans="1:24" s="242" customFormat="1" outlineLevel="1">
      <c r="A121" s="236"/>
      <c r="B121" s="283"/>
      <c r="C121" s="230"/>
      <c r="D121" s="230"/>
      <c r="E121" s="236"/>
      <c r="F121" s="237"/>
      <c r="G121" s="236"/>
      <c r="H121" s="237" t="s">
        <v>387</v>
      </c>
      <c r="I121" s="237"/>
      <c r="J121" s="237"/>
      <c r="K121" s="237"/>
      <c r="L121" s="196" t="s">
        <v>28</v>
      </c>
      <c r="M121" s="54"/>
      <c r="N121" s="54"/>
      <c r="O121" s="54"/>
      <c r="P121" s="54"/>
      <c r="Q121" s="54"/>
      <c r="R121" s="54"/>
      <c r="S121" s="54"/>
      <c r="T121" s="54"/>
      <c r="U121" s="54"/>
      <c r="V121" s="54"/>
      <c r="W121" s="54"/>
      <c r="X121" s="239"/>
    </row>
    <row r="122" spans="1:24" s="242" customFormat="1" outlineLevel="1">
      <c r="A122" s="236"/>
      <c r="B122" s="283"/>
      <c r="C122" s="230"/>
      <c r="D122" s="230"/>
      <c r="E122" s="236"/>
      <c r="F122" s="237"/>
      <c r="G122" s="236"/>
      <c r="H122" s="237" t="s">
        <v>388</v>
      </c>
      <c r="I122" s="237"/>
      <c r="J122" s="237"/>
      <c r="K122" s="237"/>
      <c r="L122" s="196" t="s">
        <v>28</v>
      </c>
      <c r="M122" s="54"/>
      <c r="N122" s="54"/>
      <c r="O122" s="54"/>
      <c r="P122" s="54"/>
      <c r="Q122" s="54"/>
      <c r="R122" s="54"/>
      <c r="S122" s="54"/>
      <c r="T122" s="54"/>
      <c r="U122" s="54"/>
      <c r="V122" s="54"/>
      <c r="W122" s="54"/>
      <c r="X122" s="239"/>
    </row>
    <row r="123" spans="1:24" s="242" customFormat="1" outlineLevel="1">
      <c r="A123" s="236"/>
      <c r="B123" s="283"/>
      <c r="C123" s="246"/>
      <c r="D123" s="246"/>
      <c r="E123" s="236"/>
      <c r="F123" s="237"/>
      <c r="G123" s="236"/>
      <c r="H123" s="237" t="s">
        <v>385</v>
      </c>
      <c r="I123" s="237"/>
      <c r="J123" s="237"/>
      <c r="K123" s="67" t="s">
        <v>319</v>
      </c>
      <c r="L123" s="196" t="s">
        <v>28</v>
      </c>
      <c r="M123" s="55"/>
      <c r="N123" s="55"/>
      <c r="O123" s="55"/>
      <c r="P123" s="55"/>
      <c r="Q123" s="55"/>
      <c r="R123" s="55"/>
      <c r="S123" s="55"/>
      <c r="T123" s="55"/>
      <c r="U123" s="55"/>
      <c r="V123" s="55"/>
      <c r="W123" s="55"/>
      <c r="X123" s="239"/>
    </row>
    <row r="124" spans="1:24" s="242" customFormat="1" outlineLevel="1">
      <c r="A124" s="236"/>
      <c r="B124" s="283"/>
      <c r="C124" s="246"/>
      <c r="D124" s="246"/>
      <c r="E124" s="236"/>
      <c r="F124" s="237"/>
      <c r="G124" s="236"/>
      <c r="H124" s="237" t="s">
        <v>389</v>
      </c>
      <c r="I124" s="237"/>
      <c r="J124" s="237"/>
      <c r="K124" s="67" t="s">
        <v>319</v>
      </c>
      <c r="L124" s="196" t="s">
        <v>28</v>
      </c>
      <c r="M124" s="55"/>
      <c r="N124" s="55"/>
      <c r="O124" s="55"/>
      <c r="P124" s="55"/>
      <c r="Q124" s="55"/>
      <c r="R124" s="55"/>
      <c r="S124" s="55"/>
      <c r="T124" s="55"/>
      <c r="U124" s="55"/>
      <c r="V124" s="55"/>
      <c r="W124" s="55"/>
      <c r="X124" s="239"/>
    </row>
    <row r="125" spans="1:24" s="242" customFormat="1" outlineLevel="1">
      <c r="A125" s="236"/>
      <c r="B125" s="283"/>
      <c r="C125" s="246"/>
      <c r="D125" s="246"/>
      <c r="E125" s="236"/>
      <c r="F125" s="237"/>
      <c r="G125" s="236"/>
      <c r="H125" s="237" t="s">
        <v>390</v>
      </c>
      <c r="I125" s="237"/>
      <c r="J125" s="237"/>
      <c r="K125" s="237"/>
      <c r="L125" s="196" t="s">
        <v>28</v>
      </c>
      <c r="M125" s="54"/>
      <c r="N125" s="54"/>
      <c r="O125" s="54"/>
      <c r="P125" s="54"/>
      <c r="Q125" s="54"/>
      <c r="R125" s="54"/>
      <c r="S125" s="54"/>
      <c r="T125" s="54"/>
      <c r="U125" s="54"/>
      <c r="V125" s="54"/>
      <c r="W125" s="54"/>
      <c r="X125" s="239"/>
    </row>
    <row r="126" spans="1:24" s="242" customFormat="1" outlineLevel="1">
      <c r="A126" s="236"/>
      <c r="B126" s="283"/>
      <c r="C126" s="246"/>
      <c r="D126" s="246"/>
      <c r="E126" s="236"/>
      <c r="F126" s="237"/>
      <c r="G126" s="236"/>
      <c r="H126" s="237" t="s">
        <v>391</v>
      </c>
      <c r="I126" s="237"/>
      <c r="J126" s="237"/>
      <c r="K126" s="237"/>
      <c r="L126" s="196" t="s">
        <v>28</v>
      </c>
      <c r="M126" s="54"/>
      <c r="N126" s="54"/>
      <c r="O126" s="54"/>
      <c r="P126" s="54"/>
      <c r="Q126" s="54"/>
      <c r="R126" s="54"/>
      <c r="S126" s="54"/>
      <c r="T126" s="54"/>
      <c r="U126" s="54"/>
      <c r="V126" s="54"/>
      <c r="W126" s="54"/>
      <c r="X126" s="239"/>
    </row>
    <row r="127" spans="1:24" s="242" customFormat="1" outlineLevel="1">
      <c r="A127" s="236"/>
      <c r="B127" s="283"/>
      <c r="C127" s="246"/>
      <c r="D127" s="246"/>
      <c r="E127" s="236"/>
      <c r="F127" s="237"/>
      <c r="G127" s="236"/>
      <c r="H127" s="237" t="s">
        <v>305</v>
      </c>
      <c r="I127" s="237"/>
      <c r="J127" s="237"/>
      <c r="K127" s="67" t="s">
        <v>319</v>
      </c>
      <c r="L127" s="196" t="s">
        <v>28</v>
      </c>
      <c r="M127" s="55"/>
      <c r="N127" s="55"/>
      <c r="O127" s="55"/>
      <c r="P127" s="55"/>
      <c r="Q127" s="55"/>
      <c r="R127" s="55"/>
      <c r="S127" s="55"/>
      <c r="T127" s="55"/>
      <c r="U127" s="55"/>
      <c r="V127" s="55"/>
      <c r="W127" s="55"/>
      <c r="X127" s="239"/>
    </row>
    <row r="128" spans="1:24" s="242" customFormat="1" outlineLevel="1">
      <c r="A128" s="236"/>
      <c r="B128" s="283"/>
      <c r="C128" s="246"/>
      <c r="D128" s="246"/>
      <c r="E128" s="236"/>
      <c r="F128" s="237"/>
      <c r="G128" s="236"/>
      <c r="H128" s="237" t="s">
        <v>352</v>
      </c>
      <c r="I128" s="237"/>
      <c r="J128" s="237"/>
      <c r="K128" s="237" t="s">
        <v>316</v>
      </c>
      <c r="L128" s="196" t="s">
        <v>28</v>
      </c>
      <c r="M128" s="55"/>
      <c r="N128" s="55"/>
      <c r="O128" s="55"/>
      <c r="P128" s="55"/>
      <c r="Q128" s="55"/>
      <c r="R128" s="55"/>
      <c r="S128" s="55"/>
      <c r="T128" s="55"/>
      <c r="U128" s="55"/>
      <c r="V128" s="55"/>
      <c r="W128" s="55"/>
      <c r="X128" s="239"/>
    </row>
    <row r="129" spans="1:24" s="242" customFormat="1" outlineLevel="1">
      <c r="A129" s="236"/>
      <c r="B129" s="283"/>
      <c r="C129" s="246"/>
      <c r="D129" s="246"/>
      <c r="E129" s="236"/>
      <c r="F129" s="25"/>
      <c r="G129" s="236"/>
      <c r="H129" s="67" t="s">
        <v>301</v>
      </c>
      <c r="I129" s="25"/>
      <c r="J129" s="67"/>
      <c r="K129" s="67" t="s">
        <v>44</v>
      </c>
      <c r="L129" s="196" t="s">
        <v>28</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39"/>
    </row>
    <row r="130" spans="1:24" s="242" customFormat="1" outlineLevel="1">
      <c r="A130" s="236"/>
      <c r="B130" s="283"/>
      <c r="C130" s="246"/>
      <c r="D130" s="246"/>
      <c r="E130" s="236"/>
      <c r="F130" s="25"/>
      <c r="G130" s="236"/>
      <c r="H130" s="67" t="s">
        <v>301</v>
      </c>
      <c r="I130" s="25"/>
      <c r="J130" s="67"/>
      <c r="K130" s="67" t="s">
        <v>44</v>
      </c>
      <c r="L130" s="196" t="s">
        <v>28</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39"/>
    </row>
    <row r="131" spans="1:24" s="290" customFormat="1">
      <c r="A131" s="231"/>
      <c r="B131" s="275"/>
      <c r="C131" s="291"/>
      <c r="D131" s="291"/>
      <c r="E131" s="231"/>
      <c r="F131" s="212"/>
      <c r="G131" s="231"/>
      <c r="H131" s="288" t="s">
        <v>50</v>
      </c>
      <c r="I131" s="212"/>
      <c r="J131" s="211"/>
      <c r="K131" s="211"/>
      <c r="L131" s="292" t="s">
        <v>29</v>
      </c>
      <c r="M131" s="215"/>
      <c r="N131" s="215"/>
      <c r="O131" s="215"/>
      <c r="P131" s="215"/>
      <c r="Q131" s="215"/>
      <c r="R131" s="215"/>
      <c r="S131" s="215"/>
      <c r="T131" s="215"/>
      <c r="U131" s="215"/>
      <c r="V131" s="215"/>
      <c r="W131" s="215"/>
      <c r="X131" s="234"/>
    </row>
    <row r="132" spans="1:24" s="242" customFormat="1" outlineLevel="1">
      <c r="A132" s="236"/>
      <c r="B132" s="283"/>
      <c r="C132" s="246"/>
      <c r="D132" s="246"/>
      <c r="E132" s="236"/>
      <c r="F132" s="237"/>
      <c r="G132" s="236"/>
      <c r="H132" s="237" t="s">
        <v>37</v>
      </c>
      <c r="I132" s="237"/>
      <c r="J132" s="237"/>
      <c r="K132" s="67" t="s">
        <v>39</v>
      </c>
      <c r="L132" s="196" t="s">
        <v>29</v>
      </c>
      <c r="M132" s="265">
        <v>2000</v>
      </c>
      <c r="N132" s="266">
        <f t="shared" ref="N132:W134" si="10">M132</f>
        <v>2000</v>
      </c>
      <c r="O132" s="266">
        <f t="shared" si="10"/>
        <v>2000</v>
      </c>
      <c r="P132" s="266">
        <f t="shared" si="10"/>
        <v>2000</v>
      </c>
      <c r="Q132" s="266">
        <f t="shared" si="10"/>
        <v>2000</v>
      </c>
      <c r="R132" s="266">
        <f t="shared" si="10"/>
        <v>2000</v>
      </c>
      <c r="S132" s="266">
        <f t="shared" si="10"/>
        <v>2000</v>
      </c>
      <c r="T132" s="266">
        <f t="shared" si="10"/>
        <v>2000</v>
      </c>
      <c r="U132" s="266">
        <f t="shared" si="10"/>
        <v>2000</v>
      </c>
      <c r="V132" s="266">
        <f t="shared" si="10"/>
        <v>2000</v>
      </c>
      <c r="W132" s="266">
        <f t="shared" si="10"/>
        <v>2000</v>
      </c>
      <c r="X132" s="239"/>
    </row>
    <row r="133" spans="1:24" s="242" customFormat="1" outlineLevel="1">
      <c r="A133" s="236"/>
      <c r="B133" s="283"/>
      <c r="C133" s="246"/>
      <c r="D133" s="246"/>
      <c r="E133" s="236"/>
      <c r="F133" s="237"/>
      <c r="G133" s="236"/>
      <c r="H133" s="237" t="s">
        <v>36</v>
      </c>
      <c r="I133" s="237"/>
      <c r="J133" s="237"/>
      <c r="K133" s="67" t="s">
        <v>39</v>
      </c>
      <c r="L133" s="196" t="s">
        <v>29</v>
      </c>
      <c r="M133" s="265">
        <v>2100</v>
      </c>
      <c r="N133" s="266">
        <f t="shared" si="10"/>
        <v>2100</v>
      </c>
      <c r="O133" s="266">
        <f t="shared" si="10"/>
        <v>2100</v>
      </c>
      <c r="P133" s="266">
        <f t="shared" si="10"/>
        <v>2100</v>
      </c>
      <c r="Q133" s="266">
        <f t="shared" si="10"/>
        <v>2100</v>
      </c>
      <c r="R133" s="266">
        <f t="shared" si="10"/>
        <v>2100</v>
      </c>
      <c r="S133" s="266">
        <f t="shared" si="10"/>
        <v>2100</v>
      </c>
      <c r="T133" s="266">
        <f t="shared" si="10"/>
        <v>2100</v>
      </c>
      <c r="U133" s="266">
        <f t="shared" si="10"/>
        <v>2100</v>
      </c>
      <c r="V133" s="266">
        <f t="shared" si="10"/>
        <v>2100</v>
      </c>
      <c r="W133" s="266">
        <f t="shared" si="10"/>
        <v>2100</v>
      </c>
      <c r="X133" s="239"/>
    </row>
    <row r="134" spans="1:24" s="242" customFormat="1" outlineLevel="1">
      <c r="A134" s="236"/>
      <c r="B134" s="283"/>
      <c r="C134" s="246"/>
      <c r="D134" s="246"/>
      <c r="E134" s="236"/>
      <c r="F134" s="237"/>
      <c r="G134" s="236"/>
      <c r="H134" s="237" t="s">
        <v>38</v>
      </c>
      <c r="I134" s="237"/>
      <c r="J134" s="237"/>
      <c r="K134" s="67" t="s">
        <v>10</v>
      </c>
      <c r="L134" s="196" t="s">
        <v>29</v>
      </c>
      <c r="M134" s="55">
        <v>25</v>
      </c>
      <c r="N134" s="221">
        <f t="shared" si="10"/>
        <v>25</v>
      </c>
      <c r="O134" s="221">
        <f t="shared" si="10"/>
        <v>25</v>
      </c>
      <c r="P134" s="221">
        <f t="shared" si="10"/>
        <v>25</v>
      </c>
      <c r="Q134" s="221">
        <f t="shared" si="10"/>
        <v>25</v>
      </c>
      <c r="R134" s="221">
        <f t="shared" si="10"/>
        <v>25</v>
      </c>
      <c r="S134" s="221">
        <f t="shared" si="10"/>
        <v>25</v>
      </c>
      <c r="T134" s="221">
        <f t="shared" si="10"/>
        <v>25</v>
      </c>
      <c r="U134" s="221">
        <f t="shared" si="10"/>
        <v>25</v>
      </c>
      <c r="V134" s="221">
        <f t="shared" si="10"/>
        <v>25</v>
      </c>
      <c r="W134" s="221">
        <f t="shared" si="10"/>
        <v>25</v>
      </c>
      <c r="X134" s="239"/>
    </row>
    <row r="135" spans="1:24" s="242" customFormat="1" outlineLevel="1">
      <c r="A135" s="236"/>
      <c r="B135" s="283"/>
      <c r="C135" s="246"/>
      <c r="D135" s="246"/>
      <c r="E135" s="236"/>
      <c r="F135" s="237"/>
      <c r="G135" s="236"/>
      <c r="H135" s="237" t="s">
        <v>353</v>
      </c>
      <c r="I135" s="237"/>
      <c r="J135" s="237"/>
      <c r="K135" s="237" t="s">
        <v>10</v>
      </c>
      <c r="L135" s="196" t="s">
        <v>29</v>
      </c>
      <c r="M135" s="55"/>
      <c r="N135" s="55"/>
      <c r="O135" s="55"/>
      <c r="P135" s="55"/>
      <c r="Q135" s="55"/>
      <c r="R135" s="55"/>
      <c r="S135" s="55"/>
      <c r="T135" s="55"/>
      <c r="U135" s="55"/>
      <c r="V135" s="55"/>
      <c r="W135" s="55"/>
      <c r="X135" s="239"/>
    </row>
    <row r="136" spans="1:24" s="242" customFormat="1" outlineLevel="1">
      <c r="A136" s="236"/>
      <c r="B136" s="283"/>
      <c r="C136" s="246"/>
      <c r="D136" s="246"/>
      <c r="E136" s="236"/>
      <c r="F136" s="237"/>
      <c r="G136" s="236"/>
      <c r="H136" s="237" t="s">
        <v>304</v>
      </c>
      <c r="I136" s="237"/>
      <c r="J136" s="237"/>
      <c r="K136" s="67" t="s">
        <v>96</v>
      </c>
      <c r="L136" s="196" t="s">
        <v>29</v>
      </c>
      <c r="M136" s="261">
        <v>0.25</v>
      </c>
      <c r="N136" s="262">
        <f t="shared" ref="N136:W136" si="11">M136</f>
        <v>0.25</v>
      </c>
      <c r="O136" s="262">
        <f t="shared" si="11"/>
        <v>0.25</v>
      </c>
      <c r="P136" s="262">
        <f t="shared" si="11"/>
        <v>0.25</v>
      </c>
      <c r="Q136" s="262">
        <f t="shared" si="11"/>
        <v>0.25</v>
      </c>
      <c r="R136" s="262">
        <f t="shared" si="11"/>
        <v>0.25</v>
      </c>
      <c r="S136" s="262">
        <f t="shared" si="11"/>
        <v>0.25</v>
      </c>
      <c r="T136" s="262">
        <f t="shared" si="11"/>
        <v>0.25</v>
      </c>
      <c r="U136" s="262">
        <f t="shared" si="11"/>
        <v>0.25</v>
      </c>
      <c r="V136" s="262">
        <f t="shared" si="11"/>
        <v>0.25</v>
      </c>
      <c r="W136" s="262">
        <f t="shared" si="11"/>
        <v>0.25</v>
      </c>
      <c r="X136" s="239"/>
    </row>
    <row r="137" spans="1:24" s="242" customFormat="1" outlineLevel="1">
      <c r="A137" s="236"/>
      <c r="B137" s="283"/>
      <c r="C137" s="246"/>
      <c r="D137" s="246"/>
      <c r="E137" s="236"/>
      <c r="F137" s="237"/>
      <c r="G137" s="236"/>
      <c r="H137" s="237" t="s">
        <v>350</v>
      </c>
      <c r="I137" s="237"/>
      <c r="J137" s="237"/>
      <c r="K137" s="237" t="s">
        <v>96</v>
      </c>
      <c r="L137" s="196" t="s">
        <v>29</v>
      </c>
      <c r="M137" s="261"/>
      <c r="N137" s="261"/>
      <c r="O137" s="261"/>
      <c r="P137" s="261"/>
      <c r="Q137" s="261"/>
      <c r="R137" s="261"/>
      <c r="S137" s="261"/>
      <c r="T137" s="261"/>
      <c r="U137" s="261"/>
      <c r="V137" s="261"/>
      <c r="W137" s="261"/>
      <c r="X137" s="239"/>
    </row>
    <row r="138" spans="1:24" s="242" customFormat="1" outlineLevel="1">
      <c r="A138" s="236"/>
      <c r="B138" s="283"/>
      <c r="C138" s="246"/>
      <c r="D138" s="246"/>
      <c r="E138" s="236"/>
      <c r="F138" s="237"/>
      <c r="G138" s="236"/>
      <c r="H138" s="237" t="s">
        <v>349</v>
      </c>
      <c r="I138" s="237"/>
      <c r="J138" s="237"/>
      <c r="K138" s="237" t="s">
        <v>96</v>
      </c>
      <c r="L138" s="196" t="s">
        <v>29</v>
      </c>
      <c r="M138" s="261"/>
      <c r="N138" s="261"/>
      <c r="O138" s="261"/>
      <c r="P138" s="261"/>
      <c r="Q138" s="261"/>
      <c r="R138" s="261"/>
      <c r="S138" s="261"/>
      <c r="T138" s="261"/>
      <c r="U138" s="261"/>
      <c r="V138" s="261"/>
      <c r="W138" s="261"/>
      <c r="X138" s="239"/>
    </row>
    <row r="139" spans="1:24" s="242" customFormat="1" outlineLevel="1">
      <c r="A139" s="236"/>
      <c r="B139" s="283"/>
      <c r="C139" s="246"/>
      <c r="D139" s="246"/>
      <c r="E139" s="236"/>
      <c r="F139" s="237"/>
      <c r="G139" s="236"/>
      <c r="H139" s="237" t="s">
        <v>74</v>
      </c>
      <c r="I139" s="237"/>
      <c r="J139" s="237"/>
      <c r="K139" s="67" t="s">
        <v>96</v>
      </c>
      <c r="L139" s="196" t="s">
        <v>29</v>
      </c>
      <c r="M139" s="261">
        <v>0</v>
      </c>
      <c r="N139" s="261"/>
      <c r="O139" s="261"/>
      <c r="P139" s="261"/>
      <c r="Q139" s="261"/>
      <c r="R139" s="261"/>
      <c r="S139" s="261"/>
      <c r="T139" s="261"/>
      <c r="U139" s="261"/>
      <c r="V139" s="261"/>
      <c r="W139" s="261"/>
      <c r="X139" s="239"/>
    </row>
    <row r="140" spans="1:24" s="242" customFormat="1" outlineLevel="1">
      <c r="A140" s="236"/>
      <c r="B140" s="283"/>
      <c r="C140" s="246"/>
      <c r="D140" s="246"/>
      <c r="E140" s="236"/>
      <c r="F140" s="68"/>
      <c r="G140" s="236"/>
      <c r="H140" s="68" t="s">
        <v>146</v>
      </c>
      <c r="I140" s="68"/>
      <c r="K140" s="68" t="s">
        <v>96</v>
      </c>
      <c r="L140" s="196" t="s">
        <v>29</v>
      </c>
      <c r="M140" s="261"/>
      <c r="N140" s="261"/>
      <c r="O140" s="261"/>
      <c r="P140" s="261"/>
      <c r="Q140" s="261"/>
      <c r="R140" s="261"/>
      <c r="S140" s="261"/>
      <c r="T140" s="261"/>
      <c r="U140" s="261"/>
      <c r="V140" s="261"/>
      <c r="W140" s="261"/>
      <c r="X140" s="239"/>
    </row>
    <row r="141" spans="1:24" s="242" customFormat="1" outlineLevel="1">
      <c r="A141" s="236"/>
      <c r="B141" s="283"/>
      <c r="C141" s="246"/>
      <c r="D141" s="246"/>
      <c r="E141" s="236"/>
      <c r="F141" s="68"/>
      <c r="G141" s="236"/>
      <c r="H141" s="68" t="s">
        <v>147</v>
      </c>
      <c r="I141" s="68"/>
      <c r="K141" s="68" t="s">
        <v>96</v>
      </c>
      <c r="L141" s="196" t="s">
        <v>29</v>
      </c>
      <c r="M141" s="261"/>
      <c r="N141" s="261"/>
      <c r="O141" s="261"/>
      <c r="P141" s="261"/>
      <c r="Q141" s="261"/>
      <c r="R141" s="261"/>
      <c r="S141" s="261"/>
      <c r="T141" s="261"/>
      <c r="U141" s="261"/>
      <c r="V141" s="261"/>
      <c r="W141" s="261"/>
      <c r="X141" s="239"/>
    </row>
    <row r="142" spans="1:24" s="242" customFormat="1" outlineLevel="1">
      <c r="A142" s="236"/>
      <c r="B142" s="283"/>
      <c r="C142" s="246"/>
      <c r="D142" s="246"/>
      <c r="E142" s="236"/>
      <c r="F142" s="68"/>
      <c r="G142" s="236"/>
      <c r="H142" s="68" t="s">
        <v>362</v>
      </c>
      <c r="I142" s="68"/>
      <c r="K142" s="68" t="s">
        <v>96</v>
      </c>
      <c r="L142" s="196" t="s">
        <v>29</v>
      </c>
      <c r="M142" s="261"/>
      <c r="N142" s="261"/>
      <c r="O142" s="261"/>
      <c r="P142" s="261"/>
      <c r="Q142" s="261"/>
      <c r="R142" s="261"/>
      <c r="S142" s="261"/>
      <c r="T142" s="261"/>
      <c r="U142" s="261"/>
      <c r="V142" s="261"/>
      <c r="W142" s="261"/>
      <c r="X142" s="239"/>
    </row>
    <row r="143" spans="1:24" s="242" customFormat="1" outlineLevel="1">
      <c r="A143" s="236"/>
      <c r="B143" s="283"/>
      <c r="C143" s="246"/>
      <c r="D143" s="246"/>
      <c r="E143" s="236"/>
      <c r="F143" s="68"/>
      <c r="G143" s="236"/>
      <c r="H143" s="68" t="s">
        <v>363</v>
      </c>
      <c r="I143" s="68"/>
      <c r="K143" s="68" t="s">
        <v>96</v>
      </c>
      <c r="L143" s="196" t="s">
        <v>29</v>
      </c>
      <c r="M143" s="261"/>
      <c r="N143" s="261"/>
      <c r="O143" s="261"/>
      <c r="P143" s="261"/>
      <c r="Q143" s="261"/>
      <c r="R143" s="261"/>
      <c r="S143" s="261"/>
      <c r="T143" s="261"/>
      <c r="U143" s="261"/>
      <c r="V143" s="261"/>
      <c r="W143" s="261"/>
      <c r="X143" s="239"/>
    </row>
    <row r="144" spans="1:24" s="242" customFormat="1" outlineLevel="1">
      <c r="A144" s="236"/>
      <c r="B144" s="283"/>
      <c r="C144" s="246"/>
      <c r="D144" s="246"/>
      <c r="E144" s="236"/>
      <c r="F144" s="237"/>
      <c r="G144" s="236"/>
      <c r="H144" s="237" t="s">
        <v>332</v>
      </c>
      <c r="I144" s="237"/>
      <c r="J144" s="237"/>
      <c r="K144" s="67" t="s">
        <v>35</v>
      </c>
      <c r="L144" s="196" t="s">
        <v>29</v>
      </c>
      <c r="M144" s="55"/>
      <c r="N144" s="55"/>
      <c r="O144" s="55"/>
      <c r="P144" s="55"/>
      <c r="Q144" s="55"/>
      <c r="R144" s="55"/>
      <c r="S144" s="55"/>
      <c r="T144" s="55"/>
      <c r="U144" s="55"/>
      <c r="V144" s="55"/>
      <c r="W144" s="55"/>
      <c r="X144" s="239"/>
    </row>
    <row r="145" spans="1:24" s="242" customFormat="1" outlineLevel="1">
      <c r="A145" s="236"/>
      <c r="B145" s="283"/>
      <c r="C145" s="246"/>
      <c r="D145" s="246"/>
      <c r="E145" s="236"/>
      <c r="F145" s="237"/>
      <c r="G145" s="236"/>
      <c r="H145" s="237" t="s">
        <v>150</v>
      </c>
      <c r="I145" s="237"/>
      <c r="J145" s="237"/>
      <c r="K145" s="67" t="s">
        <v>316</v>
      </c>
      <c r="L145" s="196" t="s">
        <v>29</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39"/>
    </row>
    <row r="146" spans="1:24" s="242" customFormat="1" outlineLevel="1">
      <c r="A146" s="236"/>
      <c r="B146" s="283"/>
      <c r="C146" s="246"/>
      <c r="D146" s="246"/>
      <c r="E146" s="236"/>
      <c r="F146" s="237"/>
      <c r="G146" s="236"/>
      <c r="H146" s="237" t="s">
        <v>375</v>
      </c>
      <c r="I146" s="237"/>
      <c r="J146" s="237"/>
      <c r="K146" s="237" t="s">
        <v>96</v>
      </c>
      <c r="L146" s="196" t="s">
        <v>29</v>
      </c>
      <c r="M146" s="261"/>
      <c r="N146" s="261"/>
      <c r="O146" s="261"/>
      <c r="P146" s="261"/>
      <c r="Q146" s="261"/>
      <c r="R146" s="261"/>
      <c r="S146" s="261"/>
      <c r="T146" s="261"/>
      <c r="U146" s="261"/>
      <c r="V146" s="261"/>
      <c r="W146" s="261"/>
      <c r="X146" s="239"/>
    </row>
    <row r="147" spans="1:24" s="242" customFormat="1" outlineLevel="1">
      <c r="A147" s="236"/>
      <c r="B147" s="283"/>
      <c r="C147" s="246"/>
      <c r="D147" s="246"/>
      <c r="E147" s="236"/>
      <c r="F147" s="237"/>
      <c r="G147" s="236"/>
      <c r="H147" s="237" t="s">
        <v>432</v>
      </c>
      <c r="I147" s="237"/>
      <c r="J147" s="237"/>
      <c r="K147" s="67" t="s">
        <v>35</v>
      </c>
      <c r="L147" s="196" t="s">
        <v>29</v>
      </c>
      <c r="M147" s="55"/>
      <c r="N147" s="55"/>
      <c r="O147" s="55"/>
      <c r="P147" s="55"/>
      <c r="Q147" s="55"/>
      <c r="R147" s="55"/>
      <c r="S147" s="55"/>
      <c r="T147" s="55"/>
      <c r="U147" s="55"/>
      <c r="V147" s="55"/>
      <c r="W147" s="55"/>
      <c r="X147" s="239"/>
    </row>
    <row r="148" spans="1:24" s="242" customFormat="1" outlineLevel="1">
      <c r="A148" s="236"/>
      <c r="B148" s="283"/>
      <c r="C148" s="246"/>
      <c r="D148" s="246"/>
      <c r="E148" s="236"/>
      <c r="F148" s="237"/>
      <c r="G148" s="236"/>
      <c r="H148" s="237" t="s">
        <v>379</v>
      </c>
      <c r="I148" s="237"/>
      <c r="J148" s="237"/>
      <c r="K148" s="237"/>
      <c r="L148" s="196" t="s">
        <v>29</v>
      </c>
      <c r="M148" s="54"/>
      <c r="N148" s="54"/>
      <c r="O148" s="54"/>
      <c r="P148" s="54"/>
      <c r="Q148" s="54"/>
      <c r="R148" s="54"/>
      <c r="S148" s="54"/>
      <c r="T148" s="54"/>
      <c r="U148" s="54"/>
      <c r="V148" s="54"/>
      <c r="W148" s="54"/>
      <c r="X148" s="239"/>
    </row>
    <row r="149" spans="1:24" s="242" customFormat="1" outlineLevel="1">
      <c r="A149" s="236"/>
      <c r="B149" s="283"/>
      <c r="C149" s="246"/>
      <c r="D149" s="246"/>
      <c r="E149" s="236"/>
      <c r="F149" s="237"/>
      <c r="G149" s="236"/>
      <c r="H149" s="237" t="s">
        <v>361</v>
      </c>
      <c r="I149" s="237"/>
      <c r="J149" s="237"/>
      <c r="K149" s="237" t="s">
        <v>96</v>
      </c>
      <c r="L149" s="196" t="s">
        <v>29</v>
      </c>
      <c r="M149" s="261"/>
      <c r="N149" s="261"/>
      <c r="O149" s="261"/>
      <c r="P149" s="261"/>
      <c r="Q149" s="261"/>
      <c r="R149" s="261"/>
      <c r="S149" s="261"/>
      <c r="T149" s="261"/>
      <c r="U149" s="261"/>
      <c r="V149" s="261"/>
      <c r="W149" s="261"/>
      <c r="X149" s="239"/>
    </row>
    <row r="150" spans="1:24" s="242" customFormat="1" outlineLevel="1">
      <c r="A150" s="236"/>
      <c r="B150" s="283"/>
      <c r="C150" s="246"/>
      <c r="D150" s="246"/>
      <c r="E150" s="236"/>
      <c r="F150" s="237"/>
      <c r="G150" s="236"/>
      <c r="H150" s="237" t="s">
        <v>384</v>
      </c>
      <c r="I150" s="237"/>
      <c r="J150" s="237"/>
      <c r="K150" s="237" t="s">
        <v>316</v>
      </c>
      <c r="L150" s="196" t="s">
        <v>29</v>
      </c>
      <c r="M150" s="55"/>
      <c r="N150" s="55"/>
      <c r="O150" s="55"/>
      <c r="P150" s="55"/>
      <c r="Q150" s="55"/>
      <c r="R150" s="55"/>
      <c r="S150" s="55"/>
      <c r="T150" s="55"/>
      <c r="U150" s="55"/>
      <c r="V150" s="55"/>
      <c r="W150" s="55"/>
      <c r="X150" s="239"/>
    </row>
    <row r="151" spans="1:24" s="242" customFormat="1" outlineLevel="1">
      <c r="A151" s="236"/>
      <c r="B151" s="283"/>
      <c r="C151" s="246"/>
      <c r="D151" s="246"/>
      <c r="E151" s="236"/>
      <c r="F151" s="237"/>
      <c r="G151" s="236"/>
      <c r="H151" s="237" t="s">
        <v>386</v>
      </c>
      <c r="I151" s="237"/>
      <c r="J151" s="237"/>
      <c r="K151" s="237" t="s">
        <v>316</v>
      </c>
      <c r="L151" s="196" t="s">
        <v>29</v>
      </c>
      <c r="M151" s="55"/>
      <c r="N151" s="55"/>
      <c r="O151" s="55"/>
      <c r="P151" s="55"/>
      <c r="Q151" s="55"/>
      <c r="R151" s="55"/>
      <c r="S151" s="55"/>
      <c r="T151" s="55"/>
      <c r="U151" s="55"/>
      <c r="V151" s="55"/>
      <c r="W151" s="55"/>
      <c r="X151" s="239"/>
    </row>
    <row r="152" spans="1:24" s="242" customFormat="1" outlineLevel="1">
      <c r="A152" s="236"/>
      <c r="B152" s="283"/>
      <c r="C152" s="246"/>
      <c r="D152" s="246"/>
      <c r="E152" s="236"/>
      <c r="F152" s="237"/>
      <c r="G152" s="236"/>
      <c r="H152" s="237" t="s">
        <v>387</v>
      </c>
      <c r="I152" s="237"/>
      <c r="J152" s="237"/>
      <c r="K152" s="237"/>
      <c r="L152" s="196" t="s">
        <v>29</v>
      </c>
      <c r="M152" s="54"/>
      <c r="N152" s="54"/>
      <c r="O152" s="54"/>
      <c r="P152" s="54"/>
      <c r="Q152" s="54"/>
      <c r="R152" s="54"/>
      <c r="S152" s="54"/>
      <c r="T152" s="54"/>
      <c r="U152" s="54"/>
      <c r="V152" s="54"/>
      <c r="W152" s="54"/>
      <c r="X152" s="239"/>
    </row>
    <row r="153" spans="1:24" s="242" customFormat="1" outlineLevel="1">
      <c r="A153" s="236"/>
      <c r="B153" s="283"/>
      <c r="C153" s="246"/>
      <c r="D153" s="246"/>
      <c r="E153" s="236"/>
      <c r="F153" s="237"/>
      <c r="G153" s="236"/>
      <c r="H153" s="237" t="s">
        <v>388</v>
      </c>
      <c r="I153" s="237"/>
      <c r="J153" s="237"/>
      <c r="K153" s="237"/>
      <c r="L153" s="196" t="s">
        <v>29</v>
      </c>
      <c r="M153" s="54"/>
      <c r="N153" s="54"/>
      <c r="O153" s="54"/>
      <c r="P153" s="54"/>
      <c r="Q153" s="54"/>
      <c r="R153" s="54"/>
      <c r="S153" s="54"/>
      <c r="T153" s="54"/>
      <c r="U153" s="54"/>
      <c r="V153" s="54"/>
      <c r="W153" s="54"/>
      <c r="X153" s="239"/>
    </row>
    <row r="154" spans="1:24" s="242" customFormat="1" outlineLevel="1">
      <c r="A154" s="236"/>
      <c r="B154" s="283"/>
      <c r="C154" s="246"/>
      <c r="D154" s="246"/>
      <c r="E154" s="236"/>
      <c r="F154" s="237"/>
      <c r="G154" s="236"/>
      <c r="H154" s="237" t="s">
        <v>385</v>
      </c>
      <c r="I154" s="237"/>
      <c r="J154" s="237"/>
      <c r="K154" s="67" t="s">
        <v>319</v>
      </c>
      <c r="L154" s="196" t="s">
        <v>29</v>
      </c>
      <c r="M154" s="55"/>
      <c r="N154" s="55"/>
      <c r="O154" s="55"/>
      <c r="P154" s="55"/>
      <c r="Q154" s="55"/>
      <c r="R154" s="55"/>
      <c r="S154" s="55"/>
      <c r="T154" s="55"/>
      <c r="U154" s="55"/>
      <c r="V154" s="55"/>
      <c r="W154" s="55"/>
      <c r="X154" s="239"/>
    </row>
    <row r="155" spans="1:24" s="242" customFormat="1" outlineLevel="1">
      <c r="A155" s="236"/>
      <c r="B155" s="283"/>
      <c r="C155" s="246"/>
      <c r="D155" s="246"/>
      <c r="E155" s="236"/>
      <c r="F155" s="237"/>
      <c r="G155" s="236"/>
      <c r="H155" s="237" t="s">
        <v>389</v>
      </c>
      <c r="I155" s="237"/>
      <c r="J155" s="237"/>
      <c r="K155" s="67" t="s">
        <v>319</v>
      </c>
      <c r="L155" s="196" t="s">
        <v>29</v>
      </c>
      <c r="M155" s="55"/>
      <c r="N155" s="55"/>
      <c r="O155" s="55"/>
      <c r="P155" s="55"/>
      <c r="Q155" s="55"/>
      <c r="R155" s="55"/>
      <c r="S155" s="55"/>
      <c r="T155" s="55"/>
      <c r="U155" s="55"/>
      <c r="V155" s="55"/>
      <c r="W155" s="55"/>
      <c r="X155" s="239"/>
    </row>
    <row r="156" spans="1:24" s="242" customFormat="1" outlineLevel="1">
      <c r="A156" s="236"/>
      <c r="B156" s="283"/>
      <c r="C156" s="246"/>
      <c r="D156" s="246"/>
      <c r="E156" s="236"/>
      <c r="F156" s="237"/>
      <c r="G156" s="236"/>
      <c r="H156" s="237" t="s">
        <v>390</v>
      </c>
      <c r="I156" s="237"/>
      <c r="J156" s="237"/>
      <c r="K156" s="237"/>
      <c r="L156" s="196" t="s">
        <v>29</v>
      </c>
      <c r="M156" s="54"/>
      <c r="N156" s="54"/>
      <c r="O156" s="54"/>
      <c r="P156" s="54"/>
      <c r="Q156" s="54"/>
      <c r="R156" s="54"/>
      <c r="S156" s="54"/>
      <c r="T156" s="54"/>
      <c r="U156" s="54"/>
      <c r="V156" s="54"/>
      <c r="W156" s="54"/>
      <c r="X156" s="239"/>
    </row>
    <row r="157" spans="1:24" s="242" customFormat="1" outlineLevel="1">
      <c r="A157" s="236"/>
      <c r="B157" s="283"/>
      <c r="C157" s="246"/>
      <c r="D157" s="246"/>
      <c r="E157" s="236"/>
      <c r="F157" s="237"/>
      <c r="G157" s="236"/>
      <c r="H157" s="237" t="s">
        <v>391</v>
      </c>
      <c r="I157" s="237"/>
      <c r="J157" s="237"/>
      <c r="K157" s="237"/>
      <c r="L157" s="196" t="s">
        <v>29</v>
      </c>
      <c r="M157" s="54"/>
      <c r="N157" s="54"/>
      <c r="O157" s="54"/>
      <c r="P157" s="54"/>
      <c r="Q157" s="54"/>
      <c r="R157" s="54"/>
      <c r="S157" s="54"/>
      <c r="T157" s="54"/>
      <c r="U157" s="54"/>
      <c r="V157" s="54"/>
      <c r="W157" s="54"/>
      <c r="X157" s="239"/>
    </row>
    <row r="158" spans="1:24" s="242" customFormat="1" outlineLevel="1">
      <c r="A158" s="236"/>
      <c r="B158" s="283"/>
      <c r="C158" s="246"/>
      <c r="D158" s="246"/>
      <c r="E158" s="236"/>
      <c r="F158" s="237"/>
      <c r="G158" s="236"/>
      <c r="H158" s="237" t="s">
        <v>305</v>
      </c>
      <c r="I158" s="237"/>
      <c r="J158" s="237"/>
      <c r="K158" s="67" t="s">
        <v>319</v>
      </c>
      <c r="L158" s="196" t="s">
        <v>29</v>
      </c>
      <c r="M158" s="55"/>
      <c r="N158" s="55"/>
      <c r="O158" s="55"/>
      <c r="P158" s="55"/>
      <c r="Q158" s="55"/>
      <c r="R158" s="55"/>
      <c r="S158" s="55"/>
      <c r="T158" s="55"/>
      <c r="U158" s="55"/>
      <c r="V158" s="55"/>
      <c r="W158" s="55"/>
      <c r="X158" s="239"/>
    </row>
    <row r="159" spans="1:24" s="242" customFormat="1" outlineLevel="1">
      <c r="A159" s="236"/>
      <c r="B159" s="283"/>
      <c r="C159" s="246"/>
      <c r="D159" s="246"/>
      <c r="E159" s="236"/>
      <c r="F159" s="237"/>
      <c r="G159" s="236"/>
      <c r="H159" s="237" t="s">
        <v>352</v>
      </c>
      <c r="I159" s="237"/>
      <c r="J159" s="237"/>
      <c r="K159" s="237" t="s">
        <v>316</v>
      </c>
      <c r="L159" s="196" t="s">
        <v>29</v>
      </c>
      <c r="M159" s="55"/>
      <c r="N159" s="55"/>
      <c r="O159" s="55"/>
      <c r="P159" s="55"/>
      <c r="Q159" s="55"/>
      <c r="R159" s="55"/>
      <c r="S159" s="55"/>
      <c r="T159" s="55"/>
      <c r="U159" s="55"/>
      <c r="V159" s="55"/>
      <c r="W159" s="55"/>
      <c r="X159" s="239"/>
    </row>
    <row r="160" spans="1:24" s="242" customFormat="1" outlineLevel="1">
      <c r="A160" s="236"/>
      <c r="B160" s="283"/>
      <c r="C160" s="246"/>
      <c r="D160" s="246"/>
      <c r="E160" s="236"/>
      <c r="F160" s="25"/>
      <c r="G160" s="236"/>
      <c r="H160" s="67" t="s">
        <v>301</v>
      </c>
      <c r="I160" s="25"/>
      <c r="J160" s="67"/>
      <c r="K160" s="67" t="s">
        <v>44</v>
      </c>
      <c r="L160" s="196" t="s">
        <v>29</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39"/>
    </row>
    <row r="161" spans="1:24" s="242" customFormat="1" outlineLevel="1">
      <c r="A161" s="236"/>
      <c r="B161" s="283"/>
      <c r="C161" s="246"/>
      <c r="D161" s="246"/>
      <c r="E161" s="236"/>
      <c r="F161" s="25"/>
      <c r="G161" s="236"/>
      <c r="H161" s="67" t="s">
        <v>301</v>
      </c>
      <c r="I161" s="25"/>
      <c r="J161" s="67"/>
      <c r="K161" s="67" t="s">
        <v>44</v>
      </c>
      <c r="L161" s="196" t="s">
        <v>29</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39"/>
    </row>
    <row r="162" spans="1:24" s="290" customFormat="1">
      <c r="A162" s="231"/>
      <c r="B162" s="275"/>
      <c r="C162" s="291"/>
      <c r="D162" s="291"/>
      <c r="E162" s="231"/>
      <c r="F162" s="212"/>
      <c r="G162" s="231"/>
      <c r="H162" s="288" t="s">
        <v>50</v>
      </c>
      <c r="I162" s="212"/>
      <c r="J162" s="211"/>
      <c r="K162" s="211"/>
      <c r="L162" s="292" t="s">
        <v>30</v>
      </c>
      <c r="M162" s="215"/>
      <c r="N162" s="215"/>
      <c r="O162" s="215"/>
      <c r="P162" s="215"/>
      <c r="Q162" s="215"/>
      <c r="R162" s="215"/>
      <c r="S162" s="215"/>
      <c r="T162" s="215"/>
      <c r="U162" s="215"/>
      <c r="V162" s="215"/>
      <c r="W162" s="215"/>
      <c r="X162" s="234"/>
    </row>
    <row r="163" spans="1:24" s="242" customFormat="1" outlineLevel="1">
      <c r="A163" s="236"/>
      <c r="B163" s="283"/>
      <c r="C163" s="246"/>
      <c r="D163" s="246"/>
      <c r="E163" s="236"/>
      <c r="F163" s="237"/>
      <c r="G163" s="236"/>
      <c r="H163" s="237" t="s">
        <v>37</v>
      </c>
      <c r="I163" s="237"/>
      <c r="J163" s="237"/>
      <c r="K163" s="67" t="s">
        <v>39</v>
      </c>
      <c r="L163" s="196" t="s">
        <v>30</v>
      </c>
      <c r="M163" s="265">
        <v>2015</v>
      </c>
      <c r="N163" s="266">
        <f t="shared" ref="N163:W165" si="14">M163</f>
        <v>2015</v>
      </c>
      <c r="O163" s="266">
        <f t="shared" si="14"/>
        <v>2015</v>
      </c>
      <c r="P163" s="266">
        <f t="shared" si="14"/>
        <v>2015</v>
      </c>
      <c r="Q163" s="266">
        <f t="shared" si="14"/>
        <v>2015</v>
      </c>
      <c r="R163" s="266">
        <f t="shared" si="14"/>
        <v>2015</v>
      </c>
      <c r="S163" s="266">
        <f t="shared" si="14"/>
        <v>2015</v>
      </c>
      <c r="T163" s="266">
        <f t="shared" si="14"/>
        <v>2015</v>
      </c>
      <c r="U163" s="266">
        <f t="shared" si="14"/>
        <v>2015</v>
      </c>
      <c r="V163" s="266">
        <f t="shared" si="14"/>
        <v>2015</v>
      </c>
      <c r="W163" s="266">
        <f t="shared" si="14"/>
        <v>2015</v>
      </c>
      <c r="X163" s="239"/>
    </row>
    <row r="164" spans="1:24" s="242" customFormat="1" outlineLevel="1">
      <c r="A164" s="236"/>
      <c r="B164" s="283"/>
      <c r="C164" s="246"/>
      <c r="D164" s="246"/>
      <c r="E164" s="236"/>
      <c r="F164" s="237"/>
      <c r="G164" s="236"/>
      <c r="H164" s="237" t="s">
        <v>36</v>
      </c>
      <c r="I164" s="237"/>
      <c r="J164" s="237"/>
      <c r="K164" s="67" t="s">
        <v>39</v>
      </c>
      <c r="L164" s="196" t="s">
        <v>30</v>
      </c>
      <c r="M164" s="265">
        <v>2100</v>
      </c>
      <c r="N164" s="266">
        <f t="shared" si="14"/>
        <v>2100</v>
      </c>
      <c r="O164" s="266">
        <f t="shared" si="14"/>
        <v>2100</v>
      </c>
      <c r="P164" s="266">
        <f t="shared" si="14"/>
        <v>2100</v>
      </c>
      <c r="Q164" s="266">
        <f t="shared" si="14"/>
        <v>2100</v>
      </c>
      <c r="R164" s="266">
        <f t="shared" si="14"/>
        <v>2100</v>
      </c>
      <c r="S164" s="266">
        <f t="shared" si="14"/>
        <v>2100</v>
      </c>
      <c r="T164" s="266">
        <f t="shared" si="14"/>
        <v>2100</v>
      </c>
      <c r="U164" s="266">
        <f t="shared" si="14"/>
        <v>2100</v>
      </c>
      <c r="V164" s="266">
        <f t="shared" si="14"/>
        <v>2100</v>
      </c>
      <c r="W164" s="266">
        <f t="shared" si="14"/>
        <v>2100</v>
      </c>
      <c r="X164" s="239"/>
    </row>
    <row r="165" spans="1:24" s="242" customFormat="1" outlineLevel="1">
      <c r="A165" s="236"/>
      <c r="B165" s="283"/>
      <c r="C165" s="246"/>
      <c r="D165" s="246"/>
      <c r="E165" s="236"/>
      <c r="F165" s="237"/>
      <c r="G165" s="236"/>
      <c r="H165" s="237" t="s">
        <v>38</v>
      </c>
      <c r="I165" s="237"/>
      <c r="J165" s="237"/>
      <c r="K165" s="67" t="s">
        <v>10</v>
      </c>
      <c r="L165" s="196" t="s">
        <v>30</v>
      </c>
      <c r="M165" s="55">
        <v>25</v>
      </c>
      <c r="N165" s="221">
        <f t="shared" si="14"/>
        <v>25</v>
      </c>
      <c r="O165" s="221">
        <f t="shared" si="14"/>
        <v>25</v>
      </c>
      <c r="P165" s="221">
        <f t="shared" si="14"/>
        <v>25</v>
      </c>
      <c r="Q165" s="221">
        <f t="shared" si="14"/>
        <v>25</v>
      </c>
      <c r="R165" s="221">
        <f t="shared" si="14"/>
        <v>25</v>
      </c>
      <c r="S165" s="221">
        <f t="shared" si="14"/>
        <v>25</v>
      </c>
      <c r="T165" s="221">
        <f t="shared" si="14"/>
        <v>25</v>
      </c>
      <c r="U165" s="221">
        <f t="shared" si="14"/>
        <v>25</v>
      </c>
      <c r="V165" s="221">
        <f t="shared" si="14"/>
        <v>25</v>
      </c>
      <c r="W165" s="221">
        <f t="shared" si="14"/>
        <v>25</v>
      </c>
      <c r="X165" s="239"/>
    </row>
    <row r="166" spans="1:24" s="242" customFormat="1" outlineLevel="1">
      <c r="A166" s="236"/>
      <c r="B166" s="283"/>
      <c r="C166" s="246"/>
      <c r="D166" s="246"/>
      <c r="E166" s="236"/>
      <c r="F166" s="237"/>
      <c r="G166" s="236"/>
      <c r="H166" s="237" t="s">
        <v>353</v>
      </c>
      <c r="I166" s="237"/>
      <c r="J166" s="237"/>
      <c r="K166" s="237" t="s">
        <v>10</v>
      </c>
      <c r="L166" s="196" t="s">
        <v>30</v>
      </c>
      <c r="M166" s="55"/>
      <c r="N166" s="55"/>
      <c r="O166" s="55"/>
      <c r="P166" s="55"/>
      <c r="Q166" s="55"/>
      <c r="R166" s="55"/>
      <c r="S166" s="55"/>
      <c r="T166" s="55"/>
      <c r="U166" s="55"/>
      <c r="V166" s="55"/>
      <c r="W166" s="55"/>
      <c r="X166" s="239"/>
    </row>
    <row r="167" spans="1:24" s="242" customFormat="1" outlineLevel="1">
      <c r="A167" s="236"/>
      <c r="B167" s="283"/>
      <c r="C167" s="246"/>
      <c r="D167" s="246"/>
      <c r="E167" s="236"/>
      <c r="F167" s="237"/>
      <c r="G167" s="236"/>
      <c r="H167" s="237" t="s">
        <v>304</v>
      </c>
      <c r="I167" s="237"/>
      <c r="J167" s="237"/>
      <c r="K167" s="67" t="s">
        <v>96</v>
      </c>
      <c r="L167" s="196" t="s">
        <v>30</v>
      </c>
      <c r="M167" s="261">
        <v>0.25</v>
      </c>
      <c r="N167" s="262">
        <f t="shared" ref="N167:W167" si="15">M167</f>
        <v>0.25</v>
      </c>
      <c r="O167" s="262">
        <f t="shared" si="15"/>
        <v>0.25</v>
      </c>
      <c r="P167" s="262">
        <f t="shared" si="15"/>
        <v>0.25</v>
      </c>
      <c r="Q167" s="262">
        <f t="shared" si="15"/>
        <v>0.25</v>
      </c>
      <c r="R167" s="262">
        <f t="shared" si="15"/>
        <v>0.25</v>
      </c>
      <c r="S167" s="262">
        <f t="shared" si="15"/>
        <v>0.25</v>
      </c>
      <c r="T167" s="262">
        <f t="shared" si="15"/>
        <v>0.25</v>
      </c>
      <c r="U167" s="262">
        <f t="shared" si="15"/>
        <v>0.25</v>
      </c>
      <c r="V167" s="262">
        <f t="shared" si="15"/>
        <v>0.25</v>
      </c>
      <c r="W167" s="262">
        <f t="shared" si="15"/>
        <v>0.25</v>
      </c>
      <c r="X167" s="239"/>
    </row>
    <row r="168" spans="1:24" s="242" customFormat="1" outlineLevel="1">
      <c r="A168" s="236"/>
      <c r="B168" s="283"/>
      <c r="C168" s="246"/>
      <c r="D168" s="246"/>
      <c r="E168" s="236"/>
      <c r="F168" s="237"/>
      <c r="G168" s="236"/>
      <c r="H168" s="237" t="s">
        <v>350</v>
      </c>
      <c r="I168" s="237"/>
      <c r="J168" s="237"/>
      <c r="K168" s="237" t="s">
        <v>96</v>
      </c>
      <c r="L168" s="196" t="s">
        <v>30</v>
      </c>
      <c r="M168" s="261"/>
      <c r="N168" s="261"/>
      <c r="O168" s="261"/>
      <c r="P168" s="261"/>
      <c r="Q168" s="261"/>
      <c r="R168" s="261"/>
      <c r="S168" s="261"/>
      <c r="T168" s="261"/>
      <c r="U168" s="261"/>
      <c r="V168" s="261"/>
      <c r="W168" s="261"/>
      <c r="X168" s="239"/>
    </row>
    <row r="169" spans="1:24" s="242" customFormat="1" outlineLevel="1">
      <c r="A169" s="236"/>
      <c r="B169" s="283"/>
      <c r="C169" s="246"/>
      <c r="D169" s="246"/>
      <c r="E169" s="236"/>
      <c r="F169" s="237"/>
      <c r="G169" s="236"/>
      <c r="H169" s="237" t="s">
        <v>349</v>
      </c>
      <c r="I169" s="237"/>
      <c r="J169" s="237"/>
      <c r="K169" s="237" t="s">
        <v>96</v>
      </c>
      <c r="L169" s="196" t="s">
        <v>30</v>
      </c>
      <c r="M169" s="261"/>
      <c r="N169" s="261"/>
      <c r="O169" s="261"/>
      <c r="P169" s="261"/>
      <c r="Q169" s="261"/>
      <c r="R169" s="261"/>
      <c r="S169" s="261"/>
      <c r="T169" s="261"/>
      <c r="U169" s="261"/>
      <c r="V169" s="261"/>
      <c r="W169" s="261"/>
      <c r="X169" s="239"/>
    </row>
    <row r="170" spans="1:24" s="242" customFormat="1" outlineLevel="1">
      <c r="A170" s="236"/>
      <c r="B170" s="283"/>
      <c r="C170" s="246"/>
      <c r="D170" s="246"/>
      <c r="E170" s="236"/>
      <c r="F170" s="237"/>
      <c r="G170" s="236"/>
      <c r="H170" s="237" t="s">
        <v>74</v>
      </c>
      <c r="I170" s="237"/>
      <c r="J170" s="237"/>
      <c r="K170" s="67" t="s">
        <v>96</v>
      </c>
      <c r="L170" s="196" t="s">
        <v>30</v>
      </c>
      <c r="M170" s="261">
        <v>0</v>
      </c>
      <c r="N170" s="261"/>
      <c r="O170" s="261"/>
      <c r="P170" s="261"/>
      <c r="Q170" s="261"/>
      <c r="R170" s="261"/>
      <c r="S170" s="261"/>
      <c r="T170" s="261"/>
      <c r="U170" s="261"/>
      <c r="V170" s="261"/>
      <c r="W170" s="261"/>
      <c r="X170" s="239"/>
    </row>
    <row r="171" spans="1:24" s="242" customFormat="1" outlineLevel="1">
      <c r="A171" s="236"/>
      <c r="B171" s="283"/>
      <c r="C171" s="246"/>
      <c r="D171" s="246"/>
      <c r="E171" s="236"/>
      <c r="F171" s="68"/>
      <c r="G171" s="236"/>
      <c r="H171" s="68" t="s">
        <v>146</v>
      </c>
      <c r="I171" s="68"/>
      <c r="K171" s="68" t="s">
        <v>96</v>
      </c>
      <c r="L171" s="196" t="s">
        <v>30</v>
      </c>
      <c r="M171" s="261"/>
      <c r="N171" s="261"/>
      <c r="O171" s="261"/>
      <c r="P171" s="261"/>
      <c r="Q171" s="261"/>
      <c r="R171" s="261"/>
      <c r="S171" s="261"/>
      <c r="T171" s="261"/>
      <c r="U171" s="261"/>
      <c r="V171" s="261"/>
      <c r="W171" s="261"/>
      <c r="X171" s="239"/>
    </row>
    <row r="172" spans="1:24" s="242" customFormat="1" outlineLevel="1">
      <c r="A172" s="236"/>
      <c r="B172" s="283"/>
      <c r="C172" s="246"/>
      <c r="D172" s="246"/>
      <c r="E172" s="236"/>
      <c r="F172" s="68"/>
      <c r="G172" s="236"/>
      <c r="H172" s="68" t="s">
        <v>147</v>
      </c>
      <c r="I172" s="68"/>
      <c r="K172" s="68" t="s">
        <v>96</v>
      </c>
      <c r="L172" s="196" t="s">
        <v>30</v>
      </c>
      <c r="M172" s="261"/>
      <c r="N172" s="261"/>
      <c r="O172" s="261"/>
      <c r="P172" s="261"/>
      <c r="Q172" s="261"/>
      <c r="R172" s="261"/>
      <c r="S172" s="261"/>
      <c r="T172" s="261"/>
      <c r="U172" s="261"/>
      <c r="V172" s="261"/>
      <c r="W172" s="261"/>
      <c r="X172" s="239"/>
    </row>
    <row r="173" spans="1:24" s="242" customFormat="1" outlineLevel="1">
      <c r="A173" s="236"/>
      <c r="B173" s="283"/>
      <c r="C173" s="246"/>
      <c r="D173" s="246"/>
      <c r="E173" s="236"/>
      <c r="F173" s="68"/>
      <c r="G173" s="236"/>
      <c r="H173" s="68" t="s">
        <v>362</v>
      </c>
      <c r="I173" s="68"/>
      <c r="K173" s="68" t="s">
        <v>96</v>
      </c>
      <c r="L173" s="196" t="s">
        <v>30</v>
      </c>
      <c r="M173" s="261"/>
      <c r="N173" s="261"/>
      <c r="O173" s="261"/>
      <c r="P173" s="261"/>
      <c r="Q173" s="261"/>
      <c r="R173" s="261"/>
      <c r="S173" s="261"/>
      <c r="T173" s="261"/>
      <c r="U173" s="261"/>
      <c r="V173" s="261"/>
      <c r="W173" s="261"/>
      <c r="X173" s="239"/>
    </row>
    <row r="174" spans="1:24" s="242" customFormat="1" outlineLevel="1">
      <c r="A174" s="236"/>
      <c r="B174" s="283"/>
      <c r="C174" s="246"/>
      <c r="D174" s="246"/>
      <c r="E174" s="236"/>
      <c r="F174" s="68"/>
      <c r="G174" s="236"/>
      <c r="H174" s="68" t="s">
        <v>363</v>
      </c>
      <c r="I174" s="68"/>
      <c r="K174" s="68" t="s">
        <v>96</v>
      </c>
      <c r="L174" s="196" t="s">
        <v>30</v>
      </c>
      <c r="M174" s="261"/>
      <c r="N174" s="261"/>
      <c r="O174" s="261"/>
      <c r="P174" s="261"/>
      <c r="Q174" s="261"/>
      <c r="R174" s="261"/>
      <c r="S174" s="261"/>
      <c r="T174" s="261"/>
      <c r="U174" s="261"/>
      <c r="V174" s="261"/>
      <c r="W174" s="261"/>
      <c r="X174" s="239"/>
    </row>
    <row r="175" spans="1:24" s="242" customFormat="1" outlineLevel="1">
      <c r="A175" s="236"/>
      <c r="B175" s="283"/>
      <c r="C175" s="246"/>
      <c r="D175" s="246"/>
      <c r="E175" s="236"/>
      <c r="F175" s="237"/>
      <c r="G175" s="236"/>
      <c r="H175" s="237" t="s">
        <v>332</v>
      </c>
      <c r="I175" s="237"/>
      <c r="J175" s="237"/>
      <c r="K175" s="67" t="s">
        <v>35</v>
      </c>
      <c r="L175" s="196" t="s">
        <v>30</v>
      </c>
      <c r="M175" s="55"/>
      <c r="N175" s="55"/>
      <c r="O175" s="55"/>
      <c r="P175" s="55"/>
      <c r="Q175" s="55"/>
      <c r="R175" s="55"/>
      <c r="S175" s="55"/>
      <c r="T175" s="55"/>
      <c r="U175" s="55"/>
      <c r="V175" s="55"/>
      <c r="W175" s="55"/>
      <c r="X175" s="239"/>
    </row>
    <row r="176" spans="1:24" s="242" customFormat="1" outlineLevel="1">
      <c r="A176" s="236"/>
      <c r="B176" s="283"/>
      <c r="C176" s="246"/>
      <c r="D176" s="246"/>
      <c r="E176" s="236"/>
      <c r="F176" s="237"/>
      <c r="G176" s="236"/>
      <c r="H176" s="237" t="s">
        <v>150</v>
      </c>
      <c r="I176" s="237"/>
      <c r="J176" s="237"/>
      <c r="K176" s="67" t="s">
        <v>316</v>
      </c>
      <c r="L176" s="196" t="s">
        <v>30</v>
      </c>
      <c r="M176" s="55">
        <v>18325</v>
      </c>
      <c r="N176" s="253">
        <f t="shared" ref="N176:W176" si="16">M176</f>
        <v>18325</v>
      </c>
      <c r="O176" s="253">
        <f t="shared" si="16"/>
        <v>18325</v>
      </c>
      <c r="P176" s="253">
        <f t="shared" si="16"/>
        <v>18325</v>
      </c>
      <c r="Q176" s="253">
        <f t="shared" si="16"/>
        <v>18325</v>
      </c>
      <c r="R176" s="253">
        <f t="shared" si="16"/>
        <v>18325</v>
      </c>
      <c r="S176" s="253">
        <f t="shared" si="16"/>
        <v>18325</v>
      </c>
      <c r="T176" s="253">
        <f t="shared" si="16"/>
        <v>18325</v>
      </c>
      <c r="U176" s="253">
        <f t="shared" si="16"/>
        <v>18325</v>
      </c>
      <c r="V176" s="253">
        <f t="shared" si="16"/>
        <v>18325</v>
      </c>
      <c r="W176" s="253">
        <f t="shared" si="16"/>
        <v>18325</v>
      </c>
      <c r="X176" s="239"/>
    </row>
    <row r="177" spans="1:24" s="242" customFormat="1" outlineLevel="1">
      <c r="A177" s="236"/>
      <c r="B177" s="283"/>
      <c r="C177" s="246"/>
      <c r="D177" s="246"/>
      <c r="E177" s="236"/>
      <c r="F177" s="237"/>
      <c r="G177" s="236"/>
      <c r="H177" s="237" t="s">
        <v>375</v>
      </c>
      <c r="I177" s="237"/>
      <c r="J177" s="237"/>
      <c r="K177" s="237" t="s">
        <v>96</v>
      </c>
      <c r="L177" s="196" t="s">
        <v>30</v>
      </c>
      <c r="M177" s="261"/>
      <c r="N177" s="261"/>
      <c r="O177" s="261"/>
      <c r="P177" s="261"/>
      <c r="Q177" s="261"/>
      <c r="R177" s="261"/>
      <c r="S177" s="261"/>
      <c r="T177" s="261"/>
      <c r="U177" s="261"/>
      <c r="V177" s="261"/>
      <c r="W177" s="261"/>
      <c r="X177" s="239"/>
    </row>
    <row r="178" spans="1:24" s="242" customFormat="1" outlineLevel="1">
      <c r="A178" s="236"/>
      <c r="B178" s="283"/>
      <c r="C178" s="246"/>
      <c r="D178" s="246"/>
      <c r="E178" s="236"/>
      <c r="F178" s="237"/>
      <c r="G178" s="236"/>
      <c r="H178" s="237" t="s">
        <v>432</v>
      </c>
      <c r="I178" s="237"/>
      <c r="J178" s="237"/>
      <c r="K178" s="67" t="s">
        <v>35</v>
      </c>
      <c r="L178" s="196" t="s">
        <v>30</v>
      </c>
      <c r="M178" s="55"/>
      <c r="N178" s="55"/>
      <c r="O178" s="55"/>
      <c r="P178" s="55"/>
      <c r="Q178" s="55"/>
      <c r="R178" s="55"/>
      <c r="S178" s="55"/>
      <c r="T178" s="55"/>
      <c r="U178" s="55"/>
      <c r="V178" s="55"/>
      <c r="W178" s="55"/>
      <c r="X178" s="239"/>
    </row>
    <row r="179" spans="1:24" s="242" customFormat="1" outlineLevel="1">
      <c r="A179" s="236"/>
      <c r="B179" s="283"/>
      <c r="C179" s="246"/>
      <c r="D179" s="246"/>
      <c r="E179" s="236"/>
      <c r="F179" s="237"/>
      <c r="G179" s="236"/>
      <c r="H179" s="237" t="s">
        <v>379</v>
      </c>
      <c r="I179" s="237"/>
      <c r="J179" s="237"/>
      <c r="K179" s="237"/>
      <c r="L179" s="196" t="s">
        <v>30</v>
      </c>
      <c r="M179" s="54"/>
      <c r="N179" s="54"/>
      <c r="O179" s="54"/>
      <c r="P179" s="54"/>
      <c r="Q179" s="54"/>
      <c r="R179" s="54"/>
      <c r="S179" s="54"/>
      <c r="T179" s="54"/>
      <c r="U179" s="54"/>
      <c r="V179" s="54"/>
      <c r="W179" s="54"/>
      <c r="X179" s="239"/>
    </row>
    <row r="180" spans="1:24" s="242" customFormat="1" outlineLevel="1">
      <c r="A180" s="236"/>
      <c r="B180" s="283"/>
      <c r="C180" s="246"/>
      <c r="D180" s="246"/>
      <c r="E180" s="236"/>
      <c r="F180" s="237"/>
      <c r="G180" s="236"/>
      <c r="H180" s="237" t="s">
        <v>361</v>
      </c>
      <c r="I180" s="237"/>
      <c r="J180" s="237"/>
      <c r="K180" s="237" t="s">
        <v>96</v>
      </c>
      <c r="L180" s="196" t="s">
        <v>30</v>
      </c>
      <c r="M180" s="261"/>
      <c r="N180" s="261"/>
      <c r="O180" s="261"/>
      <c r="P180" s="261"/>
      <c r="Q180" s="261"/>
      <c r="R180" s="261"/>
      <c r="S180" s="261"/>
      <c r="T180" s="261"/>
      <c r="U180" s="261"/>
      <c r="V180" s="261"/>
      <c r="W180" s="261"/>
      <c r="X180" s="239"/>
    </row>
    <row r="181" spans="1:24" s="242" customFormat="1" outlineLevel="1">
      <c r="A181" s="236"/>
      <c r="B181" s="283"/>
      <c r="C181" s="246"/>
      <c r="D181" s="246"/>
      <c r="E181" s="236"/>
      <c r="F181" s="237"/>
      <c r="G181" s="236"/>
      <c r="H181" s="237" t="s">
        <v>384</v>
      </c>
      <c r="I181" s="237"/>
      <c r="J181" s="237"/>
      <c r="K181" s="237" t="s">
        <v>316</v>
      </c>
      <c r="L181" s="196" t="s">
        <v>30</v>
      </c>
      <c r="M181" s="55"/>
      <c r="N181" s="55"/>
      <c r="O181" s="55"/>
      <c r="P181" s="55"/>
      <c r="Q181" s="55"/>
      <c r="R181" s="55"/>
      <c r="S181" s="55"/>
      <c r="T181" s="55"/>
      <c r="U181" s="55"/>
      <c r="V181" s="55"/>
      <c r="W181" s="55"/>
      <c r="X181" s="239"/>
    </row>
    <row r="182" spans="1:24" s="242" customFormat="1" outlineLevel="1">
      <c r="A182" s="236"/>
      <c r="B182" s="283"/>
      <c r="C182" s="246"/>
      <c r="D182" s="246"/>
      <c r="E182" s="236"/>
      <c r="F182" s="237"/>
      <c r="G182" s="236"/>
      <c r="H182" s="237" t="s">
        <v>386</v>
      </c>
      <c r="I182" s="237"/>
      <c r="J182" s="237"/>
      <c r="K182" s="237" t="s">
        <v>316</v>
      </c>
      <c r="L182" s="196" t="s">
        <v>30</v>
      </c>
      <c r="M182" s="55"/>
      <c r="N182" s="55"/>
      <c r="O182" s="55"/>
      <c r="P182" s="55"/>
      <c r="Q182" s="55"/>
      <c r="R182" s="55"/>
      <c r="S182" s="55"/>
      <c r="T182" s="55"/>
      <c r="U182" s="55"/>
      <c r="V182" s="55"/>
      <c r="W182" s="55"/>
      <c r="X182" s="239"/>
    </row>
    <row r="183" spans="1:24" s="242" customFormat="1" outlineLevel="1">
      <c r="A183" s="236"/>
      <c r="B183" s="283"/>
      <c r="C183" s="246"/>
      <c r="D183" s="246"/>
      <c r="E183" s="236"/>
      <c r="F183" s="237"/>
      <c r="G183" s="236"/>
      <c r="H183" s="237" t="s">
        <v>387</v>
      </c>
      <c r="I183" s="237"/>
      <c r="J183" s="237"/>
      <c r="K183" s="237"/>
      <c r="L183" s="196" t="s">
        <v>30</v>
      </c>
      <c r="M183" s="54"/>
      <c r="N183" s="54"/>
      <c r="O183" s="54"/>
      <c r="P183" s="54"/>
      <c r="Q183" s="54"/>
      <c r="R183" s="54"/>
      <c r="S183" s="54"/>
      <c r="T183" s="54"/>
      <c r="U183" s="54"/>
      <c r="V183" s="54"/>
      <c r="W183" s="54"/>
      <c r="X183" s="239"/>
    </row>
    <row r="184" spans="1:24" s="242" customFormat="1" outlineLevel="1">
      <c r="A184" s="236"/>
      <c r="B184" s="283"/>
      <c r="C184" s="246"/>
      <c r="D184" s="246"/>
      <c r="E184" s="236"/>
      <c r="F184" s="237"/>
      <c r="G184" s="236"/>
      <c r="H184" s="237" t="s">
        <v>388</v>
      </c>
      <c r="I184" s="237"/>
      <c r="J184" s="237"/>
      <c r="K184" s="237"/>
      <c r="L184" s="196" t="s">
        <v>30</v>
      </c>
      <c r="M184" s="54"/>
      <c r="N184" s="54"/>
      <c r="O184" s="54"/>
      <c r="P184" s="54"/>
      <c r="Q184" s="54"/>
      <c r="R184" s="54"/>
      <c r="S184" s="54"/>
      <c r="T184" s="54"/>
      <c r="U184" s="54"/>
      <c r="V184" s="54"/>
      <c r="W184" s="54"/>
      <c r="X184" s="239"/>
    </row>
    <row r="185" spans="1:24" s="242" customFormat="1" outlineLevel="1">
      <c r="A185" s="236"/>
      <c r="B185" s="283"/>
      <c r="C185" s="246"/>
      <c r="D185" s="246"/>
      <c r="E185" s="236"/>
      <c r="F185" s="237"/>
      <c r="G185" s="236"/>
      <c r="H185" s="237" t="s">
        <v>385</v>
      </c>
      <c r="I185" s="237"/>
      <c r="J185" s="237"/>
      <c r="K185" s="67" t="s">
        <v>319</v>
      </c>
      <c r="L185" s="196" t="s">
        <v>30</v>
      </c>
      <c r="M185" s="55"/>
      <c r="N185" s="55"/>
      <c r="O185" s="55"/>
      <c r="P185" s="55"/>
      <c r="Q185" s="55"/>
      <c r="R185" s="55"/>
      <c r="S185" s="55"/>
      <c r="T185" s="55"/>
      <c r="U185" s="55"/>
      <c r="V185" s="55"/>
      <c r="W185" s="55"/>
      <c r="X185" s="239"/>
    </row>
    <row r="186" spans="1:24" s="242" customFormat="1" outlineLevel="1">
      <c r="A186" s="236"/>
      <c r="B186" s="283"/>
      <c r="C186" s="246"/>
      <c r="D186" s="246"/>
      <c r="E186" s="236"/>
      <c r="F186" s="237"/>
      <c r="G186" s="236"/>
      <c r="H186" s="237" t="s">
        <v>389</v>
      </c>
      <c r="I186" s="237"/>
      <c r="J186" s="237"/>
      <c r="K186" s="67" t="s">
        <v>319</v>
      </c>
      <c r="L186" s="196" t="s">
        <v>30</v>
      </c>
      <c r="M186" s="55"/>
      <c r="N186" s="55"/>
      <c r="O186" s="55"/>
      <c r="P186" s="55"/>
      <c r="Q186" s="55"/>
      <c r="R186" s="55"/>
      <c r="S186" s="55"/>
      <c r="T186" s="55"/>
      <c r="U186" s="55"/>
      <c r="V186" s="55"/>
      <c r="W186" s="55"/>
      <c r="X186" s="239"/>
    </row>
    <row r="187" spans="1:24" s="242" customFormat="1" outlineLevel="1">
      <c r="A187" s="236"/>
      <c r="B187" s="283"/>
      <c r="C187" s="246"/>
      <c r="D187" s="246"/>
      <c r="E187" s="236"/>
      <c r="F187" s="237"/>
      <c r="G187" s="236"/>
      <c r="H187" s="237" t="s">
        <v>390</v>
      </c>
      <c r="I187" s="237"/>
      <c r="J187" s="237"/>
      <c r="K187" s="237"/>
      <c r="L187" s="196" t="s">
        <v>30</v>
      </c>
      <c r="M187" s="54"/>
      <c r="N187" s="54"/>
      <c r="O187" s="54"/>
      <c r="P187" s="54"/>
      <c r="Q187" s="54"/>
      <c r="R187" s="54"/>
      <c r="S187" s="54"/>
      <c r="T187" s="54"/>
      <c r="U187" s="54"/>
      <c r="V187" s="54"/>
      <c r="W187" s="54"/>
      <c r="X187" s="239"/>
    </row>
    <row r="188" spans="1:24" s="242" customFormat="1" outlineLevel="1">
      <c r="A188" s="236"/>
      <c r="B188" s="283"/>
      <c r="C188" s="246"/>
      <c r="D188" s="246"/>
      <c r="E188" s="236"/>
      <c r="F188" s="237"/>
      <c r="G188" s="236"/>
      <c r="H188" s="237" t="s">
        <v>391</v>
      </c>
      <c r="I188" s="237"/>
      <c r="J188" s="237"/>
      <c r="K188" s="237"/>
      <c r="L188" s="196" t="s">
        <v>30</v>
      </c>
      <c r="M188" s="54"/>
      <c r="N188" s="54"/>
      <c r="O188" s="54"/>
      <c r="P188" s="54"/>
      <c r="Q188" s="54"/>
      <c r="R188" s="54"/>
      <c r="S188" s="54"/>
      <c r="T188" s="54"/>
      <c r="U188" s="54"/>
      <c r="V188" s="54"/>
      <c r="W188" s="54"/>
      <c r="X188" s="239"/>
    </row>
    <row r="189" spans="1:24" s="242" customFormat="1" outlineLevel="1">
      <c r="A189" s="236"/>
      <c r="B189" s="283"/>
      <c r="C189" s="246"/>
      <c r="D189" s="246"/>
      <c r="E189" s="236"/>
      <c r="F189" s="237"/>
      <c r="G189" s="236"/>
      <c r="H189" s="237" t="s">
        <v>305</v>
      </c>
      <c r="I189" s="237"/>
      <c r="J189" s="237"/>
      <c r="K189" s="67" t="s">
        <v>319</v>
      </c>
      <c r="L189" s="196" t="s">
        <v>30</v>
      </c>
      <c r="M189" s="55"/>
      <c r="N189" s="55"/>
      <c r="O189" s="55"/>
      <c r="P189" s="55"/>
      <c r="Q189" s="55"/>
      <c r="R189" s="55"/>
      <c r="S189" s="55"/>
      <c r="T189" s="55"/>
      <c r="U189" s="55"/>
      <c r="V189" s="55"/>
      <c r="W189" s="55"/>
      <c r="X189" s="239"/>
    </row>
    <row r="190" spans="1:24" s="242" customFormat="1" outlineLevel="1">
      <c r="A190" s="236"/>
      <c r="B190" s="283"/>
      <c r="C190" s="246"/>
      <c r="D190" s="246"/>
      <c r="E190" s="236"/>
      <c r="F190" s="237"/>
      <c r="G190" s="236"/>
      <c r="H190" s="237" t="s">
        <v>352</v>
      </c>
      <c r="I190" s="237"/>
      <c r="J190" s="237"/>
      <c r="K190" s="237" t="s">
        <v>316</v>
      </c>
      <c r="L190" s="196" t="s">
        <v>30</v>
      </c>
      <c r="M190" s="55"/>
      <c r="N190" s="55"/>
      <c r="O190" s="55"/>
      <c r="P190" s="55"/>
      <c r="Q190" s="55"/>
      <c r="R190" s="55"/>
      <c r="S190" s="55"/>
      <c r="T190" s="55"/>
      <c r="U190" s="55"/>
      <c r="V190" s="55"/>
      <c r="W190" s="55"/>
      <c r="X190" s="239"/>
    </row>
    <row r="191" spans="1:24" s="242" customFormat="1" outlineLevel="1">
      <c r="A191" s="236"/>
      <c r="B191" s="283"/>
      <c r="C191" s="246"/>
      <c r="D191" s="246"/>
      <c r="E191" s="236"/>
      <c r="F191" s="25"/>
      <c r="G191" s="236"/>
      <c r="H191" s="67" t="s">
        <v>301</v>
      </c>
      <c r="I191" s="25"/>
      <c r="J191" s="67"/>
      <c r="K191" s="67" t="s">
        <v>44</v>
      </c>
      <c r="L191" s="196" t="s">
        <v>30</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39"/>
    </row>
    <row r="192" spans="1:24" s="242" customFormat="1" outlineLevel="1">
      <c r="A192" s="236"/>
      <c r="B192" s="283"/>
      <c r="C192" s="246"/>
      <c r="D192" s="246"/>
      <c r="E192" s="236"/>
      <c r="F192" s="25"/>
      <c r="G192" s="236"/>
      <c r="H192" s="67" t="s">
        <v>301</v>
      </c>
      <c r="I192" s="25"/>
      <c r="J192" s="67"/>
      <c r="K192" s="67" t="s">
        <v>44</v>
      </c>
      <c r="L192" s="196" t="s">
        <v>30</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39"/>
    </row>
    <row r="193" spans="1:24" s="242" customFormat="1">
      <c r="A193" s="236"/>
      <c r="B193" s="283"/>
      <c r="C193" s="246"/>
      <c r="D193" s="246"/>
      <c r="E193" s="236"/>
      <c r="F193" s="228"/>
      <c r="G193" s="236"/>
      <c r="H193" s="228"/>
      <c r="I193" s="228"/>
      <c r="J193" s="228"/>
      <c r="K193" s="228"/>
      <c r="L193" s="229"/>
      <c r="M193" s="287"/>
      <c r="X193" s="239"/>
    </row>
    <row r="194" spans="1:24" s="242" customFormat="1">
      <c r="A194" s="236"/>
      <c r="B194" s="283"/>
      <c r="C194" s="246"/>
      <c r="D194" s="246"/>
      <c r="E194" s="236"/>
      <c r="F194" s="228"/>
      <c r="G194" s="236"/>
      <c r="H194" s="228"/>
      <c r="I194" s="228"/>
      <c r="J194" s="228"/>
      <c r="K194" s="228"/>
      <c r="L194" s="229"/>
      <c r="M194" s="287"/>
      <c r="X194" s="239"/>
    </row>
    <row r="195" spans="1:24" s="242" customFormat="1">
      <c r="A195" s="236"/>
      <c r="B195" s="283"/>
      <c r="C195" s="246"/>
      <c r="D195" s="246"/>
      <c r="E195" s="236"/>
      <c r="F195" s="228"/>
      <c r="G195" s="236"/>
      <c r="H195" s="228"/>
      <c r="I195" s="228"/>
      <c r="J195" s="228"/>
      <c r="K195" s="228"/>
      <c r="L195" s="229"/>
      <c r="M195" s="287"/>
      <c r="X195" s="239"/>
    </row>
    <row r="196" spans="1:24" s="242" customFormat="1">
      <c r="A196" s="236"/>
      <c r="B196" s="283"/>
      <c r="C196" s="246"/>
      <c r="D196" s="246"/>
      <c r="E196" s="236"/>
      <c r="F196" s="228"/>
      <c r="G196" s="236"/>
      <c r="H196" s="228"/>
      <c r="I196" s="228"/>
      <c r="J196" s="228"/>
      <c r="K196" s="228"/>
      <c r="L196" s="229"/>
      <c r="M196" s="287"/>
      <c r="X196" s="239"/>
    </row>
    <row r="197" spans="1:24" s="242" customFormat="1">
      <c r="A197" s="236"/>
      <c r="B197" s="283"/>
      <c r="C197" s="246"/>
      <c r="D197" s="246"/>
      <c r="E197" s="236"/>
      <c r="F197" s="228"/>
      <c r="G197" s="236"/>
      <c r="H197" s="228"/>
      <c r="I197" s="228"/>
      <c r="J197" s="228"/>
      <c r="K197" s="228"/>
      <c r="L197" s="229"/>
      <c r="M197" s="287"/>
      <c r="X197" s="239"/>
    </row>
    <row r="198" spans="1:24" s="242" customFormat="1">
      <c r="A198" s="236"/>
      <c r="B198" s="283"/>
      <c r="C198" s="246"/>
      <c r="D198" s="246"/>
      <c r="E198" s="236"/>
      <c r="F198" s="228"/>
      <c r="G198" s="236"/>
      <c r="H198" s="228"/>
      <c r="I198" s="228"/>
      <c r="J198" s="228"/>
      <c r="K198" s="228"/>
      <c r="L198" s="229"/>
      <c r="M198" s="287"/>
      <c r="X198" s="239"/>
    </row>
    <row r="199" spans="1:24" s="242" customFormat="1">
      <c r="A199" s="236"/>
      <c r="B199" s="283"/>
      <c r="C199" s="246"/>
      <c r="D199" s="246"/>
      <c r="E199" s="236"/>
      <c r="F199" s="228"/>
      <c r="G199" s="236"/>
      <c r="H199" s="228"/>
      <c r="I199" s="228"/>
      <c r="J199" s="228"/>
      <c r="K199" s="228"/>
      <c r="L199" s="229"/>
      <c r="M199" s="287"/>
      <c r="X199" s="239"/>
    </row>
    <row r="200" spans="1:24" s="242" customFormat="1">
      <c r="A200" s="236"/>
      <c r="B200" s="283"/>
      <c r="C200" s="246"/>
      <c r="D200" s="246"/>
      <c r="E200" s="236"/>
      <c r="F200" s="228"/>
      <c r="G200" s="236"/>
      <c r="H200" s="228"/>
      <c r="I200" s="228"/>
      <c r="J200" s="228"/>
      <c r="K200" s="228"/>
      <c r="L200" s="229"/>
      <c r="M200" s="287"/>
      <c r="X200" s="239"/>
    </row>
    <row r="201" spans="1:24" s="242" customFormat="1">
      <c r="A201" s="236"/>
      <c r="B201" s="283"/>
      <c r="C201" s="246"/>
      <c r="D201" s="246"/>
      <c r="E201" s="236"/>
      <c r="F201" s="228"/>
      <c r="G201" s="236"/>
      <c r="H201" s="228"/>
      <c r="I201" s="228"/>
      <c r="J201" s="228"/>
      <c r="K201" s="228"/>
      <c r="L201" s="229"/>
      <c r="M201" s="287"/>
      <c r="X201" s="239"/>
    </row>
    <row r="202" spans="1:24" s="242" customFormat="1">
      <c r="A202" s="236"/>
      <c r="B202" s="283"/>
      <c r="C202" s="246"/>
      <c r="D202" s="246"/>
      <c r="E202" s="236"/>
      <c r="F202" s="228"/>
      <c r="G202" s="236"/>
      <c r="H202" s="228"/>
      <c r="I202" s="228"/>
      <c r="J202" s="228"/>
      <c r="K202" s="228"/>
      <c r="L202" s="229"/>
      <c r="M202" s="287"/>
      <c r="X202" s="239"/>
    </row>
    <row r="203" spans="1:24" s="242" customFormat="1">
      <c r="A203" s="236"/>
      <c r="B203" s="283"/>
      <c r="C203" s="246"/>
      <c r="D203" s="246"/>
      <c r="E203" s="236"/>
      <c r="F203" s="228"/>
      <c r="G203" s="236"/>
      <c r="H203" s="228"/>
      <c r="I203" s="228"/>
      <c r="J203" s="228"/>
      <c r="K203" s="228"/>
      <c r="L203" s="229"/>
      <c r="M203" s="287"/>
      <c r="X203" s="239"/>
    </row>
    <row r="204" spans="1:24" s="242" customFormat="1">
      <c r="A204" s="236"/>
      <c r="B204" s="283"/>
      <c r="C204" s="246"/>
      <c r="D204" s="246"/>
      <c r="E204" s="236"/>
      <c r="F204" s="228"/>
      <c r="G204" s="236"/>
      <c r="H204" s="228"/>
      <c r="I204" s="228"/>
      <c r="J204" s="228"/>
      <c r="K204" s="228"/>
      <c r="L204" s="229"/>
      <c r="M204" s="287"/>
      <c r="X204" s="239"/>
    </row>
    <row r="205" spans="1:24" s="242" customFormat="1">
      <c r="A205" s="236"/>
      <c r="B205" s="283"/>
      <c r="C205" s="246"/>
      <c r="D205" s="246"/>
      <c r="E205" s="236"/>
      <c r="F205" s="228"/>
      <c r="G205" s="236"/>
      <c r="H205" s="228"/>
      <c r="I205" s="228"/>
      <c r="J205" s="228"/>
      <c r="K205" s="228"/>
      <c r="L205" s="229"/>
      <c r="M205" s="287"/>
      <c r="X205" s="239"/>
    </row>
    <row r="206" spans="1:24" s="242" customFormat="1">
      <c r="A206" s="236"/>
      <c r="B206" s="283"/>
      <c r="C206" s="246"/>
      <c r="D206" s="246"/>
      <c r="E206" s="236"/>
      <c r="F206" s="228"/>
      <c r="G206" s="236"/>
      <c r="H206" s="228"/>
      <c r="I206" s="228"/>
      <c r="J206" s="228"/>
      <c r="K206" s="228"/>
      <c r="L206" s="229"/>
      <c r="M206" s="287"/>
      <c r="X206" s="239"/>
    </row>
    <row r="207" spans="1:24" s="242" customFormat="1">
      <c r="A207" s="236"/>
      <c r="B207" s="283"/>
      <c r="C207" s="246"/>
      <c r="D207" s="246"/>
      <c r="E207" s="236"/>
      <c r="F207" s="228"/>
      <c r="G207" s="236"/>
      <c r="H207" s="228"/>
      <c r="I207" s="228"/>
      <c r="J207" s="228"/>
      <c r="K207" s="228"/>
      <c r="L207" s="229"/>
      <c r="M207" s="287"/>
      <c r="X207" s="239"/>
    </row>
    <row r="208" spans="1:24" s="242" customFormat="1">
      <c r="A208" s="236"/>
      <c r="B208" s="283"/>
      <c r="C208" s="246"/>
      <c r="D208" s="246"/>
      <c r="E208" s="236"/>
      <c r="F208" s="228"/>
      <c r="G208" s="236"/>
      <c r="H208" s="228"/>
      <c r="I208" s="228"/>
      <c r="J208" s="228"/>
      <c r="K208" s="228"/>
      <c r="L208" s="229"/>
      <c r="M208" s="287"/>
      <c r="X208" s="239"/>
    </row>
    <row r="209" spans="1:24" s="242" customFormat="1">
      <c r="A209" s="236"/>
      <c r="B209" s="283"/>
      <c r="C209" s="246"/>
      <c r="D209" s="246"/>
      <c r="E209" s="236"/>
      <c r="F209" s="228"/>
      <c r="G209" s="236"/>
      <c r="H209" s="228"/>
      <c r="I209" s="228"/>
      <c r="J209" s="228"/>
      <c r="K209" s="228"/>
      <c r="L209" s="229"/>
      <c r="M209" s="287"/>
      <c r="X209" s="239"/>
    </row>
    <row r="210" spans="1:24" s="242" customFormat="1">
      <c r="A210" s="236"/>
      <c r="B210" s="283"/>
      <c r="C210" s="246"/>
      <c r="D210" s="246"/>
      <c r="E210" s="236"/>
      <c r="F210" s="228"/>
      <c r="G210" s="236"/>
      <c r="H210" s="228"/>
      <c r="I210" s="228"/>
      <c r="J210" s="228"/>
      <c r="K210" s="228"/>
      <c r="L210" s="229"/>
      <c r="M210" s="287"/>
      <c r="X210" s="239"/>
    </row>
    <row r="211" spans="1:24" s="242" customFormat="1">
      <c r="A211" s="236"/>
      <c r="B211" s="283"/>
      <c r="C211" s="246"/>
      <c r="D211" s="246"/>
      <c r="E211" s="236"/>
      <c r="F211" s="228"/>
      <c r="G211" s="236"/>
      <c r="H211" s="228"/>
      <c r="I211" s="228"/>
      <c r="J211" s="228"/>
      <c r="K211" s="228"/>
      <c r="L211" s="229"/>
      <c r="M211" s="287"/>
      <c r="X211" s="239"/>
    </row>
    <row r="212" spans="1:24" s="242" customFormat="1">
      <c r="A212" s="236"/>
      <c r="B212" s="283"/>
      <c r="C212" s="246"/>
      <c r="D212" s="246"/>
      <c r="E212" s="236"/>
      <c r="F212" s="228"/>
      <c r="G212" s="236"/>
      <c r="H212" s="228"/>
      <c r="I212" s="228"/>
      <c r="J212" s="228"/>
      <c r="K212" s="228"/>
      <c r="L212" s="229"/>
      <c r="M212" s="287"/>
      <c r="X212" s="239"/>
    </row>
    <row r="213" spans="1:24" s="242" customFormat="1">
      <c r="A213" s="236"/>
      <c r="B213" s="283"/>
      <c r="C213" s="246"/>
      <c r="D213" s="246"/>
      <c r="E213" s="236"/>
      <c r="F213" s="228"/>
      <c r="G213" s="236"/>
      <c r="H213" s="228"/>
      <c r="I213" s="228"/>
      <c r="J213" s="228"/>
      <c r="K213" s="228"/>
      <c r="L213" s="229"/>
      <c r="M213" s="287"/>
      <c r="X213" s="239"/>
    </row>
    <row r="214" spans="1:24" s="242" customFormat="1">
      <c r="A214" s="236"/>
      <c r="B214" s="283"/>
      <c r="C214" s="246"/>
      <c r="D214" s="246"/>
      <c r="E214" s="236"/>
      <c r="F214" s="228"/>
      <c r="G214" s="236"/>
      <c r="H214" s="228"/>
      <c r="I214" s="228"/>
      <c r="J214" s="228"/>
      <c r="K214" s="228"/>
      <c r="L214" s="229"/>
      <c r="M214" s="287"/>
      <c r="X214" s="239"/>
    </row>
    <row r="215" spans="1:24" s="242" customFormat="1">
      <c r="A215" s="236"/>
      <c r="B215" s="283"/>
      <c r="C215" s="246"/>
      <c r="D215" s="246"/>
      <c r="E215" s="236"/>
      <c r="F215" s="228"/>
      <c r="G215" s="236"/>
      <c r="H215" s="228"/>
      <c r="I215" s="228"/>
      <c r="J215" s="228"/>
      <c r="K215" s="228"/>
      <c r="L215" s="229"/>
      <c r="M215" s="287"/>
      <c r="X215" s="239"/>
    </row>
    <row r="216" spans="1:24" s="242" customFormat="1">
      <c r="A216" s="236"/>
      <c r="B216" s="283"/>
      <c r="C216" s="246"/>
      <c r="D216" s="246"/>
      <c r="E216" s="236"/>
      <c r="F216" s="228"/>
      <c r="G216" s="236"/>
      <c r="H216" s="228"/>
      <c r="I216" s="228"/>
      <c r="J216" s="228"/>
      <c r="K216" s="228"/>
      <c r="L216" s="229"/>
      <c r="M216" s="287"/>
      <c r="X216" s="239"/>
    </row>
    <row r="217" spans="1:24" s="242" customFormat="1">
      <c r="A217" s="236"/>
      <c r="B217" s="283"/>
      <c r="C217" s="246"/>
      <c r="D217" s="246"/>
      <c r="E217" s="236"/>
      <c r="F217" s="228"/>
      <c r="G217" s="236"/>
      <c r="H217" s="228"/>
      <c r="I217" s="228"/>
      <c r="J217" s="228"/>
      <c r="K217" s="228"/>
      <c r="L217" s="229"/>
      <c r="M217" s="287"/>
      <c r="X217" s="239"/>
    </row>
    <row r="218" spans="1:24" s="242" customFormat="1">
      <c r="A218" s="236"/>
      <c r="B218" s="283"/>
      <c r="C218" s="246"/>
      <c r="D218" s="246"/>
      <c r="E218" s="236"/>
      <c r="F218" s="228"/>
      <c r="G218" s="236"/>
      <c r="H218" s="228"/>
      <c r="I218" s="228"/>
      <c r="J218" s="228"/>
      <c r="K218" s="228"/>
      <c r="L218" s="229"/>
      <c r="M218" s="287"/>
      <c r="X218" s="239"/>
    </row>
    <row r="219" spans="1:24" s="242" customFormat="1">
      <c r="A219" s="236"/>
      <c r="B219" s="283"/>
      <c r="C219" s="246"/>
      <c r="D219" s="246"/>
      <c r="E219" s="236"/>
      <c r="F219" s="228"/>
      <c r="G219" s="236"/>
      <c r="H219" s="228"/>
      <c r="I219" s="228"/>
      <c r="J219" s="228"/>
      <c r="K219" s="228"/>
      <c r="L219" s="229"/>
      <c r="M219" s="287"/>
      <c r="X219" s="239"/>
    </row>
    <row r="220" spans="1:24" s="242" customFormat="1">
      <c r="A220" s="236"/>
      <c r="B220" s="283"/>
      <c r="C220" s="246"/>
      <c r="D220" s="246"/>
      <c r="E220" s="236"/>
      <c r="F220" s="228"/>
      <c r="G220" s="236"/>
      <c r="H220" s="228"/>
      <c r="I220" s="228"/>
      <c r="J220" s="228"/>
      <c r="K220" s="228"/>
      <c r="L220" s="229"/>
      <c r="M220" s="287"/>
      <c r="X220" s="239"/>
    </row>
    <row r="221" spans="1:24" s="242" customFormat="1">
      <c r="A221" s="236"/>
      <c r="B221" s="283"/>
      <c r="C221" s="246"/>
      <c r="D221" s="246"/>
      <c r="E221" s="236"/>
      <c r="F221" s="228"/>
      <c r="G221" s="236"/>
      <c r="H221" s="228"/>
      <c r="I221" s="228"/>
      <c r="J221" s="228"/>
      <c r="K221" s="228"/>
      <c r="L221" s="229"/>
      <c r="M221" s="287"/>
      <c r="X221" s="239"/>
    </row>
    <row r="222" spans="1:24" s="242" customFormat="1">
      <c r="A222" s="236"/>
      <c r="B222" s="283"/>
      <c r="C222" s="246"/>
      <c r="D222" s="246"/>
      <c r="E222" s="236"/>
      <c r="F222" s="228"/>
      <c r="G222" s="236"/>
      <c r="H222" s="228"/>
      <c r="I222" s="228"/>
      <c r="J222" s="228"/>
      <c r="K222" s="228"/>
      <c r="L222" s="229"/>
      <c r="M222" s="287"/>
      <c r="X222" s="239"/>
    </row>
    <row r="223" spans="1:24" s="242" customFormat="1">
      <c r="A223" s="236"/>
      <c r="B223" s="283"/>
      <c r="C223" s="246"/>
      <c r="D223" s="246"/>
      <c r="E223" s="236"/>
      <c r="F223" s="228"/>
      <c r="G223" s="236"/>
      <c r="H223" s="228"/>
      <c r="I223" s="228"/>
      <c r="J223" s="228"/>
      <c r="K223" s="228"/>
      <c r="L223" s="229"/>
      <c r="M223" s="287"/>
      <c r="X223" s="239"/>
    </row>
    <row r="224" spans="1:24" s="242" customFormat="1">
      <c r="A224" s="236"/>
      <c r="B224" s="283"/>
      <c r="C224" s="246"/>
      <c r="D224" s="246"/>
      <c r="E224" s="236"/>
      <c r="F224" s="228"/>
      <c r="G224" s="236"/>
      <c r="H224" s="228"/>
      <c r="I224" s="228"/>
      <c r="J224" s="228"/>
      <c r="K224" s="228"/>
      <c r="L224" s="229"/>
      <c r="M224" s="287"/>
      <c r="X224" s="239"/>
    </row>
    <row r="225" spans="1:24" s="242" customFormat="1">
      <c r="A225" s="236"/>
      <c r="B225" s="283"/>
      <c r="C225" s="246"/>
      <c r="D225" s="246"/>
      <c r="E225" s="236"/>
      <c r="F225" s="228"/>
      <c r="G225" s="236"/>
      <c r="H225" s="228"/>
      <c r="I225" s="228"/>
      <c r="J225" s="228"/>
      <c r="K225" s="228"/>
      <c r="L225" s="229"/>
      <c r="M225" s="287"/>
      <c r="X225" s="239"/>
    </row>
    <row r="226" spans="1:24" s="242" customFormat="1">
      <c r="A226" s="236"/>
      <c r="B226" s="283"/>
      <c r="C226" s="246"/>
      <c r="D226" s="246"/>
      <c r="E226" s="236"/>
      <c r="F226" s="228"/>
      <c r="G226" s="236"/>
      <c r="H226" s="228"/>
      <c r="I226" s="228"/>
      <c r="J226" s="228"/>
      <c r="K226" s="228"/>
      <c r="L226" s="229"/>
      <c r="M226" s="287"/>
      <c r="X226" s="239"/>
    </row>
    <row r="227" spans="1:24" s="242" customFormat="1">
      <c r="A227" s="236"/>
      <c r="B227" s="283"/>
      <c r="C227" s="246"/>
      <c r="D227" s="246"/>
      <c r="E227" s="236"/>
      <c r="F227" s="228"/>
      <c r="G227" s="236"/>
      <c r="H227" s="228"/>
      <c r="I227" s="228"/>
      <c r="J227" s="228"/>
      <c r="K227" s="228"/>
      <c r="L227" s="229"/>
      <c r="M227" s="287"/>
      <c r="X227" s="239"/>
    </row>
    <row r="228" spans="1:24" s="242" customFormat="1">
      <c r="A228" s="236"/>
      <c r="B228" s="283"/>
      <c r="C228" s="246"/>
      <c r="D228" s="246"/>
      <c r="E228" s="236"/>
      <c r="F228" s="228"/>
      <c r="G228" s="236"/>
      <c r="H228" s="228"/>
      <c r="I228" s="228"/>
      <c r="J228" s="228"/>
      <c r="K228" s="228"/>
      <c r="L228" s="229"/>
      <c r="M228" s="287"/>
      <c r="X228" s="239"/>
    </row>
    <row r="229" spans="1:24" s="242" customFormat="1">
      <c r="A229" s="236"/>
      <c r="B229" s="283"/>
      <c r="C229" s="246"/>
      <c r="D229" s="246"/>
      <c r="E229" s="236"/>
      <c r="F229" s="228"/>
      <c r="G229" s="236"/>
      <c r="H229" s="228"/>
      <c r="I229" s="228"/>
      <c r="J229" s="228"/>
      <c r="K229" s="228"/>
      <c r="L229" s="229"/>
      <c r="M229" s="287"/>
      <c r="X229" s="239"/>
    </row>
    <row r="230" spans="1:24" s="242" customFormat="1">
      <c r="A230" s="236"/>
      <c r="B230" s="283"/>
      <c r="C230" s="246"/>
      <c r="D230" s="246"/>
      <c r="E230" s="236"/>
      <c r="F230" s="228"/>
      <c r="G230" s="236"/>
      <c r="H230" s="228"/>
      <c r="I230" s="228"/>
      <c r="J230" s="228"/>
      <c r="K230" s="228"/>
      <c r="L230" s="229"/>
      <c r="M230" s="287"/>
      <c r="X230" s="239"/>
    </row>
    <row r="231" spans="1:24" s="242" customFormat="1">
      <c r="A231" s="236"/>
      <c r="B231" s="283"/>
      <c r="C231" s="246"/>
      <c r="D231" s="246"/>
      <c r="E231" s="236"/>
      <c r="F231" s="228"/>
      <c r="G231" s="236"/>
      <c r="H231" s="228"/>
      <c r="I231" s="228"/>
      <c r="J231" s="228"/>
      <c r="K231" s="228"/>
      <c r="L231" s="229"/>
      <c r="M231" s="287"/>
      <c r="X231" s="239"/>
    </row>
    <row r="232" spans="1:24" s="242" customFormat="1">
      <c r="A232" s="236"/>
      <c r="B232" s="283"/>
      <c r="C232" s="246"/>
      <c r="D232" s="246"/>
      <c r="E232" s="236"/>
      <c r="F232" s="228"/>
      <c r="G232" s="236"/>
      <c r="H232" s="228"/>
      <c r="I232" s="228"/>
      <c r="J232" s="228"/>
      <c r="K232" s="228"/>
      <c r="L232" s="229"/>
      <c r="M232" s="287"/>
      <c r="X232" s="239"/>
    </row>
    <row r="233" spans="1:24" s="242" customFormat="1">
      <c r="A233" s="236"/>
      <c r="B233" s="283"/>
      <c r="C233" s="246"/>
      <c r="D233" s="246"/>
      <c r="E233" s="236"/>
      <c r="F233" s="228"/>
      <c r="G233" s="236"/>
      <c r="H233" s="228"/>
      <c r="I233" s="228"/>
      <c r="J233" s="228"/>
      <c r="K233" s="228"/>
      <c r="L233" s="229"/>
      <c r="M233" s="287"/>
      <c r="X233" s="239"/>
    </row>
    <row r="234" spans="1:24" s="242" customFormat="1">
      <c r="A234" s="236"/>
      <c r="B234" s="283"/>
      <c r="C234" s="246"/>
      <c r="D234" s="246"/>
      <c r="E234" s="236"/>
      <c r="F234" s="228"/>
      <c r="G234" s="236"/>
      <c r="H234" s="228"/>
      <c r="I234" s="228"/>
      <c r="J234" s="228"/>
      <c r="K234" s="228"/>
      <c r="L234" s="229"/>
      <c r="M234" s="287"/>
      <c r="X234" s="239"/>
    </row>
    <row r="235" spans="1:24" s="242" customFormat="1">
      <c r="A235" s="236"/>
      <c r="B235" s="283"/>
      <c r="C235" s="246"/>
      <c r="D235" s="246"/>
      <c r="E235" s="236"/>
      <c r="F235" s="228"/>
      <c r="G235" s="236"/>
      <c r="H235" s="228"/>
      <c r="I235" s="228"/>
      <c r="J235" s="228"/>
      <c r="K235" s="228"/>
      <c r="L235" s="229"/>
      <c r="M235" s="287"/>
      <c r="X235" s="239"/>
    </row>
    <row r="236" spans="1:24" s="242" customFormat="1">
      <c r="A236" s="236"/>
      <c r="B236" s="283"/>
      <c r="C236" s="246"/>
      <c r="D236" s="246"/>
      <c r="E236" s="236"/>
      <c r="F236" s="228"/>
      <c r="G236" s="236"/>
      <c r="H236" s="228"/>
      <c r="I236" s="228"/>
      <c r="J236" s="228"/>
      <c r="K236" s="228"/>
      <c r="L236" s="229"/>
      <c r="M236" s="287"/>
      <c r="X236" s="239"/>
    </row>
    <row r="237" spans="1:24" s="242" customFormat="1">
      <c r="A237" s="236"/>
      <c r="B237" s="283"/>
      <c r="C237" s="246"/>
      <c r="D237" s="246"/>
      <c r="E237" s="236"/>
      <c r="F237" s="228"/>
      <c r="G237" s="236"/>
      <c r="H237" s="228"/>
      <c r="I237" s="228"/>
      <c r="J237" s="228"/>
      <c r="K237" s="228"/>
      <c r="L237" s="229"/>
      <c r="M237" s="287"/>
      <c r="X237" s="239"/>
    </row>
    <row r="238" spans="1:24" s="242" customFormat="1">
      <c r="A238" s="236"/>
      <c r="B238" s="283"/>
      <c r="C238" s="246"/>
      <c r="D238" s="246"/>
      <c r="E238" s="236"/>
      <c r="F238" s="228"/>
      <c r="G238" s="236"/>
      <c r="H238" s="228"/>
      <c r="I238" s="228"/>
      <c r="J238" s="228"/>
      <c r="K238" s="228"/>
      <c r="L238" s="229"/>
      <c r="M238" s="287"/>
      <c r="X238" s="239"/>
    </row>
    <row r="239" spans="1:24" s="242" customFormat="1">
      <c r="A239" s="236"/>
      <c r="B239" s="283"/>
      <c r="C239" s="246"/>
      <c r="D239" s="246"/>
      <c r="E239" s="236"/>
      <c r="F239" s="228"/>
      <c r="G239" s="236"/>
      <c r="H239" s="228"/>
      <c r="I239" s="228"/>
      <c r="J239" s="228"/>
      <c r="K239" s="228"/>
      <c r="L239" s="229"/>
      <c r="M239" s="287"/>
      <c r="X239" s="239"/>
    </row>
    <row r="240" spans="1:24" s="242" customFormat="1">
      <c r="A240" s="236"/>
      <c r="B240" s="283"/>
      <c r="C240" s="246"/>
      <c r="D240" s="246"/>
      <c r="E240" s="236"/>
      <c r="F240" s="228"/>
      <c r="G240" s="236"/>
      <c r="H240" s="228"/>
      <c r="I240" s="228"/>
      <c r="J240" s="228"/>
      <c r="K240" s="228"/>
      <c r="L240" s="229"/>
      <c r="M240" s="287"/>
      <c r="X240" s="239"/>
    </row>
    <row r="241" spans="1:24" s="242" customFormat="1">
      <c r="A241" s="236"/>
      <c r="B241" s="283"/>
      <c r="C241" s="246"/>
      <c r="D241" s="246"/>
      <c r="E241" s="236"/>
      <c r="F241" s="228"/>
      <c r="G241" s="236"/>
      <c r="H241" s="228"/>
      <c r="I241" s="228"/>
      <c r="J241" s="228"/>
      <c r="K241" s="228"/>
      <c r="L241" s="229"/>
      <c r="M241" s="287"/>
      <c r="X241" s="239"/>
    </row>
    <row r="242" spans="1:24" s="242" customFormat="1">
      <c r="A242" s="236"/>
      <c r="B242" s="283"/>
      <c r="C242" s="246"/>
      <c r="D242" s="246"/>
      <c r="E242" s="236"/>
      <c r="F242" s="228"/>
      <c r="G242" s="236"/>
      <c r="H242" s="228"/>
      <c r="I242" s="228"/>
      <c r="J242" s="228"/>
      <c r="K242" s="228"/>
      <c r="L242" s="229"/>
      <c r="M242" s="287"/>
      <c r="X242" s="239"/>
    </row>
    <row r="243" spans="1:24" s="242" customFormat="1">
      <c r="A243" s="236"/>
      <c r="B243" s="283"/>
      <c r="C243" s="246"/>
      <c r="D243" s="246"/>
      <c r="E243" s="236"/>
      <c r="F243" s="228"/>
      <c r="G243" s="236"/>
      <c r="H243" s="228"/>
      <c r="I243" s="228"/>
      <c r="J243" s="228"/>
      <c r="K243" s="228"/>
      <c r="L243" s="229"/>
      <c r="M243" s="287"/>
      <c r="X243" s="239"/>
    </row>
    <row r="244" spans="1:24" s="242" customFormat="1">
      <c r="A244" s="236"/>
      <c r="B244" s="283"/>
      <c r="C244" s="246"/>
      <c r="D244" s="246"/>
      <c r="E244" s="236"/>
      <c r="F244" s="228"/>
      <c r="G244" s="236"/>
      <c r="H244" s="228"/>
      <c r="I244" s="228"/>
      <c r="J244" s="228"/>
      <c r="K244" s="228"/>
      <c r="L244" s="229"/>
      <c r="M244" s="287"/>
      <c r="X244" s="239"/>
    </row>
    <row r="245" spans="1:24" s="242" customFormat="1">
      <c r="A245" s="236"/>
      <c r="B245" s="283"/>
      <c r="C245" s="246"/>
      <c r="D245" s="246"/>
      <c r="E245" s="236"/>
      <c r="F245" s="228"/>
      <c r="G245" s="236"/>
      <c r="H245" s="228"/>
      <c r="I245" s="228"/>
      <c r="J245" s="228"/>
      <c r="K245" s="228"/>
      <c r="L245" s="229"/>
      <c r="M245" s="287"/>
      <c r="X245" s="239"/>
    </row>
    <row r="246" spans="1:24" s="242" customFormat="1">
      <c r="A246" s="236"/>
      <c r="B246" s="283"/>
      <c r="C246" s="246"/>
      <c r="D246" s="246"/>
      <c r="E246" s="236"/>
      <c r="F246" s="228"/>
      <c r="G246" s="236"/>
      <c r="H246" s="228"/>
      <c r="I246" s="228"/>
      <c r="J246" s="228"/>
      <c r="K246" s="228"/>
      <c r="L246" s="229"/>
      <c r="M246" s="287"/>
      <c r="X246" s="239"/>
    </row>
    <row r="247" spans="1:24" s="242" customFormat="1">
      <c r="A247" s="236"/>
      <c r="B247" s="283"/>
      <c r="C247" s="246"/>
      <c r="D247" s="246"/>
      <c r="E247" s="236"/>
      <c r="F247" s="228"/>
      <c r="G247" s="236"/>
      <c r="H247" s="228"/>
      <c r="I247" s="228"/>
      <c r="J247" s="228"/>
      <c r="K247" s="228"/>
      <c r="L247" s="229"/>
      <c r="M247" s="287"/>
      <c r="X247" s="239"/>
    </row>
    <row r="248" spans="1:24" s="242" customFormat="1">
      <c r="A248" s="236"/>
      <c r="B248" s="283"/>
      <c r="C248" s="246"/>
      <c r="D248" s="246"/>
      <c r="E248" s="236"/>
      <c r="F248" s="228"/>
      <c r="G248" s="236"/>
      <c r="H248" s="228"/>
      <c r="I248" s="228"/>
      <c r="J248" s="228"/>
      <c r="K248" s="228"/>
      <c r="L248" s="229"/>
      <c r="M248" s="287"/>
      <c r="X248" s="239"/>
    </row>
    <row r="249" spans="1:24" s="242" customFormat="1">
      <c r="A249" s="236"/>
      <c r="B249" s="283"/>
      <c r="C249" s="246"/>
      <c r="D249" s="246"/>
      <c r="E249" s="236"/>
      <c r="F249" s="228"/>
      <c r="G249" s="236"/>
      <c r="H249" s="228"/>
      <c r="I249" s="228"/>
      <c r="J249" s="228"/>
      <c r="K249" s="228"/>
      <c r="L249" s="229"/>
      <c r="M249" s="287"/>
      <c r="X249" s="239"/>
    </row>
    <row r="250" spans="1:24" s="242" customFormat="1">
      <c r="A250" s="236"/>
      <c r="B250" s="283"/>
      <c r="C250" s="246"/>
      <c r="D250" s="246"/>
      <c r="E250" s="236"/>
      <c r="F250" s="228"/>
      <c r="G250" s="236"/>
      <c r="H250" s="228"/>
      <c r="I250" s="228"/>
      <c r="J250" s="228"/>
      <c r="K250" s="228"/>
      <c r="L250" s="229"/>
      <c r="M250" s="287"/>
      <c r="X250" s="239"/>
    </row>
    <row r="251" spans="1:24" s="242" customFormat="1">
      <c r="A251" s="236"/>
      <c r="B251" s="283"/>
      <c r="C251" s="246"/>
      <c r="D251" s="246"/>
      <c r="E251" s="236"/>
      <c r="F251" s="228"/>
      <c r="G251" s="236"/>
      <c r="H251" s="228"/>
      <c r="I251" s="228"/>
      <c r="J251" s="228"/>
      <c r="K251" s="228"/>
      <c r="L251" s="229"/>
      <c r="M251" s="287"/>
      <c r="X251" s="239"/>
    </row>
    <row r="252" spans="1:24" s="242" customFormat="1">
      <c r="A252" s="236"/>
      <c r="B252" s="283"/>
      <c r="C252" s="246"/>
      <c r="D252" s="246"/>
      <c r="E252" s="236"/>
      <c r="F252" s="228"/>
      <c r="G252" s="236"/>
      <c r="H252" s="228"/>
      <c r="I252" s="228"/>
      <c r="J252" s="228"/>
      <c r="K252" s="228"/>
      <c r="L252" s="229"/>
      <c r="M252" s="287"/>
      <c r="X252" s="239"/>
    </row>
    <row r="253" spans="1:24" s="242" customFormat="1">
      <c r="A253" s="236"/>
      <c r="B253" s="283"/>
      <c r="C253" s="246"/>
      <c r="D253" s="246"/>
      <c r="E253" s="236"/>
      <c r="F253" s="228"/>
      <c r="G253" s="236"/>
      <c r="H253" s="228"/>
      <c r="I253" s="228"/>
      <c r="J253" s="228"/>
      <c r="K253" s="228"/>
      <c r="L253" s="229"/>
      <c r="M253" s="287"/>
      <c r="X253" s="239"/>
    </row>
    <row r="254" spans="1:24" s="242" customFormat="1">
      <c r="A254" s="236"/>
      <c r="B254" s="283"/>
      <c r="C254" s="246"/>
      <c r="D254" s="246"/>
      <c r="E254" s="236"/>
      <c r="F254" s="228"/>
      <c r="G254" s="236"/>
      <c r="H254" s="228"/>
      <c r="I254" s="228"/>
      <c r="J254" s="228"/>
      <c r="K254" s="228"/>
      <c r="L254" s="229"/>
      <c r="M254" s="287"/>
      <c r="X254" s="239"/>
    </row>
    <row r="255" spans="1:24" s="242" customFormat="1">
      <c r="A255" s="236"/>
      <c r="B255" s="283"/>
      <c r="C255" s="246"/>
      <c r="D255" s="246"/>
      <c r="E255" s="236"/>
      <c r="F255" s="228"/>
      <c r="G255" s="236"/>
      <c r="H255" s="228"/>
      <c r="I255" s="228"/>
      <c r="J255" s="228"/>
      <c r="K255" s="228"/>
      <c r="L255" s="229"/>
      <c r="M255" s="287"/>
      <c r="X255" s="239"/>
    </row>
    <row r="256" spans="1:24" s="242" customFormat="1">
      <c r="A256" s="236"/>
      <c r="B256" s="283"/>
      <c r="C256" s="246"/>
      <c r="D256" s="246"/>
      <c r="E256" s="236"/>
      <c r="F256" s="228"/>
      <c r="G256" s="236"/>
      <c r="H256" s="228"/>
      <c r="I256" s="228"/>
      <c r="J256" s="228"/>
      <c r="K256" s="228"/>
      <c r="L256" s="229"/>
      <c r="M256" s="287"/>
      <c r="X256" s="239"/>
    </row>
    <row r="257" spans="1:24" s="242" customFormat="1">
      <c r="A257" s="236"/>
      <c r="B257" s="283"/>
      <c r="C257" s="246"/>
      <c r="D257" s="246"/>
      <c r="E257" s="236"/>
      <c r="F257" s="228"/>
      <c r="G257" s="236"/>
      <c r="H257" s="228"/>
      <c r="I257" s="228"/>
      <c r="J257" s="228"/>
      <c r="K257" s="228"/>
      <c r="L257" s="229"/>
      <c r="M257" s="287"/>
      <c r="X257" s="239"/>
    </row>
    <row r="258" spans="1:24" s="242" customFormat="1">
      <c r="A258" s="236"/>
      <c r="B258" s="283"/>
      <c r="C258" s="246"/>
      <c r="D258" s="246"/>
      <c r="E258" s="236"/>
      <c r="F258" s="228"/>
      <c r="G258" s="236"/>
      <c r="H258" s="228"/>
      <c r="I258" s="228"/>
      <c r="J258" s="228"/>
      <c r="K258" s="228"/>
      <c r="L258" s="229"/>
      <c r="M258" s="287"/>
      <c r="X258" s="239"/>
    </row>
    <row r="259" spans="1:24" s="242" customFormat="1">
      <c r="A259" s="236"/>
      <c r="B259" s="283"/>
      <c r="C259" s="246"/>
      <c r="D259" s="246"/>
      <c r="E259" s="236"/>
      <c r="F259" s="228"/>
      <c r="G259" s="236"/>
      <c r="H259" s="228"/>
      <c r="I259" s="228"/>
      <c r="J259" s="228"/>
      <c r="K259" s="228"/>
      <c r="L259" s="229"/>
      <c r="M259" s="287"/>
      <c r="X259" s="239"/>
    </row>
    <row r="260" spans="1:24" s="242" customFormat="1">
      <c r="A260" s="236"/>
      <c r="B260" s="283"/>
      <c r="C260" s="246"/>
      <c r="D260" s="246"/>
      <c r="E260" s="236"/>
      <c r="F260" s="228"/>
      <c r="G260" s="236"/>
      <c r="H260" s="228"/>
      <c r="I260" s="228"/>
      <c r="J260" s="228"/>
      <c r="K260" s="228"/>
      <c r="L260" s="229"/>
      <c r="M260" s="287"/>
      <c r="X260" s="239"/>
    </row>
    <row r="261" spans="1:24" s="242" customFormat="1">
      <c r="A261" s="236"/>
      <c r="B261" s="283"/>
      <c r="C261" s="246"/>
      <c r="D261" s="246"/>
      <c r="E261" s="236"/>
      <c r="F261" s="228"/>
      <c r="G261" s="236"/>
      <c r="H261" s="228"/>
      <c r="I261" s="228"/>
      <c r="J261" s="228"/>
      <c r="K261" s="228"/>
      <c r="L261" s="229"/>
      <c r="M261" s="287"/>
      <c r="X261" s="239"/>
    </row>
    <row r="262" spans="1:24" s="242" customFormat="1">
      <c r="A262" s="236"/>
      <c r="B262" s="283"/>
      <c r="C262" s="246"/>
      <c r="D262" s="246"/>
      <c r="E262" s="236"/>
      <c r="F262" s="228"/>
      <c r="G262" s="236"/>
      <c r="H262" s="228"/>
      <c r="I262" s="228"/>
      <c r="J262" s="228"/>
      <c r="K262" s="228"/>
      <c r="L262" s="229"/>
      <c r="M262" s="287"/>
      <c r="X262" s="239"/>
    </row>
    <row r="263" spans="1:24" s="242" customFormat="1">
      <c r="A263" s="236"/>
      <c r="B263" s="283"/>
      <c r="C263" s="246"/>
      <c r="D263" s="246"/>
      <c r="E263" s="236"/>
      <c r="F263" s="228"/>
      <c r="G263" s="236"/>
      <c r="H263" s="228"/>
      <c r="I263" s="228"/>
      <c r="J263" s="228"/>
      <c r="K263" s="228"/>
      <c r="L263" s="229"/>
      <c r="M263" s="287"/>
      <c r="X263" s="239"/>
    </row>
    <row r="264" spans="1:24" s="242" customFormat="1">
      <c r="A264" s="236"/>
      <c r="B264" s="283"/>
      <c r="C264" s="246"/>
      <c r="D264" s="246"/>
      <c r="E264" s="236"/>
      <c r="F264" s="228"/>
      <c r="G264" s="236"/>
      <c r="H264" s="228"/>
      <c r="I264" s="228"/>
      <c r="J264" s="228"/>
      <c r="K264" s="228"/>
      <c r="L264" s="229"/>
      <c r="M264" s="287"/>
      <c r="X264" s="239"/>
    </row>
    <row r="265" spans="1:24" s="242" customFormat="1">
      <c r="A265" s="236"/>
      <c r="B265" s="283"/>
      <c r="C265" s="246"/>
      <c r="D265" s="246"/>
      <c r="E265" s="236"/>
      <c r="F265" s="228"/>
      <c r="G265" s="236"/>
      <c r="H265" s="228"/>
      <c r="I265" s="228"/>
      <c r="J265" s="228"/>
      <c r="K265" s="228"/>
      <c r="L265" s="229"/>
      <c r="M265" s="287"/>
      <c r="X265" s="239"/>
    </row>
    <row r="266" spans="1:24" s="242" customFormat="1">
      <c r="A266" s="236"/>
      <c r="B266" s="283"/>
      <c r="C266" s="246"/>
      <c r="D266" s="246"/>
      <c r="E266" s="236"/>
      <c r="F266" s="228"/>
      <c r="G266" s="236"/>
      <c r="H266" s="228"/>
      <c r="I266" s="228"/>
      <c r="J266" s="228"/>
      <c r="K266" s="228"/>
      <c r="L266" s="229"/>
      <c r="M266" s="287"/>
      <c r="X266" s="239"/>
    </row>
    <row r="267" spans="1:24" s="242" customFormat="1">
      <c r="A267" s="236"/>
      <c r="B267" s="283"/>
      <c r="C267" s="246"/>
      <c r="D267" s="246"/>
      <c r="E267" s="236"/>
      <c r="F267" s="228"/>
      <c r="G267" s="236"/>
      <c r="H267" s="228"/>
      <c r="I267" s="228"/>
      <c r="J267" s="228"/>
      <c r="K267" s="228"/>
      <c r="L267" s="229"/>
      <c r="M267" s="287"/>
      <c r="X267" s="239"/>
    </row>
    <row r="268" spans="1:24" s="242" customFormat="1">
      <c r="A268" s="236"/>
      <c r="B268" s="283"/>
      <c r="C268" s="246"/>
      <c r="D268" s="246"/>
      <c r="E268" s="236"/>
      <c r="F268" s="228"/>
      <c r="G268" s="236"/>
      <c r="H268" s="228"/>
      <c r="I268" s="228"/>
      <c r="J268" s="228"/>
      <c r="K268" s="228"/>
      <c r="L268" s="229"/>
      <c r="M268" s="287"/>
      <c r="X268" s="239"/>
    </row>
    <row r="269" spans="1:24" s="242" customFormat="1">
      <c r="A269" s="236"/>
      <c r="B269" s="283"/>
      <c r="C269" s="246"/>
      <c r="D269" s="246"/>
      <c r="E269" s="236"/>
      <c r="F269" s="228"/>
      <c r="G269" s="236"/>
      <c r="H269" s="228"/>
      <c r="I269" s="228"/>
      <c r="J269" s="228"/>
      <c r="K269" s="228"/>
      <c r="L269" s="229"/>
      <c r="M269" s="287"/>
      <c r="X269" s="239"/>
    </row>
    <row r="270" spans="1:24" s="242" customFormat="1">
      <c r="A270" s="236"/>
      <c r="B270" s="283"/>
      <c r="C270" s="246"/>
      <c r="D270" s="246"/>
      <c r="E270" s="236"/>
      <c r="F270" s="228"/>
      <c r="G270" s="236"/>
      <c r="H270" s="228"/>
      <c r="I270" s="228"/>
      <c r="J270" s="228"/>
      <c r="K270" s="228"/>
      <c r="L270" s="229"/>
      <c r="M270" s="287"/>
      <c r="X270" s="239"/>
    </row>
    <row r="271" spans="1:24" s="242" customFormat="1">
      <c r="A271" s="236"/>
      <c r="B271" s="283"/>
      <c r="C271" s="246"/>
      <c r="D271" s="246"/>
      <c r="E271" s="236"/>
      <c r="F271" s="228"/>
      <c r="G271" s="236"/>
      <c r="H271" s="228"/>
      <c r="I271" s="228"/>
      <c r="J271" s="228"/>
      <c r="K271" s="228"/>
      <c r="L271" s="229"/>
      <c r="M271" s="287"/>
      <c r="X271" s="239"/>
    </row>
  </sheetData>
  <conditionalFormatting sqref="I3:I9999">
    <cfRule type="expression" dxfId="24" priority="4" stopIfTrue="1">
      <formula>AND(I3="",$M3&lt;&gt;"")</formula>
    </cfRule>
  </conditionalFormatting>
  <conditionalFormatting sqref="A3:XFD9999">
    <cfRule type="expression" dxfId="23"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workbookViewId="0"/>
  </sheetViews>
  <sheetFormatPr baseColWidth="10" defaultColWidth="9.1640625" defaultRowHeight="14"/>
  <cols>
    <col min="1" max="1" width="44" style="319" bestFit="1" customWidth="1"/>
    <col min="2" max="16384" width="9.1640625" style="319"/>
  </cols>
  <sheetData>
    <row r="1" spans="1:13" s="324" customFormat="1" ht="15">
      <c r="A1" s="313"/>
      <c r="B1" s="313"/>
      <c r="C1" s="313" t="s">
        <v>428</v>
      </c>
      <c r="D1" s="325">
        <v>2000</v>
      </c>
      <c r="E1" s="323">
        <v>2005</v>
      </c>
      <c r="F1" s="323">
        <v>2010</v>
      </c>
      <c r="G1" s="323">
        <v>2015</v>
      </c>
      <c r="H1" s="323">
        <v>2020</v>
      </c>
      <c r="I1" s="323">
        <v>2025</v>
      </c>
      <c r="J1" s="323">
        <v>2030</v>
      </c>
      <c r="K1" s="323">
        <v>2035</v>
      </c>
    </row>
    <row r="2" spans="1:13">
      <c r="A2" s="317" t="s">
        <v>422</v>
      </c>
      <c r="B2" s="317"/>
      <c r="C2" s="317"/>
      <c r="D2" s="326">
        <v>100</v>
      </c>
      <c r="E2" s="320">
        <f t="shared" ref="E2:K2" si="0">D2*(1-$B$3)^5</f>
        <v>95.099004989999997</v>
      </c>
      <c r="F2" s="320">
        <f t="shared" si="0"/>
        <v>90.438207500880438</v>
      </c>
      <c r="G2" s="320">
        <f t="shared" si="0"/>
        <v>86.005835464128836</v>
      </c>
      <c r="H2" s="320">
        <f t="shared" si="0"/>
        <v>81.790693759723069</v>
      </c>
      <c r="I2" s="320">
        <f t="shared" si="0"/>
        <v>77.782135939914653</v>
      </c>
      <c r="J2" s="320">
        <f t="shared" si="0"/>
        <v>73.970037338828007</v>
      </c>
      <c r="K2" s="320">
        <f t="shared" si="0"/>
        <v>70.344769499956897</v>
      </c>
    </row>
    <row r="3" spans="1:13">
      <c r="A3" s="319" t="s">
        <v>427</v>
      </c>
      <c r="B3" s="319">
        <v>0.01</v>
      </c>
      <c r="D3" s="327" t="s">
        <v>381</v>
      </c>
      <c r="M3" s="315"/>
    </row>
    <row r="4" spans="1:13">
      <c r="A4" s="317"/>
      <c r="D4" s="327"/>
      <c r="E4" s="320"/>
      <c r="F4" s="320"/>
      <c r="G4" s="320"/>
      <c r="H4" s="320"/>
      <c r="I4" s="320"/>
      <c r="J4" s="320"/>
      <c r="K4" s="320"/>
    </row>
    <row r="5" spans="1:13">
      <c r="A5" s="317"/>
      <c r="D5" s="327"/>
    </row>
    <row r="6" spans="1:13">
      <c r="A6" s="316"/>
      <c r="B6" s="317"/>
      <c r="C6" s="319" t="s">
        <v>429</v>
      </c>
      <c r="D6" s="328"/>
      <c r="E6" s="315"/>
      <c r="F6" s="315"/>
      <c r="G6" s="315"/>
      <c r="H6" s="315"/>
      <c r="I6" s="315"/>
      <c r="J6" s="315"/>
      <c r="K6" s="315"/>
    </row>
    <row r="7" spans="1:13" ht="15">
      <c r="A7" s="314" t="s">
        <v>376</v>
      </c>
      <c r="B7" s="317" t="s">
        <v>63</v>
      </c>
      <c r="C7" s="317">
        <v>51000</v>
      </c>
      <c r="D7" s="329">
        <v>1000</v>
      </c>
      <c r="E7" s="318">
        <v>2000</v>
      </c>
      <c r="F7" s="318">
        <v>3000</v>
      </c>
      <c r="G7" s="318">
        <v>4000</v>
      </c>
      <c r="H7" s="318">
        <v>5000</v>
      </c>
      <c r="I7" s="318">
        <v>6000</v>
      </c>
      <c r="J7" s="318">
        <v>7000</v>
      </c>
      <c r="K7" s="318">
        <v>8000</v>
      </c>
    </row>
    <row r="8" spans="1:13">
      <c r="A8" s="317"/>
      <c r="B8" s="317" t="s">
        <v>62</v>
      </c>
      <c r="C8" s="317">
        <v>0</v>
      </c>
      <c r="D8" s="326" t="s">
        <v>377</v>
      </c>
      <c r="E8" s="317">
        <v>500</v>
      </c>
      <c r="F8" s="318">
        <v>1500</v>
      </c>
      <c r="G8" s="318">
        <v>2500</v>
      </c>
      <c r="H8" s="318">
        <v>3500</v>
      </c>
      <c r="I8" s="318">
        <v>4500</v>
      </c>
      <c r="J8" s="318">
        <v>5500</v>
      </c>
      <c r="K8" s="318">
        <v>6500</v>
      </c>
    </row>
    <row r="9" spans="1:13">
      <c r="A9" s="317"/>
      <c r="D9" s="327"/>
    </row>
    <row r="10" spans="1:13" ht="15">
      <c r="A10" s="314" t="s">
        <v>378</v>
      </c>
      <c r="B10" s="313"/>
      <c r="C10" s="318">
        <f t="shared" ref="C10:K10" si="1">SUM(C7:C8)</f>
        <v>51000</v>
      </c>
      <c r="D10" s="329">
        <f t="shared" si="1"/>
        <v>1000</v>
      </c>
      <c r="E10" s="318">
        <f t="shared" si="1"/>
        <v>2500</v>
      </c>
      <c r="F10" s="318">
        <f t="shared" si="1"/>
        <v>4500</v>
      </c>
      <c r="G10" s="318">
        <f t="shared" si="1"/>
        <v>6500</v>
      </c>
      <c r="H10" s="318">
        <f t="shared" si="1"/>
        <v>8500</v>
      </c>
      <c r="I10" s="318">
        <f t="shared" si="1"/>
        <v>10500</v>
      </c>
      <c r="J10" s="318">
        <f t="shared" si="1"/>
        <v>12500</v>
      </c>
      <c r="K10" s="318">
        <f t="shared" si="1"/>
        <v>14500</v>
      </c>
    </row>
    <row r="11" spans="1:13" ht="15">
      <c r="A11" s="314" t="s">
        <v>431</v>
      </c>
      <c r="B11" s="313"/>
      <c r="C11" s="313"/>
      <c r="D11" s="329"/>
      <c r="E11" s="318"/>
      <c r="F11" s="318">
        <f>SUM($E$10:E10)</f>
        <v>2500</v>
      </c>
      <c r="G11" s="318">
        <f>SUM($E$10:F10)</f>
        <v>7000</v>
      </c>
      <c r="H11" s="318">
        <f>SUM($E$10:G10)</f>
        <v>13500</v>
      </c>
      <c r="I11" s="318">
        <f>SUM($E$10:H10)</f>
        <v>22000</v>
      </c>
      <c r="J11" s="318">
        <f>SUM($E$10:I10)</f>
        <v>32500</v>
      </c>
      <c r="K11" s="318">
        <f>SUM($E$10:J10)</f>
        <v>45000</v>
      </c>
    </row>
    <row r="12" spans="1:13">
      <c r="A12" s="317" t="s">
        <v>430</v>
      </c>
      <c r="B12" s="316"/>
      <c r="C12" s="316"/>
      <c r="D12" s="330">
        <v>100</v>
      </c>
      <c r="E12" s="321">
        <f t="shared" ref="E12:K12" si="2">MAX($B$15*$D$12,E2*((($C$10+E11)/($C$10))^LOG($B$14,2)))</f>
        <v>95.099004989999997</v>
      </c>
      <c r="F12" s="321">
        <f t="shared" si="2"/>
        <v>89.055576484778712</v>
      </c>
      <c r="G12" s="321">
        <f t="shared" si="2"/>
        <v>82.517434705220438</v>
      </c>
      <c r="H12" s="321">
        <f t="shared" si="2"/>
        <v>75.83515768046891</v>
      </c>
      <c r="I12" s="321">
        <f t="shared" si="2"/>
        <v>69.300872128422881</v>
      </c>
      <c r="J12" s="321">
        <f t="shared" si="2"/>
        <v>63.114011638706828</v>
      </c>
      <c r="K12" s="321">
        <f t="shared" si="2"/>
        <v>57.384925610342293</v>
      </c>
    </row>
    <row r="13" spans="1:13">
      <c r="D13" s="327"/>
      <c r="M13" s="315"/>
    </row>
    <row r="14" spans="1:13">
      <c r="A14" s="319" t="s">
        <v>382</v>
      </c>
      <c r="B14" s="319">
        <v>0.8</v>
      </c>
      <c r="D14" s="327"/>
    </row>
    <row r="15" spans="1:13">
      <c r="A15" s="319" t="s">
        <v>383</v>
      </c>
      <c r="B15" s="319">
        <v>0</v>
      </c>
      <c r="D15" s="327"/>
      <c r="M15" s="315"/>
    </row>
    <row r="16" spans="1:13">
      <c r="D16" s="327"/>
    </row>
    <row r="17" spans="1:13">
      <c r="D17" s="327"/>
      <c r="M17" s="315"/>
    </row>
    <row r="18" spans="1:13">
      <c r="D18" s="327"/>
    </row>
    <row r="19" spans="1:13">
      <c r="D19" s="327"/>
      <c r="M19" s="315"/>
    </row>
    <row r="20" spans="1:13">
      <c r="D20" s="327"/>
    </row>
    <row r="21" spans="1:13">
      <c r="B21" s="319">
        <v>0</v>
      </c>
      <c r="D21" s="327">
        <v>0</v>
      </c>
      <c r="E21" s="319">
        <v>0.01</v>
      </c>
      <c r="F21" s="319">
        <v>0.02</v>
      </c>
      <c r="G21" s="319">
        <v>0.03</v>
      </c>
      <c r="H21" s="319">
        <v>0.04</v>
      </c>
      <c r="I21" s="319">
        <v>0.05</v>
      </c>
      <c r="J21" s="319">
        <v>0.06</v>
      </c>
      <c r="K21" s="319">
        <v>7.0000000000000007E-2</v>
      </c>
      <c r="M21" s="315"/>
    </row>
    <row r="22" spans="1:13">
      <c r="D22" s="327"/>
    </row>
    <row r="23" spans="1:13">
      <c r="D23" s="327">
        <v>2000</v>
      </c>
      <c r="E23" s="319">
        <v>2005</v>
      </c>
      <c r="F23" s="319">
        <v>2010</v>
      </c>
      <c r="G23" s="319">
        <v>2015</v>
      </c>
      <c r="H23" s="319">
        <v>2020</v>
      </c>
      <c r="I23" s="319">
        <v>2025</v>
      </c>
      <c r="J23" s="319">
        <v>2030</v>
      </c>
      <c r="K23" s="319">
        <v>2035</v>
      </c>
      <c r="M23" s="315"/>
    </row>
    <row r="24" spans="1:13">
      <c r="D24" s="326">
        <v>100</v>
      </c>
      <c r="E24" s="319">
        <f>$D$24/(1+($B$27*EXP($B$28*E21)))</f>
        <v>71.295733811221552</v>
      </c>
      <c r="F24" s="319">
        <f t="shared" ref="F24:K24" si="3">$D$24/(1+($B$27*EXP($B$28*F21)))</f>
        <v>71.162527931721343</v>
      </c>
      <c r="G24" s="319">
        <f t="shared" si="3"/>
        <v>71.0289550822134</v>
      </c>
      <c r="H24" s="319">
        <f t="shared" si="3"/>
        <v>70.895016577516515</v>
      </c>
      <c r="I24" s="319">
        <f t="shared" si="3"/>
        <v>70.760713755148913</v>
      </c>
      <c r="J24" s="319">
        <f t="shared" si="3"/>
        <v>70.626047975348897</v>
      </c>
      <c r="K24" s="319">
        <f t="shared" si="3"/>
        <v>70.491020621093014</v>
      </c>
    </row>
    <row r="25" spans="1:13">
      <c r="M25" s="315"/>
    </row>
    <row r="27" spans="1:13">
      <c r="A27" s="319" t="s">
        <v>403</v>
      </c>
      <c r="B27" s="319">
        <v>0.4</v>
      </c>
      <c r="D27" s="319">
        <v>0.36299999999999999</v>
      </c>
      <c r="M27" s="315"/>
    </row>
    <row r="28" spans="1:13">
      <c r="A28" s="319" t="s">
        <v>404</v>
      </c>
      <c r="B28" s="319">
        <v>0.65</v>
      </c>
      <c r="D28" s="319">
        <v>6.9820000000000002</v>
      </c>
    </row>
    <row r="29" spans="1:13">
      <c r="M29" s="315"/>
    </row>
    <row r="31" spans="1:13">
      <c r="M31" s="315"/>
    </row>
    <row r="33" spans="13:13">
      <c r="M33" s="315"/>
    </row>
    <row r="35" spans="13:13">
      <c r="M35" s="315"/>
    </row>
    <row r="37" spans="13:13">
      <c r="M37" s="315"/>
    </row>
    <row r="39" spans="13:13">
      <c r="M39" s="315"/>
    </row>
    <row r="41" spans="13:13">
      <c r="M41" s="315"/>
    </row>
    <row r="43" spans="13:13">
      <c r="M43" s="315"/>
    </row>
    <row r="45" spans="13:13">
      <c r="M45" s="315"/>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177800</xdr:rowOff>
              </from>
              <to>
                <xdr:col>0</xdr:col>
                <xdr:colOff>2489200</xdr:colOff>
                <xdr:row>23</xdr:row>
                <xdr:rowOff>25400</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177800</xdr:rowOff>
              </from>
              <to>
                <xdr:col>3</xdr:col>
                <xdr:colOff>571500</xdr:colOff>
                <xdr:row>42</xdr:row>
                <xdr:rowOff>101600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workbookViewId="0"/>
  </sheetViews>
  <sheetFormatPr baseColWidth="10" defaultColWidth="8.83203125" defaultRowHeight="15"/>
  <cols>
    <col min="1" max="1" width="2.6640625" style="2" customWidth="1"/>
    <col min="2" max="2" width="32.6640625" style="15" bestFit="1" customWidth="1"/>
    <col min="3" max="3" width="27.5" style="15" customWidth="1"/>
    <col min="4" max="4" width="29.5" style="15" bestFit="1" customWidth="1"/>
    <col min="5" max="5" width="29.5" style="15"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15</v>
      </c>
      <c r="E1" s="24" t="s">
        <v>321</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c r="A3" s="5"/>
      <c r="B3" s="25" t="s">
        <v>42</v>
      </c>
      <c r="C3" s="25" t="s">
        <v>47</v>
      </c>
      <c r="D3" s="25" t="s">
        <v>81</v>
      </c>
      <c r="E3" s="25"/>
      <c r="F3" s="27" t="s">
        <v>82</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c r="A4" s="5"/>
      <c r="B4" s="25"/>
      <c r="C4" s="25" t="s">
        <v>84</v>
      </c>
      <c r="D4" s="25" t="s">
        <v>81</v>
      </c>
      <c r="E4" s="25"/>
      <c r="F4" s="27" t="s">
        <v>82</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c r="A5" s="5"/>
      <c r="B5" s="25"/>
      <c r="C5" s="25" t="s">
        <v>85</v>
      </c>
      <c r="D5" s="25" t="s">
        <v>81</v>
      </c>
      <c r="E5" s="25"/>
      <c r="F5" s="27" t="s">
        <v>82</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c r="A6" s="5"/>
      <c r="B6" s="25"/>
      <c r="C6" s="25" t="s">
        <v>86</v>
      </c>
      <c r="D6" s="25" t="s">
        <v>81</v>
      </c>
      <c r="E6" s="25"/>
      <c r="F6" s="27" t="s">
        <v>82</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c r="A7" s="5"/>
      <c r="B7" s="25"/>
      <c r="C7" s="25" t="s">
        <v>87</v>
      </c>
      <c r="D7" s="25" t="s">
        <v>81</v>
      </c>
      <c r="E7" s="25"/>
      <c r="F7" s="27" t="s">
        <v>82</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c r="A8" s="5"/>
      <c r="B8" s="25"/>
      <c r="C8" s="25" t="s">
        <v>88</v>
      </c>
      <c r="D8" s="25" t="s">
        <v>81</v>
      </c>
      <c r="E8" s="25"/>
      <c r="F8" s="27" t="s">
        <v>82</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c r="A9" s="5"/>
      <c r="B9" s="25"/>
      <c r="C9" s="25" t="s">
        <v>89</v>
      </c>
      <c r="D9" s="25" t="s">
        <v>81</v>
      </c>
      <c r="E9" s="25"/>
      <c r="F9" s="27" t="s">
        <v>82</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c r="A10" s="5"/>
      <c r="B10" s="25"/>
      <c r="C10" s="25" t="s">
        <v>90</v>
      </c>
      <c r="D10" s="25" t="s">
        <v>81</v>
      </c>
      <c r="E10" s="25"/>
      <c r="F10" s="27" t="s">
        <v>82</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c r="A11" s="5"/>
      <c r="B11" s="25"/>
      <c r="C11" s="25" t="s">
        <v>91</v>
      </c>
      <c r="D11" s="25" t="s">
        <v>81</v>
      </c>
      <c r="E11" s="25"/>
      <c r="F11" s="27" t="s">
        <v>82</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c r="A12" s="5"/>
      <c r="B12" s="25"/>
      <c r="C12" s="25" t="s">
        <v>5</v>
      </c>
      <c r="D12" s="25" t="s">
        <v>81</v>
      </c>
      <c r="E12" s="25"/>
      <c r="F12" s="27" t="s">
        <v>82</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c r="A13" s="5"/>
      <c r="B13" s="25"/>
      <c r="C13" s="25" t="s">
        <v>60</v>
      </c>
      <c r="D13" s="25" t="s">
        <v>81</v>
      </c>
      <c r="E13" s="25"/>
      <c r="F13" s="27" t="s">
        <v>82</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c r="A14" s="5"/>
      <c r="B14" s="25"/>
      <c r="C14" s="25" t="s">
        <v>92</v>
      </c>
      <c r="D14" s="25" t="s">
        <v>81</v>
      </c>
      <c r="E14" s="25"/>
      <c r="F14" s="27" t="s">
        <v>82</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c r="A15" s="5"/>
      <c r="B15" s="25"/>
      <c r="C15" s="25" t="s">
        <v>94</v>
      </c>
      <c r="D15" s="25" t="s">
        <v>81</v>
      </c>
      <c r="E15" s="25"/>
      <c r="F15" s="27" t="s">
        <v>82</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c r="A16" s="5"/>
      <c r="B16" s="25"/>
      <c r="C16" s="25" t="s">
        <v>93</v>
      </c>
      <c r="D16" s="25" t="s">
        <v>81</v>
      </c>
      <c r="E16" s="25"/>
      <c r="F16" s="27" t="s">
        <v>82</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c r="A17" s="5"/>
      <c r="B17" s="25"/>
      <c r="C17" s="25"/>
      <c r="D17" s="25"/>
      <c r="E17" s="25"/>
      <c r="F17" s="27"/>
      <c r="G17" s="17"/>
      <c r="H17" s="17"/>
      <c r="I17" s="17"/>
      <c r="J17" s="17"/>
      <c r="R17" s="38"/>
    </row>
    <row r="18" spans="1:79">
      <c r="A18" s="5"/>
      <c r="B18" s="25"/>
      <c r="C18" s="25"/>
      <c r="D18" s="25"/>
      <c r="E18" s="25"/>
      <c r="F18" s="27"/>
      <c r="G18" s="17"/>
      <c r="H18" s="17"/>
      <c r="I18" s="17"/>
      <c r="J18" s="17"/>
      <c r="R18" s="38"/>
    </row>
    <row r="19" spans="1:79">
      <c r="A19" s="5"/>
      <c r="B19" s="3" t="s">
        <v>98</v>
      </c>
      <c r="C19" s="25" t="s">
        <v>47</v>
      </c>
      <c r="D19" s="25" t="s">
        <v>81</v>
      </c>
      <c r="E19" s="25"/>
      <c r="F19" s="335" t="s">
        <v>95</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c r="A20" s="5"/>
      <c r="B20" s="3"/>
      <c r="C20" s="25" t="s">
        <v>84</v>
      </c>
      <c r="D20" s="25" t="s">
        <v>81</v>
      </c>
      <c r="E20" s="25"/>
      <c r="F20" s="335" t="s">
        <v>95</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c r="A21" s="5"/>
      <c r="B21" s="3"/>
      <c r="C21" s="25" t="s">
        <v>85</v>
      </c>
      <c r="D21" s="25" t="s">
        <v>81</v>
      </c>
      <c r="E21" s="25"/>
      <c r="F21" s="335" t="s">
        <v>95</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c r="A22" s="5"/>
      <c r="B22" s="3"/>
      <c r="C22" s="25" t="s">
        <v>86</v>
      </c>
      <c r="D22" s="25" t="s">
        <v>81</v>
      </c>
      <c r="E22" s="25"/>
      <c r="F22" s="335" t="s">
        <v>95</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c r="A23" s="5"/>
      <c r="B23" s="3"/>
      <c r="C23" s="25" t="s">
        <v>87</v>
      </c>
      <c r="D23" s="25" t="s">
        <v>81</v>
      </c>
      <c r="E23" s="25"/>
      <c r="F23" s="335" t="s">
        <v>95</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c r="A24" s="5"/>
      <c r="B24" s="3"/>
      <c r="C24" s="25" t="s">
        <v>88</v>
      </c>
      <c r="D24" s="25" t="s">
        <v>81</v>
      </c>
      <c r="E24" s="25"/>
      <c r="F24" s="335" t="s">
        <v>95</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c r="A25" s="5"/>
      <c r="B25" s="3"/>
      <c r="C25" s="25" t="s">
        <v>89</v>
      </c>
      <c r="D25" s="25" t="s">
        <v>81</v>
      </c>
      <c r="E25" s="25"/>
      <c r="F25" s="335" t="s">
        <v>95</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c r="A26" s="5"/>
      <c r="B26" s="3"/>
      <c r="C26" s="25" t="s">
        <v>90</v>
      </c>
      <c r="D26" s="25" t="s">
        <v>81</v>
      </c>
      <c r="E26" s="25"/>
      <c r="F26" s="335" t="s">
        <v>95</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c r="A27" s="5"/>
      <c r="B27" s="3"/>
      <c r="C27" s="25" t="s">
        <v>91</v>
      </c>
      <c r="D27" s="25" t="s">
        <v>81</v>
      </c>
      <c r="E27" s="25"/>
      <c r="F27" s="335" t="s">
        <v>95</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c r="A28" s="5"/>
      <c r="B28" s="3"/>
      <c r="C28" s="25" t="s">
        <v>5</v>
      </c>
      <c r="D28" s="25" t="s">
        <v>81</v>
      </c>
      <c r="E28" s="25"/>
      <c r="F28" s="335" t="s">
        <v>95</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c r="A29" s="5"/>
      <c r="B29" s="3"/>
      <c r="C29" s="25" t="s">
        <v>60</v>
      </c>
      <c r="D29" s="25" t="s">
        <v>81</v>
      </c>
      <c r="E29" s="25"/>
      <c r="F29" s="335" t="s">
        <v>95</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c r="A30" s="5"/>
      <c r="B30" s="3"/>
      <c r="C30" s="25" t="s">
        <v>92</v>
      </c>
      <c r="D30" s="25" t="s">
        <v>81</v>
      </c>
      <c r="E30" s="25"/>
      <c r="F30" s="335" t="s">
        <v>95</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c r="A31" s="5"/>
      <c r="B31" s="3"/>
      <c r="C31" s="25" t="s">
        <v>94</v>
      </c>
      <c r="D31" s="25" t="s">
        <v>81</v>
      </c>
      <c r="E31" s="25"/>
      <c r="F31" s="335" t="s">
        <v>95</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c r="A32" s="5"/>
      <c r="B32" s="3"/>
      <c r="C32" s="25" t="s">
        <v>93</v>
      </c>
      <c r="D32" s="25" t="s">
        <v>81</v>
      </c>
      <c r="E32" s="25"/>
      <c r="F32" s="335" t="s">
        <v>95</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c r="A33" s="5"/>
      <c r="B33" s="3"/>
      <c r="C33" s="3"/>
      <c r="D33" s="3"/>
      <c r="E33" s="3"/>
      <c r="F33" s="14"/>
      <c r="G33" s="3"/>
      <c r="H33" s="3"/>
      <c r="I33" s="3"/>
      <c r="J33" s="3"/>
      <c r="K33" s="34"/>
      <c r="L33" s="34"/>
      <c r="M33" s="34"/>
      <c r="N33" s="34"/>
      <c r="O33" s="34"/>
      <c r="P33" s="34"/>
      <c r="Q33" s="34"/>
      <c r="R33" s="38"/>
    </row>
    <row r="34" spans="1:18">
      <c r="A34" s="5"/>
      <c r="B34" s="3"/>
      <c r="C34" s="3"/>
      <c r="D34" s="3"/>
      <c r="E34" s="3"/>
      <c r="F34" s="14"/>
      <c r="G34" s="3"/>
      <c r="H34" s="3"/>
      <c r="I34" s="3"/>
      <c r="J34" s="3"/>
      <c r="K34" s="34"/>
      <c r="L34" s="34"/>
      <c r="M34" s="34"/>
      <c r="N34" s="34"/>
      <c r="O34" s="34"/>
      <c r="P34" s="34"/>
      <c r="Q34" s="34"/>
      <c r="R34" s="38"/>
    </row>
    <row r="35" spans="1:18">
      <c r="A35" s="5"/>
      <c r="B35" s="3" t="s">
        <v>97</v>
      </c>
      <c r="C35" s="25" t="s">
        <v>47</v>
      </c>
      <c r="D35" s="25" t="s">
        <v>96</v>
      </c>
      <c r="E35" s="25"/>
      <c r="F35" s="16" t="s">
        <v>83</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c r="A36" s="5"/>
      <c r="B36" s="3"/>
      <c r="C36" s="25" t="s">
        <v>84</v>
      </c>
      <c r="D36" s="25" t="s">
        <v>96</v>
      </c>
      <c r="E36" s="25"/>
      <c r="F36" s="16" t="s">
        <v>83</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c r="A37" s="5"/>
      <c r="B37" s="3"/>
      <c r="C37" s="25" t="s">
        <v>85</v>
      </c>
      <c r="D37" s="25" t="s">
        <v>96</v>
      </c>
      <c r="E37" s="25"/>
      <c r="F37" s="16" t="s">
        <v>83</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c r="A38" s="5"/>
      <c r="B38" s="3"/>
      <c r="C38" s="25" t="s">
        <v>86</v>
      </c>
      <c r="D38" s="25" t="s">
        <v>96</v>
      </c>
      <c r="E38" s="25"/>
      <c r="F38" s="16" t="s">
        <v>83</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c r="A39" s="5"/>
      <c r="B39" s="3"/>
      <c r="C39" s="25" t="s">
        <v>87</v>
      </c>
      <c r="D39" s="25" t="s">
        <v>96</v>
      </c>
      <c r="E39" s="25"/>
      <c r="F39" s="16" t="s">
        <v>83</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c r="A40" s="5"/>
      <c r="B40" s="3"/>
      <c r="C40" s="25" t="s">
        <v>88</v>
      </c>
      <c r="D40" s="25" t="s">
        <v>96</v>
      </c>
      <c r="E40" s="25"/>
      <c r="F40" s="16" t="s">
        <v>83</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c r="A41" s="5"/>
      <c r="B41" s="3"/>
      <c r="C41" s="25" t="s">
        <v>89</v>
      </c>
      <c r="D41" s="25" t="s">
        <v>96</v>
      </c>
      <c r="E41" s="25"/>
      <c r="F41" s="16" t="s">
        <v>83</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c r="A42" s="5"/>
      <c r="B42" s="3"/>
      <c r="C42" s="25" t="s">
        <v>90</v>
      </c>
      <c r="D42" s="25" t="s">
        <v>96</v>
      </c>
      <c r="E42" s="25"/>
      <c r="F42" s="16" t="s">
        <v>83</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c r="A43" s="5"/>
      <c r="B43" s="3"/>
      <c r="C43" s="25" t="s">
        <v>91</v>
      </c>
      <c r="D43" s="25" t="s">
        <v>96</v>
      </c>
      <c r="E43" s="25"/>
      <c r="F43" s="16" t="s">
        <v>83</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c r="A44" s="5"/>
      <c r="B44" s="3"/>
      <c r="C44" s="25" t="s">
        <v>5</v>
      </c>
      <c r="D44" s="25" t="s">
        <v>96</v>
      </c>
      <c r="E44" s="25"/>
      <c r="F44" s="16" t="s">
        <v>83</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c r="A45" s="5"/>
      <c r="B45" s="3"/>
      <c r="C45" s="25" t="s">
        <v>60</v>
      </c>
      <c r="D45" s="25" t="s">
        <v>96</v>
      </c>
      <c r="E45" s="25"/>
      <c r="F45" s="16" t="s">
        <v>83</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c r="A46" s="5"/>
      <c r="B46" s="3"/>
      <c r="C46" s="25" t="s">
        <v>92</v>
      </c>
      <c r="D46" s="25" t="s">
        <v>96</v>
      </c>
      <c r="E46" s="25"/>
      <c r="F46" s="16" t="s">
        <v>83</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c r="A47" s="5"/>
      <c r="B47" s="3"/>
      <c r="C47" s="25" t="s">
        <v>94</v>
      </c>
      <c r="D47" s="25" t="s">
        <v>96</v>
      </c>
      <c r="E47" s="25"/>
      <c r="F47" s="16" t="s">
        <v>83</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c r="A48" s="5"/>
      <c r="B48" s="3"/>
      <c r="C48" s="25" t="s">
        <v>93</v>
      </c>
      <c r="D48" s="25" t="s">
        <v>96</v>
      </c>
      <c r="E48" s="25"/>
      <c r="F48" s="16" t="s">
        <v>83</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c r="A49" s="5"/>
      <c r="B49" s="25"/>
      <c r="C49" s="25"/>
      <c r="D49" s="25"/>
      <c r="E49" s="25"/>
      <c r="F49" s="16"/>
      <c r="G49" s="30"/>
      <c r="H49" s="30"/>
      <c r="I49" s="30"/>
      <c r="J49" s="30"/>
      <c r="K49" s="17"/>
      <c r="L49" s="17"/>
      <c r="M49" s="17"/>
      <c r="N49" s="17"/>
      <c r="O49" s="17"/>
      <c r="P49" s="17"/>
      <c r="Q49" s="17"/>
      <c r="R49" s="38"/>
    </row>
    <row r="50" spans="1:69" s="52" customFormat="1" ht="16" thickBot="1">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c r="A51" s="5"/>
      <c r="B51" s="25"/>
      <c r="C51" s="25"/>
      <c r="D51" s="25"/>
      <c r="E51" s="25"/>
      <c r="F51" s="16"/>
      <c r="G51" s="30"/>
      <c r="H51" s="30"/>
      <c r="I51" s="30"/>
      <c r="J51" s="30"/>
      <c r="K51" s="17"/>
      <c r="L51" s="17"/>
      <c r="M51" s="17"/>
      <c r="N51" s="17"/>
      <c r="O51" s="17"/>
      <c r="P51" s="17"/>
      <c r="Q51" s="17"/>
      <c r="R51" s="38"/>
    </row>
    <row r="52" spans="1:69">
      <c r="A52" s="5"/>
      <c r="B52" s="25" t="s">
        <v>43</v>
      </c>
      <c r="C52" s="25" t="s">
        <v>47</v>
      </c>
      <c r="D52" s="25" t="s">
        <v>322</v>
      </c>
      <c r="E52" s="25">
        <v>2012</v>
      </c>
      <c r="F52" s="27" t="s">
        <v>82</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c r="A53" s="5"/>
      <c r="B53" s="25"/>
      <c r="C53" s="25" t="s">
        <v>84</v>
      </c>
      <c r="D53" s="25" t="s">
        <v>322</v>
      </c>
      <c r="E53" s="25">
        <v>2012</v>
      </c>
      <c r="F53" s="27" t="s">
        <v>82</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c r="A54" s="5"/>
      <c r="B54" s="25"/>
      <c r="C54" s="25" t="s">
        <v>85</v>
      </c>
      <c r="D54" s="25" t="s">
        <v>322</v>
      </c>
      <c r="E54" s="25">
        <v>2012</v>
      </c>
      <c r="F54" s="27" t="s">
        <v>82</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c r="A55" s="5"/>
      <c r="B55" s="25"/>
      <c r="C55" s="25" t="s">
        <v>86</v>
      </c>
      <c r="D55" s="25" t="s">
        <v>322</v>
      </c>
      <c r="E55" s="25">
        <v>2012</v>
      </c>
      <c r="F55" s="27" t="s">
        <v>82</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c r="A56" s="5"/>
      <c r="B56" s="25"/>
      <c r="C56" s="25" t="s">
        <v>87</v>
      </c>
      <c r="D56" s="25" t="s">
        <v>322</v>
      </c>
      <c r="E56" s="25">
        <v>2012</v>
      </c>
      <c r="F56" s="27" t="s">
        <v>82</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c r="A57" s="5"/>
      <c r="B57" s="25"/>
      <c r="C57" s="25" t="s">
        <v>88</v>
      </c>
      <c r="D57" s="25" t="s">
        <v>322</v>
      </c>
      <c r="E57" s="25">
        <v>2012</v>
      </c>
      <c r="F57" s="27" t="s">
        <v>82</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c r="A58" s="5"/>
      <c r="B58" s="25"/>
      <c r="C58" s="25" t="s">
        <v>89</v>
      </c>
      <c r="D58" s="25" t="s">
        <v>322</v>
      </c>
      <c r="E58" s="25">
        <v>2012</v>
      </c>
      <c r="F58" s="27" t="s">
        <v>82</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c r="A59" s="5"/>
      <c r="B59" s="25"/>
      <c r="C59" s="25" t="s">
        <v>90</v>
      </c>
      <c r="D59" s="25" t="s">
        <v>322</v>
      </c>
      <c r="E59" s="25">
        <v>2012</v>
      </c>
      <c r="F59" s="27" t="s">
        <v>82</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c r="A60" s="5"/>
      <c r="B60" s="25"/>
      <c r="C60" s="25" t="s">
        <v>91</v>
      </c>
      <c r="D60" s="25" t="s">
        <v>322</v>
      </c>
      <c r="E60" s="25">
        <v>2012</v>
      </c>
      <c r="F60" s="27" t="s">
        <v>82</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c r="A61" s="5"/>
      <c r="B61" s="13"/>
      <c r="C61" s="25" t="s">
        <v>5</v>
      </c>
      <c r="D61" s="25" t="s">
        <v>322</v>
      </c>
      <c r="E61" s="25">
        <v>2012</v>
      </c>
      <c r="F61" s="27" t="s">
        <v>82</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c r="A62" s="5"/>
      <c r="B62" s="13"/>
      <c r="C62" s="25" t="s">
        <v>60</v>
      </c>
      <c r="D62" s="25" t="s">
        <v>322</v>
      </c>
      <c r="E62" s="25">
        <v>2012</v>
      </c>
      <c r="F62" s="27" t="s">
        <v>82</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c r="A63" s="5"/>
      <c r="B63" s="25"/>
      <c r="C63" s="25" t="s">
        <v>92</v>
      </c>
      <c r="D63" s="25" t="s">
        <v>322</v>
      </c>
      <c r="E63" s="25">
        <v>2012</v>
      </c>
      <c r="F63" s="27" t="s">
        <v>82</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c r="A64" s="5"/>
      <c r="B64" s="25"/>
      <c r="C64" s="25" t="s">
        <v>94</v>
      </c>
      <c r="D64" s="25" t="s">
        <v>322</v>
      </c>
      <c r="E64" s="25">
        <v>2012</v>
      </c>
      <c r="F64" s="27" t="s">
        <v>82</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c r="A65" s="5"/>
      <c r="B65" s="25"/>
      <c r="C65" s="25" t="s">
        <v>93</v>
      </c>
      <c r="D65" s="25" t="s">
        <v>322</v>
      </c>
      <c r="E65" s="25">
        <v>2012</v>
      </c>
      <c r="F65" s="27" t="s">
        <v>82</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c r="A66" s="5"/>
      <c r="B66" s="25"/>
      <c r="C66" s="25"/>
      <c r="D66" s="25"/>
      <c r="E66" s="25"/>
      <c r="F66" s="16"/>
      <c r="G66" s="30"/>
      <c r="H66" s="30"/>
      <c r="I66" s="30"/>
      <c r="J66" s="30"/>
      <c r="R66" s="38"/>
    </row>
    <row r="67" spans="1:79">
      <c r="A67" s="5"/>
      <c r="B67" s="25"/>
      <c r="C67" s="25"/>
      <c r="D67" s="25"/>
      <c r="E67" s="25"/>
      <c r="F67" s="16"/>
      <c r="G67" s="30"/>
      <c r="H67" s="30"/>
      <c r="I67" s="30"/>
      <c r="J67" s="30"/>
      <c r="R67" s="38"/>
    </row>
    <row r="68" spans="1:79">
      <c r="A68" s="5"/>
      <c r="B68" s="25" t="s">
        <v>43</v>
      </c>
      <c r="C68" s="25" t="s">
        <v>47</v>
      </c>
      <c r="D68" s="25" t="s">
        <v>100</v>
      </c>
      <c r="E68" s="25"/>
      <c r="F68" s="335" t="s">
        <v>99</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c r="A69" s="5"/>
      <c r="B69" s="13"/>
      <c r="C69" s="13"/>
      <c r="D69" s="25" t="s">
        <v>101</v>
      </c>
      <c r="E69" s="25"/>
      <c r="F69" s="9" t="s">
        <v>83</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c r="A71" s="5"/>
      <c r="B71" s="25"/>
      <c r="C71" s="25"/>
      <c r="D71" s="25"/>
      <c r="E71" s="25"/>
      <c r="F71" s="16"/>
      <c r="H71" s="29"/>
      <c r="I71" s="29"/>
      <c r="J71" s="29"/>
      <c r="K71" s="29"/>
      <c r="L71" s="29"/>
      <c r="M71" s="29"/>
      <c r="N71" s="29"/>
      <c r="O71" s="29"/>
      <c r="P71" s="29"/>
      <c r="Q71" s="29"/>
      <c r="R71" s="38"/>
    </row>
    <row r="72" spans="1:79">
      <c r="A72" s="5"/>
      <c r="B72" s="25" t="s">
        <v>102</v>
      </c>
      <c r="C72" s="25" t="s">
        <v>47</v>
      </c>
      <c r="D72" s="25" t="s">
        <v>103</v>
      </c>
      <c r="E72" s="25"/>
      <c r="F72" s="335" t="s">
        <v>104</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c r="A73" s="5"/>
      <c r="B73" s="25"/>
      <c r="C73" s="25"/>
      <c r="D73" s="25"/>
      <c r="E73" s="25"/>
      <c r="F73" s="16"/>
      <c r="H73" s="29"/>
      <c r="I73" s="29"/>
      <c r="J73" s="29"/>
      <c r="K73" s="29"/>
      <c r="L73" s="29"/>
      <c r="M73" s="29"/>
      <c r="N73" s="29"/>
      <c r="O73" s="29"/>
      <c r="P73" s="29"/>
      <c r="Q73" s="29"/>
      <c r="R73" s="38"/>
    </row>
    <row r="74" spans="1:79">
      <c r="A74" s="5"/>
      <c r="B74" s="25" t="s">
        <v>113</v>
      </c>
      <c r="C74" s="25" t="s">
        <v>47</v>
      </c>
      <c r="D74" s="65"/>
      <c r="E74" s="65"/>
      <c r="F74" s="63"/>
      <c r="G74" s="66"/>
      <c r="H74" s="35"/>
      <c r="I74" s="35"/>
      <c r="J74" s="35"/>
      <c r="K74" s="35"/>
      <c r="L74" s="35"/>
      <c r="M74" s="35"/>
      <c r="N74" s="35"/>
      <c r="O74" s="35"/>
      <c r="P74" s="35"/>
      <c r="Q74" s="35"/>
      <c r="R74" s="38"/>
    </row>
    <row r="75" spans="1:79">
      <c r="A75" s="5"/>
      <c r="B75" s="25"/>
      <c r="C75" s="25"/>
      <c r="D75" s="25"/>
      <c r="E75" s="25"/>
      <c r="F75" s="16"/>
      <c r="H75" s="29"/>
      <c r="I75" s="29"/>
      <c r="J75" s="29"/>
      <c r="K75" s="29"/>
      <c r="L75" s="29"/>
      <c r="M75" s="29"/>
      <c r="N75" s="29"/>
      <c r="O75" s="29"/>
      <c r="P75" s="29"/>
      <c r="Q75" s="29"/>
      <c r="R75" s="38"/>
    </row>
    <row r="76" spans="1:79">
      <c r="A76" s="5"/>
      <c r="B76" s="25"/>
      <c r="C76" s="25"/>
      <c r="D76" s="25"/>
      <c r="E76" s="25"/>
      <c r="F76" s="16"/>
      <c r="H76" s="29"/>
      <c r="I76" s="29"/>
      <c r="J76" s="29"/>
      <c r="K76" s="29"/>
      <c r="L76" s="29"/>
      <c r="M76" s="29"/>
      <c r="N76" s="29"/>
      <c r="O76" s="29"/>
      <c r="P76" s="29"/>
      <c r="Q76" s="29"/>
      <c r="R76" s="38"/>
    </row>
    <row r="77" spans="1:79">
      <c r="A77" s="5"/>
      <c r="B77" s="25"/>
      <c r="C77" s="25"/>
      <c r="D77" s="25"/>
      <c r="E77" s="25"/>
      <c r="F77" s="16"/>
      <c r="H77" s="29"/>
      <c r="I77" s="29"/>
      <c r="J77" s="29"/>
      <c r="K77" s="29"/>
      <c r="L77" s="29"/>
      <c r="M77" s="29"/>
      <c r="N77" s="29"/>
      <c r="O77" s="29"/>
      <c r="P77" s="29"/>
      <c r="Q77" s="29"/>
      <c r="R77" s="38"/>
    </row>
    <row r="78" spans="1:79">
      <c r="A78" s="5"/>
      <c r="B78" s="25"/>
      <c r="C78" s="25"/>
      <c r="D78" s="25"/>
      <c r="E78" s="25"/>
      <c r="F78" s="16"/>
      <c r="H78" s="29"/>
      <c r="I78" s="29"/>
      <c r="J78" s="29"/>
      <c r="K78" s="29"/>
      <c r="L78" s="29"/>
      <c r="M78" s="29"/>
      <c r="N78" s="29"/>
      <c r="O78" s="29"/>
      <c r="P78" s="29"/>
      <c r="Q78" s="29"/>
      <c r="R78" s="38"/>
    </row>
    <row r="79" spans="1:79">
      <c r="A79" s="5"/>
      <c r="B79" s="25"/>
      <c r="C79" s="25"/>
      <c r="D79" s="25"/>
      <c r="E79" s="25"/>
      <c r="F79" s="16"/>
      <c r="H79" s="29"/>
      <c r="I79" s="29"/>
      <c r="J79" s="29"/>
      <c r="K79" s="29"/>
      <c r="L79" s="29"/>
      <c r="M79" s="29"/>
      <c r="N79" s="29"/>
      <c r="O79" s="29"/>
      <c r="P79" s="29"/>
      <c r="Q79" s="29"/>
      <c r="R79" s="38"/>
    </row>
    <row r="80" spans="1:79">
      <c r="A80" s="5"/>
      <c r="B80" s="25"/>
      <c r="C80" s="25"/>
      <c r="D80" s="25"/>
      <c r="E80" s="25"/>
      <c r="F80" s="16"/>
      <c r="H80" s="29"/>
      <c r="I80" s="29"/>
      <c r="J80" s="29"/>
      <c r="K80" s="29"/>
      <c r="L80" s="29"/>
      <c r="M80" s="29"/>
      <c r="N80" s="29"/>
      <c r="O80" s="29"/>
      <c r="P80" s="29"/>
      <c r="Q80" s="29"/>
      <c r="R80" s="38"/>
    </row>
    <row r="81" spans="1:18">
      <c r="A81" s="5"/>
      <c r="B81" s="25"/>
      <c r="C81" s="25"/>
      <c r="D81" s="25"/>
      <c r="E81" s="25"/>
      <c r="F81" s="16"/>
      <c r="H81" s="29"/>
      <c r="I81" s="29"/>
      <c r="J81" s="29"/>
      <c r="K81" s="29"/>
      <c r="L81" s="29"/>
      <c r="M81" s="29"/>
      <c r="N81" s="29"/>
      <c r="O81" s="29"/>
      <c r="P81" s="29"/>
      <c r="Q81" s="29"/>
      <c r="R81" s="38"/>
    </row>
    <row r="82" spans="1:18">
      <c r="A82" s="5"/>
      <c r="B82" s="25"/>
      <c r="C82" s="25"/>
      <c r="D82" s="25"/>
      <c r="E82" s="25"/>
      <c r="F82" s="16"/>
      <c r="H82" s="29"/>
      <c r="I82" s="29"/>
      <c r="J82" s="29"/>
      <c r="K82" s="29"/>
      <c r="L82" s="29"/>
      <c r="M82" s="29"/>
      <c r="N82" s="29"/>
      <c r="O82" s="29"/>
      <c r="P82" s="29"/>
      <c r="Q82" s="29"/>
      <c r="R82" s="38"/>
    </row>
    <row r="83" spans="1:18">
      <c r="A83" s="5"/>
      <c r="B83" s="25"/>
      <c r="C83" s="25"/>
      <c r="D83" s="25"/>
      <c r="E83" s="25"/>
      <c r="F83" s="16"/>
      <c r="H83" s="29"/>
      <c r="I83" s="29"/>
      <c r="J83" s="29"/>
      <c r="K83" s="29"/>
      <c r="L83" s="29"/>
      <c r="M83" s="29"/>
      <c r="N83" s="29"/>
      <c r="O83" s="29"/>
      <c r="P83" s="29"/>
      <c r="Q83" s="29"/>
      <c r="R83" s="38"/>
    </row>
    <row r="84" spans="1:18">
      <c r="A84" s="5"/>
      <c r="B84" s="25"/>
      <c r="C84" s="25"/>
      <c r="D84" s="25"/>
      <c r="E84" s="25"/>
      <c r="F84" s="16"/>
      <c r="H84" s="29"/>
      <c r="I84" s="29"/>
      <c r="J84" s="29"/>
      <c r="K84" s="29"/>
      <c r="L84" s="29"/>
      <c r="M84" s="29"/>
      <c r="N84" s="29"/>
      <c r="O84" s="29"/>
      <c r="P84" s="29"/>
      <c r="Q84" s="29"/>
      <c r="R84" s="38"/>
    </row>
    <row r="85" spans="1:18">
      <c r="A85" s="5"/>
      <c r="B85" s="25"/>
      <c r="C85" s="25"/>
      <c r="D85" s="25"/>
      <c r="E85" s="25"/>
      <c r="F85" s="16"/>
      <c r="H85" s="29"/>
      <c r="I85" s="29"/>
      <c r="J85" s="29"/>
      <c r="K85" s="29"/>
      <c r="L85" s="29"/>
      <c r="M85" s="29"/>
      <c r="N85" s="29"/>
      <c r="O85" s="29"/>
      <c r="P85" s="29"/>
      <c r="Q85" s="29"/>
      <c r="R85" s="38"/>
    </row>
    <row r="86" spans="1:18">
      <c r="A86" s="5"/>
      <c r="B86" s="25"/>
      <c r="C86" s="25"/>
      <c r="D86" s="25"/>
      <c r="E86" s="25"/>
      <c r="F86" s="16"/>
      <c r="H86" s="29"/>
      <c r="I86" s="29"/>
      <c r="J86" s="29"/>
      <c r="K86" s="29"/>
      <c r="L86" s="29"/>
      <c r="M86" s="29"/>
      <c r="N86" s="29"/>
      <c r="O86" s="29"/>
      <c r="P86" s="29"/>
      <c r="Q86" s="29"/>
      <c r="R86" s="38"/>
    </row>
    <row r="87" spans="1:18">
      <c r="A87" s="5"/>
      <c r="B87" s="25"/>
      <c r="C87" s="25"/>
      <c r="D87" s="25"/>
      <c r="E87" s="25"/>
      <c r="F87" s="16"/>
      <c r="H87" s="29"/>
      <c r="I87" s="29"/>
      <c r="J87" s="29"/>
      <c r="K87" s="29"/>
      <c r="L87" s="29"/>
      <c r="M87" s="29"/>
      <c r="N87" s="29"/>
      <c r="O87" s="29"/>
      <c r="P87" s="29"/>
      <c r="Q87" s="29"/>
      <c r="R87" s="38"/>
    </row>
    <row r="88" spans="1:18">
      <c r="A88" s="5"/>
      <c r="B88" s="25"/>
      <c r="C88" s="25"/>
      <c r="D88" s="25"/>
      <c r="E88" s="25"/>
      <c r="F88" s="16"/>
      <c r="H88" s="29"/>
      <c r="I88" s="29"/>
      <c r="J88" s="29"/>
      <c r="K88" s="29"/>
      <c r="L88" s="29"/>
      <c r="M88" s="29"/>
      <c r="N88" s="29"/>
      <c r="O88" s="29"/>
      <c r="P88" s="29"/>
      <c r="Q88" s="29"/>
      <c r="R88" s="38"/>
    </row>
    <row r="89" spans="1:18">
      <c r="A89" s="5"/>
      <c r="B89" s="25"/>
      <c r="C89" s="25"/>
      <c r="D89" s="25"/>
      <c r="E89" s="25"/>
      <c r="F89" s="16"/>
      <c r="H89" s="29"/>
      <c r="I89" s="29"/>
      <c r="J89" s="29"/>
      <c r="K89" s="29"/>
      <c r="L89" s="29"/>
      <c r="M89" s="29"/>
      <c r="N89" s="29"/>
      <c r="O89" s="29"/>
      <c r="P89" s="29"/>
      <c r="Q89" s="29"/>
      <c r="R89" s="38"/>
    </row>
    <row r="90" spans="1:18">
      <c r="A90" s="5"/>
      <c r="B90" s="25"/>
      <c r="C90" s="25"/>
      <c r="D90" s="25"/>
      <c r="E90" s="25"/>
      <c r="F90" s="16"/>
      <c r="H90" s="29"/>
      <c r="I90" s="29"/>
      <c r="J90" s="29"/>
      <c r="K90" s="29"/>
      <c r="L90" s="29"/>
      <c r="M90" s="29"/>
      <c r="N90" s="29"/>
      <c r="O90" s="29"/>
      <c r="P90" s="29"/>
      <c r="Q90" s="29"/>
      <c r="R90" s="38"/>
    </row>
    <row r="91" spans="1:18">
      <c r="A91" s="5"/>
      <c r="B91" s="25"/>
      <c r="C91" s="25"/>
      <c r="D91" s="25"/>
      <c r="E91" s="25"/>
      <c r="F91" s="16"/>
      <c r="H91" s="29"/>
      <c r="I91" s="29"/>
      <c r="J91" s="29"/>
      <c r="K91" s="29"/>
      <c r="L91" s="29"/>
      <c r="M91" s="29"/>
      <c r="N91" s="29"/>
      <c r="O91" s="29"/>
      <c r="P91" s="29"/>
      <c r="Q91" s="29"/>
      <c r="R91" s="38"/>
    </row>
    <row r="92" spans="1:18">
      <c r="A92" s="5"/>
      <c r="B92" s="25"/>
      <c r="C92" s="25"/>
      <c r="D92" s="25"/>
      <c r="E92" s="25"/>
      <c r="F92" s="16"/>
      <c r="H92" s="29"/>
      <c r="I92" s="29"/>
      <c r="J92" s="29"/>
      <c r="K92" s="29"/>
      <c r="L92" s="29"/>
      <c r="M92" s="29"/>
      <c r="N92" s="29"/>
      <c r="O92" s="29"/>
      <c r="P92" s="29"/>
      <c r="Q92" s="29"/>
      <c r="R92" s="38"/>
    </row>
    <row r="93" spans="1:18">
      <c r="A93" s="5"/>
      <c r="B93" s="25"/>
      <c r="C93" s="25"/>
      <c r="D93" s="25"/>
      <c r="E93" s="25"/>
      <c r="F93" s="16"/>
      <c r="H93" s="29"/>
      <c r="I93" s="29"/>
      <c r="J93" s="29"/>
      <c r="K93" s="29"/>
      <c r="L93" s="29"/>
      <c r="M93" s="29"/>
      <c r="N93" s="29"/>
      <c r="O93" s="29"/>
      <c r="P93" s="29"/>
      <c r="Q93" s="29"/>
      <c r="R93" s="38"/>
    </row>
    <row r="94" spans="1:18">
      <c r="A94" s="5"/>
      <c r="B94" s="25"/>
      <c r="C94" s="25"/>
      <c r="D94" s="25"/>
      <c r="E94" s="25"/>
      <c r="F94" s="16"/>
      <c r="H94" s="29"/>
      <c r="I94" s="29"/>
      <c r="J94" s="29"/>
      <c r="K94" s="29"/>
      <c r="L94" s="29"/>
      <c r="M94" s="29"/>
      <c r="N94" s="29"/>
      <c r="O94" s="29"/>
      <c r="P94" s="29"/>
      <c r="Q94" s="29"/>
      <c r="R94" s="38"/>
    </row>
    <row r="95" spans="1:18">
      <c r="A95" s="5"/>
      <c r="B95" s="25"/>
      <c r="C95" s="25"/>
      <c r="D95" s="25"/>
      <c r="E95" s="25"/>
      <c r="F95" s="16"/>
      <c r="H95" s="29"/>
      <c r="I95" s="29"/>
      <c r="J95" s="29"/>
      <c r="K95" s="29"/>
      <c r="L95" s="29"/>
      <c r="M95" s="29"/>
      <c r="N95" s="29"/>
      <c r="O95" s="29"/>
      <c r="P95" s="29"/>
      <c r="Q95" s="29"/>
      <c r="R95" s="38"/>
    </row>
    <row r="96" spans="1:18">
      <c r="A96" s="5"/>
      <c r="B96" s="25"/>
      <c r="C96" s="25"/>
      <c r="D96" s="25"/>
      <c r="E96" s="25"/>
      <c r="F96" s="16"/>
      <c r="H96" s="29"/>
      <c r="I96" s="29"/>
      <c r="J96" s="29"/>
      <c r="K96" s="29"/>
      <c r="L96" s="29"/>
      <c r="M96" s="29"/>
      <c r="N96" s="29"/>
      <c r="O96" s="29"/>
      <c r="P96" s="29"/>
      <c r="Q96" s="29"/>
      <c r="R96" s="38"/>
    </row>
    <row r="97" spans="1:18">
      <c r="A97" s="5"/>
      <c r="B97" s="25"/>
      <c r="C97" s="25"/>
      <c r="D97" s="25"/>
      <c r="E97" s="25"/>
      <c r="F97" s="16"/>
      <c r="H97" s="29"/>
      <c r="I97" s="29"/>
      <c r="J97" s="29"/>
      <c r="K97" s="29"/>
      <c r="L97" s="29"/>
      <c r="M97" s="29"/>
      <c r="N97" s="29"/>
      <c r="O97" s="29"/>
      <c r="P97" s="29"/>
      <c r="Q97" s="29"/>
      <c r="R97" s="38"/>
    </row>
    <row r="98" spans="1:18">
      <c r="A98" s="5"/>
      <c r="B98" s="25"/>
      <c r="C98" s="25"/>
      <c r="D98" s="25"/>
      <c r="E98" s="25"/>
      <c r="F98" s="16"/>
      <c r="H98" s="29"/>
      <c r="I98" s="29"/>
      <c r="J98" s="29"/>
      <c r="K98" s="29"/>
      <c r="L98" s="29"/>
      <c r="M98" s="29"/>
      <c r="N98" s="29"/>
      <c r="O98" s="29"/>
      <c r="P98" s="29"/>
      <c r="Q98" s="29"/>
      <c r="R98" s="38"/>
    </row>
    <row r="99" spans="1:18">
      <c r="A99" s="5"/>
      <c r="B99" s="25"/>
      <c r="C99" s="25"/>
      <c r="D99" s="25"/>
      <c r="E99" s="25"/>
      <c r="F99" s="16"/>
      <c r="H99" s="29"/>
      <c r="I99" s="29"/>
      <c r="J99" s="29"/>
      <c r="K99" s="29"/>
      <c r="L99" s="29"/>
      <c r="M99" s="29"/>
      <c r="N99" s="29"/>
      <c r="O99" s="29"/>
      <c r="P99" s="29"/>
      <c r="Q99" s="29"/>
      <c r="R99" s="38"/>
    </row>
    <row r="100" spans="1:18">
      <c r="A100" s="5"/>
      <c r="B100" s="25"/>
      <c r="C100" s="25"/>
      <c r="D100" s="25"/>
      <c r="E100" s="25"/>
      <c r="F100" s="16"/>
      <c r="H100" s="29"/>
      <c r="I100" s="29"/>
      <c r="J100" s="29"/>
      <c r="K100" s="29"/>
      <c r="L100" s="29"/>
      <c r="M100" s="29"/>
      <c r="N100" s="29"/>
      <c r="O100" s="29"/>
      <c r="P100" s="29"/>
      <c r="Q100" s="29"/>
      <c r="R100" s="38"/>
    </row>
    <row r="101" spans="1:18">
      <c r="A101" s="5"/>
      <c r="B101" s="25"/>
      <c r="C101" s="25"/>
      <c r="D101" s="25"/>
      <c r="E101" s="25"/>
      <c r="F101" s="16"/>
      <c r="H101" s="29"/>
      <c r="I101" s="29"/>
      <c r="J101" s="29"/>
      <c r="K101" s="29"/>
      <c r="L101" s="29"/>
      <c r="M101" s="29"/>
      <c r="N101" s="29"/>
      <c r="O101" s="29"/>
      <c r="P101" s="29"/>
      <c r="Q101" s="29"/>
      <c r="R101" s="38"/>
    </row>
    <row r="102" spans="1:18">
      <c r="A102" s="5"/>
      <c r="B102" s="25"/>
      <c r="C102" s="25"/>
      <c r="D102" s="25"/>
      <c r="E102" s="25"/>
      <c r="F102" s="16"/>
      <c r="H102" s="29"/>
      <c r="I102" s="29"/>
      <c r="J102" s="29"/>
      <c r="K102" s="29"/>
      <c r="L102" s="29"/>
      <c r="M102" s="29"/>
      <c r="N102" s="29"/>
      <c r="O102" s="29"/>
      <c r="P102" s="29"/>
      <c r="Q102" s="29"/>
      <c r="R102" s="38"/>
    </row>
    <row r="103" spans="1:18">
      <c r="A103" s="5"/>
      <c r="B103" s="25"/>
      <c r="C103" s="25"/>
      <c r="D103" s="25"/>
      <c r="E103" s="25"/>
      <c r="F103" s="16"/>
      <c r="H103" s="29"/>
      <c r="I103" s="29"/>
      <c r="J103" s="29"/>
      <c r="K103" s="29"/>
      <c r="L103" s="29"/>
      <c r="M103" s="29"/>
      <c r="N103" s="29"/>
      <c r="O103" s="29"/>
      <c r="P103" s="29"/>
      <c r="Q103" s="29"/>
      <c r="R103" s="38"/>
    </row>
    <row r="104" spans="1:18">
      <c r="A104" s="5"/>
      <c r="B104" s="25"/>
      <c r="C104" s="25"/>
      <c r="D104" s="25"/>
      <c r="E104" s="25"/>
      <c r="F104" s="16"/>
      <c r="H104" s="29"/>
      <c r="I104" s="29"/>
      <c r="J104" s="29"/>
      <c r="K104" s="29"/>
      <c r="L104" s="29"/>
      <c r="M104" s="29"/>
      <c r="N104" s="29"/>
      <c r="O104" s="29"/>
      <c r="P104" s="29"/>
      <c r="Q104" s="29"/>
      <c r="R104" s="38"/>
    </row>
    <row r="105" spans="1:18">
      <c r="A105" s="5"/>
      <c r="B105" s="25"/>
      <c r="C105" s="25"/>
      <c r="D105" s="25"/>
      <c r="E105" s="25"/>
      <c r="F105" s="16"/>
      <c r="H105" s="29"/>
      <c r="I105" s="29"/>
      <c r="J105" s="29"/>
      <c r="K105" s="29"/>
      <c r="L105" s="29"/>
      <c r="M105" s="29"/>
      <c r="N105" s="29"/>
      <c r="O105" s="29"/>
      <c r="P105" s="29"/>
      <c r="Q105" s="29"/>
      <c r="R105" s="38"/>
    </row>
    <row r="106" spans="1:18">
      <c r="A106" s="5"/>
      <c r="B106" s="25"/>
      <c r="C106" s="25"/>
      <c r="D106" s="25"/>
      <c r="E106" s="25"/>
      <c r="F106" s="16"/>
      <c r="H106" s="29"/>
      <c r="I106" s="29"/>
      <c r="J106" s="29"/>
      <c r="K106" s="29"/>
      <c r="L106" s="29"/>
      <c r="M106" s="29"/>
      <c r="N106" s="29"/>
      <c r="O106" s="29"/>
      <c r="P106" s="29"/>
      <c r="Q106" s="29"/>
      <c r="R106" s="38"/>
    </row>
    <row r="107" spans="1:18">
      <c r="A107" s="5"/>
      <c r="B107" s="25"/>
      <c r="C107" s="25"/>
      <c r="D107" s="25"/>
      <c r="E107" s="25"/>
      <c r="F107" s="16"/>
      <c r="H107" s="29"/>
      <c r="I107" s="29"/>
      <c r="J107" s="29"/>
      <c r="K107" s="29"/>
      <c r="L107" s="29"/>
      <c r="M107" s="29"/>
      <c r="N107" s="29"/>
      <c r="O107" s="29"/>
      <c r="P107" s="29"/>
      <c r="Q107" s="29"/>
      <c r="R107" s="38"/>
    </row>
    <row r="108" spans="1:18">
      <c r="A108" s="5"/>
      <c r="B108" s="25"/>
      <c r="C108" s="25"/>
      <c r="D108" s="25"/>
      <c r="E108" s="25"/>
      <c r="F108" s="16"/>
      <c r="H108" s="29"/>
      <c r="I108" s="29"/>
      <c r="J108" s="29"/>
      <c r="K108" s="29"/>
      <c r="L108" s="29"/>
      <c r="M108" s="29"/>
      <c r="N108" s="29"/>
      <c r="O108" s="29"/>
      <c r="P108" s="29"/>
      <c r="Q108" s="29"/>
      <c r="R108" s="38"/>
    </row>
    <row r="109" spans="1:18">
      <c r="A109" s="5"/>
      <c r="B109" s="25"/>
      <c r="C109" s="25"/>
      <c r="D109" s="25"/>
      <c r="E109" s="25"/>
      <c r="F109" s="16"/>
      <c r="H109" s="29"/>
      <c r="I109" s="29"/>
      <c r="J109" s="29"/>
      <c r="K109" s="29"/>
      <c r="L109" s="29"/>
      <c r="M109" s="29"/>
      <c r="N109" s="29"/>
      <c r="O109" s="29"/>
      <c r="P109" s="29"/>
      <c r="Q109" s="29"/>
      <c r="R109" s="38"/>
    </row>
    <row r="110" spans="1:18">
      <c r="A110" s="5"/>
      <c r="B110" s="25"/>
      <c r="C110" s="25"/>
      <c r="D110" s="25"/>
      <c r="E110" s="25"/>
      <c r="F110" s="16"/>
      <c r="H110" s="29"/>
      <c r="I110" s="29"/>
      <c r="J110" s="29"/>
      <c r="K110" s="29"/>
      <c r="L110" s="29"/>
      <c r="M110" s="29"/>
      <c r="N110" s="29"/>
      <c r="O110" s="29"/>
      <c r="P110" s="29"/>
      <c r="Q110" s="29"/>
      <c r="R110" s="38"/>
    </row>
    <row r="111" spans="1:18">
      <c r="A111" s="5"/>
      <c r="B111" s="25"/>
      <c r="C111" s="25"/>
      <c r="D111" s="25"/>
      <c r="E111" s="25"/>
      <c r="F111" s="16"/>
      <c r="H111" s="29"/>
      <c r="I111" s="29"/>
      <c r="J111" s="29"/>
      <c r="K111" s="29"/>
      <c r="L111" s="29"/>
      <c r="M111" s="29"/>
      <c r="N111" s="29"/>
      <c r="O111" s="29"/>
      <c r="P111" s="29"/>
      <c r="Q111" s="29"/>
      <c r="R111" s="38"/>
    </row>
    <row r="112" spans="1:18">
      <c r="A112" s="5"/>
      <c r="B112" s="25"/>
      <c r="C112" s="25"/>
      <c r="D112" s="25"/>
      <c r="E112" s="25"/>
      <c r="F112" s="16"/>
      <c r="H112" s="29"/>
      <c r="I112" s="29"/>
      <c r="J112" s="29"/>
      <c r="K112" s="29"/>
      <c r="L112" s="29"/>
      <c r="M112" s="29"/>
      <c r="N112" s="29"/>
      <c r="O112" s="29"/>
      <c r="P112" s="29"/>
      <c r="Q112" s="29"/>
      <c r="R112" s="38"/>
    </row>
    <row r="113" spans="1:18">
      <c r="A113" s="5"/>
      <c r="B113" s="25"/>
      <c r="C113" s="25"/>
      <c r="D113" s="25"/>
      <c r="E113" s="25"/>
      <c r="F113" s="16"/>
      <c r="H113" s="29"/>
      <c r="I113" s="29"/>
      <c r="J113" s="29"/>
      <c r="K113" s="29"/>
      <c r="L113" s="29"/>
      <c r="M113" s="29"/>
      <c r="N113" s="29"/>
      <c r="O113" s="29"/>
      <c r="P113" s="29"/>
      <c r="Q113" s="29"/>
      <c r="R113" s="38"/>
    </row>
    <row r="114" spans="1:18">
      <c r="A114" s="5"/>
      <c r="B114" s="25"/>
      <c r="C114" s="25"/>
      <c r="D114" s="25"/>
      <c r="E114" s="25"/>
      <c r="F114" s="16"/>
      <c r="H114" s="29"/>
      <c r="I114" s="29"/>
      <c r="J114" s="29"/>
      <c r="K114" s="29"/>
      <c r="L114" s="29"/>
      <c r="M114" s="29"/>
      <c r="N114" s="29"/>
      <c r="O114" s="29"/>
      <c r="P114" s="29"/>
      <c r="Q114" s="29"/>
      <c r="R114" s="38"/>
    </row>
    <row r="115" spans="1:18">
      <c r="A115" s="5"/>
      <c r="B115" s="25"/>
      <c r="C115" s="25"/>
      <c r="D115" s="25"/>
      <c r="E115" s="25"/>
      <c r="F115" s="16"/>
      <c r="H115" s="29"/>
      <c r="I115" s="29"/>
      <c r="J115" s="29"/>
      <c r="K115" s="29"/>
      <c r="L115" s="29"/>
      <c r="M115" s="29"/>
      <c r="N115" s="29"/>
      <c r="O115" s="29"/>
      <c r="P115" s="29"/>
      <c r="Q115" s="29"/>
      <c r="R115" s="38"/>
    </row>
    <row r="116" spans="1:18">
      <c r="A116" s="5"/>
      <c r="B116" s="25"/>
      <c r="C116" s="25"/>
      <c r="D116" s="25"/>
      <c r="E116" s="25"/>
      <c r="F116" s="16"/>
      <c r="H116" s="29"/>
      <c r="I116" s="29"/>
      <c r="J116" s="29"/>
      <c r="K116" s="29"/>
      <c r="L116" s="29"/>
      <c r="M116" s="29"/>
      <c r="N116" s="29"/>
      <c r="O116" s="29"/>
      <c r="P116" s="29"/>
      <c r="Q116" s="29"/>
      <c r="R116" s="38"/>
    </row>
    <row r="117" spans="1:18">
      <c r="A117" s="5"/>
      <c r="B117" s="25"/>
      <c r="C117" s="25"/>
      <c r="D117" s="25"/>
      <c r="E117" s="25"/>
      <c r="F117" s="16"/>
      <c r="H117" s="29"/>
      <c r="I117" s="29"/>
      <c r="J117" s="29"/>
      <c r="K117" s="29"/>
      <c r="L117" s="29"/>
      <c r="M117" s="29"/>
      <c r="N117" s="29"/>
      <c r="O117" s="29"/>
      <c r="P117" s="29"/>
      <c r="Q117" s="29"/>
      <c r="R117" s="38"/>
    </row>
    <row r="118" spans="1:18">
      <c r="A118" s="5"/>
      <c r="B118" s="25"/>
      <c r="C118" s="25"/>
      <c r="D118" s="25"/>
      <c r="E118" s="25"/>
      <c r="F118" s="16"/>
      <c r="H118" s="29"/>
      <c r="I118" s="29"/>
      <c r="J118" s="29"/>
      <c r="K118" s="29"/>
      <c r="L118" s="29"/>
      <c r="M118" s="29"/>
      <c r="N118" s="29"/>
      <c r="O118" s="29"/>
      <c r="P118" s="29"/>
      <c r="Q118" s="29"/>
      <c r="R118" s="38"/>
    </row>
    <row r="119" spans="1:18">
      <c r="A119" s="5"/>
      <c r="B119" s="25"/>
      <c r="C119" s="25"/>
      <c r="D119" s="25"/>
      <c r="E119" s="25"/>
      <c r="F119" s="16"/>
      <c r="H119" s="29"/>
      <c r="I119" s="29"/>
      <c r="J119" s="29"/>
      <c r="K119" s="29"/>
      <c r="L119" s="29"/>
      <c r="M119" s="29"/>
      <c r="N119" s="29"/>
      <c r="O119" s="29"/>
      <c r="P119" s="29"/>
      <c r="Q119" s="29"/>
      <c r="R119" s="38"/>
    </row>
    <row r="120" spans="1:18">
      <c r="A120" s="5"/>
      <c r="B120" s="25"/>
      <c r="C120" s="25"/>
      <c r="D120" s="25"/>
      <c r="E120" s="25"/>
      <c r="F120" s="16"/>
      <c r="H120" s="29"/>
      <c r="I120" s="29"/>
      <c r="J120" s="29"/>
      <c r="K120" s="29"/>
      <c r="L120" s="29"/>
      <c r="M120" s="29"/>
      <c r="N120" s="29"/>
      <c r="O120" s="29"/>
      <c r="P120" s="29"/>
      <c r="Q120" s="29"/>
      <c r="R120" s="38"/>
    </row>
    <row r="121" spans="1:18">
      <c r="A121" s="5"/>
      <c r="B121" s="25"/>
      <c r="C121" s="25"/>
      <c r="D121" s="25"/>
      <c r="E121" s="25"/>
      <c r="F121" s="16"/>
      <c r="H121" s="29"/>
      <c r="I121" s="29"/>
      <c r="J121" s="29"/>
      <c r="K121" s="29"/>
      <c r="L121" s="29"/>
      <c r="M121" s="29"/>
      <c r="N121" s="29"/>
      <c r="O121" s="29"/>
      <c r="P121" s="29"/>
      <c r="Q121" s="29"/>
      <c r="R121" s="38"/>
    </row>
    <row r="122" spans="1:18">
      <c r="A122" s="5"/>
      <c r="B122" s="25"/>
      <c r="C122" s="25"/>
      <c r="D122" s="25"/>
      <c r="E122" s="25"/>
      <c r="F122" s="16"/>
      <c r="H122" s="29"/>
      <c r="I122" s="29"/>
      <c r="J122" s="29"/>
      <c r="K122" s="29"/>
      <c r="L122" s="29"/>
      <c r="M122" s="29"/>
      <c r="N122" s="29"/>
      <c r="O122" s="29"/>
      <c r="P122" s="29"/>
      <c r="Q122" s="29"/>
      <c r="R122" s="38"/>
    </row>
    <row r="123" spans="1:18">
      <c r="A123" s="5"/>
      <c r="B123" s="25"/>
      <c r="C123" s="25"/>
      <c r="D123" s="25"/>
      <c r="E123" s="25"/>
      <c r="F123" s="16"/>
      <c r="H123" s="29"/>
      <c r="I123" s="29"/>
      <c r="J123" s="29"/>
      <c r="K123" s="29"/>
      <c r="L123" s="29"/>
      <c r="M123" s="29"/>
      <c r="N123" s="29"/>
      <c r="O123" s="29"/>
      <c r="P123" s="29"/>
      <c r="Q123" s="29"/>
      <c r="R123" s="38"/>
    </row>
    <row r="124" spans="1:18">
      <c r="A124" s="5"/>
      <c r="B124" s="25"/>
      <c r="C124" s="25"/>
      <c r="D124" s="25"/>
      <c r="E124" s="25"/>
      <c r="F124" s="16"/>
      <c r="H124" s="29"/>
      <c r="I124" s="29"/>
      <c r="J124" s="29"/>
      <c r="K124" s="29"/>
      <c r="L124" s="29"/>
      <c r="M124" s="29"/>
      <c r="N124" s="29"/>
      <c r="O124" s="29"/>
      <c r="P124" s="29"/>
      <c r="Q124" s="29"/>
      <c r="R124" s="38"/>
    </row>
    <row r="125" spans="1:18">
      <c r="A125" s="5"/>
      <c r="B125" s="25"/>
      <c r="C125" s="25"/>
      <c r="D125" s="25"/>
      <c r="E125" s="25"/>
      <c r="F125" s="16"/>
      <c r="H125" s="29"/>
      <c r="I125" s="29"/>
      <c r="J125" s="29"/>
      <c r="K125" s="29"/>
      <c r="L125" s="29"/>
      <c r="M125" s="29"/>
      <c r="N125" s="29"/>
      <c r="O125" s="29"/>
      <c r="P125" s="29"/>
      <c r="Q125" s="29"/>
      <c r="R125" s="38"/>
    </row>
    <row r="126" spans="1:18">
      <c r="A126" s="5"/>
      <c r="B126" s="25"/>
      <c r="C126" s="25"/>
      <c r="D126" s="25"/>
      <c r="E126" s="25"/>
      <c r="F126" s="16"/>
      <c r="H126" s="29"/>
      <c r="I126" s="29"/>
      <c r="J126" s="29"/>
      <c r="K126" s="29"/>
      <c r="L126" s="29"/>
      <c r="M126" s="29"/>
      <c r="N126" s="29"/>
      <c r="O126" s="29"/>
      <c r="P126" s="29"/>
      <c r="Q126" s="29"/>
      <c r="R126" s="38"/>
    </row>
    <row r="127" spans="1:18">
      <c r="A127" s="5"/>
      <c r="B127" s="25"/>
      <c r="C127" s="25"/>
      <c r="D127" s="25"/>
      <c r="E127" s="25"/>
      <c r="F127" s="16"/>
      <c r="H127" s="29"/>
      <c r="I127" s="29"/>
      <c r="J127" s="29"/>
      <c r="K127" s="29"/>
      <c r="L127" s="29"/>
      <c r="M127" s="29"/>
      <c r="N127" s="29"/>
      <c r="O127" s="29"/>
      <c r="P127" s="29"/>
      <c r="Q127" s="29"/>
      <c r="R127" s="38"/>
    </row>
    <row r="128" spans="1:18">
      <c r="A128" s="5"/>
      <c r="B128" s="25"/>
      <c r="C128" s="25"/>
      <c r="D128" s="25"/>
      <c r="E128" s="25"/>
      <c r="F128" s="16"/>
      <c r="H128" s="29"/>
      <c r="I128" s="29"/>
      <c r="J128" s="29"/>
      <c r="K128" s="29"/>
      <c r="L128" s="29"/>
      <c r="M128" s="29"/>
      <c r="N128" s="29"/>
      <c r="O128" s="29"/>
      <c r="P128" s="29"/>
      <c r="Q128" s="29"/>
      <c r="R128" s="38"/>
    </row>
    <row r="129" spans="1:18">
      <c r="A129" s="5"/>
      <c r="B129" s="25"/>
      <c r="C129" s="25"/>
      <c r="D129" s="25"/>
      <c r="E129" s="25"/>
      <c r="F129" s="16"/>
      <c r="H129" s="29"/>
      <c r="I129" s="29"/>
      <c r="J129" s="29"/>
      <c r="K129" s="29"/>
      <c r="L129" s="29"/>
      <c r="M129" s="29"/>
      <c r="N129" s="29"/>
      <c r="O129" s="29"/>
      <c r="P129" s="29"/>
      <c r="Q129" s="29"/>
      <c r="R129" s="38"/>
    </row>
    <row r="130" spans="1:18">
      <c r="A130" s="5"/>
      <c r="B130" s="25"/>
      <c r="C130" s="25"/>
      <c r="D130" s="25"/>
      <c r="E130" s="25"/>
      <c r="F130" s="16"/>
      <c r="H130" s="29"/>
      <c r="I130" s="29"/>
      <c r="J130" s="29"/>
      <c r="K130" s="29"/>
      <c r="L130" s="29"/>
      <c r="M130" s="29"/>
      <c r="N130" s="29"/>
      <c r="O130" s="29"/>
      <c r="P130" s="29"/>
      <c r="Q130" s="29"/>
      <c r="R130" s="38"/>
    </row>
    <row r="131" spans="1:18">
      <c r="A131" s="5"/>
      <c r="B131" s="25"/>
      <c r="C131" s="25"/>
      <c r="D131" s="25"/>
      <c r="E131" s="25"/>
      <c r="F131" s="16"/>
      <c r="H131" s="29"/>
      <c r="I131" s="29"/>
      <c r="J131" s="29"/>
      <c r="K131" s="29"/>
      <c r="L131" s="29"/>
      <c r="M131" s="29"/>
      <c r="N131" s="29"/>
      <c r="O131" s="29"/>
      <c r="P131" s="29"/>
      <c r="Q131" s="29"/>
      <c r="R131" s="38"/>
    </row>
    <row r="132" spans="1:18">
      <c r="A132" s="5"/>
      <c r="B132" s="25"/>
      <c r="C132" s="25"/>
      <c r="D132" s="25"/>
      <c r="E132" s="25"/>
      <c r="F132" s="16"/>
      <c r="H132" s="29"/>
      <c r="I132" s="29"/>
      <c r="J132" s="29"/>
      <c r="K132" s="29"/>
      <c r="L132" s="29"/>
      <c r="M132" s="29"/>
      <c r="N132" s="29"/>
      <c r="O132" s="29"/>
      <c r="P132" s="29"/>
      <c r="Q132" s="29"/>
      <c r="R132" s="38"/>
    </row>
    <row r="133" spans="1:18">
      <c r="A133" s="5"/>
      <c r="B133" s="25"/>
      <c r="C133" s="25"/>
      <c r="D133" s="25"/>
      <c r="E133" s="25"/>
      <c r="F133" s="16"/>
      <c r="H133" s="29"/>
      <c r="I133" s="29"/>
      <c r="J133" s="29"/>
      <c r="K133" s="29"/>
      <c r="L133" s="29"/>
      <c r="M133" s="29"/>
      <c r="N133" s="29"/>
      <c r="O133" s="29"/>
      <c r="P133" s="29"/>
      <c r="Q133" s="29"/>
      <c r="R133" s="38"/>
    </row>
    <row r="134" spans="1:18">
      <c r="A134" s="5"/>
      <c r="B134" s="25"/>
      <c r="C134" s="25"/>
      <c r="D134" s="25"/>
      <c r="E134" s="25"/>
      <c r="F134" s="16"/>
      <c r="H134" s="29"/>
      <c r="I134" s="29"/>
      <c r="J134" s="29"/>
      <c r="K134" s="29"/>
      <c r="L134" s="29"/>
      <c r="M134" s="29"/>
      <c r="N134" s="29"/>
      <c r="O134" s="29"/>
      <c r="P134" s="29"/>
      <c r="Q134" s="29"/>
      <c r="R134" s="38"/>
    </row>
    <row r="135" spans="1:18">
      <c r="A135" s="5"/>
      <c r="B135" s="25"/>
      <c r="C135" s="25"/>
      <c r="D135" s="25"/>
      <c r="E135" s="25"/>
      <c r="F135" s="16"/>
      <c r="H135" s="29"/>
      <c r="I135" s="29"/>
      <c r="J135" s="29"/>
      <c r="K135" s="29"/>
      <c r="L135" s="29"/>
      <c r="M135" s="29"/>
      <c r="N135" s="29"/>
      <c r="O135" s="29"/>
      <c r="P135" s="29"/>
      <c r="Q135" s="29"/>
      <c r="R135" s="38"/>
    </row>
    <row r="136" spans="1:18">
      <c r="A136" s="5"/>
      <c r="B136" s="25"/>
      <c r="C136" s="25"/>
      <c r="D136" s="25"/>
      <c r="E136" s="25"/>
      <c r="F136" s="16"/>
      <c r="H136" s="29"/>
      <c r="I136" s="29"/>
      <c r="J136" s="29"/>
      <c r="K136" s="29"/>
      <c r="L136" s="29"/>
      <c r="M136" s="29"/>
      <c r="N136" s="29"/>
      <c r="O136" s="29"/>
      <c r="P136" s="29"/>
      <c r="Q136" s="29"/>
      <c r="R136" s="38"/>
    </row>
    <row r="137" spans="1:18">
      <c r="A137" s="5"/>
      <c r="B137" s="13"/>
      <c r="C137" s="13"/>
      <c r="D137" s="13"/>
      <c r="E137" s="13"/>
      <c r="F137" s="9"/>
      <c r="G137" s="29"/>
      <c r="H137" s="29"/>
      <c r="I137" s="29"/>
      <c r="J137" s="29"/>
      <c r="K137" s="29"/>
      <c r="L137" s="29"/>
      <c r="M137" s="29"/>
      <c r="N137" s="29"/>
      <c r="O137" s="29"/>
      <c r="P137" s="29"/>
      <c r="Q137" s="29"/>
      <c r="R137" s="38"/>
    </row>
    <row r="138" spans="1:18">
      <c r="A138" s="5"/>
      <c r="B138" s="13"/>
      <c r="C138" s="13"/>
      <c r="D138" s="13"/>
      <c r="E138" s="13"/>
      <c r="F138" s="9"/>
      <c r="G138" s="29"/>
      <c r="H138" s="29"/>
      <c r="I138" s="29"/>
      <c r="J138" s="29"/>
      <c r="K138" s="29"/>
      <c r="L138" s="29"/>
      <c r="M138" s="29"/>
      <c r="N138" s="29"/>
      <c r="O138" s="29"/>
      <c r="P138" s="29"/>
      <c r="Q138" s="29"/>
      <c r="R138" s="38"/>
    </row>
    <row r="139" spans="1:18">
      <c r="A139" s="5"/>
      <c r="B139" s="25"/>
      <c r="C139" s="25"/>
      <c r="D139" s="25"/>
      <c r="E139" s="25"/>
      <c r="F139" s="16"/>
      <c r="H139" s="29"/>
      <c r="I139" s="29"/>
      <c r="J139" s="29"/>
      <c r="K139" s="29"/>
      <c r="L139" s="29"/>
      <c r="M139" s="29"/>
      <c r="N139" s="29"/>
      <c r="O139" s="29"/>
      <c r="P139" s="29"/>
      <c r="Q139" s="29"/>
      <c r="R139" s="38"/>
    </row>
    <row r="140" spans="1:18">
      <c r="A140" s="5"/>
      <c r="B140" s="25"/>
      <c r="C140" s="25"/>
      <c r="D140" s="25"/>
      <c r="E140" s="25"/>
      <c r="F140" s="16"/>
      <c r="H140" s="29"/>
      <c r="I140" s="29"/>
      <c r="J140" s="29"/>
      <c r="K140" s="29"/>
      <c r="L140" s="29"/>
      <c r="M140" s="29"/>
      <c r="N140" s="29"/>
      <c r="O140" s="29"/>
      <c r="P140" s="29"/>
      <c r="Q140" s="29"/>
      <c r="R140" s="38"/>
    </row>
    <row r="141" spans="1:18">
      <c r="A141" s="5"/>
      <c r="B141" s="25"/>
      <c r="C141" s="25"/>
      <c r="D141" s="25"/>
      <c r="E141" s="25"/>
      <c r="F141" s="16"/>
      <c r="H141" s="29"/>
      <c r="I141" s="29"/>
      <c r="J141" s="29"/>
      <c r="K141" s="29"/>
      <c r="L141" s="29"/>
      <c r="M141" s="29"/>
      <c r="N141" s="29"/>
      <c r="O141" s="29"/>
      <c r="P141" s="29"/>
      <c r="Q141" s="29"/>
      <c r="R141" s="38"/>
    </row>
    <row r="142" spans="1:18">
      <c r="A142" s="5"/>
      <c r="B142" s="25"/>
      <c r="C142" s="25"/>
      <c r="D142" s="25"/>
      <c r="E142" s="25"/>
      <c r="F142" s="16"/>
      <c r="H142" s="29"/>
      <c r="I142" s="29"/>
      <c r="J142" s="29"/>
      <c r="K142" s="29"/>
      <c r="L142" s="29"/>
      <c r="M142" s="29"/>
      <c r="N142" s="29"/>
      <c r="O142" s="29"/>
      <c r="P142" s="29"/>
      <c r="Q142" s="29"/>
      <c r="R142" s="38"/>
    </row>
    <row r="143" spans="1:18">
      <c r="A143" s="5"/>
      <c r="B143" s="25"/>
      <c r="C143" s="25"/>
      <c r="D143" s="25"/>
      <c r="E143" s="25"/>
      <c r="F143" s="16"/>
      <c r="H143" s="29"/>
      <c r="I143" s="29"/>
      <c r="J143" s="29"/>
      <c r="K143" s="29"/>
      <c r="L143" s="29"/>
      <c r="M143" s="29"/>
      <c r="N143" s="29"/>
      <c r="O143" s="29"/>
      <c r="P143" s="29"/>
      <c r="Q143" s="29"/>
      <c r="R143" s="38"/>
    </row>
    <row r="144" spans="1:18">
      <c r="A144" s="5"/>
      <c r="B144" s="25"/>
      <c r="C144" s="25"/>
      <c r="D144" s="25"/>
      <c r="E144" s="25"/>
      <c r="F144" s="16"/>
      <c r="H144" s="29"/>
      <c r="I144" s="29"/>
      <c r="J144" s="29"/>
      <c r="K144" s="29"/>
      <c r="L144" s="29"/>
      <c r="M144" s="29"/>
      <c r="N144" s="29"/>
      <c r="O144" s="29"/>
      <c r="P144" s="29"/>
      <c r="Q144" s="29"/>
      <c r="R144" s="38"/>
    </row>
    <row r="145" spans="1:18">
      <c r="A145" s="5"/>
      <c r="B145" s="25"/>
      <c r="C145" s="25"/>
      <c r="D145" s="25"/>
      <c r="E145" s="25"/>
      <c r="F145" s="16"/>
      <c r="H145" s="29"/>
      <c r="I145" s="29"/>
      <c r="J145" s="29"/>
      <c r="K145" s="29"/>
      <c r="L145" s="29"/>
      <c r="M145" s="29"/>
      <c r="N145" s="29"/>
      <c r="O145" s="29"/>
      <c r="P145" s="29"/>
      <c r="Q145" s="29"/>
      <c r="R145" s="38"/>
    </row>
    <row r="146" spans="1:18">
      <c r="A146" s="5"/>
      <c r="B146" s="25"/>
      <c r="C146" s="25"/>
      <c r="D146" s="25"/>
      <c r="E146" s="25"/>
      <c r="F146" s="16"/>
      <c r="H146" s="29"/>
      <c r="I146" s="29"/>
      <c r="J146" s="29"/>
      <c r="K146" s="29"/>
      <c r="L146" s="29"/>
      <c r="M146" s="29"/>
      <c r="N146" s="29"/>
      <c r="O146" s="29"/>
      <c r="P146" s="29"/>
      <c r="Q146" s="29"/>
      <c r="R146" s="38"/>
    </row>
    <row r="147" spans="1:18">
      <c r="A147" s="5"/>
      <c r="B147" s="25"/>
      <c r="C147" s="25"/>
      <c r="D147" s="25"/>
      <c r="E147" s="25"/>
      <c r="F147" s="16"/>
      <c r="H147" s="29"/>
      <c r="I147" s="29"/>
      <c r="J147" s="29"/>
      <c r="K147" s="29"/>
      <c r="L147" s="29"/>
      <c r="M147" s="29"/>
      <c r="N147" s="29"/>
      <c r="O147" s="29"/>
      <c r="P147" s="29"/>
      <c r="Q147" s="29"/>
      <c r="R147" s="38"/>
    </row>
    <row r="148" spans="1:18">
      <c r="A148" s="5"/>
      <c r="B148" s="25"/>
      <c r="C148" s="25"/>
      <c r="D148" s="25"/>
      <c r="E148" s="25"/>
      <c r="F148" s="16"/>
      <c r="H148" s="29"/>
      <c r="I148" s="29"/>
      <c r="J148" s="29"/>
      <c r="K148" s="29"/>
      <c r="L148" s="29"/>
      <c r="M148" s="29"/>
      <c r="N148" s="29"/>
      <c r="O148" s="29"/>
      <c r="P148" s="29"/>
      <c r="Q148" s="29"/>
      <c r="R148" s="38"/>
    </row>
    <row r="149" spans="1:18">
      <c r="A149" s="5"/>
      <c r="B149" s="25"/>
      <c r="C149" s="25"/>
      <c r="D149" s="25"/>
      <c r="E149" s="25"/>
      <c r="F149" s="16"/>
      <c r="H149" s="29"/>
      <c r="I149" s="29"/>
      <c r="J149" s="29"/>
      <c r="K149" s="29"/>
      <c r="L149" s="29"/>
      <c r="M149" s="29"/>
      <c r="N149" s="29"/>
      <c r="O149" s="29"/>
      <c r="P149" s="29"/>
      <c r="Q149" s="29"/>
      <c r="R149" s="38"/>
    </row>
    <row r="150" spans="1:18">
      <c r="A150" s="5"/>
      <c r="B150" s="25"/>
      <c r="C150" s="25"/>
      <c r="D150" s="25"/>
      <c r="E150" s="25"/>
      <c r="F150" s="16"/>
      <c r="H150" s="29"/>
      <c r="I150" s="29"/>
      <c r="J150" s="29"/>
      <c r="K150" s="29"/>
      <c r="L150" s="29"/>
      <c r="M150" s="29"/>
      <c r="N150" s="29"/>
      <c r="O150" s="29"/>
      <c r="P150" s="29"/>
      <c r="Q150" s="29"/>
      <c r="R150" s="38"/>
    </row>
    <row r="151" spans="1:18">
      <c r="A151" s="5"/>
      <c r="B151" s="25"/>
      <c r="C151" s="25"/>
      <c r="D151" s="25"/>
      <c r="E151" s="25"/>
      <c r="F151" s="16"/>
      <c r="H151" s="29"/>
      <c r="I151" s="29"/>
      <c r="J151" s="29"/>
      <c r="K151" s="29"/>
      <c r="L151" s="29"/>
      <c r="M151" s="29"/>
      <c r="N151" s="29"/>
      <c r="O151" s="29"/>
      <c r="P151" s="29"/>
      <c r="Q151" s="29"/>
      <c r="R151" s="38"/>
    </row>
    <row r="152" spans="1:18">
      <c r="A152" s="5"/>
      <c r="B152" s="25"/>
      <c r="C152" s="25"/>
      <c r="D152" s="25"/>
      <c r="E152" s="25"/>
      <c r="F152" s="16"/>
      <c r="H152" s="29"/>
      <c r="I152" s="29"/>
      <c r="J152" s="29"/>
      <c r="K152" s="29"/>
      <c r="L152" s="29"/>
      <c r="M152" s="29"/>
      <c r="N152" s="29"/>
      <c r="O152" s="29"/>
      <c r="P152" s="29"/>
      <c r="Q152" s="29"/>
      <c r="R152" s="38"/>
    </row>
    <row r="153" spans="1:18">
      <c r="A153" s="5"/>
      <c r="B153" s="25"/>
      <c r="C153" s="25"/>
      <c r="D153" s="25"/>
      <c r="E153" s="25"/>
      <c r="F153" s="16"/>
      <c r="H153" s="29"/>
      <c r="I153" s="29"/>
      <c r="J153" s="29"/>
      <c r="K153" s="29"/>
      <c r="L153" s="29"/>
      <c r="M153" s="29"/>
      <c r="N153" s="29"/>
      <c r="O153" s="29"/>
      <c r="P153" s="29"/>
      <c r="Q153" s="29"/>
      <c r="R153" s="38"/>
    </row>
    <row r="154" spans="1:18">
      <c r="A154" s="5"/>
      <c r="B154" s="25"/>
      <c r="C154" s="25"/>
      <c r="D154" s="25"/>
      <c r="E154" s="25"/>
      <c r="F154" s="16"/>
      <c r="H154" s="29"/>
      <c r="I154" s="29"/>
      <c r="J154" s="29"/>
      <c r="K154" s="29"/>
      <c r="L154" s="29"/>
      <c r="M154" s="29"/>
      <c r="N154" s="29"/>
      <c r="O154" s="29"/>
      <c r="P154" s="29"/>
      <c r="Q154" s="29"/>
      <c r="R154" s="38"/>
    </row>
    <row r="155" spans="1:18">
      <c r="A155" s="5"/>
      <c r="B155" s="25"/>
      <c r="C155" s="25"/>
      <c r="D155" s="25"/>
      <c r="E155" s="25"/>
      <c r="F155" s="16"/>
      <c r="H155" s="29"/>
      <c r="I155" s="29"/>
      <c r="J155" s="29"/>
      <c r="K155" s="29"/>
      <c r="L155" s="29"/>
      <c r="M155" s="29"/>
      <c r="N155" s="29"/>
      <c r="O155" s="29"/>
      <c r="P155" s="29"/>
      <c r="Q155" s="29"/>
      <c r="R155" s="38"/>
    </row>
    <row r="156" spans="1:18">
      <c r="A156" s="5"/>
      <c r="B156" s="25"/>
      <c r="C156" s="25"/>
      <c r="D156" s="25"/>
      <c r="E156" s="25"/>
      <c r="F156" s="16"/>
      <c r="H156" s="29"/>
      <c r="I156" s="29"/>
      <c r="J156" s="29"/>
      <c r="K156" s="29"/>
      <c r="L156" s="29"/>
      <c r="M156" s="29"/>
      <c r="N156" s="29"/>
      <c r="O156" s="29"/>
      <c r="P156" s="29"/>
      <c r="Q156" s="29"/>
      <c r="R156" s="38"/>
    </row>
    <row r="157" spans="1:18">
      <c r="A157" s="5"/>
      <c r="B157" s="25"/>
      <c r="C157" s="25"/>
      <c r="D157" s="25"/>
      <c r="E157" s="25"/>
      <c r="F157" s="16"/>
      <c r="H157" s="29"/>
      <c r="I157" s="29"/>
      <c r="J157" s="29"/>
      <c r="K157" s="29"/>
      <c r="L157" s="29"/>
      <c r="M157" s="29"/>
      <c r="N157" s="29"/>
      <c r="O157" s="29"/>
      <c r="P157" s="29"/>
      <c r="Q157" s="29"/>
      <c r="R157" s="38"/>
    </row>
    <row r="158" spans="1:18">
      <c r="A158" s="5"/>
      <c r="B158" s="25"/>
      <c r="C158" s="25"/>
      <c r="D158" s="25"/>
      <c r="E158" s="25"/>
      <c r="F158" s="16"/>
      <c r="H158" s="29"/>
      <c r="I158" s="29"/>
      <c r="J158" s="29"/>
      <c r="K158" s="29"/>
      <c r="L158" s="29"/>
      <c r="M158" s="29"/>
      <c r="N158" s="29"/>
      <c r="O158" s="29"/>
      <c r="P158" s="29"/>
      <c r="Q158" s="29"/>
      <c r="R158" s="38"/>
    </row>
    <row r="159" spans="1:18">
      <c r="A159" s="5"/>
      <c r="B159" s="25"/>
      <c r="C159" s="25"/>
      <c r="D159" s="25"/>
      <c r="E159" s="25"/>
      <c r="F159" s="16"/>
      <c r="H159" s="29"/>
      <c r="I159" s="29"/>
      <c r="J159" s="29"/>
      <c r="K159" s="29"/>
      <c r="L159" s="29"/>
      <c r="M159" s="29"/>
      <c r="N159" s="29"/>
      <c r="O159" s="29"/>
      <c r="P159" s="29"/>
      <c r="Q159" s="29"/>
      <c r="R159" s="38"/>
    </row>
    <row r="160" spans="1:18">
      <c r="A160" s="5"/>
      <c r="B160" s="25"/>
      <c r="C160" s="25"/>
      <c r="D160" s="25"/>
      <c r="E160" s="25"/>
      <c r="F160" s="16"/>
      <c r="H160" s="29"/>
      <c r="I160" s="29"/>
      <c r="J160" s="29"/>
      <c r="K160" s="29"/>
      <c r="L160" s="29"/>
      <c r="M160" s="29"/>
      <c r="N160" s="29"/>
      <c r="O160" s="29"/>
      <c r="P160" s="29"/>
      <c r="Q160" s="29"/>
      <c r="R160" s="38"/>
    </row>
    <row r="161" spans="1:18">
      <c r="A161" s="5"/>
      <c r="B161" s="25"/>
      <c r="C161" s="25"/>
      <c r="D161" s="25"/>
      <c r="E161" s="25"/>
      <c r="F161" s="16"/>
      <c r="H161" s="29"/>
      <c r="I161" s="29"/>
      <c r="J161" s="29"/>
      <c r="K161" s="29"/>
      <c r="L161" s="29"/>
      <c r="M161" s="29"/>
      <c r="N161" s="29"/>
      <c r="O161" s="29"/>
      <c r="P161" s="29"/>
      <c r="Q161" s="29"/>
      <c r="R161" s="38"/>
    </row>
    <row r="162" spans="1:18">
      <c r="A162" s="5"/>
      <c r="B162" s="25"/>
      <c r="C162" s="25"/>
      <c r="D162" s="25"/>
      <c r="E162" s="25"/>
      <c r="F162" s="16"/>
      <c r="H162" s="29"/>
      <c r="I162" s="29"/>
      <c r="J162" s="29"/>
      <c r="K162" s="29"/>
      <c r="L162" s="29"/>
      <c r="M162" s="29"/>
      <c r="N162" s="29"/>
      <c r="O162" s="29"/>
      <c r="P162" s="29"/>
      <c r="Q162" s="29"/>
      <c r="R162" s="38"/>
    </row>
    <row r="163" spans="1:18">
      <c r="A163" s="5"/>
      <c r="B163" s="25"/>
      <c r="C163" s="25"/>
      <c r="D163" s="25"/>
      <c r="E163" s="25"/>
      <c r="F163" s="16"/>
      <c r="H163" s="29"/>
      <c r="I163" s="29"/>
      <c r="J163" s="29"/>
      <c r="K163" s="29"/>
      <c r="L163" s="29"/>
      <c r="M163" s="29"/>
      <c r="N163" s="29"/>
      <c r="O163" s="29"/>
      <c r="P163" s="29"/>
      <c r="Q163" s="29"/>
      <c r="R163" s="38"/>
    </row>
    <row r="164" spans="1:18">
      <c r="A164" s="5"/>
      <c r="B164" s="25"/>
      <c r="C164" s="25"/>
      <c r="D164" s="25"/>
      <c r="E164" s="25"/>
      <c r="F164" s="16"/>
      <c r="H164" s="29"/>
      <c r="I164" s="29"/>
      <c r="J164" s="29"/>
      <c r="K164" s="29"/>
      <c r="L164" s="29"/>
      <c r="M164" s="29"/>
      <c r="N164" s="29"/>
      <c r="O164" s="29"/>
      <c r="P164" s="29"/>
      <c r="Q164" s="29"/>
      <c r="R164" s="38"/>
    </row>
    <row r="165" spans="1:18">
      <c r="A165" s="5"/>
      <c r="B165" s="13"/>
      <c r="C165" s="13"/>
      <c r="D165" s="13"/>
      <c r="E165" s="13"/>
      <c r="F165" s="9"/>
      <c r="G165" s="29"/>
      <c r="H165" s="29"/>
      <c r="I165" s="29"/>
      <c r="J165" s="29"/>
      <c r="K165" s="29"/>
      <c r="L165" s="29"/>
      <c r="M165" s="29"/>
      <c r="N165" s="29"/>
      <c r="O165" s="29"/>
      <c r="P165" s="29"/>
      <c r="Q165" s="29"/>
      <c r="R165" s="38"/>
    </row>
    <row r="166" spans="1:18">
      <c r="A166" s="5"/>
      <c r="B166" s="13"/>
      <c r="C166" s="13"/>
      <c r="D166" s="13"/>
      <c r="E166" s="13"/>
      <c r="F166" s="9"/>
      <c r="G166" s="29"/>
      <c r="H166" s="29"/>
      <c r="I166" s="29"/>
      <c r="J166" s="29"/>
      <c r="K166" s="29"/>
      <c r="L166" s="29"/>
      <c r="M166" s="29"/>
      <c r="N166" s="29"/>
      <c r="O166" s="29"/>
      <c r="P166" s="29"/>
      <c r="Q166" s="29"/>
      <c r="R166" s="38"/>
    </row>
    <row r="167" spans="1:18">
      <c r="A167" s="5"/>
      <c r="B167" s="25"/>
      <c r="C167" s="25"/>
      <c r="D167" s="25"/>
      <c r="E167" s="25"/>
      <c r="F167" s="16"/>
      <c r="H167" s="29"/>
      <c r="I167" s="29"/>
      <c r="J167" s="29"/>
      <c r="K167" s="29"/>
      <c r="L167" s="29"/>
      <c r="M167" s="29"/>
      <c r="N167" s="29"/>
      <c r="O167" s="29"/>
      <c r="P167" s="29"/>
      <c r="Q167" s="29"/>
      <c r="R167" s="38"/>
    </row>
    <row r="168" spans="1:18">
      <c r="A168" s="5"/>
      <c r="B168" s="25"/>
      <c r="C168" s="25"/>
      <c r="D168" s="25"/>
      <c r="E168" s="25"/>
      <c r="F168" s="16"/>
      <c r="H168" s="29"/>
      <c r="I168" s="29"/>
      <c r="J168" s="29"/>
      <c r="K168" s="29"/>
      <c r="L168" s="29"/>
      <c r="M168" s="29"/>
      <c r="N168" s="29"/>
      <c r="O168" s="29"/>
      <c r="P168" s="29"/>
      <c r="Q168" s="29"/>
      <c r="R168" s="38"/>
    </row>
    <row r="169" spans="1:18">
      <c r="A169" s="5"/>
      <c r="B169" s="25"/>
      <c r="C169" s="25"/>
      <c r="D169" s="25"/>
      <c r="E169" s="25"/>
      <c r="F169" s="16"/>
      <c r="H169" s="29"/>
      <c r="I169" s="29"/>
      <c r="J169" s="29"/>
      <c r="K169" s="29"/>
      <c r="L169" s="29"/>
      <c r="M169" s="29"/>
      <c r="N169" s="29"/>
      <c r="O169" s="29"/>
      <c r="P169" s="29"/>
      <c r="Q169" s="29"/>
      <c r="R169" s="38"/>
    </row>
    <row r="170" spans="1:18">
      <c r="A170" s="5"/>
      <c r="B170" s="25"/>
      <c r="C170" s="25"/>
      <c r="D170" s="25"/>
      <c r="E170" s="25"/>
      <c r="F170" s="16"/>
      <c r="H170" s="29"/>
      <c r="I170" s="29"/>
      <c r="J170" s="29"/>
      <c r="K170" s="29"/>
      <c r="L170" s="29"/>
      <c r="M170" s="29"/>
      <c r="N170" s="29"/>
      <c r="O170" s="29"/>
      <c r="P170" s="29"/>
      <c r="Q170" s="29"/>
      <c r="R170" s="38"/>
    </row>
    <row r="171" spans="1:18">
      <c r="A171" s="5"/>
      <c r="B171" s="25"/>
      <c r="C171" s="25"/>
      <c r="D171" s="25"/>
      <c r="E171" s="25"/>
      <c r="F171" s="16"/>
      <c r="H171" s="29"/>
      <c r="I171" s="29"/>
      <c r="J171" s="29"/>
      <c r="K171" s="29"/>
      <c r="L171" s="29"/>
      <c r="M171" s="29"/>
      <c r="N171" s="29"/>
      <c r="O171" s="29"/>
      <c r="P171" s="29"/>
      <c r="Q171" s="29"/>
      <c r="R171" s="38"/>
    </row>
    <row r="172" spans="1:18">
      <c r="A172" s="5"/>
      <c r="B172" s="25"/>
      <c r="C172" s="25"/>
      <c r="D172" s="25"/>
      <c r="E172" s="25"/>
      <c r="F172" s="16"/>
      <c r="H172" s="29"/>
      <c r="I172" s="29"/>
      <c r="J172" s="29"/>
      <c r="K172" s="29"/>
      <c r="L172" s="29"/>
      <c r="M172" s="29"/>
      <c r="N172" s="29"/>
      <c r="O172" s="29"/>
      <c r="P172" s="29"/>
      <c r="Q172" s="29"/>
      <c r="R172" s="38"/>
    </row>
    <row r="173" spans="1:18">
      <c r="A173" s="5"/>
      <c r="B173" s="25"/>
      <c r="C173" s="25"/>
      <c r="D173" s="25"/>
      <c r="E173" s="25"/>
      <c r="F173" s="16"/>
      <c r="H173" s="29"/>
      <c r="I173" s="29"/>
      <c r="J173" s="29"/>
      <c r="K173" s="29"/>
      <c r="L173" s="29"/>
      <c r="M173" s="29"/>
      <c r="N173" s="29"/>
      <c r="O173" s="29"/>
      <c r="P173" s="29"/>
      <c r="Q173" s="29"/>
      <c r="R173" s="38"/>
    </row>
    <row r="174" spans="1:18">
      <c r="A174" s="5"/>
      <c r="B174" s="25"/>
      <c r="C174" s="25"/>
      <c r="D174" s="25"/>
      <c r="E174" s="25"/>
      <c r="F174" s="16"/>
      <c r="H174" s="29"/>
      <c r="I174" s="29"/>
      <c r="J174" s="29"/>
      <c r="K174" s="29"/>
      <c r="L174" s="29"/>
      <c r="M174" s="29"/>
      <c r="N174" s="29"/>
      <c r="O174" s="29"/>
      <c r="P174" s="29"/>
      <c r="Q174" s="29"/>
      <c r="R174" s="38"/>
    </row>
    <row r="175" spans="1:18">
      <c r="A175" s="5"/>
      <c r="B175" s="25"/>
      <c r="C175" s="25"/>
      <c r="D175" s="25"/>
      <c r="E175" s="25"/>
      <c r="F175" s="16"/>
      <c r="H175" s="29"/>
      <c r="I175" s="29"/>
      <c r="J175" s="29"/>
      <c r="K175" s="29"/>
      <c r="L175" s="29"/>
      <c r="M175" s="29"/>
      <c r="N175" s="29"/>
      <c r="O175" s="29"/>
      <c r="P175" s="29"/>
      <c r="Q175" s="29"/>
      <c r="R175" s="38"/>
    </row>
    <row r="176" spans="1:18">
      <c r="A176" s="5"/>
      <c r="B176" s="25"/>
      <c r="C176" s="25"/>
      <c r="D176" s="25"/>
      <c r="E176" s="25"/>
      <c r="F176" s="16"/>
      <c r="H176" s="29"/>
      <c r="I176" s="29"/>
      <c r="J176" s="29"/>
      <c r="K176" s="29"/>
      <c r="L176" s="29"/>
      <c r="M176" s="29"/>
      <c r="N176" s="29"/>
      <c r="O176" s="29"/>
      <c r="P176" s="29"/>
      <c r="Q176" s="29"/>
      <c r="R176" s="38"/>
    </row>
    <row r="177" spans="1:18">
      <c r="A177" s="5"/>
      <c r="B177" s="25"/>
      <c r="C177" s="25"/>
      <c r="D177" s="25"/>
      <c r="E177" s="25"/>
      <c r="F177" s="16"/>
      <c r="H177" s="29"/>
      <c r="I177" s="29"/>
      <c r="J177" s="29"/>
      <c r="K177" s="29"/>
      <c r="L177" s="29"/>
      <c r="M177" s="29"/>
      <c r="N177" s="29"/>
      <c r="O177" s="29"/>
      <c r="P177" s="29"/>
      <c r="Q177" s="29"/>
      <c r="R177" s="38"/>
    </row>
    <row r="178" spans="1:18">
      <c r="A178" s="5"/>
      <c r="B178" s="25"/>
      <c r="C178" s="25"/>
      <c r="D178" s="25"/>
      <c r="E178" s="25"/>
      <c r="F178" s="16"/>
      <c r="H178" s="29"/>
      <c r="I178" s="29"/>
      <c r="J178" s="29"/>
      <c r="K178" s="29"/>
      <c r="L178" s="29"/>
      <c r="M178" s="29"/>
      <c r="N178" s="29"/>
      <c r="O178" s="29"/>
      <c r="P178" s="29"/>
      <c r="Q178" s="29"/>
      <c r="R178" s="38"/>
    </row>
    <row r="179" spans="1:18">
      <c r="A179" s="5"/>
      <c r="B179" s="25"/>
      <c r="C179" s="25"/>
      <c r="D179" s="25"/>
      <c r="E179" s="25"/>
      <c r="F179" s="16"/>
      <c r="H179" s="29"/>
      <c r="I179" s="29"/>
      <c r="J179" s="29"/>
      <c r="K179" s="29"/>
      <c r="L179" s="29"/>
      <c r="M179" s="29"/>
      <c r="N179" s="29"/>
      <c r="O179" s="29"/>
      <c r="P179" s="29"/>
      <c r="Q179" s="29"/>
      <c r="R179" s="38"/>
    </row>
    <row r="180" spans="1:18">
      <c r="A180" s="5"/>
      <c r="B180" s="25"/>
      <c r="C180" s="25"/>
      <c r="D180" s="25"/>
      <c r="E180" s="25"/>
      <c r="F180" s="16"/>
      <c r="H180" s="29"/>
      <c r="I180" s="29"/>
      <c r="J180" s="29"/>
      <c r="K180" s="29"/>
      <c r="L180" s="29"/>
      <c r="M180" s="29"/>
      <c r="N180" s="29"/>
      <c r="O180" s="29"/>
      <c r="P180" s="29"/>
      <c r="Q180" s="29"/>
      <c r="R180" s="38"/>
    </row>
    <row r="181" spans="1:18">
      <c r="A181" s="5"/>
      <c r="B181" s="25"/>
      <c r="C181" s="25"/>
      <c r="D181" s="25"/>
      <c r="E181" s="25"/>
      <c r="F181" s="16"/>
      <c r="H181" s="29"/>
      <c r="I181" s="29"/>
      <c r="J181" s="29"/>
      <c r="K181" s="29"/>
      <c r="L181" s="29"/>
      <c r="M181" s="29"/>
      <c r="N181" s="29"/>
      <c r="O181" s="29"/>
      <c r="P181" s="29"/>
      <c r="Q181" s="29"/>
      <c r="R181" s="38"/>
    </row>
    <row r="182" spans="1:18">
      <c r="A182" s="5"/>
      <c r="B182" s="25"/>
      <c r="C182" s="25"/>
      <c r="D182" s="25"/>
      <c r="E182" s="25"/>
      <c r="F182" s="16"/>
      <c r="H182" s="29"/>
      <c r="I182" s="29"/>
      <c r="J182" s="29"/>
      <c r="K182" s="29"/>
      <c r="L182" s="29"/>
      <c r="M182" s="29"/>
      <c r="N182" s="29"/>
      <c r="O182" s="29"/>
      <c r="P182" s="29"/>
      <c r="Q182" s="29"/>
      <c r="R182" s="38"/>
    </row>
    <row r="183" spans="1:18">
      <c r="A183" s="5"/>
      <c r="B183" s="25"/>
      <c r="C183" s="25"/>
      <c r="D183" s="25"/>
      <c r="E183" s="25"/>
      <c r="F183" s="16"/>
      <c r="H183" s="29"/>
      <c r="I183" s="29"/>
      <c r="J183" s="29"/>
      <c r="K183" s="29"/>
      <c r="L183" s="29"/>
      <c r="M183" s="29"/>
      <c r="N183" s="29"/>
      <c r="O183" s="29"/>
      <c r="P183" s="29"/>
      <c r="Q183" s="29"/>
      <c r="R183" s="38"/>
    </row>
    <row r="184" spans="1:18">
      <c r="A184" s="5"/>
      <c r="B184" s="25"/>
      <c r="C184" s="25"/>
      <c r="D184" s="25"/>
      <c r="E184" s="25"/>
      <c r="F184" s="16"/>
      <c r="H184" s="29"/>
      <c r="I184" s="29"/>
      <c r="J184" s="29"/>
      <c r="K184" s="29"/>
      <c r="L184" s="29"/>
      <c r="M184" s="29"/>
      <c r="N184" s="29"/>
      <c r="O184" s="29"/>
      <c r="P184" s="29"/>
      <c r="Q184" s="29"/>
      <c r="R184" s="38"/>
    </row>
    <row r="185" spans="1:18">
      <c r="A185" s="5"/>
      <c r="B185" s="25"/>
      <c r="C185" s="25"/>
      <c r="D185" s="25"/>
      <c r="E185" s="25"/>
      <c r="F185" s="16"/>
      <c r="H185" s="29"/>
      <c r="I185" s="29"/>
      <c r="J185" s="29"/>
      <c r="K185" s="29"/>
      <c r="L185" s="29"/>
      <c r="M185" s="29"/>
      <c r="N185" s="29"/>
      <c r="O185" s="29"/>
      <c r="P185" s="29"/>
      <c r="Q185" s="29"/>
      <c r="R185" s="38"/>
    </row>
    <row r="186" spans="1:18">
      <c r="A186" s="5"/>
      <c r="B186" s="25"/>
      <c r="C186" s="25"/>
      <c r="D186" s="25"/>
      <c r="E186" s="25"/>
      <c r="F186" s="16"/>
      <c r="H186" s="29"/>
      <c r="I186" s="29"/>
      <c r="J186" s="29"/>
      <c r="K186" s="29"/>
      <c r="L186" s="29"/>
      <c r="M186" s="29"/>
      <c r="N186" s="29"/>
      <c r="O186" s="29"/>
      <c r="P186" s="29"/>
      <c r="Q186" s="29"/>
      <c r="R186" s="38"/>
    </row>
    <row r="187" spans="1:18">
      <c r="A187" s="5"/>
      <c r="B187" s="25"/>
      <c r="C187" s="25"/>
      <c r="D187" s="25"/>
      <c r="E187" s="25"/>
      <c r="F187" s="16"/>
      <c r="H187" s="29"/>
      <c r="I187" s="29"/>
      <c r="J187" s="29"/>
      <c r="K187" s="29"/>
      <c r="L187" s="29"/>
      <c r="M187" s="29"/>
      <c r="N187" s="29"/>
      <c r="O187" s="29"/>
      <c r="P187" s="29"/>
      <c r="Q187" s="29"/>
      <c r="R187" s="38"/>
    </row>
    <row r="188" spans="1:18">
      <c r="A188" s="5"/>
      <c r="B188" s="25"/>
      <c r="C188" s="25"/>
      <c r="D188" s="25"/>
      <c r="E188" s="25"/>
      <c r="F188" s="16"/>
      <c r="H188" s="29"/>
      <c r="I188" s="29"/>
      <c r="J188" s="29"/>
      <c r="K188" s="29"/>
      <c r="L188" s="29"/>
      <c r="M188" s="29"/>
      <c r="N188" s="29"/>
      <c r="O188" s="29"/>
      <c r="P188" s="29"/>
      <c r="Q188" s="29"/>
      <c r="R188" s="38"/>
    </row>
    <row r="189" spans="1:18">
      <c r="A189" s="5"/>
      <c r="B189" s="25"/>
      <c r="C189" s="25"/>
      <c r="D189" s="25"/>
      <c r="E189" s="25"/>
      <c r="F189" s="16"/>
      <c r="H189" s="29"/>
      <c r="I189" s="29"/>
      <c r="J189" s="29"/>
      <c r="K189" s="29"/>
      <c r="L189" s="29"/>
      <c r="M189" s="29"/>
      <c r="N189" s="29"/>
      <c r="O189" s="29"/>
      <c r="P189" s="29"/>
      <c r="Q189" s="29"/>
      <c r="R189" s="38"/>
    </row>
    <row r="190" spans="1:18">
      <c r="A190" s="5"/>
      <c r="B190" s="25"/>
      <c r="C190" s="25"/>
      <c r="D190" s="25"/>
      <c r="E190" s="25"/>
      <c r="F190" s="16"/>
      <c r="H190" s="29"/>
      <c r="I190" s="29"/>
      <c r="J190" s="29"/>
      <c r="K190" s="29"/>
      <c r="L190" s="29"/>
      <c r="M190" s="29"/>
      <c r="N190" s="29"/>
      <c r="O190" s="29"/>
      <c r="P190" s="29"/>
      <c r="Q190" s="29"/>
      <c r="R190" s="38"/>
    </row>
    <row r="191" spans="1:18">
      <c r="A191" s="5"/>
      <c r="B191" s="25"/>
      <c r="C191" s="25"/>
      <c r="D191" s="25"/>
      <c r="E191" s="25"/>
      <c r="F191" s="16"/>
      <c r="H191" s="29"/>
      <c r="I191" s="29"/>
      <c r="J191" s="29"/>
      <c r="K191" s="29"/>
      <c r="L191" s="29"/>
      <c r="M191" s="29"/>
      <c r="N191" s="29"/>
      <c r="O191" s="29"/>
      <c r="P191" s="29"/>
      <c r="Q191" s="29"/>
      <c r="R191" s="38"/>
    </row>
    <row r="192" spans="1:18">
      <c r="A192" s="5"/>
      <c r="B192" s="25"/>
      <c r="C192" s="25"/>
      <c r="D192" s="25"/>
      <c r="E192" s="25"/>
      <c r="F192" s="16"/>
      <c r="H192" s="29"/>
      <c r="I192" s="29"/>
      <c r="J192" s="29"/>
      <c r="K192" s="29"/>
      <c r="L192" s="29"/>
      <c r="M192" s="29"/>
      <c r="N192" s="29"/>
      <c r="O192" s="29"/>
      <c r="P192" s="29"/>
      <c r="Q192" s="29"/>
      <c r="R192" s="38"/>
    </row>
    <row r="193" spans="1:18">
      <c r="A193" s="5"/>
      <c r="B193" s="25"/>
      <c r="C193" s="25"/>
      <c r="D193" s="25"/>
      <c r="E193" s="25"/>
      <c r="F193" s="16"/>
      <c r="H193" s="29"/>
      <c r="I193" s="29"/>
      <c r="J193" s="29"/>
      <c r="K193" s="29"/>
      <c r="L193" s="29"/>
      <c r="M193" s="29"/>
      <c r="N193" s="29"/>
      <c r="O193" s="29"/>
      <c r="P193" s="29"/>
      <c r="Q193" s="29"/>
      <c r="R193" s="38"/>
    </row>
    <row r="194" spans="1:18">
      <c r="A194" s="5"/>
      <c r="B194" s="25"/>
      <c r="C194" s="25"/>
      <c r="D194" s="25"/>
      <c r="E194" s="25"/>
      <c r="F194" s="16"/>
      <c r="H194" s="29"/>
      <c r="I194" s="29"/>
      <c r="J194" s="29"/>
      <c r="K194" s="29"/>
      <c r="L194" s="29"/>
      <c r="M194" s="29"/>
      <c r="N194" s="29"/>
      <c r="O194" s="29"/>
      <c r="P194" s="29"/>
      <c r="Q194" s="29"/>
      <c r="R194" s="38"/>
    </row>
    <row r="195" spans="1:18">
      <c r="A195" s="5"/>
      <c r="B195" s="25"/>
      <c r="C195" s="25"/>
      <c r="D195" s="25"/>
      <c r="E195" s="25"/>
      <c r="F195" s="16"/>
      <c r="H195" s="29"/>
      <c r="I195" s="29"/>
      <c r="J195" s="29"/>
      <c r="K195" s="29"/>
      <c r="L195" s="29"/>
      <c r="M195" s="29"/>
      <c r="N195" s="29"/>
      <c r="O195" s="29"/>
      <c r="P195" s="29"/>
      <c r="Q195" s="29"/>
      <c r="R195" s="38"/>
    </row>
    <row r="196" spans="1:18">
      <c r="A196" s="5"/>
      <c r="B196" s="25"/>
      <c r="C196" s="25"/>
      <c r="D196" s="25"/>
      <c r="E196" s="25"/>
      <c r="F196" s="16"/>
      <c r="H196" s="29"/>
      <c r="I196" s="29"/>
      <c r="J196" s="29"/>
      <c r="K196" s="29"/>
      <c r="L196" s="29"/>
      <c r="M196" s="29"/>
      <c r="N196" s="29"/>
      <c r="O196" s="29"/>
      <c r="P196" s="29"/>
      <c r="Q196" s="29"/>
      <c r="R196" s="38"/>
    </row>
    <row r="197" spans="1:18">
      <c r="A197" s="5"/>
      <c r="B197" s="25"/>
      <c r="C197" s="25"/>
      <c r="D197" s="25"/>
      <c r="E197" s="25"/>
      <c r="F197" s="16"/>
      <c r="H197" s="29"/>
      <c r="I197" s="29"/>
      <c r="J197" s="29"/>
      <c r="K197" s="29"/>
      <c r="L197" s="29"/>
      <c r="M197" s="29"/>
      <c r="N197" s="29"/>
      <c r="O197" s="29"/>
      <c r="P197" s="29"/>
      <c r="Q197" s="29"/>
      <c r="R197" s="38"/>
    </row>
    <row r="198" spans="1:18">
      <c r="A198" s="5"/>
      <c r="B198" s="25"/>
      <c r="C198" s="25"/>
      <c r="D198" s="25"/>
      <c r="E198" s="25"/>
      <c r="F198" s="16"/>
      <c r="H198" s="29"/>
      <c r="I198" s="29"/>
      <c r="J198" s="29"/>
      <c r="K198" s="29"/>
      <c r="L198" s="29"/>
      <c r="M198" s="29"/>
      <c r="N198" s="29"/>
      <c r="O198" s="29"/>
      <c r="P198" s="29"/>
      <c r="Q198" s="29"/>
      <c r="R198" s="38"/>
    </row>
    <row r="199" spans="1:18">
      <c r="A199" s="5"/>
      <c r="B199" s="25"/>
      <c r="C199" s="25"/>
      <c r="D199" s="25"/>
      <c r="E199" s="25"/>
      <c r="F199" s="16"/>
      <c r="H199" s="29"/>
      <c r="I199" s="29"/>
      <c r="J199" s="29"/>
      <c r="K199" s="29"/>
      <c r="L199" s="29"/>
      <c r="M199" s="29"/>
      <c r="N199" s="29"/>
      <c r="O199" s="29"/>
      <c r="P199" s="29"/>
      <c r="Q199" s="29"/>
      <c r="R199" s="38"/>
    </row>
    <row r="200" spans="1:18">
      <c r="A200" s="5"/>
      <c r="B200" s="25"/>
      <c r="C200" s="25"/>
      <c r="D200" s="25"/>
      <c r="E200" s="25"/>
      <c r="F200" s="16"/>
      <c r="H200" s="29"/>
      <c r="I200" s="29"/>
      <c r="J200" s="29"/>
      <c r="K200" s="29"/>
      <c r="L200" s="29"/>
      <c r="M200" s="29"/>
      <c r="N200" s="29"/>
      <c r="O200" s="29"/>
      <c r="P200" s="29"/>
      <c r="Q200" s="29"/>
      <c r="R200" s="38"/>
    </row>
    <row r="201" spans="1:18">
      <c r="A201" s="5"/>
      <c r="B201" s="25"/>
      <c r="C201" s="25"/>
      <c r="D201" s="25"/>
      <c r="E201" s="25"/>
      <c r="F201" s="16"/>
      <c r="H201" s="29"/>
      <c r="I201" s="29"/>
      <c r="J201" s="29"/>
      <c r="K201" s="29"/>
      <c r="L201" s="29"/>
      <c r="M201" s="29"/>
      <c r="N201" s="29"/>
      <c r="O201" s="29"/>
      <c r="P201" s="29"/>
      <c r="Q201" s="29"/>
      <c r="R201" s="38"/>
    </row>
    <row r="202" spans="1:18">
      <c r="A202" s="5"/>
      <c r="B202" s="25"/>
      <c r="C202" s="25"/>
      <c r="D202" s="25"/>
      <c r="E202" s="25"/>
      <c r="F202" s="16"/>
      <c r="H202" s="29"/>
      <c r="I202" s="29"/>
      <c r="J202" s="29"/>
      <c r="K202" s="29"/>
      <c r="L202" s="29"/>
      <c r="M202" s="29"/>
      <c r="N202" s="29"/>
      <c r="O202" s="29"/>
      <c r="P202" s="29"/>
      <c r="Q202" s="29"/>
      <c r="R202" s="38"/>
    </row>
    <row r="203" spans="1:18">
      <c r="A203" s="5"/>
      <c r="B203" s="25"/>
      <c r="C203" s="25"/>
      <c r="D203" s="25"/>
      <c r="E203" s="25"/>
      <c r="F203" s="16"/>
      <c r="H203" s="29"/>
      <c r="I203" s="29"/>
      <c r="J203" s="29"/>
      <c r="K203" s="29"/>
      <c r="L203" s="29"/>
      <c r="M203" s="29"/>
      <c r="N203" s="29"/>
      <c r="O203" s="29"/>
      <c r="P203" s="29"/>
      <c r="Q203" s="29"/>
      <c r="R203" s="38"/>
    </row>
    <row r="204" spans="1:18">
      <c r="A204" s="5"/>
      <c r="B204" s="25"/>
      <c r="C204" s="25"/>
      <c r="D204" s="25"/>
      <c r="E204" s="25"/>
      <c r="F204" s="16"/>
      <c r="H204" s="29"/>
      <c r="I204" s="29"/>
      <c r="J204" s="29"/>
      <c r="K204" s="29"/>
      <c r="L204" s="29"/>
      <c r="M204" s="29"/>
      <c r="N204" s="29"/>
      <c r="O204" s="29"/>
      <c r="P204" s="29"/>
      <c r="Q204" s="29"/>
      <c r="R204" s="38"/>
    </row>
    <row r="205" spans="1:18">
      <c r="A205" s="5"/>
      <c r="B205" s="25"/>
      <c r="C205" s="25"/>
      <c r="D205" s="25"/>
      <c r="E205" s="25"/>
      <c r="F205" s="16"/>
      <c r="H205" s="29"/>
      <c r="I205" s="29"/>
      <c r="J205" s="29"/>
      <c r="K205" s="29"/>
      <c r="L205" s="29"/>
      <c r="M205" s="29"/>
      <c r="N205" s="29"/>
      <c r="O205" s="29"/>
      <c r="P205" s="29"/>
      <c r="Q205" s="29"/>
      <c r="R205" s="38"/>
    </row>
    <row r="206" spans="1:18">
      <c r="A206" s="5"/>
      <c r="B206" s="25"/>
      <c r="C206" s="25"/>
      <c r="D206" s="25"/>
      <c r="E206" s="25"/>
      <c r="F206" s="16"/>
      <c r="H206" s="29"/>
      <c r="I206" s="29"/>
      <c r="J206" s="29"/>
      <c r="K206" s="29"/>
      <c r="L206" s="29"/>
      <c r="M206" s="29"/>
      <c r="N206" s="29"/>
      <c r="O206" s="29"/>
      <c r="P206" s="29"/>
      <c r="Q206" s="29"/>
      <c r="R206" s="38"/>
    </row>
    <row r="207" spans="1:18">
      <c r="A207" s="5"/>
      <c r="B207" s="25"/>
      <c r="C207" s="25"/>
      <c r="D207" s="25"/>
      <c r="E207" s="25"/>
      <c r="F207" s="16"/>
      <c r="H207" s="29"/>
      <c r="I207" s="29"/>
      <c r="J207" s="29"/>
      <c r="K207" s="29"/>
      <c r="L207" s="29"/>
      <c r="M207" s="29"/>
      <c r="N207" s="29"/>
      <c r="O207" s="29"/>
      <c r="P207" s="29"/>
      <c r="Q207" s="29"/>
      <c r="R207" s="38"/>
    </row>
    <row r="208" spans="1:18">
      <c r="A208" s="5"/>
      <c r="B208" s="25"/>
      <c r="C208" s="25"/>
      <c r="D208" s="25"/>
      <c r="E208" s="25"/>
      <c r="F208" s="16"/>
      <c r="H208" s="29"/>
      <c r="I208" s="29"/>
      <c r="J208" s="29"/>
      <c r="K208" s="29"/>
      <c r="L208" s="29"/>
      <c r="M208" s="29"/>
      <c r="N208" s="29"/>
      <c r="O208" s="29"/>
      <c r="P208" s="29"/>
      <c r="Q208" s="29"/>
      <c r="R208" s="38"/>
    </row>
    <row r="209" spans="1:18">
      <c r="A209" s="5"/>
      <c r="B209" s="25"/>
      <c r="C209" s="25"/>
      <c r="D209" s="25"/>
      <c r="E209" s="25"/>
      <c r="F209" s="16"/>
      <c r="H209" s="29"/>
      <c r="I209" s="29"/>
      <c r="J209" s="29"/>
      <c r="K209" s="29"/>
      <c r="L209" s="29"/>
      <c r="M209" s="29"/>
      <c r="N209" s="29"/>
      <c r="O209" s="29"/>
      <c r="P209" s="29"/>
      <c r="Q209" s="29"/>
      <c r="R209" s="38"/>
    </row>
    <row r="210" spans="1:18">
      <c r="A210" s="5"/>
      <c r="B210" s="25"/>
      <c r="C210" s="25"/>
      <c r="D210" s="25"/>
      <c r="E210" s="25"/>
      <c r="F210" s="16"/>
      <c r="H210" s="29"/>
      <c r="I210" s="29"/>
      <c r="J210" s="29"/>
      <c r="K210" s="29"/>
      <c r="L210" s="29"/>
      <c r="M210" s="29"/>
      <c r="N210" s="29"/>
      <c r="O210" s="29"/>
      <c r="P210" s="29"/>
      <c r="Q210" s="29"/>
      <c r="R210" s="38"/>
    </row>
    <row r="211" spans="1:18">
      <c r="A211" s="5"/>
      <c r="B211" s="25"/>
      <c r="C211" s="25"/>
      <c r="D211" s="25"/>
      <c r="E211" s="25"/>
      <c r="F211" s="16"/>
      <c r="H211" s="29"/>
      <c r="I211" s="29"/>
      <c r="J211" s="29"/>
      <c r="K211" s="29"/>
      <c r="L211" s="29"/>
      <c r="M211" s="29"/>
      <c r="N211" s="29"/>
      <c r="O211" s="29"/>
      <c r="P211" s="29"/>
      <c r="Q211" s="29"/>
      <c r="R211" s="38"/>
    </row>
    <row r="212" spans="1:18">
      <c r="A212" s="5"/>
      <c r="B212" s="25"/>
      <c r="C212" s="25"/>
      <c r="D212" s="25"/>
      <c r="E212" s="25"/>
      <c r="F212" s="16"/>
      <c r="H212" s="29"/>
      <c r="I212" s="29"/>
      <c r="J212" s="29"/>
      <c r="K212" s="29"/>
      <c r="L212" s="29"/>
      <c r="M212" s="29"/>
      <c r="N212" s="29"/>
      <c r="O212" s="29"/>
      <c r="P212" s="29"/>
      <c r="Q212" s="29"/>
      <c r="R212" s="38"/>
    </row>
    <row r="213" spans="1:18">
      <c r="A213" s="5"/>
      <c r="B213" s="25"/>
      <c r="C213" s="25"/>
      <c r="D213" s="25"/>
      <c r="E213" s="25"/>
      <c r="F213" s="16"/>
      <c r="H213" s="29"/>
      <c r="I213" s="29"/>
      <c r="J213" s="29"/>
      <c r="K213" s="29"/>
      <c r="L213" s="29"/>
      <c r="M213" s="29"/>
      <c r="N213" s="29"/>
      <c r="O213" s="29"/>
      <c r="P213" s="29"/>
      <c r="Q213" s="29"/>
      <c r="R213" s="38"/>
    </row>
    <row r="214" spans="1:18">
      <c r="A214" s="5"/>
      <c r="B214" s="25"/>
      <c r="C214" s="25"/>
      <c r="D214" s="25"/>
      <c r="E214" s="25"/>
      <c r="F214" s="16"/>
      <c r="H214" s="29"/>
      <c r="I214" s="29"/>
      <c r="J214" s="29"/>
      <c r="K214" s="29"/>
      <c r="L214" s="29"/>
      <c r="M214" s="29"/>
      <c r="N214" s="29"/>
      <c r="O214" s="29"/>
      <c r="P214" s="29"/>
      <c r="Q214" s="29"/>
      <c r="R214" s="38"/>
    </row>
    <row r="215" spans="1:18">
      <c r="A215" s="5"/>
      <c r="B215" s="25"/>
      <c r="C215" s="25"/>
      <c r="D215" s="25"/>
      <c r="E215" s="25"/>
      <c r="F215" s="16"/>
      <c r="H215" s="29"/>
      <c r="I215" s="29"/>
      <c r="J215" s="29"/>
      <c r="K215" s="29"/>
      <c r="L215" s="29"/>
      <c r="M215" s="29"/>
      <c r="N215" s="29"/>
      <c r="O215" s="29"/>
      <c r="P215" s="29"/>
      <c r="Q215" s="29"/>
      <c r="R215" s="38"/>
    </row>
    <row r="216" spans="1:18">
      <c r="A216" s="5"/>
      <c r="B216" s="25"/>
      <c r="C216" s="25"/>
      <c r="D216" s="25"/>
      <c r="E216" s="25"/>
      <c r="F216" s="16"/>
      <c r="H216" s="29"/>
      <c r="I216" s="29"/>
      <c r="J216" s="29"/>
      <c r="K216" s="29"/>
      <c r="L216" s="29"/>
      <c r="M216" s="29"/>
      <c r="N216" s="29"/>
      <c r="O216" s="29"/>
      <c r="P216" s="29"/>
      <c r="Q216" s="29"/>
      <c r="R216" s="38"/>
    </row>
    <row r="217" spans="1:18">
      <c r="A217" s="5"/>
      <c r="B217" s="25"/>
      <c r="C217" s="25"/>
      <c r="D217" s="25"/>
      <c r="E217" s="25"/>
      <c r="F217" s="16"/>
      <c r="H217" s="29"/>
      <c r="I217" s="29"/>
      <c r="J217" s="29"/>
      <c r="K217" s="29"/>
      <c r="L217" s="29"/>
      <c r="M217" s="29"/>
      <c r="N217" s="29"/>
      <c r="O217" s="29"/>
      <c r="P217" s="29"/>
      <c r="Q217" s="29"/>
      <c r="R217" s="38"/>
    </row>
    <row r="218" spans="1:18">
      <c r="A218" s="5"/>
      <c r="B218" s="25"/>
      <c r="C218" s="25"/>
      <c r="D218" s="25"/>
      <c r="E218" s="25"/>
      <c r="F218" s="16"/>
      <c r="H218" s="29"/>
      <c r="I218" s="29"/>
      <c r="J218" s="29"/>
      <c r="K218" s="29"/>
      <c r="L218" s="29"/>
      <c r="M218" s="29"/>
      <c r="N218" s="29"/>
      <c r="O218" s="29"/>
      <c r="P218" s="29"/>
      <c r="Q218" s="29"/>
      <c r="R218" s="38"/>
    </row>
    <row r="219" spans="1:18">
      <c r="A219" s="5"/>
      <c r="B219" s="25"/>
      <c r="C219" s="25"/>
      <c r="D219" s="25"/>
      <c r="E219" s="25"/>
      <c r="F219" s="16"/>
      <c r="H219" s="29"/>
      <c r="I219" s="29"/>
      <c r="J219" s="29"/>
      <c r="K219" s="29"/>
      <c r="L219" s="29"/>
      <c r="M219" s="29"/>
      <c r="N219" s="29"/>
      <c r="O219" s="29"/>
      <c r="P219" s="29"/>
      <c r="Q219" s="29"/>
      <c r="R219" s="38"/>
    </row>
    <row r="220" spans="1:18">
      <c r="A220" s="5"/>
      <c r="B220" s="25"/>
      <c r="C220" s="25"/>
      <c r="D220" s="25"/>
      <c r="E220" s="25"/>
      <c r="F220" s="16"/>
      <c r="H220" s="29"/>
      <c r="I220" s="29"/>
      <c r="J220" s="29"/>
      <c r="K220" s="29"/>
      <c r="L220" s="29"/>
      <c r="M220" s="29"/>
      <c r="N220" s="29"/>
      <c r="O220" s="29"/>
      <c r="P220" s="29"/>
      <c r="Q220" s="29"/>
      <c r="R220" s="38"/>
    </row>
    <row r="221" spans="1:18">
      <c r="A221" s="5"/>
      <c r="B221" s="25"/>
      <c r="C221" s="25"/>
      <c r="D221" s="25"/>
      <c r="E221" s="25"/>
      <c r="F221" s="16"/>
      <c r="H221" s="29"/>
      <c r="I221" s="29"/>
      <c r="J221" s="29"/>
      <c r="K221" s="29"/>
      <c r="L221" s="29"/>
      <c r="M221" s="29"/>
      <c r="N221" s="29"/>
      <c r="O221" s="29"/>
      <c r="P221" s="29"/>
      <c r="Q221" s="29"/>
      <c r="R221" s="38"/>
    </row>
    <row r="222" spans="1:18">
      <c r="A222" s="5"/>
      <c r="B222" s="25"/>
      <c r="C222" s="25"/>
      <c r="D222" s="25"/>
      <c r="E222" s="25"/>
      <c r="F222" s="16"/>
      <c r="H222" s="29"/>
      <c r="I222" s="29"/>
      <c r="J222" s="29"/>
      <c r="K222" s="29"/>
      <c r="L222" s="29"/>
      <c r="M222" s="29"/>
      <c r="N222" s="29"/>
      <c r="O222" s="29"/>
      <c r="P222" s="29"/>
      <c r="Q222" s="29"/>
      <c r="R222" s="38"/>
    </row>
    <row r="223" spans="1:18">
      <c r="A223" s="5"/>
      <c r="B223" s="13"/>
      <c r="C223" s="13"/>
      <c r="D223" s="13"/>
      <c r="E223" s="13"/>
      <c r="F223" s="9"/>
      <c r="G223" s="29"/>
      <c r="H223" s="29"/>
      <c r="I223" s="29"/>
      <c r="J223" s="29"/>
      <c r="K223" s="29"/>
      <c r="L223" s="29"/>
      <c r="M223" s="29"/>
      <c r="N223" s="29"/>
      <c r="O223" s="29"/>
      <c r="P223" s="29"/>
      <c r="Q223" s="29"/>
      <c r="R223" s="38"/>
    </row>
    <row r="224" spans="1:18">
      <c r="A224" s="5"/>
      <c r="B224" s="13"/>
      <c r="C224" s="13"/>
      <c r="D224" s="13"/>
      <c r="E224" s="13"/>
      <c r="F224" s="9"/>
      <c r="G224" s="29"/>
      <c r="H224" s="29"/>
      <c r="I224" s="29"/>
      <c r="J224" s="29"/>
      <c r="K224" s="29"/>
      <c r="L224" s="29"/>
      <c r="M224" s="29"/>
      <c r="N224" s="29"/>
      <c r="O224" s="29"/>
      <c r="P224" s="29"/>
      <c r="Q224" s="29"/>
      <c r="R224" s="38"/>
    </row>
    <row r="225" spans="1:18">
      <c r="A225" s="5"/>
      <c r="B225" s="13"/>
      <c r="C225" s="13"/>
      <c r="D225" s="13"/>
      <c r="E225" s="13"/>
      <c r="F225" s="9"/>
      <c r="G225" s="29"/>
      <c r="H225" s="29"/>
      <c r="I225" s="29"/>
      <c r="J225" s="29"/>
      <c r="K225" s="29"/>
      <c r="L225" s="29"/>
      <c r="M225" s="29"/>
      <c r="N225" s="29"/>
      <c r="O225" s="29"/>
      <c r="P225" s="29"/>
      <c r="Q225" s="29"/>
      <c r="R225" s="38"/>
    </row>
    <row r="226" spans="1:18">
      <c r="A226" s="5"/>
      <c r="B226" s="13"/>
      <c r="C226" s="13"/>
      <c r="D226" s="13"/>
      <c r="E226" s="13"/>
      <c r="F226" s="9"/>
      <c r="G226" s="29"/>
      <c r="H226" s="29"/>
      <c r="I226" s="29"/>
      <c r="J226" s="29"/>
      <c r="K226" s="29"/>
      <c r="L226" s="29"/>
      <c r="M226" s="29"/>
      <c r="N226" s="29"/>
      <c r="O226" s="29"/>
      <c r="P226" s="29"/>
      <c r="Q226" s="29"/>
      <c r="R226" s="38"/>
    </row>
    <row r="227" spans="1:18">
      <c r="A227" s="5"/>
      <c r="B227" s="13"/>
      <c r="C227" s="13"/>
      <c r="D227" s="13"/>
      <c r="E227" s="13"/>
      <c r="F227" s="9"/>
      <c r="G227" s="29"/>
      <c r="H227" s="29"/>
      <c r="I227" s="29"/>
      <c r="J227" s="29"/>
      <c r="K227" s="29"/>
      <c r="L227" s="29"/>
      <c r="M227" s="29"/>
      <c r="N227" s="29"/>
      <c r="O227" s="29"/>
      <c r="P227" s="29"/>
      <c r="Q227" s="29"/>
      <c r="R227" s="38"/>
    </row>
    <row r="228" spans="1:18">
      <c r="A228" s="5"/>
      <c r="B228" s="13"/>
      <c r="C228" s="13"/>
      <c r="D228" s="13"/>
      <c r="E228" s="13"/>
      <c r="F228" s="9"/>
      <c r="G228" s="29"/>
      <c r="H228" s="29"/>
      <c r="I228" s="29"/>
      <c r="J228" s="29"/>
      <c r="K228" s="29"/>
      <c r="L228" s="29"/>
      <c r="M228" s="29"/>
      <c r="N228" s="29"/>
      <c r="O228" s="29"/>
      <c r="P228" s="29"/>
      <c r="Q228" s="29"/>
      <c r="R228" s="38"/>
    </row>
    <row r="229" spans="1:18">
      <c r="A229" s="5"/>
      <c r="B229" s="13"/>
      <c r="C229" s="13"/>
      <c r="D229" s="13"/>
      <c r="E229" s="13"/>
      <c r="F229" s="9"/>
      <c r="G229" s="29"/>
      <c r="H229" s="29"/>
      <c r="I229" s="29"/>
      <c r="J229" s="29"/>
      <c r="K229" s="29"/>
      <c r="L229" s="29"/>
      <c r="M229" s="29"/>
      <c r="N229" s="29"/>
      <c r="O229" s="29"/>
      <c r="P229" s="29"/>
      <c r="Q229" s="29"/>
      <c r="R229" s="38"/>
    </row>
    <row r="230" spans="1:18">
      <c r="A230" s="5"/>
      <c r="B230" s="13"/>
      <c r="C230" s="13"/>
      <c r="D230" s="13"/>
      <c r="E230" s="13"/>
      <c r="F230" s="9"/>
      <c r="G230" s="29"/>
      <c r="H230" s="29"/>
      <c r="I230" s="29"/>
      <c r="J230" s="29"/>
      <c r="K230" s="29"/>
      <c r="L230" s="29"/>
      <c r="M230" s="29"/>
      <c r="N230" s="29"/>
      <c r="O230" s="29"/>
      <c r="P230" s="29"/>
      <c r="Q230" s="29"/>
      <c r="R230" s="38"/>
    </row>
    <row r="231" spans="1:18">
      <c r="A231" s="5"/>
      <c r="B231" s="13"/>
      <c r="C231" s="13"/>
      <c r="D231" s="13"/>
      <c r="E231" s="13"/>
      <c r="F231" s="9"/>
      <c r="G231" s="29"/>
      <c r="H231" s="29"/>
      <c r="I231" s="29"/>
      <c r="J231" s="29"/>
      <c r="K231" s="29"/>
      <c r="L231" s="29"/>
      <c r="M231" s="29"/>
      <c r="N231" s="29"/>
      <c r="O231" s="29"/>
      <c r="P231" s="29"/>
      <c r="Q231" s="29"/>
      <c r="R231" s="38"/>
    </row>
    <row r="232" spans="1:18">
      <c r="A232" s="5"/>
      <c r="B232" s="13"/>
      <c r="C232" s="13"/>
      <c r="D232" s="13"/>
      <c r="E232" s="13"/>
      <c r="F232" s="9"/>
      <c r="G232" s="29"/>
      <c r="H232" s="29"/>
      <c r="I232" s="29"/>
      <c r="J232" s="29"/>
      <c r="K232" s="29"/>
      <c r="L232" s="29"/>
      <c r="M232" s="29"/>
      <c r="N232" s="29"/>
      <c r="O232" s="29"/>
      <c r="P232" s="29"/>
      <c r="Q232" s="29"/>
      <c r="R232" s="38"/>
    </row>
    <row r="233" spans="1:18">
      <c r="A233" s="5"/>
      <c r="B233" s="13"/>
      <c r="C233" s="13"/>
      <c r="D233" s="13"/>
      <c r="E233" s="13"/>
      <c r="F233" s="9"/>
      <c r="G233" s="29"/>
      <c r="H233" s="29"/>
      <c r="I233" s="29"/>
      <c r="J233" s="29"/>
      <c r="K233" s="29"/>
      <c r="L233" s="29"/>
      <c r="M233" s="29"/>
      <c r="N233" s="29"/>
      <c r="O233" s="29"/>
      <c r="P233" s="29"/>
      <c r="Q233" s="29"/>
      <c r="R233" s="38"/>
    </row>
    <row r="234" spans="1:18">
      <c r="A234" s="5"/>
      <c r="B234" s="13"/>
      <c r="C234" s="13"/>
      <c r="D234" s="13"/>
      <c r="E234" s="13"/>
      <c r="F234" s="9"/>
      <c r="G234" s="29"/>
      <c r="H234" s="29"/>
      <c r="I234" s="29"/>
      <c r="J234" s="29"/>
      <c r="K234" s="29"/>
      <c r="L234" s="29"/>
      <c r="M234" s="29"/>
      <c r="N234" s="29"/>
      <c r="O234" s="29"/>
      <c r="P234" s="29"/>
      <c r="Q234" s="29"/>
      <c r="R234" s="38"/>
    </row>
    <row r="235" spans="1:18">
      <c r="A235" s="5"/>
      <c r="B235" s="13"/>
      <c r="C235" s="13"/>
      <c r="D235" s="13"/>
      <c r="E235" s="13"/>
      <c r="F235" s="9"/>
      <c r="G235" s="29"/>
      <c r="H235" s="29"/>
      <c r="I235" s="29"/>
      <c r="J235" s="29"/>
      <c r="K235" s="29"/>
      <c r="L235" s="29"/>
      <c r="M235" s="29"/>
      <c r="N235" s="29"/>
      <c r="O235" s="29"/>
      <c r="P235" s="29"/>
      <c r="Q235" s="29"/>
      <c r="R235" s="38"/>
    </row>
    <row r="236" spans="1:18">
      <c r="A236" s="5"/>
      <c r="B236" s="13"/>
      <c r="C236" s="13"/>
      <c r="D236" s="13"/>
      <c r="E236" s="13"/>
      <c r="F236" s="9"/>
      <c r="G236" s="29"/>
      <c r="H236" s="29"/>
      <c r="I236" s="29"/>
      <c r="J236" s="29"/>
      <c r="K236" s="29"/>
      <c r="L236" s="29"/>
      <c r="M236" s="29"/>
      <c r="N236" s="29"/>
      <c r="O236" s="29"/>
      <c r="P236" s="29"/>
      <c r="Q236" s="29"/>
      <c r="R236" s="38"/>
    </row>
    <row r="237" spans="1:18">
      <c r="A237" s="5"/>
      <c r="B237" s="13"/>
      <c r="C237" s="13"/>
      <c r="D237" s="13"/>
      <c r="E237" s="13"/>
      <c r="F237" s="9"/>
      <c r="G237" s="29"/>
      <c r="H237" s="29"/>
      <c r="I237" s="29"/>
      <c r="J237" s="29"/>
      <c r="K237" s="29"/>
      <c r="L237" s="29"/>
      <c r="M237" s="29"/>
      <c r="N237" s="29"/>
      <c r="O237" s="29"/>
      <c r="P237" s="29"/>
      <c r="Q237" s="29"/>
      <c r="R237" s="38"/>
    </row>
    <row r="238" spans="1:18">
      <c r="A238" s="5"/>
      <c r="B238" s="13"/>
      <c r="C238" s="13"/>
      <c r="D238" s="13"/>
      <c r="E238" s="13"/>
      <c r="F238" s="9"/>
      <c r="G238" s="29"/>
      <c r="H238" s="29"/>
      <c r="I238" s="29"/>
      <c r="J238" s="29"/>
      <c r="K238" s="29"/>
      <c r="L238" s="29"/>
      <c r="M238" s="29"/>
      <c r="N238" s="29"/>
      <c r="O238" s="29"/>
      <c r="P238" s="29"/>
      <c r="Q238" s="29"/>
      <c r="R238" s="38"/>
    </row>
    <row r="239" spans="1:18">
      <c r="A239" s="5"/>
      <c r="B239" s="13"/>
      <c r="C239" s="13"/>
      <c r="D239" s="13"/>
      <c r="E239" s="13"/>
      <c r="F239" s="9"/>
      <c r="G239" s="29"/>
      <c r="H239" s="29"/>
      <c r="I239" s="29"/>
      <c r="J239" s="29"/>
      <c r="K239" s="29"/>
      <c r="L239" s="29"/>
      <c r="M239" s="29"/>
      <c r="N239" s="29"/>
      <c r="O239" s="29"/>
      <c r="P239" s="29"/>
      <c r="Q239" s="29"/>
      <c r="R239" s="38"/>
    </row>
    <row r="240" spans="1:18">
      <c r="A240" s="5"/>
      <c r="B240" s="13"/>
      <c r="C240" s="13"/>
      <c r="D240" s="13"/>
      <c r="E240" s="13"/>
      <c r="F240" s="9"/>
      <c r="G240" s="29"/>
      <c r="H240" s="29"/>
      <c r="I240" s="29"/>
      <c r="J240" s="29"/>
      <c r="K240" s="29"/>
      <c r="L240" s="29"/>
      <c r="M240" s="29"/>
      <c r="N240" s="29"/>
      <c r="O240" s="29"/>
      <c r="P240" s="29"/>
      <c r="Q240" s="29"/>
      <c r="R240" s="38"/>
    </row>
    <row r="241" spans="1:18">
      <c r="A241" s="5"/>
      <c r="B241" s="13"/>
      <c r="C241" s="13"/>
      <c r="D241" s="13"/>
      <c r="E241" s="13"/>
      <c r="F241" s="9"/>
      <c r="G241" s="29"/>
      <c r="H241" s="29"/>
      <c r="I241" s="29"/>
      <c r="J241" s="29"/>
      <c r="K241" s="29"/>
      <c r="L241" s="29"/>
      <c r="M241" s="29"/>
      <c r="N241" s="29"/>
      <c r="O241" s="29"/>
      <c r="P241" s="29"/>
      <c r="Q241" s="29"/>
      <c r="R241" s="38"/>
    </row>
    <row r="242" spans="1:18">
      <c r="A242" s="5"/>
      <c r="B242" s="13"/>
      <c r="C242" s="13"/>
      <c r="D242" s="13"/>
      <c r="E242" s="13"/>
      <c r="F242" s="9"/>
      <c r="G242" s="29"/>
      <c r="H242" s="29"/>
      <c r="I242" s="29"/>
      <c r="J242" s="29"/>
      <c r="K242" s="29"/>
      <c r="L242" s="29"/>
      <c r="M242" s="29"/>
      <c r="N242" s="29"/>
      <c r="O242" s="29"/>
      <c r="P242" s="29"/>
      <c r="Q242" s="29"/>
      <c r="R242" s="38"/>
    </row>
    <row r="243" spans="1:18">
      <c r="A243" s="5"/>
      <c r="B243" s="13"/>
      <c r="C243" s="13"/>
      <c r="D243" s="13"/>
      <c r="E243" s="13"/>
      <c r="F243" s="9"/>
      <c r="G243" s="29"/>
      <c r="H243" s="29"/>
      <c r="I243" s="29"/>
      <c r="J243" s="29"/>
      <c r="K243" s="29"/>
      <c r="L243" s="29"/>
      <c r="M243" s="29"/>
      <c r="N243" s="29"/>
      <c r="O243" s="29"/>
      <c r="P243" s="29"/>
      <c r="Q243" s="29"/>
      <c r="R243" s="38"/>
    </row>
    <row r="244" spans="1:18">
      <c r="A244" s="5"/>
      <c r="B244" s="13"/>
      <c r="C244" s="13"/>
      <c r="D244" s="13"/>
      <c r="E244" s="13"/>
      <c r="F244" s="9"/>
      <c r="G244" s="29"/>
      <c r="H244" s="29"/>
      <c r="I244" s="29"/>
      <c r="J244" s="29"/>
      <c r="K244" s="29"/>
      <c r="L244" s="29"/>
      <c r="M244" s="29"/>
      <c r="N244" s="29"/>
      <c r="O244" s="29"/>
      <c r="P244" s="29"/>
      <c r="Q244" s="29"/>
      <c r="R244" s="38"/>
    </row>
    <row r="245" spans="1:18">
      <c r="A245" s="5"/>
      <c r="B245" s="13"/>
      <c r="C245" s="13"/>
      <c r="D245" s="13"/>
      <c r="E245" s="13"/>
      <c r="F245" s="9"/>
      <c r="G245" s="29"/>
      <c r="H245" s="29"/>
      <c r="I245" s="29"/>
      <c r="J245" s="29"/>
      <c r="K245" s="29"/>
      <c r="L245" s="29"/>
      <c r="M245" s="29"/>
      <c r="N245" s="29"/>
      <c r="O245" s="29"/>
      <c r="P245" s="29"/>
      <c r="Q245" s="29"/>
      <c r="R245" s="38"/>
    </row>
    <row r="246" spans="1:18">
      <c r="A246" s="5"/>
      <c r="B246" s="13"/>
      <c r="C246" s="13"/>
      <c r="D246" s="13"/>
      <c r="E246" s="13"/>
      <c r="F246" s="9"/>
      <c r="G246" s="29"/>
      <c r="H246" s="29"/>
      <c r="I246" s="29"/>
      <c r="J246" s="29"/>
      <c r="K246" s="29"/>
      <c r="L246" s="29"/>
      <c r="M246" s="29"/>
      <c r="N246" s="29"/>
      <c r="O246" s="29"/>
      <c r="P246" s="29"/>
      <c r="Q246" s="29"/>
      <c r="R246" s="38"/>
    </row>
    <row r="247" spans="1:18">
      <c r="A247" s="5"/>
      <c r="B247" s="13"/>
      <c r="C247" s="13"/>
      <c r="D247" s="13"/>
      <c r="E247" s="13"/>
      <c r="F247" s="9"/>
      <c r="G247" s="29"/>
      <c r="H247" s="29"/>
      <c r="I247" s="29"/>
      <c r="J247" s="29"/>
      <c r="K247" s="29"/>
      <c r="L247" s="29"/>
      <c r="M247" s="29"/>
      <c r="N247" s="29"/>
      <c r="O247" s="29"/>
      <c r="P247" s="29"/>
      <c r="Q247" s="29"/>
      <c r="R247" s="38"/>
    </row>
    <row r="248" spans="1:18">
      <c r="A248" s="5"/>
      <c r="B248" s="13"/>
      <c r="C248" s="13"/>
      <c r="D248" s="13"/>
      <c r="E248" s="13"/>
      <c r="F248" s="9"/>
      <c r="G248" s="29"/>
      <c r="H248" s="29"/>
      <c r="I248" s="29"/>
      <c r="J248" s="29"/>
      <c r="K248" s="29"/>
      <c r="L248" s="29"/>
      <c r="M248" s="29"/>
      <c r="N248" s="29"/>
      <c r="O248" s="29"/>
      <c r="P248" s="29"/>
      <c r="Q248" s="29"/>
      <c r="R248" s="38"/>
    </row>
    <row r="249" spans="1:18">
      <c r="A249" s="5"/>
      <c r="B249" s="13"/>
      <c r="C249" s="13"/>
      <c r="D249" s="13"/>
      <c r="E249" s="13"/>
      <c r="F249" s="9"/>
      <c r="G249" s="29"/>
      <c r="H249" s="29"/>
      <c r="I249" s="29"/>
      <c r="J249" s="29"/>
      <c r="K249" s="29"/>
      <c r="L249" s="29"/>
      <c r="M249" s="29"/>
      <c r="N249" s="29"/>
      <c r="O249" s="29"/>
      <c r="P249" s="29"/>
      <c r="Q249" s="29"/>
      <c r="R249" s="38"/>
    </row>
    <row r="250" spans="1:18">
      <c r="A250" s="5"/>
      <c r="B250" s="13"/>
      <c r="C250" s="13"/>
      <c r="D250" s="13"/>
      <c r="E250" s="13"/>
      <c r="F250" s="9"/>
      <c r="G250" s="29"/>
      <c r="H250" s="29"/>
      <c r="I250" s="29"/>
      <c r="J250" s="29"/>
      <c r="K250" s="29"/>
      <c r="L250" s="29"/>
      <c r="M250" s="29"/>
      <c r="N250" s="29"/>
      <c r="O250" s="29"/>
      <c r="P250" s="29"/>
      <c r="Q250" s="29"/>
      <c r="R250" s="38"/>
    </row>
    <row r="251" spans="1:18">
      <c r="A251" s="5"/>
      <c r="B251" s="13"/>
      <c r="C251" s="13"/>
      <c r="D251" s="13"/>
      <c r="E251" s="13"/>
      <c r="F251" s="9"/>
      <c r="G251" s="29"/>
      <c r="H251" s="29"/>
      <c r="I251" s="29"/>
      <c r="J251" s="29"/>
      <c r="K251" s="29"/>
      <c r="L251" s="29"/>
      <c r="M251" s="29"/>
      <c r="N251" s="29"/>
      <c r="O251" s="29"/>
      <c r="P251" s="29"/>
      <c r="Q251" s="29"/>
      <c r="R251" s="38"/>
    </row>
    <row r="252" spans="1:18">
      <c r="A252" s="5"/>
      <c r="B252" s="13"/>
      <c r="C252" s="13"/>
      <c r="D252" s="13"/>
      <c r="E252" s="13"/>
      <c r="F252" s="9"/>
      <c r="G252" s="29"/>
      <c r="H252" s="29"/>
      <c r="I252" s="29"/>
      <c r="J252" s="29"/>
      <c r="K252" s="29"/>
      <c r="L252" s="29"/>
      <c r="M252" s="29"/>
      <c r="N252" s="29"/>
      <c r="O252" s="29"/>
      <c r="P252" s="29"/>
      <c r="Q252" s="29"/>
      <c r="R252" s="38"/>
    </row>
    <row r="253" spans="1:18">
      <c r="A253" s="5"/>
      <c r="B253" s="13"/>
      <c r="C253" s="13"/>
      <c r="D253" s="13"/>
      <c r="E253" s="13"/>
      <c r="F253" s="9"/>
      <c r="G253" s="29"/>
      <c r="H253" s="29"/>
      <c r="I253" s="29"/>
      <c r="J253" s="29"/>
      <c r="K253" s="29"/>
      <c r="L253" s="29"/>
      <c r="M253" s="29"/>
      <c r="N253" s="29"/>
      <c r="O253" s="29"/>
      <c r="P253" s="29"/>
      <c r="Q253" s="29"/>
      <c r="R253" s="38"/>
    </row>
    <row r="254" spans="1:18">
      <c r="A254" s="5"/>
      <c r="B254" s="13"/>
      <c r="C254" s="13"/>
      <c r="D254" s="13"/>
      <c r="E254" s="13"/>
      <c r="F254" s="9"/>
      <c r="G254" s="29"/>
      <c r="H254" s="29"/>
      <c r="I254" s="29"/>
      <c r="J254" s="29"/>
      <c r="K254" s="29"/>
      <c r="L254" s="29"/>
      <c r="M254" s="29"/>
      <c r="N254" s="29"/>
      <c r="O254" s="29"/>
      <c r="P254" s="29"/>
      <c r="Q254" s="29"/>
      <c r="R254" s="38"/>
    </row>
    <row r="255" spans="1:18">
      <c r="A255" s="5"/>
      <c r="B255" s="13"/>
      <c r="C255" s="13"/>
      <c r="D255" s="13"/>
      <c r="E255" s="13"/>
      <c r="F255" s="9"/>
      <c r="G255" s="29"/>
      <c r="H255" s="29"/>
      <c r="I255" s="29"/>
      <c r="J255" s="29"/>
      <c r="K255" s="29"/>
      <c r="L255" s="29"/>
      <c r="M255" s="29"/>
      <c r="N255" s="29"/>
      <c r="O255" s="29"/>
      <c r="P255" s="29"/>
      <c r="Q255" s="29"/>
      <c r="R255" s="38"/>
    </row>
    <row r="256" spans="1:18">
      <c r="A256" s="5"/>
      <c r="B256" s="13"/>
      <c r="C256" s="13"/>
      <c r="D256" s="13"/>
      <c r="E256" s="13"/>
      <c r="F256" s="9"/>
      <c r="G256" s="32"/>
      <c r="H256" s="32"/>
      <c r="I256" s="32"/>
      <c r="J256" s="32"/>
      <c r="K256" s="29"/>
      <c r="L256" s="29"/>
      <c r="M256" s="29"/>
      <c r="N256" s="29"/>
      <c r="O256" s="29"/>
      <c r="P256" s="29"/>
      <c r="Q256" s="29"/>
      <c r="R256" s="38"/>
    </row>
    <row r="257" spans="1:18">
      <c r="A257" s="5"/>
      <c r="B257" s="13"/>
      <c r="C257" s="13"/>
      <c r="D257" s="13"/>
      <c r="E257" s="13"/>
      <c r="F257" s="9"/>
      <c r="G257" s="32"/>
      <c r="H257" s="32"/>
      <c r="I257" s="32"/>
      <c r="J257" s="32"/>
      <c r="K257" s="29"/>
      <c r="L257" s="29"/>
      <c r="M257" s="29"/>
      <c r="N257" s="29"/>
      <c r="O257" s="29"/>
      <c r="P257" s="29"/>
      <c r="Q257" s="29"/>
      <c r="R257" s="38"/>
    </row>
    <row r="258" spans="1:18">
      <c r="A258" s="5"/>
      <c r="B258" s="13"/>
      <c r="C258" s="13"/>
      <c r="D258" s="13"/>
      <c r="E258" s="13"/>
      <c r="F258" s="9"/>
      <c r="G258" s="32"/>
      <c r="H258" s="32"/>
      <c r="I258" s="32"/>
      <c r="J258" s="32"/>
      <c r="K258" s="29"/>
      <c r="L258" s="29"/>
      <c r="M258" s="29"/>
      <c r="N258" s="29"/>
      <c r="O258" s="29"/>
      <c r="P258" s="29"/>
      <c r="Q258" s="29"/>
      <c r="R258" s="38"/>
    </row>
    <row r="259" spans="1:18">
      <c r="A259" s="5"/>
      <c r="B259" s="13"/>
      <c r="C259" s="13"/>
      <c r="D259" s="13"/>
      <c r="E259" s="13"/>
      <c r="F259" s="9"/>
      <c r="G259" s="32"/>
      <c r="H259" s="32"/>
      <c r="I259" s="32"/>
      <c r="J259" s="32"/>
      <c r="K259" s="29"/>
      <c r="L259" s="29"/>
      <c r="M259" s="29"/>
      <c r="N259" s="29"/>
      <c r="O259" s="29"/>
      <c r="P259" s="29"/>
      <c r="Q259" s="29"/>
      <c r="R259" s="38"/>
    </row>
    <row r="260" spans="1:18">
      <c r="A260" s="5"/>
      <c r="B260" s="13"/>
      <c r="C260" s="13"/>
      <c r="D260" s="13"/>
      <c r="E260" s="13"/>
      <c r="F260" s="9"/>
      <c r="G260" s="32"/>
      <c r="H260" s="32"/>
      <c r="I260" s="32"/>
      <c r="J260" s="32"/>
      <c r="K260" s="29"/>
      <c r="L260" s="29"/>
      <c r="M260" s="29"/>
      <c r="N260" s="29"/>
      <c r="O260" s="29"/>
      <c r="P260" s="29"/>
      <c r="Q260" s="29"/>
      <c r="R260" s="38"/>
    </row>
    <row r="261" spans="1:18">
      <c r="A261" s="5"/>
      <c r="B261" s="13"/>
      <c r="C261" s="13"/>
      <c r="D261" s="13"/>
      <c r="E261" s="13"/>
      <c r="F261" s="9"/>
      <c r="G261" s="32"/>
      <c r="H261" s="32"/>
      <c r="I261" s="32"/>
      <c r="J261" s="32"/>
      <c r="K261" s="29"/>
      <c r="L261" s="29"/>
      <c r="M261" s="29"/>
      <c r="N261" s="29"/>
      <c r="O261" s="29"/>
      <c r="P261" s="29"/>
      <c r="Q261" s="29"/>
      <c r="R261" s="38"/>
    </row>
    <row r="262" spans="1:18">
      <c r="A262" s="5"/>
      <c r="B262" s="13"/>
      <c r="C262" s="13"/>
      <c r="D262" s="13"/>
      <c r="E262" s="13"/>
      <c r="F262" s="9"/>
      <c r="G262" s="32"/>
      <c r="H262" s="32"/>
      <c r="I262" s="32"/>
      <c r="J262" s="32"/>
      <c r="K262" s="29"/>
      <c r="L262" s="29"/>
      <c r="M262" s="29"/>
      <c r="N262" s="29"/>
      <c r="O262" s="29"/>
      <c r="P262" s="29"/>
      <c r="Q262" s="29"/>
      <c r="R262" s="38"/>
    </row>
    <row r="263" spans="1:18">
      <c r="A263" s="5"/>
      <c r="B263" s="13"/>
      <c r="C263" s="13"/>
      <c r="D263" s="13"/>
      <c r="E263" s="13"/>
      <c r="F263" s="9"/>
      <c r="G263" s="32"/>
      <c r="H263" s="32"/>
      <c r="I263" s="32"/>
      <c r="J263" s="32"/>
      <c r="K263" s="29"/>
      <c r="L263" s="29"/>
      <c r="M263" s="29"/>
      <c r="N263" s="29"/>
      <c r="O263" s="29"/>
      <c r="P263" s="29"/>
      <c r="Q263" s="29"/>
      <c r="R263" s="38"/>
    </row>
    <row r="264" spans="1:18">
      <c r="A264" s="5"/>
      <c r="B264" s="13"/>
      <c r="C264" s="13"/>
      <c r="D264" s="13"/>
      <c r="E264" s="13"/>
      <c r="F264" s="9"/>
      <c r="G264" s="32"/>
      <c r="H264" s="32"/>
      <c r="I264" s="32"/>
      <c r="J264" s="32"/>
      <c r="K264" s="29"/>
      <c r="L264" s="29"/>
      <c r="M264" s="29"/>
      <c r="N264" s="29"/>
      <c r="O264" s="29"/>
      <c r="P264" s="29"/>
      <c r="Q264" s="29"/>
      <c r="R264" s="38"/>
    </row>
    <row r="265" spans="1:18">
      <c r="A265" s="5"/>
      <c r="B265" s="13"/>
      <c r="C265" s="13"/>
      <c r="D265" s="13"/>
      <c r="E265" s="13"/>
      <c r="F265" s="9"/>
      <c r="G265" s="32"/>
      <c r="H265" s="32"/>
      <c r="I265" s="32"/>
      <c r="J265" s="32"/>
      <c r="K265" s="29"/>
      <c r="L265" s="29"/>
      <c r="M265" s="29"/>
      <c r="N265" s="29"/>
      <c r="O265" s="29"/>
      <c r="P265" s="29"/>
      <c r="Q265" s="29"/>
      <c r="R265" s="38"/>
    </row>
    <row r="266" spans="1:18">
      <c r="A266" s="5"/>
      <c r="B266" s="13"/>
      <c r="C266" s="13"/>
      <c r="D266" s="13"/>
      <c r="E266" s="13"/>
      <c r="F266" s="9"/>
      <c r="G266" s="32"/>
      <c r="H266" s="32"/>
      <c r="I266" s="32"/>
      <c r="J266" s="32"/>
      <c r="K266" s="29"/>
      <c r="L266" s="29"/>
      <c r="M266" s="29"/>
      <c r="N266" s="29"/>
      <c r="O266" s="29"/>
      <c r="P266" s="29"/>
      <c r="Q266" s="29"/>
      <c r="R266" s="38"/>
    </row>
    <row r="267" spans="1:18">
      <c r="A267" s="5"/>
      <c r="B267" s="13"/>
      <c r="C267" s="13"/>
      <c r="D267" s="13"/>
      <c r="E267" s="13"/>
      <c r="F267" s="9"/>
      <c r="G267" s="32"/>
      <c r="H267" s="32"/>
      <c r="I267" s="32"/>
      <c r="J267" s="32"/>
      <c r="K267" s="29"/>
      <c r="L267" s="29"/>
      <c r="M267" s="29"/>
      <c r="N267" s="29"/>
      <c r="O267" s="29"/>
      <c r="P267" s="29"/>
      <c r="Q267" s="29"/>
      <c r="R267" s="38"/>
    </row>
    <row r="268" spans="1:18">
      <c r="A268" s="5"/>
      <c r="B268" s="13"/>
      <c r="C268" s="13"/>
      <c r="D268" s="13"/>
      <c r="E268" s="13"/>
      <c r="F268" s="9"/>
      <c r="G268" s="32"/>
      <c r="H268" s="32"/>
      <c r="I268" s="32"/>
      <c r="J268" s="32"/>
      <c r="K268" s="29"/>
      <c r="L268" s="29"/>
      <c r="M268" s="29"/>
      <c r="N268" s="29"/>
      <c r="O268" s="29"/>
      <c r="P268" s="29"/>
      <c r="Q268" s="29"/>
      <c r="R268" s="38"/>
    </row>
    <row r="269" spans="1:18">
      <c r="A269" s="5"/>
      <c r="B269" s="13"/>
      <c r="C269" s="13"/>
      <c r="D269" s="13"/>
      <c r="E269" s="13"/>
      <c r="F269" s="9"/>
      <c r="G269" s="32"/>
      <c r="H269" s="32"/>
      <c r="I269" s="32"/>
      <c r="J269" s="32"/>
      <c r="K269" s="29"/>
      <c r="L269" s="29"/>
      <c r="M269" s="29"/>
      <c r="N269" s="29"/>
      <c r="O269" s="29"/>
      <c r="P269" s="29"/>
      <c r="Q269" s="29"/>
      <c r="R269" s="38"/>
    </row>
    <row r="270" spans="1:18">
      <c r="A270" s="5"/>
      <c r="B270" s="13"/>
      <c r="C270" s="13"/>
      <c r="D270" s="13"/>
      <c r="E270" s="13"/>
      <c r="F270" s="9"/>
      <c r="G270" s="32"/>
      <c r="H270" s="32"/>
      <c r="I270" s="32"/>
      <c r="J270" s="32"/>
      <c r="K270" s="29"/>
      <c r="L270" s="29"/>
      <c r="M270" s="29"/>
      <c r="N270" s="29"/>
      <c r="O270" s="29"/>
      <c r="P270" s="29"/>
      <c r="Q270" s="29"/>
      <c r="R270" s="38"/>
    </row>
    <row r="271" spans="1:18">
      <c r="A271" s="5"/>
      <c r="B271" s="13"/>
      <c r="C271" s="13"/>
      <c r="D271" s="13"/>
      <c r="E271" s="13"/>
      <c r="F271" s="9"/>
      <c r="G271" s="32"/>
      <c r="H271" s="32"/>
      <c r="I271" s="32"/>
      <c r="J271" s="32"/>
      <c r="K271" s="29"/>
      <c r="L271" s="29"/>
      <c r="M271" s="29"/>
      <c r="N271" s="29"/>
      <c r="O271" s="29"/>
      <c r="P271" s="29"/>
      <c r="Q271" s="29"/>
      <c r="R271" s="38"/>
    </row>
    <row r="272" spans="1:18">
      <c r="A272" s="5"/>
      <c r="B272" s="13"/>
      <c r="C272" s="13"/>
      <c r="D272" s="13"/>
      <c r="E272" s="13"/>
      <c r="F272" s="9"/>
      <c r="G272" s="32"/>
      <c r="H272" s="32"/>
      <c r="I272" s="32"/>
      <c r="J272" s="32"/>
      <c r="K272" s="29"/>
      <c r="L272" s="29"/>
      <c r="M272" s="29"/>
      <c r="N272" s="29"/>
      <c r="O272" s="29"/>
      <c r="P272" s="29"/>
      <c r="Q272" s="29"/>
      <c r="R272" s="38"/>
    </row>
    <row r="273" spans="1:18">
      <c r="A273" s="5"/>
      <c r="B273" s="13"/>
      <c r="C273" s="13"/>
      <c r="D273" s="13"/>
      <c r="E273" s="13"/>
      <c r="F273" s="9"/>
      <c r="G273" s="32"/>
      <c r="H273" s="32"/>
      <c r="I273" s="32"/>
      <c r="J273" s="32"/>
      <c r="K273" s="29"/>
      <c r="L273" s="29"/>
      <c r="M273" s="29"/>
      <c r="N273" s="29"/>
      <c r="O273" s="29"/>
      <c r="P273" s="29"/>
      <c r="Q273" s="29"/>
      <c r="R273" s="38"/>
    </row>
    <row r="274" spans="1:18">
      <c r="A274" s="5"/>
      <c r="B274" s="13"/>
      <c r="C274" s="13"/>
      <c r="D274" s="13"/>
      <c r="E274" s="13"/>
      <c r="F274" s="9"/>
      <c r="G274" s="32"/>
      <c r="H274" s="32"/>
      <c r="I274" s="32"/>
      <c r="J274" s="32"/>
      <c r="K274" s="29"/>
      <c r="L274" s="29"/>
      <c r="M274" s="29"/>
      <c r="N274" s="29"/>
      <c r="O274" s="29"/>
      <c r="P274" s="29"/>
      <c r="Q274" s="29"/>
      <c r="R274" s="38"/>
    </row>
    <row r="275" spans="1:18">
      <c r="A275" s="5"/>
      <c r="B275" s="13"/>
      <c r="C275" s="13"/>
      <c r="D275" s="13"/>
      <c r="E275" s="13"/>
      <c r="F275" s="9"/>
      <c r="G275" s="32"/>
      <c r="H275" s="32"/>
      <c r="I275" s="32"/>
      <c r="J275" s="32"/>
      <c r="K275" s="29"/>
      <c r="L275" s="29"/>
      <c r="M275" s="29"/>
      <c r="N275" s="29"/>
      <c r="O275" s="29"/>
      <c r="P275" s="29"/>
      <c r="Q275" s="29"/>
      <c r="R275" s="38"/>
    </row>
    <row r="276" spans="1:18">
      <c r="A276" s="5"/>
      <c r="B276" s="13"/>
      <c r="C276" s="13"/>
      <c r="D276" s="13"/>
      <c r="E276" s="13"/>
      <c r="F276" s="9"/>
      <c r="G276" s="32"/>
      <c r="H276" s="32"/>
      <c r="I276" s="32"/>
      <c r="J276" s="32"/>
      <c r="K276" s="29"/>
      <c r="L276" s="29"/>
      <c r="M276" s="29"/>
      <c r="N276" s="29"/>
      <c r="O276" s="29"/>
      <c r="P276" s="29"/>
      <c r="Q276" s="29"/>
      <c r="R276" s="38"/>
    </row>
    <row r="277" spans="1:18">
      <c r="A277" s="5"/>
      <c r="B277" s="13"/>
      <c r="C277" s="13"/>
      <c r="D277" s="13"/>
      <c r="E277" s="13"/>
      <c r="F277" s="9"/>
      <c r="G277" s="32"/>
      <c r="H277" s="32"/>
      <c r="I277" s="32"/>
      <c r="J277" s="32"/>
      <c r="K277" s="29"/>
      <c r="L277" s="29"/>
      <c r="M277" s="29"/>
      <c r="N277" s="29"/>
      <c r="O277" s="29"/>
      <c r="P277" s="29"/>
      <c r="Q277" s="29"/>
      <c r="R277" s="38"/>
    </row>
    <row r="278" spans="1:18">
      <c r="A278" s="5"/>
      <c r="B278" s="13"/>
      <c r="C278" s="13"/>
      <c r="D278" s="13"/>
      <c r="E278" s="13"/>
      <c r="F278" s="9"/>
      <c r="G278" s="32"/>
      <c r="H278" s="32"/>
      <c r="I278" s="32"/>
      <c r="J278" s="32"/>
      <c r="K278" s="29"/>
      <c r="L278" s="29"/>
      <c r="M278" s="29"/>
      <c r="N278" s="29"/>
      <c r="O278" s="29"/>
      <c r="P278" s="29"/>
      <c r="Q278" s="29"/>
      <c r="R278" s="38"/>
    </row>
    <row r="279" spans="1:18">
      <c r="A279" s="5"/>
      <c r="B279" s="13"/>
      <c r="C279" s="13"/>
      <c r="D279" s="13"/>
      <c r="E279" s="13"/>
      <c r="F279" s="9"/>
      <c r="G279" s="32"/>
      <c r="H279" s="32"/>
      <c r="I279" s="32"/>
      <c r="J279" s="32"/>
      <c r="K279" s="29"/>
      <c r="L279" s="29"/>
      <c r="M279" s="29"/>
      <c r="N279" s="29"/>
      <c r="O279" s="29"/>
      <c r="P279" s="29"/>
      <c r="Q279" s="29"/>
      <c r="R279" s="38"/>
    </row>
    <row r="280" spans="1:18">
      <c r="A280" s="5"/>
      <c r="B280" s="13"/>
      <c r="C280" s="13"/>
      <c r="D280" s="13"/>
      <c r="E280" s="13"/>
      <c r="F280" s="9"/>
      <c r="G280" s="32"/>
      <c r="H280" s="32"/>
      <c r="I280" s="32"/>
      <c r="J280" s="32"/>
      <c r="K280" s="29"/>
      <c r="L280" s="29"/>
      <c r="M280" s="29"/>
      <c r="N280" s="29"/>
      <c r="O280" s="29"/>
      <c r="P280" s="29"/>
      <c r="Q280" s="29"/>
      <c r="R280" s="38"/>
    </row>
    <row r="281" spans="1:18">
      <c r="A281" s="5"/>
      <c r="B281" s="13"/>
      <c r="C281" s="13"/>
      <c r="D281" s="13"/>
      <c r="E281" s="13"/>
      <c r="F281" s="9"/>
      <c r="G281" s="32"/>
      <c r="H281" s="32"/>
      <c r="I281" s="32"/>
      <c r="J281" s="32"/>
      <c r="K281" s="29"/>
      <c r="L281" s="29"/>
      <c r="M281" s="29"/>
      <c r="N281" s="29"/>
      <c r="O281" s="29"/>
      <c r="P281" s="29"/>
      <c r="Q281" s="29"/>
      <c r="R281" s="38"/>
    </row>
    <row r="282" spans="1:18">
      <c r="A282" s="5"/>
      <c r="B282" s="13"/>
      <c r="C282" s="13"/>
      <c r="D282" s="13"/>
      <c r="E282" s="13"/>
      <c r="F282" s="9"/>
      <c r="G282" s="32"/>
      <c r="H282" s="32"/>
      <c r="I282" s="32"/>
      <c r="J282" s="32"/>
      <c r="K282" s="29"/>
      <c r="L282" s="29"/>
      <c r="M282" s="29"/>
      <c r="N282" s="29"/>
      <c r="O282" s="29"/>
      <c r="P282" s="29"/>
      <c r="Q282" s="29"/>
      <c r="R282" s="38"/>
    </row>
    <row r="283" spans="1:18">
      <c r="A283" s="5"/>
      <c r="B283" s="13"/>
      <c r="C283" s="13"/>
      <c r="D283" s="13"/>
      <c r="E283" s="13"/>
      <c r="F283" s="9"/>
      <c r="G283" s="32"/>
      <c r="H283" s="32"/>
      <c r="I283" s="32"/>
      <c r="J283" s="32"/>
      <c r="K283" s="29"/>
      <c r="L283" s="29"/>
      <c r="M283" s="29"/>
      <c r="N283" s="29"/>
      <c r="O283" s="29"/>
      <c r="P283" s="29"/>
      <c r="Q283" s="29"/>
      <c r="R283" s="38"/>
    </row>
    <row r="284" spans="1:18">
      <c r="A284" s="5"/>
      <c r="B284" s="13"/>
      <c r="C284" s="13"/>
      <c r="D284" s="13"/>
      <c r="E284" s="13"/>
      <c r="F284" s="9"/>
      <c r="G284" s="32"/>
      <c r="H284" s="32"/>
      <c r="I284" s="32"/>
      <c r="J284" s="32"/>
      <c r="K284" s="29"/>
      <c r="L284" s="29"/>
      <c r="M284" s="29"/>
      <c r="N284" s="29"/>
      <c r="O284" s="29"/>
      <c r="P284" s="29"/>
      <c r="Q284" s="29"/>
      <c r="R284" s="38"/>
    </row>
    <row r="285" spans="1:18">
      <c r="A285" s="5"/>
      <c r="B285" s="13"/>
      <c r="C285" s="13"/>
      <c r="D285" s="13"/>
      <c r="E285" s="13"/>
      <c r="F285" s="9"/>
      <c r="G285" s="32"/>
      <c r="H285" s="32"/>
      <c r="I285" s="32"/>
      <c r="J285" s="32"/>
      <c r="K285" s="29"/>
      <c r="L285" s="29"/>
      <c r="M285" s="29"/>
      <c r="N285" s="29"/>
      <c r="O285" s="29"/>
      <c r="P285" s="29"/>
      <c r="Q285" s="29"/>
      <c r="R285" s="38"/>
    </row>
    <row r="286" spans="1:18">
      <c r="A286" s="5"/>
      <c r="B286" s="13"/>
      <c r="C286" s="13"/>
      <c r="D286" s="13"/>
      <c r="E286" s="13"/>
      <c r="F286" s="9"/>
      <c r="G286" s="32"/>
      <c r="H286" s="32"/>
      <c r="I286" s="32"/>
      <c r="J286" s="32"/>
      <c r="K286" s="29"/>
      <c r="L286" s="29"/>
      <c r="M286" s="29"/>
      <c r="N286" s="29"/>
      <c r="O286" s="29"/>
      <c r="P286" s="29"/>
      <c r="Q286" s="29"/>
      <c r="R286" s="38"/>
    </row>
    <row r="287" spans="1:18">
      <c r="A287" s="5"/>
      <c r="B287" s="13"/>
      <c r="C287" s="13"/>
      <c r="D287" s="13"/>
      <c r="E287" s="13"/>
      <c r="F287" s="9"/>
      <c r="G287" s="32"/>
      <c r="H287" s="32"/>
      <c r="I287" s="32"/>
      <c r="J287" s="32"/>
      <c r="K287" s="29"/>
      <c r="L287" s="29"/>
      <c r="M287" s="29"/>
      <c r="N287" s="29"/>
      <c r="O287" s="29"/>
      <c r="P287" s="29"/>
      <c r="Q287" s="29"/>
      <c r="R287" s="38"/>
    </row>
    <row r="288" spans="1:18">
      <c r="A288" s="5"/>
      <c r="B288" s="13"/>
      <c r="C288" s="13"/>
      <c r="D288" s="13"/>
      <c r="E288" s="13"/>
      <c r="F288" s="9"/>
      <c r="G288" s="32"/>
      <c r="H288" s="32"/>
      <c r="I288" s="32"/>
      <c r="J288" s="32"/>
      <c r="K288" s="29"/>
      <c r="L288" s="29"/>
      <c r="M288" s="29"/>
      <c r="N288" s="29"/>
      <c r="O288" s="29"/>
      <c r="P288" s="29"/>
      <c r="Q288" s="29"/>
      <c r="R288" s="38"/>
    </row>
    <row r="289" spans="1:18">
      <c r="A289" s="5"/>
      <c r="B289" s="13"/>
      <c r="C289" s="13"/>
      <c r="D289" s="13"/>
      <c r="E289" s="13"/>
      <c r="F289" s="9"/>
      <c r="G289" s="32"/>
      <c r="H289" s="32"/>
      <c r="I289" s="32"/>
      <c r="J289" s="32"/>
      <c r="K289" s="29"/>
      <c r="L289" s="29"/>
      <c r="M289" s="29"/>
      <c r="N289" s="29"/>
      <c r="O289" s="29"/>
      <c r="P289" s="29"/>
      <c r="Q289" s="29"/>
      <c r="R289" s="38"/>
    </row>
    <row r="290" spans="1:18">
      <c r="A290" s="5"/>
      <c r="B290" s="13"/>
      <c r="C290" s="13"/>
      <c r="D290" s="13"/>
      <c r="E290" s="13"/>
      <c r="F290" s="9"/>
      <c r="G290" s="32"/>
      <c r="H290" s="32"/>
      <c r="I290" s="32"/>
      <c r="J290" s="32"/>
      <c r="K290" s="29"/>
      <c r="L290" s="29"/>
      <c r="M290" s="29"/>
      <c r="N290" s="29"/>
      <c r="O290" s="29"/>
      <c r="P290" s="29"/>
      <c r="Q290" s="29"/>
      <c r="R290" s="38"/>
    </row>
    <row r="291" spans="1:18">
      <c r="A291" s="5"/>
      <c r="B291" s="13"/>
      <c r="C291" s="13"/>
      <c r="D291" s="13"/>
      <c r="E291" s="13"/>
      <c r="F291" s="9"/>
      <c r="G291" s="32"/>
      <c r="H291" s="32"/>
      <c r="I291" s="32"/>
      <c r="J291" s="32"/>
      <c r="K291" s="29"/>
      <c r="L291" s="29"/>
      <c r="M291" s="29"/>
      <c r="N291" s="29"/>
      <c r="O291" s="29"/>
      <c r="P291" s="29"/>
      <c r="Q291" s="29"/>
      <c r="R291" s="38"/>
    </row>
    <row r="292" spans="1:18">
      <c r="A292" s="5"/>
      <c r="B292" s="13"/>
      <c r="C292" s="13"/>
      <c r="D292" s="13"/>
      <c r="E292" s="13"/>
      <c r="F292" s="9"/>
      <c r="G292" s="32"/>
      <c r="H292" s="32"/>
      <c r="I292" s="32"/>
      <c r="J292" s="32"/>
      <c r="K292" s="29"/>
      <c r="L292" s="29"/>
      <c r="M292" s="29"/>
      <c r="N292" s="29"/>
      <c r="O292" s="29"/>
      <c r="P292" s="29"/>
      <c r="Q292" s="29"/>
      <c r="R292" s="38"/>
    </row>
    <row r="293" spans="1:18">
      <c r="A293" s="5"/>
      <c r="B293" s="13"/>
      <c r="C293" s="13"/>
      <c r="D293" s="13"/>
      <c r="E293" s="13"/>
      <c r="F293" s="9"/>
      <c r="G293" s="32"/>
      <c r="H293" s="32"/>
      <c r="I293" s="32"/>
      <c r="J293" s="32"/>
      <c r="K293" s="29"/>
      <c r="L293" s="29"/>
      <c r="M293" s="29"/>
      <c r="N293" s="29"/>
      <c r="O293" s="29"/>
      <c r="P293" s="29"/>
      <c r="Q293" s="29"/>
      <c r="R293" s="38"/>
    </row>
    <row r="294" spans="1:18">
      <c r="A294" s="5"/>
      <c r="B294" s="13"/>
      <c r="C294" s="13"/>
      <c r="D294" s="13"/>
      <c r="E294" s="13"/>
      <c r="F294" s="9"/>
      <c r="G294" s="32"/>
      <c r="H294" s="32"/>
      <c r="I294" s="32"/>
      <c r="J294" s="32"/>
      <c r="K294" s="29"/>
      <c r="L294" s="29"/>
      <c r="M294" s="29"/>
      <c r="N294" s="29"/>
      <c r="O294" s="29"/>
      <c r="P294" s="29"/>
      <c r="Q294" s="29"/>
      <c r="R294" s="38"/>
    </row>
    <row r="295" spans="1:18">
      <c r="A295" s="5"/>
      <c r="B295" s="13"/>
      <c r="C295" s="13"/>
      <c r="D295" s="13"/>
      <c r="E295" s="13"/>
      <c r="F295" s="9"/>
      <c r="G295" s="32"/>
      <c r="H295" s="32"/>
      <c r="I295" s="32"/>
      <c r="J295" s="32"/>
      <c r="K295" s="29"/>
      <c r="L295" s="29"/>
      <c r="M295" s="29"/>
      <c r="N295" s="29"/>
      <c r="O295" s="29"/>
      <c r="P295" s="29"/>
      <c r="Q295" s="29"/>
      <c r="R295" s="38"/>
    </row>
    <row r="296" spans="1:18">
      <c r="A296" s="5"/>
      <c r="B296" s="13"/>
      <c r="C296" s="13"/>
      <c r="D296" s="13"/>
      <c r="E296" s="13"/>
      <c r="F296" s="9"/>
      <c r="G296" s="32"/>
      <c r="H296" s="32"/>
      <c r="I296" s="32"/>
      <c r="J296" s="32"/>
      <c r="K296" s="29"/>
      <c r="L296" s="29"/>
      <c r="M296" s="29"/>
      <c r="N296" s="29"/>
      <c r="O296" s="29"/>
      <c r="P296" s="29"/>
      <c r="Q296" s="29"/>
      <c r="R296" s="38"/>
    </row>
    <row r="297" spans="1:18">
      <c r="A297" s="5"/>
      <c r="B297" s="13"/>
      <c r="C297" s="13"/>
      <c r="D297" s="13"/>
      <c r="E297" s="13"/>
      <c r="F297" s="9"/>
      <c r="G297" s="32"/>
      <c r="H297" s="32"/>
      <c r="I297" s="32"/>
      <c r="J297" s="32"/>
      <c r="K297" s="29"/>
      <c r="L297" s="29"/>
      <c r="M297" s="29"/>
      <c r="N297" s="29"/>
      <c r="O297" s="29"/>
      <c r="P297" s="29"/>
      <c r="Q297" s="29"/>
      <c r="R297" s="38"/>
    </row>
    <row r="298" spans="1:18">
      <c r="A298" s="5"/>
      <c r="B298" s="13"/>
      <c r="C298" s="13"/>
      <c r="D298" s="13"/>
      <c r="E298" s="13"/>
      <c r="F298" s="9"/>
      <c r="G298" s="32"/>
      <c r="H298" s="32"/>
      <c r="I298" s="32"/>
      <c r="J298" s="32"/>
      <c r="K298" s="29"/>
      <c r="L298" s="29"/>
      <c r="M298" s="29"/>
      <c r="N298" s="29"/>
      <c r="O298" s="29"/>
      <c r="P298" s="29"/>
      <c r="Q298" s="29"/>
      <c r="R298" s="38"/>
    </row>
    <row r="299" spans="1:18">
      <c r="A299" s="5"/>
      <c r="B299" s="13"/>
      <c r="C299" s="13"/>
      <c r="D299" s="13"/>
      <c r="E299" s="13"/>
      <c r="F299" s="9"/>
      <c r="G299" s="32"/>
      <c r="H299" s="32"/>
      <c r="I299" s="32"/>
      <c r="J299" s="32"/>
      <c r="K299" s="29"/>
      <c r="L299" s="29"/>
      <c r="M299" s="29"/>
      <c r="N299" s="29"/>
      <c r="O299" s="29"/>
      <c r="P299" s="29"/>
      <c r="Q299" s="29"/>
      <c r="R299" s="38"/>
    </row>
    <row r="300" spans="1:18">
      <c r="A300" s="5"/>
      <c r="B300" s="13"/>
      <c r="C300" s="13"/>
      <c r="D300" s="13"/>
      <c r="E300" s="13"/>
      <c r="F300" s="9"/>
      <c r="G300" s="32"/>
      <c r="H300" s="32"/>
      <c r="I300" s="32"/>
      <c r="J300" s="32"/>
      <c r="K300" s="29"/>
      <c r="L300" s="29"/>
      <c r="M300" s="29"/>
      <c r="N300" s="29"/>
      <c r="O300" s="29"/>
      <c r="P300" s="29"/>
      <c r="Q300" s="29"/>
      <c r="R300" s="38"/>
    </row>
    <row r="301" spans="1:18">
      <c r="A301" s="5"/>
      <c r="B301" s="13"/>
      <c r="C301" s="13"/>
      <c r="D301" s="13"/>
      <c r="E301" s="13"/>
      <c r="F301" s="9"/>
      <c r="G301" s="32"/>
      <c r="H301" s="32"/>
      <c r="I301" s="32"/>
      <c r="J301" s="32"/>
      <c r="K301" s="29"/>
      <c r="L301" s="29"/>
      <c r="M301" s="29"/>
      <c r="N301" s="29"/>
      <c r="O301" s="29"/>
      <c r="P301" s="29"/>
      <c r="Q301" s="29"/>
      <c r="R301" s="38"/>
    </row>
    <row r="302" spans="1:18">
      <c r="A302" s="5"/>
      <c r="B302" s="13"/>
      <c r="C302" s="13"/>
      <c r="D302" s="13"/>
      <c r="E302" s="13"/>
      <c r="F302" s="9"/>
      <c r="G302" s="32"/>
      <c r="H302" s="32"/>
      <c r="I302" s="32"/>
      <c r="J302" s="32"/>
      <c r="K302" s="29"/>
      <c r="L302" s="29"/>
      <c r="M302" s="29"/>
      <c r="N302" s="29"/>
      <c r="O302" s="29"/>
      <c r="P302" s="29"/>
      <c r="Q302" s="29"/>
      <c r="R302" s="38"/>
    </row>
    <row r="303" spans="1:18">
      <c r="A303" s="5"/>
      <c r="B303" s="13"/>
      <c r="C303" s="13"/>
      <c r="D303" s="13"/>
      <c r="E303" s="13"/>
      <c r="F303" s="9"/>
      <c r="G303" s="32"/>
      <c r="H303" s="32"/>
      <c r="I303" s="32"/>
      <c r="J303" s="32"/>
      <c r="K303" s="29"/>
      <c r="L303" s="29"/>
      <c r="M303" s="29"/>
      <c r="N303" s="29"/>
      <c r="O303" s="29"/>
      <c r="P303" s="29"/>
      <c r="Q303" s="29"/>
      <c r="R303" s="38"/>
    </row>
    <row r="304" spans="1:18">
      <c r="A304" s="5"/>
      <c r="B304" s="13"/>
      <c r="C304" s="13"/>
      <c r="D304" s="13"/>
      <c r="E304" s="13"/>
      <c r="F304" s="9"/>
      <c r="G304" s="32"/>
      <c r="H304" s="32"/>
      <c r="I304" s="32"/>
      <c r="J304" s="32"/>
      <c r="K304" s="29"/>
      <c r="L304" s="29"/>
      <c r="M304" s="29"/>
      <c r="N304" s="29"/>
      <c r="O304" s="29"/>
      <c r="P304" s="29"/>
      <c r="Q304" s="29"/>
      <c r="R304" s="38"/>
    </row>
    <row r="305" spans="1:18">
      <c r="A305" s="5"/>
      <c r="B305" s="13"/>
      <c r="C305" s="13"/>
      <c r="D305" s="13"/>
      <c r="E305" s="13"/>
      <c r="F305" s="9"/>
      <c r="G305" s="32"/>
      <c r="H305" s="32"/>
      <c r="I305" s="32"/>
      <c r="J305" s="32"/>
      <c r="K305" s="29"/>
      <c r="L305" s="29"/>
      <c r="M305" s="29"/>
      <c r="N305" s="29"/>
      <c r="O305" s="29"/>
      <c r="P305" s="29"/>
      <c r="Q305" s="29"/>
      <c r="R305" s="38"/>
    </row>
    <row r="306" spans="1:18">
      <c r="A306" s="5"/>
      <c r="B306" s="13"/>
      <c r="C306" s="13"/>
      <c r="D306" s="13"/>
      <c r="E306" s="13"/>
      <c r="F306" s="9"/>
      <c r="G306" s="32"/>
      <c r="H306" s="32"/>
      <c r="I306" s="32"/>
      <c r="J306" s="32"/>
      <c r="K306" s="29"/>
      <c r="L306" s="29"/>
      <c r="M306" s="29"/>
      <c r="N306" s="29"/>
      <c r="O306" s="29"/>
      <c r="P306" s="29"/>
      <c r="Q306" s="29"/>
      <c r="R306" s="38"/>
    </row>
    <row r="307" spans="1:18">
      <c r="A307" s="5"/>
      <c r="B307" s="13"/>
      <c r="C307" s="13"/>
      <c r="D307" s="13"/>
      <c r="E307" s="13"/>
      <c r="F307" s="9"/>
      <c r="G307" s="32"/>
      <c r="H307" s="32"/>
      <c r="I307" s="32"/>
      <c r="J307" s="32"/>
      <c r="K307" s="29"/>
      <c r="L307" s="29"/>
      <c r="M307" s="29"/>
      <c r="N307" s="29"/>
      <c r="O307" s="29"/>
      <c r="P307" s="29"/>
      <c r="Q307" s="29"/>
      <c r="R307" s="38"/>
    </row>
    <row r="308" spans="1:18">
      <c r="A308" s="5"/>
      <c r="B308" s="13"/>
      <c r="C308" s="13"/>
      <c r="D308" s="13"/>
      <c r="E308" s="13"/>
      <c r="F308" s="9"/>
      <c r="G308" s="32"/>
      <c r="H308" s="32"/>
      <c r="I308" s="32"/>
      <c r="J308" s="32"/>
      <c r="K308" s="29"/>
      <c r="L308" s="29"/>
      <c r="M308" s="29"/>
      <c r="N308" s="29"/>
      <c r="O308" s="29"/>
      <c r="P308" s="29"/>
      <c r="Q308" s="29"/>
      <c r="R308" s="38"/>
    </row>
    <row r="309" spans="1:18">
      <c r="A309" s="5"/>
      <c r="B309" s="13"/>
      <c r="C309" s="13"/>
      <c r="D309" s="13"/>
      <c r="E309" s="13"/>
      <c r="F309" s="9"/>
      <c r="G309" s="32"/>
      <c r="H309" s="32"/>
      <c r="I309" s="32"/>
      <c r="J309" s="32"/>
      <c r="K309" s="29"/>
      <c r="L309" s="29"/>
      <c r="M309" s="29"/>
      <c r="N309" s="29"/>
      <c r="O309" s="29"/>
      <c r="P309" s="29"/>
      <c r="Q309" s="29"/>
      <c r="R309" s="38"/>
    </row>
    <row r="310" spans="1:18">
      <c r="A310" s="5"/>
      <c r="B310" s="13"/>
      <c r="C310" s="13"/>
      <c r="D310" s="13"/>
      <c r="E310" s="13"/>
      <c r="F310" s="9"/>
      <c r="G310" s="32"/>
      <c r="H310" s="32"/>
      <c r="I310" s="32"/>
      <c r="J310" s="32"/>
      <c r="K310" s="29"/>
      <c r="L310" s="29"/>
      <c r="M310" s="29"/>
      <c r="N310" s="29"/>
      <c r="O310" s="29"/>
      <c r="P310" s="29"/>
      <c r="Q310" s="29"/>
      <c r="R310" s="38"/>
    </row>
    <row r="311" spans="1:18">
      <c r="A311" s="5"/>
      <c r="B311" s="13"/>
      <c r="C311" s="13"/>
      <c r="D311" s="13"/>
      <c r="E311" s="13"/>
      <c r="F311" s="9"/>
      <c r="G311" s="32"/>
      <c r="H311" s="32"/>
      <c r="I311" s="32"/>
      <c r="J311" s="32"/>
      <c r="K311" s="29"/>
      <c r="L311" s="29"/>
      <c r="M311" s="29"/>
      <c r="N311" s="29"/>
      <c r="O311" s="29"/>
      <c r="P311" s="29"/>
      <c r="Q311" s="29"/>
      <c r="R311" s="38"/>
    </row>
    <row r="312" spans="1:18">
      <c r="A312" s="5"/>
      <c r="B312" s="13"/>
      <c r="C312" s="13"/>
      <c r="D312" s="13"/>
      <c r="E312" s="13"/>
      <c r="F312" s="9"/>
      <c r="G312" s="32"/>
      <c r="H312" s="32"/>
      <c r="I312" s="32"/>
      <c r="J312" s="32"/>
      <c r="K312" s="29"/>
      <c r="L312" s="29"/>
      <c r="M312" s="29"/>
      <c r="N312" s="29"/>
      <c r="O312" s="29"/>
      <c r="P312" s="29"/>
      <c r="Q312" s="29"/>
      <c r="R312" s="38"/>
    </row>
    <row r="313" spans="1:18">
      <c r="A313" s="5"/>
      <c r="B313" s="13"/>
      <c r="C313" s="13"/>
      <c r="D313" s="13"/>
      <c r="E313" s="13"/>
      <c r="F313" s="9"/>
      <c r="G313" s="32"/>
      <c r="H313" s="32"/>
      <c r="I313" s="32"/>
      <c r="J313" s="32"/>
      <c r="K313" s="29"/>
      <c r="L313" s="29"/>
      <c r="M313" s="29"/>
      <c r="N313" s="29"/>
      <c r="O313" s="29"/>
      <c r="P313" s="29"/>
      <c r="Q313" s="29"/>
      <c r="R313" s="38"/>
    </row>
    <row r="314" spans="1:18">
      <c r="A314" s="5"/>
      <c r="B314" s="13"/>
      <c r="C314" s="13"/>
      <c r="D314" s="13"/>
      <c r="E314" s="13"/>
      <c r="F314" s="9"/>
      <c r="G314" s="32"/>
      <c r="H314" s="32"/>
      <c r="I314" s="32"/>
      <c r="J314" s="32"/>
      <c r="K314" s="29"/>
      <c r="L314" s="29"/>
      <c r="M314" s="29"/>
      <c r="N314" s="29"/>
      <c r="O314" s="29"/>
      <c r="P314" s="29"/>
      <c r="Q314" s="29"/>
      <c r="R314" s="38"/>
    </row>
    <row r="315" spans="1:18">
      <c r="A315" s="5"/>
      <c r="B315" s="13"/>
      <c r="C315" s="13"/>
      <c r="D315" s="13"/>
      <c r="E315" s="13"/>
      <c r="F315" s="9"/>
      <c r="G315" s="32"/>
      <c r="H315" s="32"/>
      <c r="I315" s="32"/>
      <c r="J315" s="32"/>
      <c r="K315" s="29"/>
      <c r="L315" s="29"/>
      <c r="M315" s="29"/>
      <c r="N315" s="29"/>
      <c r="O315" s="29"/>
      <c r="P315" s="29"/>
      <c r="Q315" s="29"/>
      <c r="R315" s="38"/>
    </row>
    <row r="316" spans="1:18">
      <c r="A316" s="5"/>
      <c r="B316" s="13"/>
      <c r="C316" s="13"/>
      <c r="D316" s="13"/>
      <c r="E316" s="13"/>
      <c r="F316" s="9"/>
      <c r="G316" s="32"/>
      <c r="H316" s="32"/>
      <c r="I316" s="32"/>
      <c r="J316" s="32"/>
      <c r="K316" s="29"/>
      <c r="L316" s="29"/>
      <c r="M316" s="29"/>
      <c r="N316" s="29"/>
      <c r="O316" s="29"/>
      <c r="P316" s="29"/>
      <c r="Q316" s="29"/>
      <c r="R316" s="38"/>
    </row>
    <row r="317" spans="1:18">
      <c r="A317" s="5"/>
      <c r="B317" s="13"/>
      <c r="C317" s="13"/>
      <c r="D317" s="13"/>
      <c r="E317" s="13"/>
      <c r="F317" s="9"/>
      <c r="G317" s="32"/>
      <c r="H317" s="32"/>
      <c r="I317" s="32"/>
      <c r="J317" s="32"/>
      <c r="K317" s="29"/>
      <c r="L317" s="29"/>
      <c r="M317" s="29"/>
      <c r="N317" s="29"/>
      <c r="O317" s="29"/>
      <c r="P317" s="29"/>
      <c r="Q317" s="29"/>
      <c r="R317" s="38"/>
    </row>
    <row r="318" spans="1:18">
      <c r="A318" s="5"/>
      <c r="B318" s="13"/>
      <c r="C318" s="13"/>
      <c r="D318" s="13"/>
      <c r="E318" s="13"/>
      <c r="F318" s="9"/>
      <c r="G318" s="32"/>
      <c r="H318" s="32"/>
      <c r="I318" s="32"/>
      <c r="J318" s="32"/>
      <c r="K318" s="29"/>
      <c r="L318" s="29"/>
      <c r="M318" s="29"/>
      <c r="N318" s="29"/>
      <c r="O318" s="29"/>
      <c r="P318" s="29"/>
      <c r="Q318" s="29"/>
      <c r="R318" s="38"/>
    </row>
    <row r="319" spans="1:18">
      <c r="A319" s="5"/>
      <c r="B319" s="13"/>
      <c r="C319" s="13"/>
      <c r="D319" s="13"/>
      <c r="E319" s="13"/>
      <c r="F319" s="9"/>
      <c r="G319" s="32"/>
      <c r="H319" s="32"/>
      <c r="I319" s="32"/>
      <c r="J319" s="32"/>
      <c r="K319" s="29"/>
      <c r="L319" s="29"/>
      <c r="M319" s="29"/>
      <c r="N319" s="29"/>
      <c r="O319" s="29"/>
      <c r="P319" s="29"/>
      <c r="Q319" s="29"/>
      <c r="R319" s="38"/>
    </row>
    <row r="320" spans="1:18">
      <c r="A320" s="5"/>
      <c r="B320" s="13"/>
      <c r="C320" s="13"/>
      <c r="D320" s="13"/>
      <c r="E320" s="13"/>
      <c r="F320" s="9"/>
      <c r="G320" s="32"/>
      <c r="H320" s="32"/>
      <c r="I320" s="32"/>
      <c r="J320" s="32"/>
      <c r="K320" s="29"/>
      <c r="L320" s="29"/>
      <c r="M320" s="29"/>
      <c r="N320" s="29"/>
      <c r="O320" s="29"/>
      <c r="P320" s="29"/>
      <c r="Q320" s="29"/>
      <c r="R320" s="38"/>
    </row>
    <row r="321" spans="1:18">
      <c r="A321" s="5"/>
      <c r="B321" s="13"/>
      <c r="C321" s="13"/>
      <c r="D321" s="13"/>
      <c r="E321" s="13"/>
      <c r="F321" s="9"/>
      <c r="G321" s="32"/>
      <c r="H321" s="32"/>
      <c r="I321" s="32"/>
      <c r="J321" s="32"/>
      <c r="K321" s="29"/>
      <c r="L321" s="29"/>
      <c r="M321" s="29"/>
      <c r="N321" s="29"/>
      <c r="O321" s="29"/>
      <c r="P321" s="29"/>
      <c r="Q321" s="29"/>
      <c r="R321" s="38"/>
    </row>
    <row r="322" spans="1:18">
      <c r="A322" s="5"/>
      <c r="B322" s="13"/>
      <c r="C322" s="13"/>
      <c r="D322" s="13"/>
      <c r="E322" s="13"/>
      <c r="F322" s="9"/>
      <c r="G322" s="32"/>
      <c r="H322" s="32"/>
      <c r="I322" s="32"/>
      <c r="J322" s="32"/>
      <c r="K322" s="29"/>
      <c r="L322" s="29"/>
      <c r="M322" s="29"/>
      <c r="N322" s="29"/>
      <c r="O322" s="29"/>
      <c r="P322" s="29"/>
      <c r="Q322" s="29"/>
      <c r="R322" s="38"/>
    </row>
    <row r="323" spans="1:18">
      <c r="A323" s="5"/>
      <c r="B323" s="13"/>
      <c r="C323" s="13"/>
      <c r="D323" s="13"/>
      <c r="E323" s="13"/>
      <c r="F323" s="9"/>
      <c r="G323" s="32"/>
      <c r="H323" s="32"/>
      <c r="I323" s="32"/>
      <c r="J323" s="32"/>
      <c r="K323" s="29"/>
      <c r="L323" s="29"/>
      <c r="M323" s="29"/>
      <c r="N323" s="29"/>
      <c r="O323" s="29"/>
      <c r="P323" s="29"/>
      <c r="Q323" s="29"/>
      <c r="R323" s="38"/>
    </row>
    <row r="324" spans="1:18">
      <c r="A324" s="5"/>
      <c r="B324" s="13"/>
      <c r="C324" s="13"/>
      <c r="D324" s="13"/>
      <c r="E324" s="13"/>
      <c r="F324" s="9"/>
      <c r="G324" s="32"/>
      <c r="H324" s="32"/>
      <c r="I324" s="32"/>
      <c r="J324" s="32"/>
      <c r="K324" s="29"/>
      <c r="L324" s="29"/>
      <c r="M324" s="29"/>
      <c r="N324" s="29"/>
      <c r="O324" s="29"/>
      <c r="P324" s="29"/>
      <c r="Q324" s="29"/>
      <c r="R324" s="38"/>
    </row>
    <row r="325" spans="1:18">
      <c r="A325" s="5"/>
      <c r="B325" s="13"/>
      <c r="C325" s="13"/>
      <c r="D325" s="13"/>
      <c r="E325" s="13"/>
      <c r="F325" s="9"/>
      <c r="G325" s="32"/>
      <c r="H325" s="32"/>
      <c r="I325" s="32"/>
      <c r="J325" s="32"/>
      <c r="K325" s="29"/>
      <c r="L325" s="29"/>
      <c r="M325" s="29"/>
      <c r="N325" s="29"/>
      <c r="O325" s="29"/>
      <c r="P325" s="29"/>
      <c r="Q325" s="29"/>
      <c r="R325" s="38"/>
    </row>
    <row r="326" spans="1:18">
      <c r="A326" s="5"/>
      <c r="B326" s="13"/>
      <c r="C326" s="13"/>
      <c r="D326" s="13"/>
      <c r="E326" s="13"/>
      <c r="F326" s="9"/>
      <c r="G326" s="32"/>
      <c r="H326" s="32"/>
      <c r="I326" s="32"/>
      <c r="J326" s="32"/>
      <c r="K326" s="29"/>
      <c r="L326" s="29"/>
      <c r="M326" s="29"/>
      <c r="N326" s="29"/>
      <c r="O326" s="29"/>
      <c r="P326" s="29"/>
      <c r="Q326" s="29"/>
      <c r="R326" s="38"/>
    </row>
    <row r="327" spans="1:18">
      <c r="A327" s="5"/>
      <c r="B327" s="13"/>
      <c r="C327" s="13"/>
      <c r="D327" s="13"/>
      <c r="E327" s="13"/>
      <c r="F327" s="9"/>
      <c r="G327" s="32"/>
      <c r="H327" s="32"/>
      <c r="I327" s="32"/>
      <c r="J327" s="32"/>
      <c r="K327" s="29"/>
      <c r="L327" s="29"/>
      <c r="M327" s="29"/>
      <c r="N327" s="29"/>
      <c r="O327" s="29"/>
      <c r="P327" s="29"/>
      <c r="Q327" s="29"/>
      <c r="R327" s="38"/>
    </row>
    <row r="328" spans="1:18">
      <c r="A328" s="5"/>
      <c r="B328" s="13"/>
      <c r="C328" s="13"/>
      <c r="D328" s="13"/>
      <c r="E328" s="13"/>
      <c r="F328" s="9"/>
      <c r="G328" s="32"/>
      <c r="H328" s="32"/>
      <c r="I328" s="32"/>
      <c r="J328" s="32"/>
      <c r="K328" s="29"/>
      <c r="L328" s="29"/>
      <c r="M328" s="29"/>
      <c r="N328" s="29"/>
      <c r="O328" s="29"/>
      <c r="P328" s="29"/>
      <c r="Q328" s="29"/>
      <c r="R328" s="38"/>
    </row>
    <row r="329" spans="1:18">
      <c r="A329" s="5"/>
      <c r="B329" s="13"/>
      <c r="C329" s="13"/>
      <c r="D329" s="13"/>
      <c r="E329" s="13"/>
      <c r="F329" s="9"/>
      <c r="G329" s="32"/>
      <c r="H329" s="32"/>
      <c r="I329" s="32"/>
      <c r="J329" s="32"/>
      <c r="K329" s="29"/>
      <c r="L329" s="29"/>
      <c r="M329" s="29"/>
      <c r="N329" s="29"/>
      <c r="O329" s="29"/>
      <c r="P329" s="29"/>
      <c r="Q329" s="29"/>
      <c r="R329" s="38"/>
    </row>
    <row r="330" spans="1:18">
      <c r="A330" s="5"/>
      <c r="B330" s="13"/>
      <c r="C330" s="13"/>
      <c r="D330" s="13"/>
      <c r="E330" s="13"/>
      <c r="F330" s="9"/>
      <c r="G330" s="32"/>
      <c r="H330" s="32"/>
      <c r="I330" s="32"/>
      <c r="J330" s="32"/>
      <c r="K330" s="29"/>
      <c r="L330" s="29"/>
      <c r="M330" s="29"/>
      <c r="N330" s="29"/>
      <c r="O330" s="29"/>
      <c r="P330" s="29"/>
      <c r="Q330" s="29"/>
      <c r="R330" s="38"/>
    </row>
    <row r="331" spans="1:18">
      <c r="A331" s="5"/>
      <c r="B331" s="13"/>
      <c r="C331" s="13"/>
      <c r="D331" s="13"/>
      <c r="E331" s="13"/>
      <c r="F331" s="9"/>
      <c r="G331" s="32"/>
      <c r="H331" s="32"/>
      <c r="I331" s="32"/>
      <c r="J331" s="32"/>
      <c r="K331" s="29"/>
      <c r="L331" s="29"/>
      <c r="M331" s="29"/>
      <c r="N331" s="29"/>
      <c r="O331" s="29"/>
      <c r="P331" s="29"/>
      <c r="Q331" s="29"/>
      <c r="R331" s="38"/>
    </row>
    <row r="332" spans="1:18">
      <c r="A332" s="5"/>
      <c r="B332" s="13"/>
      <c r="C332" s="13"/>
      <c r="D332" s="13"/>
      <c r="E332" s="13"/>
      <c r="F332" s="9"/>
      <c r="G332" s="32"/>
      <c r="H332" s="32"/>
      <c r="I332" s="32"/>
      <c r="J332" s="32"/>
      <c r="K332" s="29"/>
      <c r="L332" s="29"/>
      <c r="M332" s="29"/>
      <c r="N332" s="29"/>
      <c r="O332" s="29"/>
      <c r="P332" s="29"/>
      <c r="Q332" s="29"/>
      <c r="R332" s="38"/>
    </row>
    <row r="333" spans="1:18">
      <c r="A333" s="5"/>
      <c r="B333" s="13"/>
      <c r="C333" s="13"/>
      <c r="D333" s="13"/>
      <c r="E333" s="13"/>
      <c r="F333" s="9"/>
      <c r="G333" s="32"/>
      <c r="H333" s="32"/>
      <c r="I333" s="32"/>
      <c r="J333" s="32"/>
      <c r="K333" s="29"/>
      <c r="L333" s="29"/>
      <c r="M333" s="29"/>
      <c r="N333" s="29"/>
      <c r="O333" s="29"/>
      <c r="P333" s="29"/>
      <c r="Q333" s="29"/>
      <c r="R333" s="38"/>
    </row>
    <row r="334" spans="1:18">
      <c r="A334" s="5"/>
      <c r="B334" s="13"/>
      <c r="C334" s="13"/>
      <c r="D334" s="13"/>
      <c r="E334" s="13"/>
      <c r="F334" s="9"/>
      <c r="G334" s="32"/>
      <c r="H334" s="32"/>
      <c r="I334" s="32"/>
      <c r="J334" s="32"/>
      <c r="K334" s="29"/>
      <c r="L334" s="29"/>
      <c r="M334" s="29"/>
      <c r="N334" s="29"/>
      <c r="O334" s="29"/>
      <c r="P334" s="29"/>
      <c r="Q334" s="29"/>
      <c r="R334" s="38"/>
    </row>
    <row r="335" spans="1:18">
      <c r="A335" s="5"/>
      <c r="B335" s="13"/>
      <c r="C335" s="13"/>
      <c r="D335" s="13"/>
      <c r="E335" s="13"/>
      <c r="F335" s="9"/>
      <c r="G335" s="32"/>
      <c r="H335" s="32"/>
      <c r="I335" s="32"/>
      <c r="J335" s="32"/>
      <c r="K335" s="29"/>
      <c r="L335" s="29"/>
      <c r="M335" s="29"/>
      <c r="N335" s="29"/>
      <c r="O335" s="29"/>
      <c r="P335" s="29"/>
      <c r="Q335" s="29"/>
      <c r="R335" s="38"/>
    </row>
    <row r="336" spans="1:18">
      <c r="A336" s="5"/>
      <c r="B336" s="13"/>
      <c r="C336" s="13"/>
      <c r="D336" s="13"/>
      <c r="E336" s="13"/>
      <c r="F336" s="9"/>
      <c r="G336" s="32"/>
      <c r="H336" s="32"/>
      <c r="I336" s="32"/>
      <c r="J336" s="32"/>
      <c r="K336" s="29"/>
      <c r="L336" s="29"/>
      <c r="M336" s="29"/>
      <c r="N336" s="29"/>
      <c r="O336" s="29"/>
      <c r="P336" s="29"/>
      <c r="Q336" s="29"/>
      <c r="R336" s="38"/>
    </row>
    <row r="337" spans="1:18">
      <c r="A337" s="5"/>
      <c r="B337" s="13"/>
      <c r="C337" s="13"/>
      <c r="D337" s="13"/>
      <c r="E337" s="13"/>
      <c r="F337" s="9"/>
      <c r="G337" s="32"/>
      <c r="H337" s="32"/>
      <c r="I337" s="32"/>
      <c r="J337" s="32"/>
      <c r="K337" s="29"/>
      <c r="L337" s="29"/>
      <c r="M337" s="29"/>
      <c r="N337" s="29"/>
      <c r="O337" s="29"/>
      <c r="P337" s="29"/>
      <c r="Q337" s="29"/>
      <c r="R337" s="38"/>
    </row>
    <row r="338" spans="1:18">
      <c r="A338" s="5"/>
      <c r="B338" s="13"/>
      <c r="C338" s="13"/>
      <c r="D338" s="13"/>
      <c r="E338" s="13"/>
      <c r="F338" s="9"/>
      <c r="G338" s="32"/>
      <c r="H338" s="32"/>
      <c r="I338" s="32"/>
      <c r="J338" s="32"/>
      <c r="K338" s="29"/>
      <c r="L338" s="29"/>
      <c r="M338" s="29"/>
      <c r="N338" s="29"/>
      <c r="O338" s="29"/>
      <c r="P338" s="29"/>
      <c r="Q338" s="29"/>
      <c r="R338" s="38"/>
    </row>
    <row r="339" spans="1:18">
      <c r="A339" s="5"/>
      <c r="B339" s="13"/>
      <c r="C339" s="13"/>
      <c r="D339" s="13"/>
      <c r="E339" s="13"/>
      <c r="F339" s="9"/>
      <c r="G339" s="32"/>
      <c r="H339" s="32"/>
      <c r="I339" s="32"/>
      <c r="J339" s="32"/>
      <c r="K339" s="29"/>
      <c r="L339" s="29"/>
      <c r="M339" s="29"/>
      <c r="N339" s="29"/>
      <c r="O339" s="29"/>
      <c r="P339" s="29"/>
      <c r="Q339" s="29"/>
      <c r="R339" s="38"/>
    </row>
    <row r="340" spans="1:18">
      <c r="A340" s="5"/>
      <c r="B340" s="13"/>
      <c r="C340" s="13"/>
      <c r="D340" s="13"/>
      <c r="E340" s="13"/>
      <c r="F340" s="9"/>
      <c r="G340" s="32"/>
      <c r="H340" s="32"/>
      <c r="I340" s="32"/>
      <c r="J340" s="32"/>
      <c r="K340" s="29"/>
      <c r="L340" s="29"/>
      <c r="M340" s="29"/>
      <c r="N340" s="29"/>
      <c r="O340" s="29"/>
      <c r="P340" s="29"/>
      <c r="Q340" s="29"/>
      <c r="R340" s="38"/>
    </row>
    <row r="341" spans="1:18">
      <c r="A341" s="5"/>
      <c r="B341" s="13"/>
      <c r="C341" s="13"/>
      <c r="D341" s="13"/>
      <c r="E341" s="13"/>
      <c r="F341" s="9"/>
      <c r="G341" s="32"/>
      <c r="H341" s="32"/>
      <c r="I341" s="32"/>
      <c r="J341" s="32"/>
      <c r="K341" s="29"/>
      <c r="L341" s="29"/>
      <c r="M341" s="29"/>
      <c r="N341" s="29"/>
      <c r="O341" s="29"/>
      <c r="P341" s="29"/>
      <c r="Q341" s="29"/>
      <c r="R341" s="38"/>
    </row>
    <row r="342" spans="1:18">
      <c r="A342" s="5"/>
      <c r="B342" s="13"/>
      <c r="C342" s="13"/>
      <c r="D342" s="13"/>
      <c r="E342" s="13"/>
      <c r="F342" s="9"/>
      <c r="G342" s="32"/>
      <c r="H342" s="32"/>
      <c r="I342" s="32"/>
      <c r="J342" s="32"/>
      <c r="K342" s="29"/>
      <c r="L342" s="29"/>
      <c r="M342" s="29"/>
      <c r="N342" s="29"/>
      <c r="O342" s="29"/>
      <c r="P342" s="29"/>
      <c r="Q342" s="29"/>
      <c r="R342" s="38"/>
    </row>
    <row r="343" spans="1:18">
      <c r="A343" s="5"/>
      <c r="B343" s="13"/>
      <c r="C343" s="13"/>
      <c r="D343" s="13"/>
      <c r="E343" s="13"/>
      <c r="F343" s="9"/>
      <c r="G343" s="32"/>
      <c r="H343" s="32"/>
      <c r="I343" s="32"/>
      <c r="J343" s="32"/>
      <c r="K343" s="29"/>
      <c r="L343" s="29"/>
      <c r="M343" s="29"/>
      <c r="N343" s="29"/>
      <c r="O343" s="29"/>
      <c r="P343" s="29"/>
      <c r="Q343" s="29"/>
      <c r="R343" s="38"/>
    </row>
    <row r="344" spans="1:18">
      <c r="A344" s="5"/>
      <c r="B344" s="13"/>
      <c r="C344" s="13"/>
      <c r="D344" s="13"/>
      <c r="E344" s="13"/>
      <c r="F344" s="9"/>
      <c r="G344" s="32"/>
      <c r="H344" s="32"/>
      <c r="I344" s="32"/>
      <c r="J344" s="32"/>
      <c r="K344" s="29"/>
      <c r="L344" s="29"/>
      <c r="M344" s="29"/>
      <c r="N344" s="29"/>
      <c r="O344" s="29"/>
      <c r="P344" s="29"/>
      <c r="Q344" s="29"/>
      <c r="R344" s="38"/>
    </row>
    <row r="345" spans="1:18">
      <c r="A345" s="5"/>
      <c r="B345" s="13"/>
      <c r="C345" s="13"/>
      <c r="D345" s="13"/>
      <c r="E345" s="13"/>
      <c r="F345" s="9"/>
      <c r="G345" s="32"/>
      <c r="H345" s="32"/>
      <c r="I345" s="32"/>
      <c r="J345" s="32"/>
      <c r="K345" s="29"/>
      <c r="L345" s="29"/>
      <c r="M345" s="29"/>
      <c r="N345" s="29"/>
      <c r="O345" s="29"/>
      <c r="P345" s="29"/>
      <c r="Q345" s="29"/>
      <c r="R345" s="38"/>
    </row>
    <row r="346" spans="1:18">
      <c r="A346" s="5"/>
      <c r="B346" s="13"/>
      <c r="C346" s="13"/>
      <c r="D346" s="13"/>
      <c r="E346" s="13"/>
      <c r="F346" s="9"/>
      <c r="G346" s="32"/>
      <c r="H346" s="32"/>
      <c r="I346" s="32"/>
      <c r="J346" s="32"/>
      <c r="K346" s="29"/>
      <c r="L346" s="29"/>
      <c r="M346" s="29"/>
      <c r="N346" s="29"/>
      <c r="O346" s="29"/>
      <c r="P346" s="29"/>
      <c r="Q346" s="29"/>
      <c r="R346" s="38"/>
    </row>
    <row r="347" spans="1:18">
      <c r="A347" s="5"/>
      <c r="B347" s="13"/>
      <c r="C347" s="13"/>
      <c r="D347" s="13"/>
      <c r="E347" s="13"/>
      <c r="F347" s="9"/>
      <c r="G347" s="32"/>
      <c r="H347" s="32"/>
      <c r="I347" s="32"/>
      <c r="J347" s="32"/>
      <c r="K347" s="29"/>
      <c r="L347" s="29"/>
      <c r="M347" s="29"/>
      <c r="N347" s="29"/>
      <c r="O347" s="29"/>
      <c r="P347" s="29"/>
      <c r="Q347" s="29"/>
      <c r="R347" s="38"/>
    </row>
    <row r="348" spans="1:18">
      <c r="A348" s="5"/>
      <c r="B348" s="13"/>
      <c r="C348" s="13"/>
      <c r="D348" s="13"/>
      <c r="E348" s="13"/>
      <c r="F348" s="9"/>
      <c r="G348" s="32"/>
      <c r="H348" s="32"/>
      <c r="I348" s="32"/>
      <c r="J348" s="32"/>
      <c r="K348" s="29"/>
      <c r="L348" s="29"/>
      <c r="M348" s="29"/>
      <c r="N348" s="29"/>
      <c r="O348" s="29"/>
      <c r="P348" s="29"/>
      <c r="Q348" s="29"/>
      <c r="R348" s="38"/>
    </row>
    <row r="349" spans="1:18">
      <c r="A349" s="5"/>
      <c r="B349" s="13"/>
      <c r="C349" s="13"/>
      <c r="D349" s="13"/>
      <c r="E349" s="13"/>
      <c r="F349" s="9"/>
      <c r="G349" s="32"/>
      <c r="H349" s="32"/>
      <c r="I349" s="32"/>
      <c r="J349" s="32"/>
      <c r="K349" s="29"/>
      <c r="L349" s="29"/>
      <c r="M349" s="29"/>
      <c r="N349" s="29"/>
      <c r="O349" s="29"/>
      <c r="P349" s="29"/>
      <c r="Q349" s="29"/>
      <c r="R349" s="38"/>
    </row>
    <row r="350" spans="1:18">
      <c r="A350" s="5"/>
      <c r="B350" s="13"/>
      <c r="C350" s="13"/>
      <c r="D350" s="13"/>
      <c r="E350" s="13"/>
      <c r="F350" s="9"/>
      <c r="G350" s="32"/>
      <c r="H350" s="32"/>
      <c r="I350" s="32"/>
      <c r="J350" s="32"/>
      <c r="K350" s="29"/>
      <c r="L350" s="29"/>
      <c r="M350" s="29"/>
      <c r="N350" s="29"/>
      <c r="O350" s="29"/>
      <c r="P350" s="29"/>
      <c r="Q350" s="29"/>
      <c r="R350" s="38"/>
    </row>
    <row r="351" spans="1:18">
      <c r="A351" s="5"/>
      <c r="B351" s="13"/>
      <c r="C351" s="13"/>
      <c r="D351" s="13"/>
      <c r="E351" s="13"/>
      <c r="F351" s="9"/>
      <c r="G351" s="32"/>
      <c r="H351" s="32"/>
      <c r="I351" s="32"/>
      <c r="J351" s="32"/>
      <c r="K351" s="29"/>
      <c r="L351" s="29"/>
      <c r="M351" s="29"/>
      <c r="N351" s="29"/>
      <c r="O351" s="29"/>
      <c r="P351" s="29"/>
      <c r="Q351" s="29"/>
      <c r="R351" s="38"/>
    </row>
    <row r="352" spans="1:18">
      <c r="A352" s="5"/>
      <c r="B352" s="13"/>
      <c r="C352" s="13"/>
      <c r="D352" s="13"/>
      <c r="E352" s="13"/>
      <c r="F352" s="9"/>
      <c r="G352" s="32"/>
      <c r="H352" s="32"/>
      <c r="I352" s="32"/>
      <c r="J352" s="32"/>
      <c r="K352" s="29"/>
      <c r="L352" s="29"/>
      <c r="M352" s="29"/>
      <c r="N352" s="29"/>
      <c r="O352" s="29"/>
      <c r="P352" s="29"/>
      <c r="Q352" s="29"/>
      <c r="R352" s="38"/>
    </row>
    <row r="353" spans="1:18">
      <c r="A353" s="5"/>
      <c r="B353" s="13"/>
      <c r="C353" s="13"/>
      <c r="D353" s="13"/>
      <c r="E353" s="13"/>
      <c r="F353" s="9"/>
      <c r="G353" s="32"/>
      <c r="H353" s="32"/>
      <c r="I353" s="32"/>
      <c r="J353" s="32"/>
      <c r="K353" s="29"/>
      <c r="L353" s="29"/>
      <c r="M353" s="29"/>
      <c r="N353" s="29"/>
      <c r="O353" s="29"/>
      <c r="P353" s="29"/>
      <c r="Q353" s="29"/>
      <c r="R353" s="38"/>
    </row>
    <row r="354" spans="1:18">
      <c r="A354" s="5"/>
      <c r="B354" s="13"/>
      <c r="C354" s="13"/>
      <c r="D354" s="13"/>
      <c r="E354" s="13"/>
      <c r="F354" s="9"/>
      <c r="G354" s="32"/>
      <c r="H354" s="32"/>
      <c r="I354" s="32"/>
      <c r="J354" s="32"/>
      <c r="K354" s="29"/>
      <c r="L354" s="29"/>
      <c r="M354" s="29"/>
      <c r="N354" s="29"/>
      <c r="O354" s="29"/>
      <c r="P354" s="29"/>
      <c r="Q354" s="29"/>
      <c r="R354" s="38"/>
    </row>
    <row r="355" spans="1:18">
      <c r="A355" s="5"/>
      <c r="B355" s="13"/>
      <c r="C355" s="13"/>
      <c r="D355" s="13"/>
      <c r="E355" s="13"/>
      <c r="F355" s="9"/>
      <c r="G355" s="32"/>
      <c r="H355" s="32"/>
      <c r="I355" s="32"/>
      <c r="J355" s="32"/>
      <c r="K355" s="29"/>
      <c r="L355" s="29"/>
      <c r="M355" s="29"/>
      <c r="N355" s="29"/>
      <c r="O355" s="29"/>
      <c r="P355" s="29"/>
      <c r="Q355" s="29"/>
      <c r="R355" s="38"/>
    </row>
    <row r="356" spans="1:18">
      <c r="A356" s="5"/>
      <c r="B356" s="13"/>
      <c r="C356" s="13"/>
      <c r="D356" s="13"/>
      <c r="E356" s="13"/>
      <c r="F356" s="9"/>
      <c r="G356" s="32"/>
      <c r="H356" s="32"/>
      <c r="I356" s="32"/>
      <c r="J356" s="32"/>
      <c r="K356" s="29"/>
      <c r="L356" s="29"/>
      <c r="M356" s="29"/>
      <c r="N356" s="29"/>
      <c r="O356" s="29"/>
      <c r="P356" s="29"/>
      <c r="Q356" s="29"/>
      <c r="R356" s="38"/>
    </row>
    <row r="357" spans="1:18">
      <c r="A357" s="5"/>
      <c r="B357" s="13"/>
      <c r="C357" s="13"/>
      <c r="D357" s="13"/>
      <c r="E357" s="13"/>
      <c r="F357" s="9"/>
      <c r="G357" s="32"/>
      <c r="H357" s="32"/>
      <c r="I357" s="32"/>
      <c r="J357" s="32"/>
      <c r="K357" s="29"/>
      <c r="L357" s="29"/>
      <c r="M357" s="29"/>
      <c r="N357" s="29"/>
      <c r="O357" s="29"/>
      <c r="P357" s="29"/>
      <c r="Q357" s="29"/>
      <c r="R357" s="38"/>
    </row>
    <row r="358" spans="1:18">
      <c r="A358" s="5"/>
      <c r="B358" s="13"/>
      <c r="C358" s="13"/>
      <c r="D358" s="13"/>
      <c r="E358" s="13"/>
      <c r="F358" s="9"/>
      <c r="G358" s="32"/>
      <c r="H358" s="32"/>
      <c r="I358" s="32"/>
      <c r="J358" s="32"/>
      <c r="K358" s="29"/>
      <c r="L358" s="29"/>
      <c r="M358" s="29"/>
      <c r="N358" s="29"/>
      <c r="O358" s="29"/>
      <c r="P358" s="29"/>
      <c r="Q358" s="29"/>
      <c r="R358" s="38"/>
    </row>
    <row r="359" spans="1:18">
      <c r="A359" s="5"/>
      <c r="B359" s="13"/>
      <c r="C359" s="13"/>
      <c r="D359" s="13"/>
      <c r="E359" s="13"/>
      <c r="F359" s="9"/>
      <c r="G359" s="32"/>
      <c r="H359" s="32"/>
      <c r="I359" s="32"/>
      <c r="J359" s="32"/>
      <c r="K359" s="29"/>
      <c r="L359" s="29"/>
      <c r="M359" s="29"/>
      <c r="N359" s="29"/>
      <c r="O359" s="29"/>
      <c r="P359" s="29"/>
      <c r="Q359" s="29"/>
      <c r="R359" s="38"/>
    </row>
    <row r="360" spans="1:18">
      <c r="A360" s="5"/>
      <c r="B360" s="13"/>
      <c r="C360" s="13"/>
      <c r="D360" s="13"/>
      <c r="E360" s="13"/>
      <c r="F360" s="9"/>
      <c r="G360" s="32"/>
      <c r="H360" s="32"/>
      <c r="I360" s="32"/>
      <c r="J360" s="32"/>
      <c r="K360" s="29"/>
      <c r="L360" s="29"/>
      <c r="M360" s="29"/>
      <c r="N360" s="29"/>
      <c r="O360" s="29"/>
      <c r="P360" s="29"/>
      <c r="Q360" s="29"/>
      <c r="R360" s="38"/>
    </row>
    <row r="361" spans="1:18">
      <c r="A361" s="5"/>
      <c r="B361" s="13"/>
      <c r="C361" s="13"/>
      <c r="D361" s="13"/>
      <c r="E361" s="13"/>
      <c r="F361" s="9"/>
      <c r="G361" s="32"/>
      <c r="H361" s="32"/>
      <c r="I361" s="32"/>
      <c r="J361" s="32"/>
      <c r="K361" s="29"/>
      <c r="L361" s="29"/>
      <c r="M361" s="29"/>
      <c r="N361" s="29"/>
      <c r="O361" s="29"/>
      <c r="P361" s="29"/>
      <c r="Q361" s="29"/>
      <c r="R361" s="38"/>
    </row>
    <row r="362" spans="1:18">
      <c r="A362" s="5"/>
      <c r="B362" s="13"/>
      <c r="C362" s="13"/>
      <c r="D362" s="13"/>
      <c r="E362" s="13"/>
      <c r="F362" s="9"/>
      <c r="G362" s="32"/>
      <c r="H362" s="32"/>
      <c r="I362" s="32"/>
      <c r="J362" s="32"/>
      <c r="K362" s="29"/>
      <c r="L362" s="29"/>
      <c r="M362" s="29"/>
      <c r="N362" s="29"/>
      <c r="O362" s="29"/>
      <c r="P362" s="29"/>
      <c r="Q362" s="29"/>
      <c r="R362" s="38"/>
    </row>
    <row r="363" spans="1:18">
      <c r="A363" s="5"/>
      <c r="B363" s="13"/>
      <c r="C363" s="13"/>
      <c r="D363" s="13"/>
      <c r="E363" s="13"/>
      <c r="F363" s="9"/>
      <c r="G363" s="32"/>
      <c r="H363" s="32"/>
      <c r="I363" s="32"/>
      <c r="J363" s="32"/>
      <c r="K363" s="29"/>
      <c r="L363" s="29"/>
      <c r="M363" s="29"/>
      <c r="N363" s="29"/>
      <c r="O363" s="29"/>
      <c r="P363" s="29"/>
      <c r="Q363" s="29"/>
      <c r="R363" s="38"/>
    </row>
    <row r="364" spans="1:18">
      <c r="A364" s="5"/>
      <c r="B364" s="13"/>
      <c r="C364" s="13"/>
      <c r="D364" s="13"/>
      <c r="E364" s="13"/>
      <c r="F364" s="9"/>
      <c r="G364" s="32"/>
      <c r="H364" s="32"/>
      <c r="I364" s="32"/>
      <c r="J364" s="32"/>
      <c r="K364" s="29"/>
      <c r="L364" s="29"/>
      <c r="M364" s="29"/>
      <c r="N364" s="29"/>
      <c r="O364" s="29"/>
      <c r="P364" s="29"/>
      <c r="Q364" s="29"/>
      <c r="R364" s="38"/>
    </row>
    <row r="365" spans="1:18">
      <c r="A365" s="5"/>
      <c r="B365" s="13"/>
      <c r="C365" s="13"/>
      <c r="D365" s="13"/>
      <c r="E365" s="13"/>
      <c r="F365" s="9"/>
      <c r="G365" s="32"/>
      <c r="H365" s="32"/>
      <c r="I365" s="32"/>
      <c r="J365" s="32"/>
      <c r="K365" s="29"/>
      <c r="L365" s="29"/>
      <c r="M365" s="29"/>
      <c r="N365" s="29"/>
      <c r="O365" s="29"/>
      <c r="P365" s="29"/>
      <c r="Q365" s="29"/>
      <c r="R365" s="38"/>
    </row>
    <row r="366" spans="1:18">
      <c r="A366" s="5"/>
      <c r="B366" s="13"/>
      <c r="C366" s="13"/>
      <c r="D366" s="13"/>
      <c r="E366" s="13"/>
      <c r="F366" s="9"/>
      <c r="G366" s="32"/>
      <c r="H366" s="32"/>
      <c r="I366" s="32"/>
      <c r="J366" s="32"/>
      <c r="K366" s="29"/>
      <c r="L366" s="29"/>
      <c r="M366" s="29"/>
      <c r="N366" s="29"/>
      <c r="O366" s="29"/>
      <c r="P366" s="29"/>
      <c r="Q366" s="29"/>
      <c r="R366" s="38"/>
    </row>
    <row r="367" spans="1:18">
      <c r="A367" s="5"/>
      <c r="B367" s="13"/>
      <c r="C367" s="13"/>
      <c r="D367" s="13"/>
      <c r="E367" s="13"/>
      <c r="F367" s="9"/>
      <c r="G367" s="32"/>
      <c r="H367" s="32"/>
      <c r="I367" s="32"/>
      <c r="J367" s="32"/>
      <c r="K367" s="29"/>
      <c r="L367" s="29"/>
      <c r="M367" s="29"/>
      <c r="N367" s="29"/>
      <c r="O367" s="29"/>
      <c r="P367" s="29"/>
      <c r="Q367" s="29"/>
      <c r="R367" s="38"/>
    </row>
    <row r="368" spans="1:18">
      <c r="A368" s="5"/>
      <c r="B368" s="13"/>
      <c r="C368" s="13"/>
      <c r="D368" s="13"/>
      <c r="E368" s="13"/>
      <c r="F368" s="9"/>
      <c r="G368" s="32"/>
      <c r="H368" s="32"/>
      <c r="I368" s="32"/>
      <c r="J368" s="32"/>
      <c r="K368" s="29"/>
      <c r="L368" s="29"/>
      <c r="M368" s="29"/>
      <c r="N368" s="29"/>
      <c r="O368" s="29"/>
      <c r="P368" s="29"/>
      <c r="Q368" s="29"/>
      <c r="R368" s="38"/>
    </row>
    <row r="369" spans="1:18">
      <c r="A369" s="5"/>
      <c r="B369" s="13"/>
      <c r="C369" s="13"/>
      <c r="D369" s="13"/>
      <c r="E369" s="13"/>
      <c r="F369" s="9"/>
      <c r="G369" s="32"/>
      <c r="H369" s="32"/>
      <c r="I369" s="32"/>
      <c r="J369" s="32"/>
      <c r="K369" s="29"/>
      <c r="L369" s="29"/>
      <c r="M369" s="29"/>
      <c r="N369" s="29"/>
      <c r="O369" s="29"/>
      <c r="P369" s="29"/>
      <c r="Q369" s="29"/>
      <c r="R369" s="38"/>
    </row>
    <row r="370" spans="1:18">
      <c r="A370" s="5"/>
      <c r="B370" s="13"/>
      <c r="C370" s="13"/>
      <c r="D370" s="13"/>
      <c r="E370" s="13"/>
      <c r="F370" s="9"/>
      <c r="G370" s="32"/>
      <c r="H370" s="32"/>
      <c r="I370" s="32"/>
      <c r="J370" s="32"/>
      <c r="K370" s="29"/>
      <c r="L370" s="29"/>
      <c r="M370" s="29"/>
      <c r="N370" s="29"/>
      <c r="O370" s="29"/>
      <c r="P370" s="29"/>
      <c r="Q370" s="29"/>
      <c r="R370" s="38"/>
    </row>
    <row r="371" spans="1:18">
      <c r="A371" s="5"/>
      <c r="B371" s="13"/>
      <c r="C371" s="13"/>
      <c r="D371" s="13"/>
      <c r="E371" s="13"/>
      <c r="F371" s="9"/>
      <c r="G371" s="32"/>
      <c r="H371" s="32"/>
      <c r="I371" s="32"/>
      <c r="J371" s="32"/>
      <c r="K371" s="29"/>
      <c r="L371" s="29"/>
      <c r="M371" s="29"/>
      <c r="N371" s="29"/>
      <c r="O371" s="29"/>
      <c r="P371" s="29"/>
      <c r="Q371" s="29"/>
      <c r="R371" s="38"/>
    </row>
    <row r="372" spans="1:18">
      <c r="A372" s="5"/>
      <c r="B372" s="13"/>
      <c r="C372" s="13"/>
      <c r="D372" s="13"/>
      <c r="E372" s="13"/>
      <c r="F372" s="9"/>
      <c r="G372" s="32"/>
      <c r="H372" s="32"/>
      <c r="I372" s="32"/>
      <c r="J372" s="32"/>
      <c r="K372" s="29"/>
      <c r="L372" s="29"/>
      <c r="M372" s="29"/>
      <c r="N372" s="29"/>
      <c r="O372" s="29"/>
      <c r="P372" s="29"/>
      <c r="Q372" s="29"/>
      <c r="R372" s="38"/>
    </row>
    <row r="373" spans="1:18">
      <c r="A373" s="5"/>
      <c r="B373" s="13"/>
      <c r="C373" s="13"/>
      <c r="D373" s="13"/>
      <c r="E373" s="13"/>
      <c r="F373" s="9"/>
      <c r="G373" s="32"/>
      <c r="H373" s="32"/>
      <c r="I373" s="32"/>
      <c r="J373" s="32"/>
      <c r="K373" s="29"/>
      <c r="L373" s="29"/>
      <c r="M373" s="29"/>
      <c r="N373" s="29"/>
      <c r="O373" s="29"/>
      <c r="P373" s="29"/>
      <c r="Q373" s="29"/>
      <c r="R373" s="38"/>
    </row>
    <row r="374" spans="1:18">
      <c r="A374" s="5"/>
      <c r="B374" s="13"/>
      <c r="C374" s="13"/>
      <c r="D374" s="13"/>
      <c r="E374" s="13"/>
      <c r="F374" s="9"/>
      <c r="G374" s="32"/>
      <c r="H374" s="32"/>
      <c r="I374" s="32"/>
      <c r="J374" s="32"/>
      <c r="K374" s="29"/>
      <c r="L374" s="29"/>
      <c r="M374" s="29"/>
      <c r="N374" s="29"/>
      <c r="O374" s="29"/>
      <c r="P374" s="29"/>
      <c r="Q374" s="29"/>
      <c r="R374" s="38"/>
    </row>
    <row r="375" spans="1:18">
      <c r="A375" s="5"/>
      <c r="B375" s="13"/>
      <c r="C375" s="13"/>
      <c r="D375" s="13"/>
      <c r="E375" s="13"/>
      <c r="F375" s="9"/>
      <c r="G375" s="32"/>
      <c r="H375" s="32"/>
      <c r="I375" s="32"/>
      <c r="J375" s="32"/>
      <c r="K375" s="29"/>
      <c r="L375" s="29"/>
      <c r="M375" s="29"/>
      <c r="N375" s="29"/>
      <c r="O375" s="29"/>
      <c r="P375" s="29"/>
      <c r="Q375" s="29"/>
      <c r="R375" s="38"/>
    </row>
    <row r="376" spans="1:18">
      <c r="A376" s="5"/>
      <c r="B376" s="13"/>
      <c r="C376" s="13"/>
      <c r="D376" s="13"/>
      <c r="E376" s="13"/>
      <c r="F376" s="9"/>
      <c r="G376" s="32"/>
      <c r="H376" s="32"/>
      <c r="I376" s="32"/>
      <c r="J376" s="32"/>
      <c r="K376" s="29"/>
      <c r="L376" s="29"/>
      <c r="M376" s="29"/>
      <c r="N376" s="29"/>
      <c r="O376" s="29"/>
      <c r="P376" s="29"/>
      <c r="Q376" s="29"/>
      <c r="R376" s="38"/>
    </row>
    <row r="377" spans="1:18">
      <c r="A377" s="5"/>
      <c r="B377" s="13"/>
      <c r="C377" s="13"/>
      <c r="D377" s="13"/>
      <c r="E377" s="13"/>
      <c r="F377" s="9"/>
      <c r="G377" s="32"/>
      <c r="H377" s="32"/>
      <c r="I377" s="32"/>
      <c r="J377" s="32"/>
      <c r="K377" s="29"/>
      <c r="L377" s="29"/>
      <c r="M377" s="29"/>
      <c r="N377" s="29"/>
      <c r="O377" s="29"/>
      <c r="P377" s="29"/>
      <c r="Q377" s="29"/>
      <c r="R377" s="38"/>
    </row>
    <row r="378" spans="1:18">
      <c r="A378" s="5"/>
      <c r="B378" s="13"/>
      <c r="C378" s="13"/>
      <c r="D378" s="13"/>
      <c r="E378" s="13"/>
      <c r="F378" s="9"/>
      <c r="G378" s="32"/>
      <c r="H378" s="32"/>
      <c r="I378" s="32"/>
      <c r="J378" s="32"/>
      <c r="K378" s="29"/>
      <c r="L378" s="29"/>
      <c r="M378" s="29"/>
      <c r="N378" s="29"/>
      <c r="O378" s="29"/>
      <c r="P378" s="29"/>
      <c r="Q378" s="29"/>
      <c r="R378" s="38"/>
    </row>
    <row r="379" spans="1:18">
      <c r="A379" s="5"/>
      <c r="B379" s="13"/>
      <c r="C379" s="13"/>
      <c r="D379" s="13"/>
      <c r="E379" s="13"/>
      <c r="F379" s="9"/>
      <c r="G379" s="32"/>
      <c r="H379" s="32"/>
      <c r="I379" s="32"/>
      <c r="J379" s="32"/>
      <c r="K379" s="29"/>
      <c r="L379" s="29"/>
      <c r="M379" s="29"/>
      <c r="N379" s="29"/>
      <c r="O379" s="29"/>
      <c r="P379" s="29"/>
      <c r="Q379" s="29"/>
      <c r="R379" s="38"/>
    </row>
    <row r="380" spans="1:18">
      <c r="A380" s="5"/>
      <c r="B380" s="13"/>
      <c r="C380" s="13"/>
      <c r="D380" s="13"/>
      <c r="E380" s="13"/>
      <c r="F380" s="9"/>
      <c r="G380" s="32"/>
      <c r="H380" s="32"/>
      <c r="I380" s="32"/>
      <c r="J380" s="32"/>
      <c r="K380" s="29"/>
      <c r="L380" s="29"/>
      <c r="M380" s="29"/>
      <c r="N380" s="29"/>
      <c r="O380" s="29"/>
      <c r="P380" s="29"/>
      <c r="Q380" s="29"/>
      <c r="R380" s="38"/>
    </row>
    <row r="381" spans="1:18">
      <c r="A381" s="5"/>
      <c r="B381" s="13"/>
      <c r="C381" s="13"/>
      <c r="D381" s="13"/>
      <c r="E381" s="13"/>
      <c r="F381" s="9"/>
      <c r="G381" s="32"/>
      <c r="H381" s="32"/>
      <c r="I381" s="32"/>
      <c r="J381" s="32"/>
      <c r="K381" s="29"/>
      <c r="L381" s="29"/>
      <c r="M381" s="29"/>
      <c r="N381" s="29"/>
      <c r="O381" s="29"/>
      <c r="P381" s="29"/>
      <c r="Q381" s="29"/>
      <c r="R381" s="38"/>
    </row>
    <row r="382" spans="1:18">
      <c r="A382" s="5"/>
      <c r="B382" s="13"/>
      <c r="C382" s="13"/>
      <c r="D382" s="13"/>
      <c r="E382" s="13"/>
      <c r="F382" s="9"/>
      <c r="G382" s="32"/>
      <c r="H382" s="32"/>
      <c r="I382" s="32"/>
      <c r="J382" s="32"/>
      <c r="K382" s="29"/>
      <c r="L382" s="29"/>
      <c r="M382" s="29"/>
      <c r="N382" s="29"/>
      <c r="O382" s="29"/>
      <c r="P382" s="29"/>
      <c r="Q382" s="29"/>
      <c r="R382" s="38"/>
    </row>
    <row r="383" spans="1:18">
      <c r="A383" s="5"/>
      <c r="B383" s="13"/>
      <c r="C383" s="13"/>
      <c r="D383" s="13"/>
      <c r="E383" s="13"/>
      <c r="F383" s="9"/>
      <c r="G383" s="32"/>
      <c r="H383" s="32"/>
      <c r="I383" s="32"/>
      <c r="J383" s="32"/>
      <c r="K383" s="29"/>
      <c r="L383" s="29"/>
      <c r="M383" s="29"/>
      <c r="N383" s="29"/>
      <c r="O383" s="29"/>
      <c r="P383" s="29"/>
      <c r="Q383" s="29"/>
      <c r="R383" s="38"/>
    </row>
    <row r="384" spans="1:18">
      <c r="A384" s="5"/>
      <c r="B384" s="13"/>
      <c r="C384" s="13"/>
      <c r="D384" s="13"/>
      <c r="E384" s="13"/>
      <c r="F384" s="9"/>
      <c r="G384" s="32"/>
      <c r="H384" s="32"/>
      <c r="I384" s="32"/>
      <c r="J384" s="32"/>
      <c r="K384" s="29"/>
      <c r="L384" s="29"/>
      <c r="M384" s="29"/>
      <c r="N384" s="29"/>
      <c r="O384" s="29"/>
      <c r="P384" s="29"/>
      <c r="Q384" s="29"/>
      <c r="R384" s="38"/>
    </row>
    <row r="385" spans="1:18">
      <c r="A385" s="5"/>
      <c r="B385" s="13"/>
      <c r="C385" s="13"/>
      <c r="D385" s="13"/>
      <c r="E385" s="13"/>
      <c r="F385" s="9"/>
      <c r="G385" s="32"/>
      <c r="H385" s="32"/>
      <c r="I385" s="32"/>
      <c r="J385" s="32"/>
      <c r="K385" s="29"/>
      <c r="L385" s="29"/>
      <c r="M385" s="29"/>
      <c r="N385" s="29"/>
      <c r="O385" s="29"/>
      <c r="P385" s="29"/>
      <c r="Q385" s="29"/>
      <c r="R385" s="38"/>
    </row>
    <row r="386" spans="1:18">
      <c r="A386" s="5"/>
      <c r="B386" s="13"/>
      <c r="C386" s="13"/>
      <c r="D386" s="13"/>
      <c r="E386" s="13"/>
      <c r="F386" s="9"/>
      <c r="G386" s="32"/>
      <c r="H386" s="32"/>
      <c r="I386" s="32"/>
      <c r="J386" s="32"/>
      <c r="K386" s="29"/>
      <c r="L386" s="29"/>
      <c r="M386" s="29"/>
      <c r="N386" s="29"/>
      <c r="O386" s="29"/>
      <c r="P386" s="29"/>
      <c r="Q386" s="29"/>
      <c r="R386" s="38"/>
    </row>
    <row r="387" spans="1:18">
      <c r="A387" s="5"/>
      <c r="B387" s="13"/>
      <c r="C387" s="13"/>
      <c r="D387" s="13"/>
      <c r="E387" s="13"/>
      <c r="F387" s="9"/>
      <c r="G387" s="32"/>
      <c r="H387" s="32"/>
      <c r="I387" s="32"/>
      <c r="J387" s="32"/>
      <c r="K387" s="29"/>
      <c r="L387" s="29"/>
      <c r="M387" s="29"/>
      <c r="N387" s="29"/>
      <c r="O387" s="29"/>
      <c r="P387" s="29"/>
      <c r="Q387" s="29"/>
      <c r="R387" s="38"/>
    </row>
    <row r="388" spans="1:18">
      <c r="A388" s="5"/>
      <c r="B388" s="13"/>
      <c r="C388" s="13"/>
      <c r="D388" s="13"/>
      <c r="E388" s="13"/>
      <c r="F388" s="9"/>
      <c r="G388" s="32"/>
      <c r="H388" s="32"/>
      <c r="I388" s="32"/>
      <c r="J388" s="32"/>
      <c r="K388" s="29"/>
      <c r="L388" s="29"/>
      <c r="M388" s="29"/>
      <c r="N388" s="29"/>
      <c r="O388" s="29"/>
      <c r="P388" s="29"/>
      <c r="Q388" s="29"/>
      <c r="R388" s="38"/>
    </row>
    <row r="389" spans="1:18">
      <c r="A389" s="5"/>
      <c r="B389" s="13"/>
      <c r="C389" s="13"/>
      <c r="D389" s="13"/>
      <c r="E389" s="13"/>
      <c r="F389" s="9"/>
      <c r="G389" s="32"/>
      <c r="H389" s="32"/>
      <c r="I389" s="32"/>
      <c r="J389" s="32"/>
      <c r="K389" s="29"/>
      <c r="L389" s="29"/>
      <c r="M389" s="29"/>
      <c r="N389" s="29"/>
      <c r="O389" s="29"/>
      <c r="P389" s="29"/>
      <c r="Q389" s="29"/>
      <c r="R389" s="38"/>
    </row>
    <row r="390" spans="1:18">
      <c r="A390" s="5"/>
      <c r="B390" s="13"/>
      <c r="C390" s="13"/>
      <c r="D390" s="13"/>
      <c r="E390" s="13"/>
      <c r="F390" s="9"/>
      <c r="G390" s="32"/>
      <c r="H390" s="32"/>
      <c r="I390" s="32"/>
      <c r="J390" s="32"/>
      <c r="K390" s="29"/>
      <c r="L390" s="29"/>
      <c r="M390" s="29"/>
      <c r="N390" s="29"/>
      <c r="O390" s="29"/>
      <c r="P390" s="29"/>
      <c r="Q390" s="29"/>
      <c r="R390" s="38"/>
    </row>
    <row r="391" spans="1:18">
      <c r="A391" s="5"/>
      <c r="B391" s="13"/>
      <c r="C391" s="13"/>
      <c r="D391" s="13"/>
      <c r="E391" s="13"/>
      <c r="F391" s="9"/>
      <c r="G391" s="32"/>
      <c r="H391" s="32"/>
      <c r="I391" s="32"/>
      <c r="J391" s="32"/>
      <c r="K391" s="29"/>
      <c r="L391" s="29"/>
      <c r="M391" s="29"/>
      <c r="N391" s="29"/>
      <c r="O391" s="29"/>
      <c r="P391" s="29"/>
      <c r="Q391" s="29"/>
      <c r="R391" s="38"/>
    </row>
    <row r="392" spans="1:18">
      <c r="A392" s="5"/>
      <c r="B392" s="13"/>
      <c r="C392" s="13"/>
      <c r="D392" s="13"/>
      <c r="E392" s="13"/>
      <c r="F392" s="9"/>
      <c r="G392" s="32"/>
      <c r="H392" s="32"/>
      <c r="I392" s="32"/>
      <c r="J392" s="32"/>
      <c r="K392" s="29"/>
      <c r="L392" s="29"/>
      <c r="M392" s="29"/>
      <c r="N392" s="29"/>
      <c r="O392" s="29"/>
      <c r="P392" s="29"/>
      <c r="Q392" s="29"/>
      <c r="R392" s="38"/>
    </row>
    <row r="393" spans="1:18">
      <c r="A393" s="5"/>
      <c r="B393" s="13"/>
      <c r="C393" s="13"/>
      <c r="D393" s="13"/>
      <c r="E393" s="13"/>
      <c r="F393" s="9"/>
      <c r="G393" s="32"/>
      <c r="H393" s="32"/>
      <c r="I393" s="32"/>
      <c r="J393" s="32"/>
      <c r="K393" s="29"/>
      <c r="L393" s="29"/>
      <c r="M393" s="29"/>
      <c r="N393" s="29"/>
      <c r="O393" s="29"/>
      <c r="P393" s="29"/>
      <c r="Q393" s="29"/>
      <c r="R393" s="38"/>
    </row>
    <row r="394" spans="1:18">
      <c r="A394" s="5"/>
      <c r="B394" s="13"/>
      <c r="C394" s="13"/>
      <c r="D394" s="13"/>
      <c r="E394" s="13"/>
      <c r="F394" s="9"/>
      <c r="G394" s="32"/>
      <c r="H394" s="32"/>
      <c r="I394" s="32"/>
      <c r="J394" s="32"/>
      <c r="K394" s="29"/>
      <c r="L394" s="29"/>
      <c r="M394" s="29"/>
      <c r="N394" s="29"/>
      <c r="O394" s="29"/>
      <c r="P394" s="29"/>
      <c r="Q394" s="29"/>
      <c r="R394" s="38"/>
    </row>
    <row r="395" spans="1:18">
      <c r="A395" s="5"/>
      <c r="B395" s="13"/>
      <c r="C395" s="13"/>
      <c r="D395" s="13"/>
      <c r="E395" s="13"/>
      <c r="F395" s="9"/>
      <c r="G395" s="32"/>
      <c r="H395" s="32"/>
      <c r="I395" s="32"/>
      <c r="J395" s="32"/>
      <c r="K395" s="29"/>
      <c r="L395" s="29"/>
      <c r="M395" s="29"/>
      <c r="N395" s="29"/>
      <c r="O395" s="29"/>
      <c r="P395" s="29"/>
      <c r="Q395" s="29"/>
      <c r="R395" s="38"/>
    </row>
    <row r="396" spans="1:18">
      <c r="A396" s="5"/>
      <c r="B396" s="13"/>
      <c r="C396" s="13"/>
      <c r="D396" s="13"/>
      <c r="E396" s="13"/>
      <c r="F396" s="9"/>
      <c r="G396" s="32"/>
      <c r="H396" s="32"/>
      <c r="I396" s="32"/>
      <c r="J396" s="32"/>
      <c r="K396" s="29"/>
      <c r="L396" s="29"/>
      <c r="M396" s="29"/>
      <c r="N396" s="29"/>
      <c r="O396" s="29"/>
      <c r="P396" s="29"/>
      <c r="Q396" s="29"/>
      <c r="R396" s="38"/>
    </row>
    <row r="397" spans="1:18">
      <c r="A397" s="5"/>
      <c r="B397" s="13"/>
      <c r="C397" s="13"/>
      <c r="D397" s="13"/>
      <c r="E397" s="13"/>
      <c r="F397" s="9"/>
      <c r="G397" s="32"/>
      <c r="H397" s="32"/>
      <c r="I397" s="32"/>
      <c r="J397" s="32"/>
      <c r="K397" s="29"/>
      <c r="L397" s="29"/>
      <c r="M397" s="29"/>
      <c r="N397" s="29"/>
      <c r="O397" s="29"/>
      <c r="P397" s="29"/>
      <c r="Q397" s="29"/>
      <c r="R397" s="38"/>
    </row>
    <row r="398" spans="1:18">
      <c r="A398" s="5"/>
      <c r="B398" s="13"/>
      <c r="C398" s="13"/>
      <c r="D398" s="13"/>
      <c r="E398" s="13"/>
      <c r="F398" s="9"/>
      <c r="G398" s="32"/>
      <c r="H398" s="32"/>
      <c r="I398" s="32"/>
      <c r="J398" s="32"/>
      <c r="K398" s="29"/>
      <c r="L398" s="29"/>
      <c r="M398" s="29"/>
      <c r="N398" s="29"/>
      <c r="O398" s="29"/>
      <c r="P398" s="29"/>
      <c r="Q398" s="29"/>
      <c r="R398" s="38"/>
    </row>
    <row r="399" spans="1:18">
      <c r="A399" s="5"/>
      <c r="B399" s="13"/>
      <c r="C399" s="13"/>
      <c r="D399" s="13"/>
      <c r="E399" s="13"/>
      <c r="F399" s="9"/>
      <c r="G399" s="32"/>
      <c r="H399" s="32"/>
      <c r="I399" s="32"/>
      <c r="J399" s="32"/>
      <c r="K399" s="29"/>
      <c r="L399" s="29"/>
      <c r="M399" s="29"/>
      <c r="N399" s="29"/>
      <c r="O399" s="29"/>
      <c r="P399" s="29"/>
      <c r="Q399" s="29"/>
      <c r="R399" s="38"/>
    </row>
    <row r="400" spans="1:18">
      <c r="A400" s="5"/>
      <c r="B400" s="13"/>
      <c r="C400" s="13"/>
      <c r="D400" s="13"/>
      <c r="E400" s="13"/>
      <c r="F400" s="9"/>
      <c r="G400" s="32"/>
      <c r="H400" s="32"/>
      <c r="I400" s="32"/>
      <c r="J400" s="32"/>
      <c r="K400" s="29"/>
      <c r="L400" s="29"/>
      <c r="M400" s="29"/>
      <c r="N400" s="29"/>
      <c r="O400" s="29"/>
      <c r="P400" s="29"/>
      <c r="Q400" s="29"/>
      <c r="R400" s="38"/>
    </row>
    <row r="401" spans="1:18">
      <c r="A401" s="5"/>
      <c r="B401" s="13"/>
      <c r="C401" s="13"/>
      <c r="D401" s="13"/>
      <c r="E401" s="13"/>
      <c r="F401" s="9"/>
      <c r="G401" s="32"/>
      <c r="H401" s="32"/>
      <c r="I401" s="32"/>
      <c r="J401" s="32"/>
      <c r="K401" s="29"/>
      <c r="L401" s="29"/>
      <c r="M401" s="29"/>
      <c r="N401" s="29"/>
      <c r="O401" s="29"/>
      <c r="P401" s="29"/>
      <c r="Q401" s="29"/>
      <c r="R401" s="38"/>
    </row>
    <row r="402" spans="1:18">
      <c r="A402" s="5"/>
      <c r="B402" s="13"/>
      <c r="C402" s="13"/>
      <c r="D402" s="13"/>
      <c r="E402" s="13"/>
      <c r="F402" s="9"/>
      <c r="G402" s="32"/>
      <c r="H402" s="32"/>
      <c r="I402" s="32"/>
      <c r="J402" s="32"/>
      <c r="K402" s="29"/>
      <c r="L402" s="29"/>
      <c r="M402" s="29"/>
      <c r="N402" s="29"/>
      <c r="O402" s="29"/>
      <c r="P402" s="29"/>
      <c r="Q402" s="29"/>
      <c r="R402" s="38"/>
    </row>
    <row r="403" spans="1:18">
      <c r="A403" s="5"/>
      <c r="B403" s="13"/>
      <c r="C403" s="13"/>
      <c r="D403" s="13"/>
      <c r="E403" s="13"/>
      <c r="F403" s="9"/>
      <c r="G403" s="32"/>
      <c r="H403" s="32"/>
      <c r="I403" s="32"/>
      <c r="J403" s="32"/>
      <c r="K403" s="29"/>
      <c r="L403" s="29"/>
      <c r="M403" s="29"/>
      <c r="N403" s="29"/>
      <c r="O403" s="29"/>
      <c r="P403" s="29"/>
      <c r="Q403" s="29"/>
      <c r="R403" s="38"/>
    </row>
    <row r="404" spans="1:18">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workbookViewId="0"/>
  </sheetViews>
  <sheetFormatPr baseColWidth="10" defaultColWidth="8.83203125" defaultRowHeight="15"/>
  <cols>
    <col min="1" max="1" width="2.6640625" style="2" customWidth="1"/>
    <col min="2" max="2" width="32.6640625" style="15" bestFit="1" customWidth="1"/>
    <col min="3" max="3" width="30.6640625" style="15" bestFit="1" customWidth="1"/>
    <col min="4" max="4" width="30.6640625" style="15" customWidth="1"/>
    <col min="5" max="5" width="29.5" style="15" bestFit="1"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56</v>
      </c>
      <c r="E1" s="24" t="s">
        <v>15</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c r="A3" s="5"/>
      <c r="B3" s="25" t="s">
        <v>266</v>
      </c>
      <c r="C3" s="25" t="s">
        <v>269</v>
      </c>
      <c r="D3" s="25" t="s">
        <v>276</v>
      </c>
      <c r="E3" s="25" t="s">
        <v>267</v>
      </c>
      <c r="F3" s="67" t="s">
        <v>275</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c r="A4" s="5"/>
      <c r="B4" s="25"/>
      <c r="C4" s="25" t="s">
        <v>270</v>
      </c>
      <c r="D4" s="25" t="s">
        <v>276</v>
      </c>
      <c r="E4" s="25" t="s">
        <v>267</v>
      </c>
      <c r="F4" s="67" t="s">
        <v>275</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c r="A5" s="5"/>
      <c r="B5" s="25"/>
      <c r="C5" s="25" t="s">
        <v>271</v>
      </c>
      <c r="D5" s="25" t="s">
        <v>276</v>
      </c>
      <c r="E5" s="25" t="s">
        <v>267</v>
      </c>
      <c r="F5" s="67" t="s">
        <v>275</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c r="A6" s="5"/>
      <c r="B6" s="25"/>
      <c r="C6" s="25" t="s">
        <v>274</v>
      </c>
      <c r="D6" s="25" t="s">
        <v>276</v>
      </c>
      <c r="E6" s="25" t="s">
        <v>267</v>
      </c>
      <c r="F6" s="67" t="s">
        <v>275</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c r="A7" s="5"/>
      <c r="B7" s="25"/>
      <c r="C7" s="25" t="s">
        <v>272</v>
      </c>
      <c r="D7" s="25" t="s">
        <v>13</v>
      </c>
      <c r="E7" s="25" t="s">
        <v>268</v>
      </c>
      <c r="F7" s="67" t="s">
        <v>275</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c r="A8" s="5"/>
      <c r="B8" s="25"/>
      <c r="C8" s="25" t="s">
        <v>273</v>
      </c>
      <c r="D8" s="25" t="s">
        <v>13</v>
      </c>
      <c r="E8" s="25" t="s">
        <v>268</v>
      </c>
      <c r="F8" s="67" t="s">
        <v>275</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c r="A9" s="5"/>
      <c r="B9" s="25"/>
      <c r="C9" s="25"/>
      <c r="D9" s="25"/>
      <c r="E9" s="25"/>
      <c r="F9" s="27"/>
      <c r="G9" s="17"/>
      <c r="H9" s="17"/>
      <c r="I9" s="17"/>
      <c r="J9" s="17"/>
      <c r="R9" s="38"/>
    </row>
    <row r="10" spans="1:79">
      <c r="A10" s="5"/>
      <c r="B10" s="25"/>
      <c r="C10" s="25" t="s">
        <v>269</v>
      </c>
      <c r="D10" s="25" t="s">
        <v>276</v>
      </c>
      <c r="E10" s="25" t="s">
        <v>324</v>
      </c>
      <c r="F10" s="67" t="s">
        <v>83</v>
      </c>
      <c r="G10" s="189">
        <f>G3*Macro!G$72/Conversions!$G$3/Conversions!$G$4/INDEX(Coefficients!$D$18:$BV$18,MATCH(G$1,CoeffYear,0))*1000</f>
        <v>9.9140294521656767</v>
      </c>
      <c r="H10" s="189">
        <f>H3*Macro!H$72/Conversions!$G$3/Conversions!$G$4/INDEX(Coefficients!$D$18:$BV$18,MATCH(H$1,CoeffYear,0))*1000</f>
        <v>9.8015627285205795</v>
      </c>
      <c r="I10" s="189">
        <f>I3*Macro!I$72/Conversions!$G$3/Conversions!$G$4/INDEX(Coefficients!$D$18:$BV$18,MATCH(I$1,CoeffYear,0))*1000</f>
        <v>14.3928581627291</v>
      </c>
      <c r="J10" s="189">
        <f>J3*Macro!J$72/Conversions!$G$3/Conversions!$G$4/INDEX(Coefficients!$D$18:$BV$18,MATCH(J$1,CoeffYear,0))*1000</f>
        <v>9.6634823487596684</v>
      </c>
      <c r="K10" s="189">
        <f>K3*Macro!K$72/Conversions!$G$3/Conversions!$G$4/INDEX(Coefficients!$D$18:$BV$18,MATCH(K$1,CoeffYear,0))*1000</f>
        <v>12.513392277585524</v>
      </c>
      <c r="L10" s="189">
        <f>L3*Macro!L$72/Conversions!$G$3/Conversions!$G$4/INDEX(Coefficients!$D$18:$BV$18,MATCH(L$1,CoeffYear,0))*1000</f>
        <v>13.575414500406438</v>
      </c>
      <c r="M10" s="189">
        <f>M3*Macro!M$72/Conversions!$G$3/Conversions!$G$4/INDEX(Coefficients!$D$18:$BV$18,MATCH(M$1,CoeffYear,0))*1000</f>
        <v>13.852463775924935</v>
      </c>
      <c r="N10" s="189">
        <f>N3*Macro!N$72/Conversions!$G$3/Conversions!$G$4/INDEX(Coefficients!$D$18:$BV$18,MATCH(N$1,CoeffYear,0))*1000</f>
        <v>13.852463775924935</v>
      </c>
      <c r="O10" s="189">
        <f>O3*Macro!O$72/Conversions!$G$3/Conversions!$G$4/INDEX(Coefficients!$D$18:$BV$18,MATCH(O$1,CoeffYear,0))*1000</f>
        <v>13.852463775924935</v>
      </c>
      <c r="P10" s="189">
        <f>P3*Macro!P$72/Conversions!$G$3/Conversions!$G$4/INDEX(Coefficients!$D$18:$BV$18,MATCH(P$1,CoeffYear,0))*1000</f>
        <v>13.852463775924935</v>
      </c>
      <c r="Q10" s="189">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c r="A11" s="5"/>
      <c r="B11" s="25"/>
      <c r="C11" s="25" t="s">
        <v>270</v>
      </c>
      <c r="D11" s="25" t="s">
        <v>276</v>
      </c>
      <c r="E11" s="25" t="s">
        <v>324</v>
      </c>
      <c r="F11" s="67" t="s">
        <v>83</v>
      </c>
      <c r="G11" s="189">
        <f>G4*Macro!G$72/Conversions!$G$3/Conversions!$G$4/INDEX(Coefficients!$D$18:$BV$18,MATCH(G$1,CoeffYear,0))*1000</f>
        <v>10.290097639191201</v>
      </c>
      <c r="H11" s="189">
        <f>H4*Macro!H$72/Conversions!$G$3/Conversions!$G$4/INDEX(Coefficients!$D$18:$BV$18,MATCH(H$1,CoeffYear,0))*1000</f>
        <v>10.173364723170343</v>
      </c>
      <c r="I11" s="189">
        <f>I4*Macro!I$72/Conversions!$G$3/Conversions!$G$4/INDEX(Coefficients!$D$18:$BV$18,MATCH(I$1,CoeffYear,0))*1000</f>
        <v>14.369355191228601</v>
      </c>
      <c r="J11" s="189">
        <f>J4*Macro!J$72/Conversions!$G$3/Conversions!$G$4/INDEX(Coefficients!$D$18:$BV$18,MATCH(J$1,CoeffYear,0))*1000</f>
        <v>8.9874818633533131</v>
      </c>
      <c r="K11" s="189">
        <f>K4*Macro!K$72/Conversions!$G$3/Conversions!$G$4/INDEX(Coefficients!$D$18:$BV$18,MATCH(K$1,CoeffYear,0))*1000</f>
        <v>11.534484837420164</v>
      </c>
      <c r="L11" s="189">
        <f>L4*Macro!L$72/Conversions!$G$3/Conversions!$G$4/INDEX(Coefficients!$D$18:$BV$18,MATCH(L$1,CoeffYear,0))*1000</f>
        <v>12.928966190863273</v>
      </c>
      <c r="M11" s="189">
        <f>M4*Macro!M$72/Conversions!$G$3/Conversions!$G$4/INDEX(Coefficients!$D$18:$BV$18,MATCH(M$1,CoeffYear,0))*1000</f>
        <v>13.206015466381771</v>
      </c>
      <c r="N11" s="189">
        <f>N4*Macro!N$72/Conversions!$G$3/Conversions!$G$4/INDEX(Coefficients!$D$18:$BV$18,MATCH(N$1,CoeffYear,0))*1000</f>
        <v>13.206015466381771</v>
      </c>
      <c r="O11" s="189">
        <f>O4*Macro!O$72/Conversions!$G$3/Conversions!$G$4/INDEX(Coefficients!$D$18:$BV$18,MATCH(O$1,CoeffYear,0))*1000</f>
        <v>13.206015466381771</v>
      </c>
      <c r="P11" s="189">
        <f>P4*Macro!P$72/Conversions!$G$3/Conversions!$G$4/INDEX(Coefficients!$D$18:$BV$18,MATCH(P$1,CoeffYear,0))*1000</f>
        <v>13.206015466381771</v>
      </c>
      <c r="Q11" s="189">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c r="A12" s="5"/>
      <c r="B12" s="25"/>
      <c r="C12" s="25" t="s">
        <v>271</v>
      </c>
      <c r="D12" s="25" t="s">
        <v>276</v>
      </c>
      <c r="E12" s="25" t="s">
        <v>324</v>
      </c>
      <c r="F12" s="67" t="s">
        <v>83</v>
      </c>
      <c r="G12" s="189">
        <f>G5*Macro!G$72/Conversions!$G$3/Conversions!$G$4/INDEX(Coefficients!$D$18:$BV$18,MATCH(G$1,CoeffYear,0))*1000</f>
        <v>6.5839184047367434</v>
      </c>
      <c r="H12" s="189">
        <f>H5*Macro!H$72/Conversions!$G$3/Conversions!$G$4/INDEX(Coefficients!$D$18:$BV$18,MATCH(H$1,CoeffYear,0))*1000</f>
        <v>6.5092291237233955</v>
      </c>
      <c r="I12" s="189">
        <f>I5*Macro!I$72/Conversions!$G$3/Conversions!$G$4/INDEX(Coefficients!$D$18:$BV$18,MATCH(I$1,CoeffYear,0))*1000</f>
        <v>11.805723376789475</v>
      </c>
      <c r="J12" s="189">
        <f>J5*Macro!J$72/Conversions!$G$3/Conversions!$G$4/INDEX(Coefficients!$D$18:$BV$18,MATCH(J$1,CoeffYear,0))*1000</f>
        <v>6.5143544044486541</v>
      </c>
      <c r="K12" s="189">
        <f>K5*Macro!K$72/Conversions!$G$3/Conversions!$G$4/INDEX(Coefficients!$D$18:$BV$18,MATCH(K$1,CoeffYear,0))*1000</f>
        <v>6.6768875399958185</v>
      </c>
      <c r="L12" s="189">
        <f>L5*Macro!L$72/Conversions!$G$3/Conversions!$G$4/INDEX(Coefficients!$D$18:$BV$18,MATCH(L$1,CoeffYear,0))*1000</f>
        <v>10.195413339080753</v>
      </c>
      <c r="M12" s="189">
        <f>M5*Macro!M$72/Conversions!$G$3/Conversions!$G$4/INDEX(Coefficients!$D$18:$BV$18,MATCH(M$1,CoeffYear,0))*1000</f>
        <v>10.620222228209117</v>
      </c>
      <c r="N12" s="189">
        <f>N5*Macro!N$72/Conversions!$G$3/Conversions!$G$4/INDEX(Coefficients!$D$18:$BV$18,MATCH(N$1,CoeffYear,0))*1000</f>
        <v>10.620222228209117</v>
      </c>
      <c r="O12" s="189">
        <f>O5*Macro!O$72/Conversions!$G$3/Conversions!$G$4/INDEX(Coefficients!$D$18:$BV$18,MATCH(O$1,CoeffYear,0))*1000</f>
        <v>10.620222228209117</v>
      </c>
      <c r="P12" s="189">
        <f>P5*Macro!P$72/Conversions!$G$3/Conversions!$G$4/INDEX(Coefficients!$D$18:$BV$18,MATCH(P$1,CoeffYear,0))*1000</f>
        <v>10.620222228209117</v>
      </c>
      <c r="Q12" s="189">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c r="A13" s="5"/>
      <c r="B13" s="25"/>
      <c r="C13" s="25" t="s">
        <v>274</v>
      </c>
      <c r="D13" s="25" t="s">
        <v>276</v>
      </c>
      <c r="E13" s="25" t="s">
        <v>324</v>
      </c>
      <c r="F13" s="67" t="s">
        <v>83</v>
      </c>
      <c r="G13" s="189">
        <f>G6*Macro!G$72/Conversions!$G$3/Conversions!$G$4/INDEX(Coefficients!$D$18:$BV$18,MATCH(G$1,CoeffYear,0))*1000</f>
        <v>10.310081938984828</v>
      </c>
      <c r="H13" s="189">
        <f>H6*Macro!H$72/Conversions!$G$3/Conversions!$G$4/INDEX(Coefficients!$D$18:$BV$18,MATCH(H$1,CoeffYear,0))*1000</f>
        <v>10.193122317088928</v>
      </c>
      <c r="I13" s="189">
        <f>I6*Macro!I$72/Conversions!$G$3/Conversions!$G$4/INDEX(Coefficients!$D$18:$BV$18,MATCH(I$1,CoeffYear,0))*1000</f>
        <v>13.602796736135373</v>
      </c>
      <c r="J13" s="189">
        <f>J6*Macro!J$72/Conversions!$G$3/Conversions!$G$4/INDEX(Coefficients!$D$18:$BV$18,MATCH(J$1,CoeffYear,0))*1000</f>
        <v>8.3410333117352167</v>
      </c>
      <c r="K13" s="189">
        <f>K6*Macro!K$72/Conversions!$G$3/Conversions!$G$4/INDEX(Coefficients!$D$18:$BV$18,MATCH(K$1,CoeffYear,0))*1000</f>
        <v>10.441063696707156</v>
      </c>
      <c r="L13" s="189">
        <f>L6*Macro!L$72/Conversions!$G$3/Conversions!$G$4/INDEX(Coefficients!$D$18:$BV$18,MATCH(L$1,CoeffYear,0))*1000</f>
        <v>12.39333759152751</v>
      </c>
      <c r="M13" s="189">
        <f>M6*Macro!M$72/Conversions!$G$3/Conversions!$G$4/INDEX(Coefficients!$D$18:$BV$18,MATCH(M$1,CoeffYear,0))*1000</f>
        <v>12.72579672214971</v>
      </c>
      <c r="N13" s="189">
        <f>N6*Macro!N$72/Conversions!$G$3/Conversions!$G$4/INDEX(Coefficients!$D$18:$BV$18,MATCH(N$1,CoeffYear,0))*1000</f>
        <v>12.72579672214971</v>
      </c>
      <c r="O13" s="189">
        <f>O6*Macro!O$72/Conversions!$G$3/Conversions!$G$4/INDEX(Coefficients!$D$18:$BV$18,MATCH(O$1,CoeffYear,0))*1000</f>
        <v>12.72579672214971</v>
      </c>
      <c r="P13" s="189">
        <f>P6*Macro!P$72/Conversions!$G$3/Conversions!$G$4/INDEX(Coefficients!$D$18:$BV$18,MATCH(P$1,CoeffYear,0))*1000</f>
        <v>12.72579672214971</v>
      </c>
      <c r="Q13" s="189">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c r="A14" s="5"/>
      <c r="B14" s="25"/>
      <c r="C14" s="25" t="s">
        <v>272</v>
      </c>
      <c r="D14" s="25" t="s">
        <v>13</v>
      </c>
      <c r="E14" s="25" t="s">
        <v>324</v>
      </c>
      <c r="F14" s="67" t="s">
        <v>83</v>
      </c>
      <c r="G14" s="189">
        <f>G7*Macro!G$72/Conversions!$G$5</f>
        <v>10.110878338672682</v>
      </c>
      <c r="H14" s="189">
        <f>H7*Macro!H$72/Conversions!$G$5</f>
        <v>9.9961768619794107</v>
      </c>
      <c r="I14" s="189">
        <f>I7*Macro!I$72/Conversions!$G$5</f>
        <v>5.0713820825355889</v>
      </c>
      <c r="J14" s="189">
        <f>J7*Macro!J$72/Conversions!$G$5</f>
        <v>3.0873035088051854</v>
      </c>
      <c r="K14" s="189">
        <f>K7*Macro!K$72/Conversions!$G$5</f>
        <v>3.3948509847781168</v>
      </c>
      <c r="L14" s="189">
        <f>L7*Macro!L$72/Conversions!$G$5</f>
        <v>3.6077684681439912</v>
      </c>
      <c r="M14" s="189">
        <f>M7*Macro!M$72/Conversions!$G$5</f>
        <v>4.1992059219380877</v>
      </c>
      <c r="N14" s="189">
        <f>N7*Macro!N$72/Conversions!$G$5</f>
        <v>4.6723558849733653</v>
      </c>
      <c r="O14" s="189">
        <f>O7*Macro!O$72/Conversions!$G$5</f>
        <v>4.9207596155668867</v>
      </c>
      <c r="P14" s="189">
        <f>P7*Macro!P$72/Conversions!$G$5</f>
        <v>4.9207596155668867</v>
      </c>
      <c r="Q14" s="189">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c r="A15" s="5"/>
      <c r="B15" s="25"/>
      <c r="C15" s="25" t="s">
        <v>273</v>
      </c>
      <c r="D15" s="25" t="s">
        <v>13</v>
      </c>
      <c r="E15" s="25" t="s">
        <v>324</v>
      </c>
      <c r="F15" s="67" t="s">
        <v>83</v>
      </c>
      <c r="G15" s="189">
        <f>G8*Macro!G$72/Conversions!$G$5</f>
        <v>8.4936032074005272</v>
      </c>
      <c r="H15" s="189">
        <f>H8*Macro!H$72/Conversions!$G$5</f>
        <v>8.3972486872784486</v>
      </c>
      <c r="I15" s="189">
        <f>I8*Macro!I$72/Conversions!$G$5</f>
        <v>4.0408957689610068</v>
      </c>
      <c r="J15" s="189">
        <f>J8*Macro!J$72/Conversions!$G$5</f>
        <v>2.247462324417568</v>
      </c>
      <c r="K15" s="189">
        <f>K8*Macro!K$72/Conversions!$G$5</f>
        <v>1.9162573502928744</v>
      </c>
      <c r="L15" s="189">
        <f>L8*Macro!L$72/Conversions!$G$5</f>
        <v>2.5431810513146162</v>
      </c>
      <c r="M15" s="189">
        <f>M8*Macro!M$72/Conversions!$G$5</f>
        <v>3.0163310143498943</v>
      </c>
      <c r="N15" s="189">
        <f>N8*Macro!N$72/Conversions!$G$5</f>
        <v>3.6077684681439912</v>
      </c>
      <c r="O15" s="189">
        <f>O8*Macro!O$72/Conversions!$G$5</f>
        <v>3.8561721987375113</v>
      </c>
      <c r="P15" s="189">
        <f>P8*Macro!P$72/Conversions!$G$5</f>
        <v>3.8561721987375113</v>
      </c>
      <c r="Q15" s="189">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c r="A16" s="5"/>
      <c r="B16" s="25"/>
      <c r="C16" s="25"/>
      <c r="D16" s="25"/>
      <c r="E16" s="25"/>
      <c r="F16" s="27"/>
      <c r="G16" s="17"/>
      <c r="H16" s="17"/>
      <c r="I16" s="17"/>
      <c r="J16" s="17"/>
      <c r="R16" s="38"/>
    </row>
    <row r="17" spans="1:79">
      <c r="A17" s="5"/>
      <c r="B17" s="25"/>
      <c r="C17" s="25"/>
      <c r="D17" s="25"/>
      <c r="E17" s="25"/>
      <c r="F17" s="27"/>
      <c r="G17" s="17"/>
      <c r="H17" s="17"/>
      <c r="I17" s="17"/>
      <c r="J17" s="17"/>
      <c r="R17" s="38"/>
    </row>
    <row r="18" spans="1:79">
      <c r="A18" s="5"/>
      <c r="B18" s="3" t="s">
        <v>0</v>
      </c>
      <c r="C18" s="25" t="s">
        <v>47</v>
      </c>
      <c r="D18" s="25" t="s">
        <v>2</v>
      </c>
      <c r="E18" s="25" t="s">
        <v>277</v>
      </c>
      <c r="F18" s="67" t="s">
        <v>275</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INDEX('[2]End - Use Prices'!$C$6:$AL$89,MATCH($C18,'[2]End - Use Prices'!$A$6:$A$89,0)+MATCH($D18,'[2]End - Use Prices'!$B$9:$B$11,0)-1,MATCH(X$1,'[2]End - Use Prices'!$C$7:$AL$7,0))</f>
        <v>28.95</v>
      </c>
      <c r="Y18" s="41">
        <f>INDEX('[2]End - Use Prices'!$C$6:$AL$89,MATCH($C18,'[2]End - Use Prices'!$A$6:$A$89,0)+MATCH($D18,'[2]End - Use Prices'!$B$9:$B$11,0)-1,MATCH(Y$1,'[2]End - Use Prices'!$C$7:$AL$7,0))</f>
        <v>32.35</v>
      </c>
      <c r="Z18" s="41">
        <f>INDEX('[2]End - Use Prices'!$C$6:$AL$89,MATCH($C18,'[2]End - Use Prices'!$A$6:$A$89,0)+MATCH($D18,'[2]End - Use Prices'!$B$9:$B$11,0)-1,MATCH(Z$1,'[2]End - Use Prices'!$C$7:$AL$7,0))</f>
        <v>31.56</v>
      </c>
      <c r="AA18" s="41">
        <f>INDEX('[2]End - Use Prices'!$C$6:$AL$89,MATCH($C18,'[2]End - Use Prices'!$A$6:$A$89,0)+MATCH($D18,'[2]End - Use Prices'!$B$9:$B$11,0)-1,MATCH(AA$1,'[2]End - Use Prices'!$C$7:$AL$7,0))</f>
        <v>30.57</v>
      </c>
      <c r="AB18" s="41">
        <f>INDEX('[2]End - Use Prices'!$C$6:$AL$89,MATCH($C18,'[2]End - Use Prices'!$A$6:$A$89,0)+MATCH($D18,'[2]End - Use Prices'!$B$9:$B$11,0)-1,MATCH(AB$1,'[2]End - Use Prices'!$C$7:$AL$7,0))</f>
        <v>31.64</v>
      </c>
      <c r="AC18" s="41">
        <f>INDEX('[2]End - Use Prices'!$C$6:$AL$89,MATCH($C18,'[2]End - Use Prices'!$A$6:$A$89,0)+MATCH($D18,'[2]End - Use Prices'!$B$9:$B$11,0)-1,MATCH(AC$1,'[2]End - Use Prices'!$C$7:$AL$7,0))</f>
        <v>31.32</v>
      </c>
      <c r="AD18" s="41">
        <f>INDEX('[2]End - Use Prices'!$C$6:$AL$89,MATCH($C18,'[2]End - Use Prices'!$A$6:$A$89,0)+MATCH($D18,'[2]End - Use Prices'!$B$9:$B$11,0)-1,MATCH(AD$1,'[2]End - Use Prices'!$C$7:$AL$7,0))</f>
        <v>32.659999999999997</v>
      </c>
      <c r="AE18" s="41">
        <f>INDEX('[2]End - Use Prices'!$C$6:$AL$89,MATCH($C18,'[2]End - Use Prices'!$A$6:$A$89,0)+MATCH($D18,'[2]End - Use Prices'!$B$9:$B$11,0)-1,MATCH(AE$1,'[2]End - Use Prices'!$C$7:$AL$7,0))</f>
        <v>32.83</v>
      </c>
      <c r="AF18" s="41">
        <f>INDEX('[2]End - Use Prices'!$C$6:$AL$89,MATCH($C18,'[2]End - Use Prices'!$A$6:$A$89,0)+MATCH($D18,'[2]End - Use Prices'!$B$9:$B$11,0)-1,MATCH(AF$1,'[2]End - Use Prices'!$C$7:$AL$7,0))</f>
        <v>32.92</v>
      </c>
      <c r="AG18" s="41">
        <f>INDEX('[2]End - Use Prices'!$C$6:$AL$89,MATCH($C18,'[2]End - Use Prices'!$A$6:$A$89,0)+MATCH($D18,'[2]End - Use Prices'!$B$9:$B$11,0)-1,MATCH(AG$1,'[2]End - Use Prices'!$C$7:$AL$7,0))</f>
        <v>33.6</v>
      </c>
      <c r="AH18" s="41">
        <f>INDEX('[2]End - Use Prices'!$C$6:$AL$89,MATCH($C18,'[2]End - Use Prices'!$A$6:$A$89,0)+MATCH($D18,'[2]End - Use Prices'!$B$9:$B$11,0)-1,MATCH(AH$1,'[2]End - Use Prices'!$C$7:$AL$7,0))</f>
        <v>34.979999999999997</v>
      </c>
      <c r="AI18" s="41">
        <f>INDEX('[2]End - Use Prices'!$C$6:$AL$89,MATCH($C18,'[2]End - Use Prices'!$A$6:$A$89,0)+MATCH($D18,'[2]End - Use Prices'!$B$9:$B$11,0)-1,MATCH(AI$1,'[2]End - Use Prices'!$C$7:$AL$7,0))</f>
        <v>37.61</v>
      </c>
      <c r="AJ18" s="41">
        <f>INDEX('[2]End - Use Prices'!$C$6:$AL$89,MATCH($C18,'[2]End - Use Prices'!$A$6:$A$89,0)+MATCH($D18,'[2]End - Use Prices'!$B$9:$B$11,0)-1,MATCH(AJ$1,'[2]End - Use Prices'!$C$7:$AL$7,0))</f>
        <v>37.65</v>
      </c>
      <c r="AK18" s="41">
        <f>INDEX('[2]End - Use Prices'!$C$6:$AL$89,MATCH($C18,'[2]End - Use Prices'!$A$6:$A$89,0)+MATCH($D18,'[2]End - Use Prices'!$B$9:$B$11,0)-1,MATCH(AK$1,'[2]End - Use Prices'!$C$7:$AL$7,0))</f>
        <v>38.03</v>
      </c>
      <c r="AL18" s="41">
        <f>INDEX('[2]End - Use Prices'!$C$6:$AL$89,MATCH($C18,'[2]End - Use Prices'!$A$6:$A$89,0)+MATCH($D18,'[2]End - Use Prices'!$B$9:$B$11,0)-1,MATCH(AL$1,'[2]End - Use Prices'!$C$7:$AL$7,0))</f>
        <v>38.380000000000003</v>
      </c>
      <c r="AM18" s="41">
        <f>INDEX('[2]End - Use Prices'!$C$6:$AL$89,MATCH($C18,'[2]End - Use Prices'!$A$6:$A$89,0)+MATCH($D18,'[2]End - Use Prices'!$B$9:$B$11,0)-1,MATCH(AM$1,'[2]End - Use Prices'!$C$7:$AL$7,0))</f>
        <v>38.72</v>
      </c>
      <c r="AN18" s="41">
        <f>INDEX('[2]End - Use Prices'!$C$6:$AL$89,MATCH($C18,'[2]End - Use Prices'!$A$6:$A$89,0)+MATCH($D18,'[2]End - Use Prices'!$B$9:$B$11,0)-1,MATCH(AN$1,'[2]End - Use Prices'!$C$7:$AL$7,0))</f>
        <v>39.04</v>
      </c>
      <c r="AO18" s="41">
        <f>INDEX('[2]End - Use Prices'!$C$6:$AL$89,MATCH($C18,'[2]End - Use Prices'!$A$6:$A$89,0)+MATCH($D18,'[2]End - Use Prices'!$B$9:$B$11,0)-1,MATCH(AO$1,'[2]End - Use Prices'!$C$7:$AL$7,0))</f>
        <v>39.36</v>
      </c>
      <c r="AP18" s="41">
        <f>INDEX('[2]End - Use Prices'!$C$6:$AL$89,MATCH($C18,'[2]End - Use Prices'!$A$6:$A$89,0)+MATCH($D18,'[2]End - Use Prices'!$B$9:$B$11,0)-1,MATCH(AP$1,'[2]End - Use Prices'!$C$7:$AL$7,0))</f>
        <v>39.69</v>
      </c>
      <c r="AQ18" s="41">
        <f>INDEX('[2]End - Use Prices'!$C$6:$AL$89,MATCH($C18,'[2]End - Use Prices'!$A$6:$A$89,0)+MATCH($D18,'[2]End - Use Prices'!$B$9:$B$11,0)-1,MATCH(AQ$1,'[2]End - Use Prices'!$C$7:$AL$7,0))</f>
        <v>40.020000000000003</v>
      </c>
      <c r="AR18" s="41">
        <f>INDEX('[2]End - Use Prices'!$C$6:$AL$89,MATCH($C18,'[2]End - Use Prices'!$A$6:$A$89,0)+MATCH($D18,'[2]End - Use Prices'!$B$9:$B$11,0)-1,MATCH(AR$1,'[2]End - Use Prices'!$C$7:$AL$7,0))</f>
        <v>40.39</v>
      </c>
      <c r="AS18" s="41">
        <f>INDEX('[2]End - Use Prices'!$C$6:$AL$89,MATCH($C18,'[2]End - Use Prices'!$A$6:$A$89,0)+MATCH($D18,'[2]End - Use Prices'!$B$9:$B$11,0)-1,MATCH(AS$1,'[2]End - Use Prices'!$C$7:$AL$7,0))</f>
        <v>40.74</v>
      </c>
      <c r="AT18" s="41">
        <f>INDEX('[2]End - Use Prices'!$C$6:$AL$89,MATCH($C18,'[2]End - Use Prices'!$A$6:$A$89,0)+MATCH($D18,'[2]End - Use Prices'!$B$9:$B$11,0)-1,MATCH(AT$1,'[2]End - Use Prices'!$C$7:$AL$7,0))</f>
        <v>41.1</v>
      </c>
      <c r="AU18" s="41">
        <f>INDEX('[2]End - Use Prices'!$C$6:$AL$89,MATCH($C18,'[2]End - Use Prices'!$A$6:$A$89,0)+MATCH($D18,'[2]End - Use Prices'!$B$9:$B$11,0)-1,MATCH(AU$1,'[2]End - Use Prices'!$C$7:$AL$7,0))</f>
        <v>41.49</v>
      </c>
      <c r="AV18" s="41">
        <f>INDEX('[2]End - Use Prices'!$C$6:$AL$89,MATCH($C18,'[2]End - Use Prices'!$A$6:$A$89,0)+MATCH($D18,'[2]End - Use Prices'!$B$9:$B$11,0)-1,MATCH(AV$1,'[2]End - Use Prices'!$C$7:$AL$7,0))</f>
        <v>41.88</v>
      </c>
      <c r="AW18" s="41">
        <f>INDEX('[2]End - Use Prices'!$C$6:$AL$89,MATCH($C18,'[2]End - Use Prices'!$A$6:$A$89,0)+MATCH($D18,'[2]End - Use Prices'!$B$9:$B$11,0)-1,MATCH(AW$1,'[2]End - Use Prices'!$C$7:$AL$7,0))</f>
        <v>42.26</v>
      </c>
      <c r="AX18" s="41">
        <f>INDEX('[2]End - Use Prices'!$C$6:$AL$89,MATCH($C18,'[2]End - Use Prices'!$A$6:$A$89,0)+MATCH($D18,'[2]End - Use Prices'!$B$9:$B$11,0)-1,MATCH(AX$1,'[2]End - Use Prices'!$C$7:$AL$7,0))</f>
        <v>42.62</v>
      </c>
      <c r="AY18" s="41">
        <f>INDEX('[2]End - Use Prices'!$C$6:$AL$89,MATCH($C18,'[2]End - Use Prices'!$A$6:$A$89,0)+MATCH($D18,'[2]End - Use Prices'!$B$9:$B$11,0)-1,MATCH(AY$1,'[2]End - Use Prices'!$C$7:$AL$7,0))</f>
        <v>42.97</v>
      </c>
      <c r="AZ18" s="41">
        <f>INDEX('[2]End - Use Prices'!$C$6:$AL$89,MATCH($C18,'[2]End - Use Prices'!$A$6:$A$89,0)+MATCH($D18,'[2]End - Use Prices'!$B$9:$B$11,0)-1,MATCH(AZ$1,'[2]End - Use Prices'!$C$7:$AL$7,0))</f>
        <v>43.31</v>
      </c>
      <c r="BA18" s="41">
        <f>INDEX('[2]End - Use Prices'!$C$6:$AL$89,MATCH($C18,'[2]End - Use Prices'!$A$6:$A$89,0)+MATCH($D18,'[2]End - Use Prices'!$B$9:$B$11,0)-1,MATCH(BA$1,'[2]End - Use Prices'!$C$7:$AL$7,0))</f>
        <v>43.65</v>
      </c>
      <c r="BB18" s="41">
        <f>INDEX('[2]End - Use Prices'!$C$6:$AL$89,MATCH($C18,'[2]End - Use Prices'!$A$6:$A$89,0)+MATCH($D18,'[2]End - Use Prices'!$B$9:$B$11,0)-1,MATCH(BB$1,'[2]End - Use Prices'!$C$7:$AL$7,0))</f>
        <v>43.98</v>
      </c>
      <c r="BC18" s="41">
        <f>INDEX('[2]End - Use Prices'!$C$6:$AL$89,MATCH($C18,'[2]End - Use Prices'!$A$6:$A$89,0)+MATCH($D18,'[2]End - Use Prices'!$B$9:$B$11,0)-1,MATCH(BC$1,'[2]End - Use Prices'!$C$7:$AL$7,0))</f>
        <v>44.31</v>
      </c>
      <c r="BD18" s="41">
        <f>INDEX('[2]End - Use Prices'!$C$6:$AL$89,MATCH($C18,'[2]End - Use Prices'!$A$6:$A$89,0)+MATCH($D18,'[2]End - Use Prices'!$B$9:$B$11,0)-1,MATCH(BD$1,'[2]End - Use Prices'!$C$7:$AL$7,0))</f>
        <v>44.63</v>
      </c>
      <c r="BE18" s="41">
        <f>INDEX('[2]End - Use Prices'!$C$6:$AL$89,MATCH($C18,'[2]End - Use Prices'!$A$6:$A$89,0)+MATCH($D18,'[2]End - Use Prices'!$B$9:$B$11,0)-1,MATCH(BE$1,'[2]End - Use Prices'!$C$7:$AL$7,0))</f>
        <v>44.95</v>
      </c>
      <c r="BF18" s="41">
        <f>INDEX('[2]End - Use Prices'!$C$6:$AL$89,MATCH($C18,'[2]End - Use Prices'!$A$6:$A$89,0)+MATCH($D18,'[2]End - Use Prices'!$B$9:$B$11,0)-1,MATCH(BF$1,'[2]End - Use Prices'!$C$7:$AL$7,0))</f>
        <v>45.27</v>
      </c>
      <c r="BG18" s="41">
        <f>INDEX('[2]End - Use Prices'!$C$6:$AL$89,MATCH($C18,'[2]End - Use Prices'!$A$6:$A$89,0)+MATCH($D18,'[2]End - Use Prices'!$B$9:$B$11,0)-1,MATCH(BG$1,'[2]End - Use Prices'!$C$7:$AL$7,0))</f>
        <v>45.58</v>
      </c>
      <c r="BR18" s="39"/>
      <c r="BS18" s="39"/>
      <c r="BT18" s="39"/>
      <c r="BU18" s="39"/>
      <c r="BV18" s="39"/>
      <c r="BW18" s="39"/>
      <c r="BX18" s="39"/>
      <c r="BY18" s="39"/>
      <c r="BZ18" s="39"/>
      <c r="CA18" s="39"/>
    </row>
    <row r="19" spans="1:79">
      <c r="A19" s="5"/>
      <c r="B19" s="3"/>
      <c r="C19" s="25" t="s">
        <v>84</v>
      </c>
      <c r="D19" s="25" t="s">
        <v>2</v>
      </c>
      <c r="E19" s="25" t="s">
        <v>277</v>
      </c>
      <c r="F19" s="67" t="s">
        <v>275</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INDEX('[2]End - Use Prices'!$C$6:$AL$89,MATCH($C19,'[2]End - Use Prices'!$A$6:$A$89,0)+MATCH($D19,'[2]End - Use Prices'!$B$9:$B$11,0)-1,MATCH(X$1,'[2]End - Use Prices'!$C$7:$AL$7,0))</f>
        <v>34.03</v>
      </c>
      <c r="Y19" s="41">
        <f>INDEX('[2]End - Use Prices'!$C$6:$AL$89,MATCH($C19,'[2]End - Use Prices'!$A$6:$A$89,0)+MATCH($D19,'[2]End - Use Prices'!$B$9:$B$11,0)-1,MATCH(Y$1,'[2]End - Use Prices'!$C$7:$AL$7,0))</f>
        <v>39.85</v>
      </c>
      <c r="Z19" s="41">
        <f>INDEX('[2]End - Use Prices'!$C$6:$AL$89,MATCH($C19,'[2]End - Use Prices'!$A$6:$A$89,0)+MATCH($D19,'[2]End - Use Prices'!$B$9:$B$11,0)-1,MATCH(Z$1,'[2]End - Use Prices'!$C$7:$AL$7,0))</f>
        <v>39.83</v>
      </c>
      <c r="AA19" s="41">
        <f>INDEX('[2]End - Use Prices'!$C$6:$AL$89,MATCH($C19,'[2]End - Use Prices'!$A$6:$A$89,0)+MATCH($D19,'[2]End - Use Prices'!$B$9:$B$11,0)-1,MATCH(AA$1,'[2]End - Use Prices'!$C$7:$AL$7,0))</f>
        <v>37.99</v>
      </c>
      <c r="AB19" s="41">
        <f>INDEX('[2]End - Use Prices'!$C$6:$AL$89,MATCH($C19,'[2]End - Use Prices'!$A$6:$A$89,0)+MATCH($D19,'[2]End - Use Prices'!$B$9:$B$11,0)-1,MATCH(AB$1,'[2]End - Use Prices'!$C$7:$AL$7,0))</f>
        <v>41.07</v>
      </c>
      <c r="AC19" s="41">
        <f>INDEX('[2]End - Use Prices'!$C$6:$AL$89,MATCH($C19,'[2]End - Use Prices'!$A$6:$A$89,0)+MATCH($D19,'[2]End - Use Prices'!$B$9:$B$11,0)-1,MATCH(AC$1,'[2]End - Use Prices'!$C$7:$AL$7,0))</f>
        <v>38.9</v>
      </c>
      <c r="AD19" s="41">
        <f>INDEX('[2]End - Use Prices'!$C$6:$AL$89,MATCH($C19,'[2]End - Use Prices'!$A$6:$A$89,0)+MATCH($D19,'[2]End - Use Prices'!$B$9:$B$11,0)-1,MATCH(AD$1,'[2]End - Use Prices'!$C$7:$AL$7,0))</f>
        <v>38.54</v>
      </c>
      <c r="AE19" s="41">
        <f>INDEX('[2]End - Use Prices'!$C$6:$AL$89,MATCH($C19,'[2]End - Use Prices'!$A$6:$A$89,0)+MATCH($D19,'[2]End - Use Prices'!$B$9:$B$11,0)-1,MATCH(AE$1,'[2]End - Use Prices'!$C$7:$AL$7,0))</f>
        <v>40.909999999999997</v>
      </c>
      <c r="AF19" s="41">
        <f>INDEX('[2]End - Use Prices'!$C$6:$AL$89,MATCH($C19,'[2]End - Use Prices'!$A$6:$A$89,0)+MATCH($D19,'[2]End - Use Prices'!$B$9:$B$11,0)-1,MATCH(AF$1,'[2]End - Use Prices'!$C$7:$AL$7,0))</f>
        <v>39.76</v>
      </c>
      <c r="AG19" s="41">
        <f>INDEX('[2]End - Use Prices'!$C$6:$AL$89,MATCH($C19,'[2]End - Use Prices'!$A$6:$A$89,0)+MATCH($D19,'[2]End - Use Prices'!$B$9:$B$11,0)-1,MATCH(AG$1,'[2]End - Use Prices'!$C$7:$AL$7,0))</f>
        <v>38.340000000000003</v>
      </c>
      <c r="AH19" s="41">
        <f>INDEX('[2]End - Use Prices'!$C$6:$AL$89,MATCH($C19,'[2]End - Use Prices'!$A$6:$A$89,0)+MATCH($D19,'[2]End - Use Prices'!$B$9:$B$11,0)-1,MATCH(AH$1,'[2]End - Use Prices'!$C$7:$AL$7,0))</f>
        <v>39.4</v>
      </c>
      <c r="AI19" s="41">
        <f>INDEX('[2]End - Use Prices'!$C$6:$AL$89,MATCH($C19,'[2]End - Use Prices'!$A$6:$A$89,0)+MATCH($D19,'[2]End - Use Prices'!$B$9:$B$11,0)-1,MATCH(AI$1,'[2]End - Use Prices'!$C$7:$AL$7,0))</f>
        <v>40.49</v>
      </c>
      <c r="AJ19" s="41">
        <f>INDEX('[2]End - Use Prices'!$C$6:$AL$89,MATCH($C19,'[2]End - Use Prices'!$A$6:$A$89,0)+MATCH($D19,'[2]End - Use Prices'!$B$9:$B$11,0)-1,MATCH(AJ$1,'[2]End - Use Prices'!$C$7:$AL$7,0))</f>
        <v>42.88</v>
      </c>
      <c r="AK19" s="41">
        <f>INDEX('[2]End - Use Prices'!$C$6:$AL$89,MATCH($C19,'[2]End - Use Prices'!$A$6:$A$89,0)+MATCH($D19,'[2]End - Use Prices'!$B$9:$B$11,0)-1,MATCH(AK$1,'[2]End - Use Prices'!$C$7:$AL$7,0))</f>
        <v>43.74</v>
      </c>
      <c r="AL19" s="41">
        <f>INDEX('[2]End - Use Prices'!$C$6:$AL$89,MATCH($C19,'[2]End - Use Prices'!$A$6:$A$89,0)+MATCH($D19,'[2]End - Use Prices'!$B$9:$B$11,0)-1,MATCH(AL$1,'[2]End - Use Prices'!$C$7:$AL$7,0))</f>
        <v>44.52</v>
      </c>
      <c r="AM19" s="41">
        <f>INDEX('[2]End - Use Prices'!$C$6:$AL$89,MATCH($C19,'[2]End - Use Prices'!$A$6:$A$89,0)+MATCH($D19,'[2]End - Use Prices'!$B$9:$B$11,0)-1,MATCH(AM$1,'[2]End - Use Prices'!$C$7:$AL$7,0))</f>
        <v>45.24</v>
      </c>
      <c r="AN19" s="41">
        <f>INDEX('[2]End - Use Prices'!$C$6:$AL$89,MATCH($C19,'[2]End - Use Prices'!$A$6:$A$89,0)+MATCH($D19,'[2]End - Use Prices'!$B$9:$B$11,0)-1,MATCH(AN$1,'[2]End - Use Prices'!$C$7:$AL$7,0))</f>
        <v>45.89</v>
      </c>
      <c r="AO19" s="41">
        <f>INDEX('[2]End - Use Prices'!$C$6:$AL$89,MATCH($C19,'[2]End - Use Prices'!$A$6:$A$89,0)+MATCH($D19,'[2]End - Use Prices'!$B$9:$B$11,0)-1,MATCH(AO$1,'[2]End - Use Prices'!$C$7:$AL$7,0))</f>
        <v>46.48</v>
      </c>
      <c r="AP19" s="41">
        <f>INDEX('[2]End - Use Prices'!$C$6:$AL$89,MATCH($C19,'[2]End - Use Prices'!$A$6:$A$89,0)+MATCH($D19,'[2]End - Use Prices'!$B$9:$B$11,0)-1,MATCH(AP$1,'[2]End - Use Prices'!$C$7:$AL$7,0))</f>
        <v>47.03</v>
      </c>
      <c r="AQ19" s="41">
        <f>INDEX('[2]End - Use Prices'!$C$6:$AL$89,MATCH($C19,'[2]End - Use Prices'!$A$6:$A$89,0)+MATCH($D19,'[2]End - Use Prices'!$B$9:$B$11,0)-1,MATCH(AQ$1,'[2]End - Use Prices'!$C$7:$AL$7,0))</f>
        <v>47.53</v>
      </c>
      <c r="AR19" s="41">
        <f>INDEX('[2]End - Use Prices'!$C$6:$AL$89,MATCH($C19,'[2]End - Use Prices'!$A$6:$A$89,0)+MATCH($D19,'[2]End - Use Prices'!$B$9:$B$11,0)-1,MATCH(AR$1,'[2]End - Use Prices'!$C$7:$AL$7,0))</f>
        <v>48</v>
      </c>
      <c r="AS19" s="41">
        <f>INDEX('[2]End - Use Prices'!$C$6:$AL$89,MATCH($C19,'[2]End - Use Prices'!$A$6:$A$89,0)+MATCH($D19,'[2]End - Use Prices'!$B$9:$B$11,0)-1,MATCH(AS$1,'[2]End - Use Prices'!$C$7:$AL$7,0))</f>
        <v>48.44</v>
      </c>
      <c r="AT19" s="41">
        <f>INDEX('[2]End - Use Prices'!$C$6:$AL$89,MATCH($C19,'[2]End - Use Prices'!$A$6:$A$89,0)+MATCH($D19,'[2]End - Use Prices'!$B$9:$B$11,0)-1,MATCH(AT$1,'[2]End - Use Prices'!$C$7:$AL$7,0))</f>
        <v>48.85</v>
      </c>
      <c r="AU19" s="41">
        <f>INDEX('[2]End - Use Prices'!$C$6:$AL$89,MATCH($C19,'[2]End - Use Prices'!$A$6:$A$89,0)+MATCH($D19,'[2]End - Use Prices'!$B$9:$B$11,0)-1,MATCH(AU$1,'[2]End - Use Prices'!$C$7:$AL$7,0))</f>
        <v>49.25</v>
      </c>
      <c r="AV19" s="41">
        <f>INDEX('[2]End - Use Prices'!$C$6:$AL$89,MATCH($C19,'[2]End - Use Prices'!$A$6:$A$89,0)+MATCH($D19,'[2]End - Use Prices'!$B$9:$B$11,0)-1,MATCH(AV$1,'[2]End - Use Prices'!$C$7:$AL$7,0))</f>
        <v>49.64</v>
      </c>
      <c r="AW19" s="41">
        <f>INDEX('[2]End - Use Prices'!$C$6:$AL$89,MATCH($C19,'[2]End - Use Prices'!$A$6:$A$89,0)+MATCH($D19,'[2]End - Use Prices'!$B$9:$B$11,0)-1,MATCH(AW$1,'[2]End - Use Prices'!$C$7:$AL$7,0))</f>
        <v>50.03</v>
      </c>
      <c r="AX19" s="41">
        <f>INDEX('[2]End - Use Prices'!$C$6:$AL$89,MATCH($C19,'[2]End - Use Prices'!$A$6:$A$89,0)+MATCH($D19,'[2]End - Use Prices'!$B$9:$B$11,0)-1,MATCH(AX$1,'[2]End - Use Prices'!$C$7:$AL$7,0))</f>
        <v>50.42</v>
      </c>
      <c r="AY19" s="41">
        <f>INDEX('[2]End - Use Prices'!$C$6:$AL$89,MATCH($C19,'[2]End - Use Prices'!$A$6:$A$89,0)+MATCH($D19,'[2]End - Use Prices'!$B$9:$B$11,0)-1,MATCH(AY$1,'[2]End - Use Prices'!$C$7:$AL$7,0))</f>
        <v>50.82</v>
      </c>
      <c r="AZ19" s="41">
        <f>INDEX('[2]End - Use Prices'!$C$6:$AL$89,MATCH($C19,'[2]End - Use Prices'!$A$6:$A$89,0)+MATCH($D19,'[2]End - Use Prices'!$B$9:$B$11,0)-1,MATCH(AZ$1,'[2]End - Use Prices'!$C$7:$AL$7,0))</f>
        <v>51.23</v>
      </c>
      <c r="BA19" s="41">
        <f>INDEX('[2]End - Use Prices'!$C$6:$AL$89,MATCH($C19,'[2]End - Use Prices'!$A$6:$A$89,0)+MATCH($D19,'[2]End - Use Prices'!$B$9:$B$11,0)-1,MATCH(BA$1,'[2]End - Use Prices'!$C$7:$AL$7,0))</f>
        <v>51.67</v>
      </c>
      <c r="BB19" s="41">
        <f>INDEX('[2]End - Use Prices'!$C$6:$AL$89,MATCH($C19,'[2]End - Use Prices'!$A$6:$A$89,0)+MATCH($D19,'[2]End - Use Prices'!$B$9:$B$11,0)-1,MATCH(BB$1,'[2]End - Use Prices'!$C$7:$AL$7,0))</f>
        <v>52.14</v>
      </c>
      <c r="BC19" s="41">
        <f>INDEX('[2]End - Use Prices'!$C$6:$AL$89,MATCH($C19,'[2]End - Use Prices'!$A$6:$A$89,0)+MATCH($D19,'[2]End - Use Prices'!$B$9:$B$11,0)-1,MATCH(BC$1,'[2]End - Use Prices'!$C$7:$AL$7,0))</f>
        <v>52.65</v>
      </c>
      <c r="BD19" s="41">
        <f>INDEX('[2]End - Use Prices'!$C$6:$AL$89,MATCH($C19,'[2]End - Use Prices'!$A$6:$A$89,0)+MATCH($D19,'[2]End - Use Prices'!$B$9:$B$11,0)-1,MATCH(BD$1,'[2]End - Use Prices'!$C$7:$AL$7,0))</f>
        <v>53.2</v>
      </c>
      <c r="BE19" s="41">
        <f>INDEX('[2]End - Use Prices'!$C$6:$AL$89,MATCH($C19,'[2]End - Use Prices'!$A$6:$A$89,0)+MATCH($D19,'[2]End - Use Prices'!$B$9:$B$11,0)-1,MATCH(BE$1,'[2]End - Use Prices'!$C$7:$AL$7,0))</f>
        <v>53.8</v>
      </c>
      <c r="BF19" s="41">
        <f>INDEX('[2]End - Use Prices'!$C$6:$AL$89,MATCH($C19,'[2]End - Use Prices'!$A$6:$A$89,0)+MATCH($D19,'[2]End - Use Prices'!$B$9:$B$11,0)-1,MATCH(BF$1,'[2]End - Use Prices'!$C$7:$AL$7,0))</f>
        <v>54.45</v>
      </c>
      <c r="BG19" s="41">
        <f>INDEX('[2]End - Use Prices'!$C$6:$AL$89,MATCH($C19,'[2]End - Use Prices'!$A$6:$A$89,0)+MATCH($D19,'[2]End - Use Prices'!$B$9:$B$11,0)-1,MATCH(BG$1,'[2]End - Use Prices'!$C$7:$AL$7,0))</f>
        <v>55.17</v>
      </c>
      <c r="BR19" s="39"/>
      <c r="BS19" s="39"/>
      <c r="BT19" s="39"/>
      <c r="BU19" s="39"/>
      <c r="BV19" s="39"/>
      <c r="BW19" s="39"/>
      <c r="BX19" s="39"/>
      <c r="BY19" s="39"/>
      <c r="BZ19" s="39"/>
      <c r="CA19" s="39"/>
    </row>
    <row r="20" spans="1:79">
      <c r="A20" s="5"/>
      <c r="B20" s="3"/>
      <c r="C20" s="25" t="s">
        <v>85</v>
      </c>
      <c r="D20" s="25" t="s">
        <v>2</v>
      </c>
      <c r="E20" s="25" t="s">
        <v>277</v>
      </c>
      <c r="F20" s="67" t="s">
        <v>275</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INDEX('[2]End - Use Prices'!$C$6:$AL$89,MATCH($C20,'[2]End - Use Prices'!$A$6:$A$89,0)+MATCH($D20,'[2]End - Use Prices'!$B$9:$B$11,0)-1,MATCH(X$1,'[2]End - Use Prices'!$C$7:$AL$7,0))</f>
        <v>41.51</v>
      </c>
      <c r="Y20" s="41">
        <f>INDEX('[2]End - Use Prices'!$C$6:$AL$89,MATCH($C20,'[2]End - Use Prices'!$A$6:$A$89,0)+MATCH($D20,'[2]End - Use Prices'!$B$9:$B$11,0)-1,MATCH(Y$1,'[2]End - Use Prices'!$C$7:$AL$7,0))</f>
        <v>42.42</v>
      </c>
      <c r="Z20" s="41">
        <f>INDEX('[2]End - Use Prices'!$C$6:$AL$89,MATCH($C20,'[2]End - Use Prices'!$A$6:$A$89,0)+MATCH($D20,'[2]End - Use Prices'!$B$9:$B$11,0)-1,MATCH(Z$1,'[2]End - Use Prices'!$C$7:$AL$7,0))</f>
        <v>44.58</v>
      </c>
      <c r="AA20" s="41">
        <f>INDEX('[2]End - Use Prices'!$C$6:$AL$89,MATCH($C20,'[2]End - Use Prices'!$A$6:$A$89,0)+MATCH($D20,'[2]End - Use Prices'!$B$9:$B$11,0)-1,MATCH(AA$1,'[2]End - Use Prices'!$C$7:$AL$7,0))</f>
        <v>46.56</v>
      </c>
      <c r="AB20" s="41">
        <f>INDEX('[2]End - Use Prices'!$C$6:$AL$89,MATCH($C20,'[2]End - Use Prices'!$A$6:$A$89,0)+MATCH($D20,'[2]End - Use Prices'!$B$9:$B$11,0)-1,MATCH(AB$1,'[2]End - Use Prices'!$C$7:$AL$7,0))</f>
        <v>55.63</v>
      </c>
      <c r="AC20" s="41">
        <f>INDEX('[2]End - Use Prices'!$C$6:$AL$89,MATCH($C20,'[2]End - Use Prices'!$A$6:$A$89,0)+MATCH($D20,'[2]End - Use Prices'!$B$9:$B$11,0)-1,MATCH(AC$1,'[2]End - Use Prices'!$C$7:$AL$7,0))</f>
        <v>50.51</v>
      </c>
      <c r="AD20" s="41">
        <f>INDEX('[2]End - Use Prices'!$C$6:$AL$89,MATCH($C20,'[2]End - Use Prices'!$A$6:$A$89,0)+MATCH($D20,'[2]End - Use Prices'!$B$9:$B$11,0)-1,MATCH(AD$1,'[2]End - Use Prices'!$C$7:$AL$7,0))</f>
        <v>43.95</v>
      </c>
      <c r="AE20" s="41">
        <f>INDEX('[2]End - Use Prices'!$C$6:$AL$89,MATCH($C20,'[2]End - Use Prices'!$A$6:$A$89,0)+MATCH($D20,'[2]End - Use Prices'!$B$9:$B$11,0)-1,MATCH(AE$1,'[2]End - Use Prices'!$C$7:$AL$7,0))</f>
        <v>43.43</v>
      </c>
      <c r="AF20" s="41">
        <f>INDEX('[2]End - Use Prices'!$C$6:$AL$89,MATCH($C20,'[2]End - Use Prices'!$A$6:$A$89,0)+MATCH($D20,'[2]End - Use Prices'!$B$9:$B$11,0)-1,MATCH(AF$1,'[2]End - Use Prices'!$C$7:$AL$7,0))</f>
        <v>50.61</v>
      </c>
      <c r="AG20" s="41">
        <f>INDEX('[2]End - Use Prices'!$C$6:$AL$89,MATCH($C20,'[2]End - Use Prices'!$A$6:$A$89,0)+MATCH($D20,'[2]End - Use Prices'!$B$9:$B$11,0)-1,MATCH(AG$1,'[2]End - Use Prices'!$C$7:$AL$7,0))</f>
        <v>51.93</v>
      </c>
      <c r="AH20" s="41">
        <f>INDEX('[2]End - Use Prices'!$C$6:$AL$89,MATCH($C20,'[2]End - Use Prices'!$A$6:$A$89,0)+MATCH($D20,'[2]End - Use Prices'!$B$9:$B$11,0)-1,MATCH(AH$1,'[2]End - Use Prices'!$C$7:$AL$7,0))</f>
        <v>53.64</v>
      </c>
      <c r="AI20" s="41">
        <f>INDEX('[2]End - Use Prices'!$C$6:$AL$89,MATCH($C20,'[2]End - Use Prices'!$A$6:$A$89,0)+MATCH($D20,'[2]End - Use Prices'!$B$9:$B$11,0)-1,MATCH(AI$1,'[2]End - Use Prices'!$C$7:$AL$7,0))</f>
        <v>54.8</v>
      </c>
      <c r="AJ20" s="41">
        <f>INDEX('[2]End - Use Prices'!$C$6:$AL$89,MATCH($C20,'[2]End - Use Prices'!$A$6:$A$89,0)+MATCH($D20,'[2]End - Use Prices'!$B$9:$B$11,0)-1,MATCH(AJ$1,'[2]End - Use Prices'!$C$7:$AL$7,0))</f>
        <v>54.98</v>
      </c>
      <c r="AK20" s="41">
        <f>INDEX('[2]End - Use Prices'!$C$6:$AL$89,MATCH($C20,'[2]End - Use Prices'!$A$6:$A$89,0)+MATCH($D20,'[2]End - Use Prices'!$B$9:$B$11,0)-1,MATCH(AK$1,'[2]End - Use Prices'!$C$7:$AL$7,0))</f>
        <v>55.16</v>
      </c>
      <c r="AL20" s="41">
        <f>INDEX('[2]End - Use Prices'!$C$6:$AL$89,MATCH($C20,'[2]End - Use Prices'!$A$6:$A$89,0)+MATCH($D20,'[2]End - Use Prices'!$B$9:$B$11,0)-1,MATCH(AL$1,'[2]End - Use Prices'!$C$7:$AL$7,0))</f>
        <v>55.34</v>
      </c>
      <c r="AM20" s="41">
        <f>INDEX('[2]End - Use Prices'!$C$6:$AL$89,MATCH($C20,'[2]End - Use Prices'!$A$6:$A$89,0)+MATCH($D20,'[2]End - Use Prices'!$B$9:$B$11,0)-1,MATCH(AM$1,'[2]End - Use Prices'!$C$7:$AL$7,0))</f>
        <v>55.52</v>
      </c>
      <c r="AN20" s="41">
        <f>INDEX('[2]End - Use Prices'!$C$6:$AL$89,MATCH($C20,'[2]End - Use Prices'!$A$6:$A$89,0)+MATCH($D20,'[2]End - Use Prices'!$B$9:$B$11,0)-1,MATCH(AN$1,'[2]End - Use Prices'!$C$7:$AL$7,0))</f>
        <v>55.7</v>
      </c>
      <c r="AO20" s="41">
        <f>INDEX('[2]End - Use Prices'!$C$6:$AL$89,MATCH($C20,'[2]End - Use Prices'!$A$6:$A$89,0)+MATCH($D20,'[2]End - Use Prices'!$B$9:$B$11,0)-1,MATCH(AO$1,'[2]End - Use Prices'!$C$7:$AL$7,0))</f>
        <v>55.88</v>
      </c>
      <c r="AP20" s="41">
        <f>INDEX('[2]End - Use Prices'!$C$6:$AL$89,MATCH($C20,'[2]End - Use Prices'!$A$6:$A$89,0)+MATCH($D20,'[2]End - Use Prices'!$B$9:$B$11,0)-1,MATCH(AP$1,'[2]End - Use Prices'!$C$7:$AL$7,0))</f>
        <v>56.06</v>
      </c>
      <c r="AQ20" s="41">
        <f>INDEX('[2]End - Use Prices'!$C$6:$AL$89,MATCH($C20,'[2]End - Use Prices'!$A$6:$A$89,0)+MATCH($D20,'[2]End - Use Prices'!$B$9:$B$11,0)-1,MATCH(AQ$1,'[2]End - Use Prices'!$C$7:$AL$7,0))</f>
        <v>56.24</v>
      </c>
      <c r="AR20" s="41">
        <f>INDEX('[2]End - Use Prices'!$C$6:$AL$89,MATCH($C20,'[2]End - Use Prices'!$A$6:$A$89,0)+MATCH($D20,'[2]End - Use Prices'!$B$9:$B$11,0)-1,MATCH(AR$1,'[2]End - Use Prices'!$C$7:$AL$7,0))</f>
        <v>56.42</v>
      </c>
      <c r="AS20" s="41">
        <f>INDEX('[2]End - Use Prices'!$C$6:$AL$89,MATCH($C20,'[2]End - Use Prices'!$A$6:$A$89,0)+MATCH($D20,'[2]End - Use Prices'!$B$9:$B$11,0)-1,MATCH(AS$1,'[2]End - Use Prices'!$C$7:$AL$7,0))</f>
        <v>56.61</v>
      </c>
      <c r="AT20" s="41">
        <f>INDEX('[2]End - Use Prices'!$C$6:$AL$89,MATCH($C20,'[2]End - Use Prices'!$A$6:$A$89,0)+MATCH($D20,'[2]End - Use Prices'!$B$9:$B$11,0)-1,MATCH(AT$1,'[2]End - Use Prices'!$C$7:$AL$7,0))</f>
        <v>56.79</v>
      </c>
      <c r="AU20" s="41">
        <f>INDEX('[2]End - Use Prices'!$C$6:$AL$89,MATCH($C20,'[2]End - Use Prices'!$A$6:$A$89,0)+MATCH($D20,'[2]End - Use Prices'!$B$9:$B$11,0)-1,MATCH(AU$1,'[2]End - Use Prices'!$C$7:$AL$7,0))</f>
        <v>56.97</v>
      </c>
      <c r="AV20" s="41">
        <f>INDEX('[2]End - Use Prices'!$C$6:$AL$89,MATCH($C20,'[2]End - Use Prices'!$A$6:$A$89,0)+MATCH($D20,'[2]End - Use Prices'!$B$9:$B$11,0)-1,MATCH(AV$1,'[2]End - Use Prices'!$C$7:$AL$7,0))</f>
        <v>57.16</v>
      </c>
      <c r="AW20" s="41">
        <f>INDEX('[2]End - Use Prices'!$C$6:$AL$89,MATCH($C20,'[2]End - Use Prices'!$A$6:$A$89,0)+MATCH($D20,'[2]End - Use Prices'!$B$9:$B$11,0)-1,MATCH(AW$1,'[2]End - Use Prices'!$C$7:$AL$7,0))</f>
        <v>57.35</v>
      </c>
      <c r="AX20" s="41">
        <f>INDEX('[2]End - Use Prices'!$C$6:$AL$89,MATCH($C20,'[2]End - Use Prices'!$A$6:$A$89,0)+MATCH($D20,'[2]End - Use Prices'!$B$9:$B$11,0)-1,MATCH(AX$1,'[2]End - Use Prices'!$C$7:$AL$7,0))</f>
        <v>57.53</v>
      </c>
      <c r="AY20" s="41">
        <f>INDEX('[2]End - Use Prices'!$C$6:$AL$89,MATCH($C20,'[2]End - Use Prices'!$A$6:$A$89,0)+MATCH($D20,'[2]End - Use Prices'!$B$9:$B$11,0)-1,MATCH(AY$1,'[2]End - Use Prices'!$C$7:$AL$7,0))</f>
        <v>57.72</v>
      </c>
      <c r="AZ20" s="41">
        <f>INDEX('[2]End - Use Prices'!$C$6:$AL$89,MATCH($C20,'[2]End - Use Prices'!$A$6:$A$89,0)+MATCH($D20,'[2]End - Use Prices'!$B$9:$B$11,0)-1,MATCH(AZ$1,'[2]End - Use Prices'!$C$7:$AL$7,0))</f>
        <v>57.91</v>
      </c>
      <c r="BA20" s="41">
        <f>INDEX('[2]End - Use Prices'!$C$6:$AL$89,MATCH($C20,'[2]End - Use Prices'!$A$6:$A$89,0)+MATCH($D20,'[2]End - Use Prices'!$B$9:$B$11,0)-1,MATCH(BA$1,'[2]End - Use Prices'!$C$7:$AL$7,0))</f>
        <v>58.09</v>
      </c>
      <c r="BB20" s="41">
        <f>INDEX('[2]End - Use Prices'!$C$6:$AL$89,MATCH($C20,'[2]End - Use Prices'!$A$6:$A$89,0)+MATCH($D20,'[2]End - Use Prices'!$B$9:$B$11,0)-1,MATCH(BB$1,'[2]End - Use Prices'!$C$7:$AL$7,0))</f>
        <v>58.28</v>
      </c>
      <c r="BC20" s="41">
        <f>INDEX('[2]End - Use Prices'!$C$6:$AL$89,MATCH($C20,'[2]End - Use Prices'!$A$6:$A$89,0)+MATCH($D20,'[2]End - Use Prices'!$B$9:$B$11,0)-1,MATCH(BC$1,'[2]End - Use Prices'!$C$7:$AL$7,0))</f>
        <v>58.47</v>
      </c>
      <c r="BD20" s="41">
        <f>INDEX('[2]End - Use Prices'!$C$6:$AL$89,MATCH($C20,'[2]End - Use Prices'!$A$6:$A$89,0)+MATCH($D20,'[2]End - Use Prices'!$B$9:$B$11,0)-1,MATCH(BD$1,'[2]End - Use Prices'!$C$7:$AL$7,0))</f>
        <v>58.66</v>
      </c>
      <c r="BE20" s="41">
        <f>INDEX('[2]End - Use Prices'!$C$6:$AL$89,MATCH($C20,'[2]End - Use Prices'!$A$6:$A$89,0)+MATCH($D20,'[2]End - Use Prices'!$B$9:$B$11,0)-1,MATCH(BE$1,'[2]End - Use Prices'!$C$7:$AL$7,0))</f>
        <v>58.85</v>
      </c>
      <c r="BF20" s="41">
        <f>INDEX('[2]End - Use Prices'!$C$6:$AL$89,MATCH($C20,'[2]End - Use Prices'!$A$6:$A$89,0)+MATCH($D20,'[2]End - Use Prices'!$B$9:$B$11,0)-1,MATCH(BF$1,'[2]End - Use Prices'!$C$7:$AL$7,0))</f>
        <v>59.04</v>
      </c>
      <c r="BG20" s="41">
        <f>INDEX('[2]End - Use Prices'!$C$6:$AL$89,MATCH($C20,'[2]End - Use Prices'!$A$6:$A$89,0)+MATCH($D20,'[2]End - Use Prices'!$B$9:$B$11,0)-1,MATCH(BG$1,'[2]End - Use Prices'!$C$7:$AL$7,0))</f>
        <v>59.23</v>
      </c>
      <c r="BR20" s="39"/>
      <c r="BS20" s="39"/>
      <c r="BT20" s="39"/>
      <c r="BU20" s="39"/>
      <c r="BV20" s="39"/>
      <c r="BW20" s="39"/>
      <c r="BX20" s="39"/>
      <c r="BY20" s="39"/>
      <c r="BZ20" s="39"/>
      <c r="CA20" s="39"/>
    </row>
    <row r="21" spans="1:79">
      <c r="A21" s="5"/>
      <c r="B21" s="3"/>
      <c r="C21" s="25" t="s">
        <v>86</v>
      </c>
      <c r="D21" s="25" t="s">
        <v>2</v>
      </c>
      <c r="E21" s="25" t="s">
        <v>277</v>
      </c>
      <c r="F21" s="67" t="s">
        <v>275</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INDEX('[2]End - Use Prices'!$C$6:$AL$89,MATCH($C21,'[2]End - Use Prices'!$A$6:$A$89,0)+MATCH($D21,'[2]End - Use Prices'!$B$9:$B$11,0)-1,MATCH(X$1,'[2]End - Use Prices'!$C$7:$AL$7,0))</f>
        <v>37.270000000000003</v>
      </c>
      <c r="Y21" s="41">
        <f>INDEX('[2]End - Use Prices'!$C$6:$AL$89,MATCH($C21,'[2]End - Use Prices'!$A$6:$A$89,0)+MATCH($D21,'[2]End - Use Prices'!$B$9:$B$11,0)-1,MATCH(Y$1,'[2]End - Use Prices'!$C$7:$AL$7,0))</f>
        <v>41.5</v>
      </c>
      <c r="Z21" s="41">
        <f>INDEX('[2]End - Use Prices'!$C$6:$AL$89,MATCH($C21,'[2]End - Use Prices'!$A$6:$A$89,0)+MATCH($D21,'[2]End - Use Prices'!$B$9:$B$11,0)-1,MATCH(Z$1,'[2]End - Use Prices'!$C$7:$AL$7,0))</f>
        <v>38.799999999999997</v>
      </c>
      <c r="AA21" s="41">
        <f>INDEX('[2]End - Use Prices'!$C$6:$AL$89,MATCH($C21,'[2]End - Use Prices'!$A$6:$A$89,0)+MATCH($D21,'[2]End - Use Prices'!$B$9:$B$11,0)-1,MATCH(AA$1,'[2]End - Use Prices'!$C$7:$AL$7,0))</f>
        <v>36.950000000000003</v>
      </c>
      <c r="AB21" s="41">
        <f>INDEX('[2]End - Use Prices'!$C$6:$AL$89,MATCH($C21,'[2]End - Use Prices'!$A$6:$A$89,0)+MATCH($D21,'[2]End - Use Prices'!$B$9:$B$11,0)-1,MATCH(AB$1,'[2]End - Use Prices'!$C$7:$AL$7,0))</f>
        <v>44.6</v>
      </c>
      <c r="AC21" s="41">
        <f>INDEX('[2]End - Use Prices'!$C$6:$AL$89,MATCH($C21,'[2]End - Use Prices'!$A$6:$A$89,0)+MATCH($D21,'[2]End - Use Prices'!$B$9:$B$11,0)-1,MATCH(AC$1,'[2]End - Use Prices'!$C$7:$AL$7,0))</f>
        <v>40.32</v>
      </c>
      <c r="AD21" s="41">
        <f>INDEX('[2]End - Use Prices'!$C$6:$AL$89,MATCH($C21,'[2]End - Use Prices'!$A$6:$A$89,0)+MATCH($D21,'[2]End - Use Prices'!$B$9:$B$11,0)-1,MATCH(AD$1,'[2]End - Use Prices'!$C$7:$AL$7,0))</f>
        <v>41.27</v>
      </c>
      <c r="AE21" s="41">
        <f>INDEX('[2]End - Use Prices'!$C$6:$AL$89,MATCH($C21,'[2]End - Use Prices'!$A$6:$A$89,0)+MATCH($D21,'[2]End - Use Prices'!$B$9:$B$11,0)-1,MATCH(AE$1,'[2]End - Use Prices'!$C$7:$AL$7,0))</f>
        <v>44.94</v>
      </c>
      <c r="AF21" s="41">
        <f>INDEX('[2]End - Use Prices'!$C$6:$AL$89,MATCH($C21,'[2]End - Use Prices'!$A$6:$A$89,0)+MATCH($D21,'[2]End - Use Prices'!$B$9:$B$11,0)-1,MATCH(AF$1,'[2]End - Use Prices'!$C$7:$AL$7,0))</f>
        <v>45.5</v>
      </c>
      <c r="AG21" s="41">
        <f>INDEX('[2]End - Use Prices'!$C$6:$AL$89,MATCH($C21,'[2]End - Use Prices'!$A$6:$A$89,0)+MATCH($D21,'[2]End - Use Prices'!$B$9:$B$11,0)-1,MATCH(AG$1,'[2]End - Use Prices'!$C$7:$AL$7,0))</f>
        <v>46.34</v>
      </c>
      <c r="AH21" s="41">
        <f>INDEX('[2]End - Use Prices'!$C$6:$AL$89,MATCH($C21,'[2]End - Use Prices'!$A$6:$A$89,0)+MATCH($D21,'[2]End - Use Prices'!$B$9:$B$11,0)-1,MATCH(AH$1,'[2]End - Use Prices'!$C$7:$AL$7,0))</f>
        <v>46.71</v>
      </c>
      <c r="AI21" s="41">
        <f>INDEX('[2]End - Use Prices'!$C$6:$AL$89,MATCH($C21,'[2]End - Use Prices'!$A$6:$A$89,0)+MATCH($D21,'[2]End - Use Prices'!$B$9:$B$11,0)-1,MATCH(AI$1,'[2]End - Use Prices'!$C$7:$AL$7,0))</f>
        <v>46.01</v>
      </c>
      <c r="AJ21" s="41">
        <f>INDEX('[2]End - Use Prices'!$C$6:$AL$89,MATCH($C21,'[2]End - Use Prices'!$A$6:$A$89,0)+MATCH($D21,'[2]End - Use Prices'!$B$9:$B$11,0)-1,MATCH(AJ$1,'[2]End - Use Prices'!$C$7:$AL$7,0))</f>
        <v>46.61</v>
      </c>
      <c r="AK21" s="41">
        <f>INDEX('[2]End - Use Prices'!$C$6:$AL$89,MATCH($C21,'[2]End - Use Prices'!$A$6:$A$89,0)+MATCH($D21,'[2]End - Use Prices'!$B$9:$B$11,0)-1,MATCH(AK$1,'[2]End - Use Prices'!$C$7:$AL$7,0))</f>
        <v>47.54</v>
      </c>
      <c r="AL21" s="41">
        <f>INDEX('[2]End - Use Prices'!$C$6:$AL$89,MATCH($C21,'[2]End - Use Prices'!$A$6:$A$89,0)+MATCH($D21,'[2]End - Use Prices'!$B$9:$B$11,0)-1,MATCH(AL$1,'[2]End - Use Prices'!$C$7:$AL$7,0))</f>
        <v>48.44</v>
      </c>
      <c r="AM21" s="41">
        <f>INDEX('[2]End - Use Prices'!$C$6:$AL$89,MATCH($C21,'[2]End - Use Prices'!$A$6:$A$89,0)+MATCH($D21,'[2]End - Use Prices'!$B$9:$B$11,0)-1,MATCH(AM$1,'[2]End - Use Prices'!$C$7:$AL$7,0))</f>
        <v>49.31</v>
      </c>
      <c r="AN21" s="41">
        <f>INDEX('[2]End - Use Prices'!$C$6:$AL$89,MATCH($C21,'[2]End - Use Prices'!$A$6:$A$89,0)+MATCH($D21,'[2]End - Use Prices'!$B$9:$B$11,0)-1,MATCH(AN$1,'[2]End - Use Prices'!$C$7:$AL$7,0))</f>
        <v>50.14</v>
      </c>
      <c r="AO21" s="41">
        <f>INDEX('[2]End - Use Prices'!$C$6:$AL$89,MATCH($C21,'[2]End - Use Prices'!$A$6:$A$89,0)+MATCH($D21,'[2]End - Use Prices'!$B$9:$B$11,0)-1,MATCH(AO$1,'[2]End - Use Prices'!$C$7:$AL$7,0))</f>
        <v>50.94</v>
      </c>
      <c r="AP21" s="41">
        <f>INDEX('[2]End - Use Prices'!$C$6:$AL$89,MATCH($C21,'[2]End - Use Prices'!$A$6:$A$89,0)+MATCH($D21,'[2]End - Use Prices'!$B$9:$B$11,0)-1,MATCH(AP$1,'[2]End - Use Prices'!$C$7:$AL$7,0))</f>
        <v>51.71</v>
      </c>
      <c r="AQ21" s="41">
        <f>INDEX('[2]End - Use Prices'!$C$6:$AL$89,MATCH($C21,'[2]End - Use Prices'!$A$6:$A$89,0)+MATCH($D21,'[2]End - Use Prices'!$B$9:$B$11,0)-1,MATCH(AQ$1,'[2]End - Use Prices'!$C$7:$AL$7,0))</f>
        <v>52.45</v>
      </c>
      <c r="AR21" s="41">
        <f>INDEX('[2]End - Use Prices'!$C$6:$AL$89,MATCH($C21,'[2]End - Use Prices'!$A$6:$A$89,0)+MATCH($D21,'[2]End - Use Prices'!$B$9:$B$11,0)-1,MATCH(AR$1,'[2]End - Use Prices'!$C$7:$AL$7,0))</f>
        <v>53.15</v>
      </c>
      <c r="AS21" s="41">
        <f>INDEX('[2]End - Use Prices'!$C$6:$AL$89,MATCH($C21,'[2]End - Use Prices'!$A$6:$A$89,0)+MATCH($D21,'[2]End - Use Prices'!$B$9:$B$11,0)-1,MATCH(AS$1,'[2]End - Use Prices'!$C$7:$AL$7,0))</f>
        <v>53.81</v>
      </c>
      <c r="AT21" s="41">
        <f>INDEX('[2]End - Use Prices'!$C$6:$AL$89,MATCH($C21,'[2]End - Use Prices'!$A$6:$A$89,0)+MATCH($D21,'[2]End - Use Prices'!$B$9:$B$11,0)-1,MATCH(AT$1,'[2]End - Use Prices'!$C$7:$AL$7,0))</f>
        <v>54.43</v>
      </c>
      <c r="AU21" s="41">
        <f>INDEX('[2]End - Use Prices'!$C$6:$AL$89,MATCH($C21,'[2]End - Use Prices'!$A$6:$A$89,0)+MATCH($D21,'[2]End - Use Prices'!$B$9:$B$11,0)-1,MATCH(AU$1,'[2]End - Use Prices'!$C$7:$AL$7,0))</f>
        <v>55.02</v>
      </c>
      <c r="AV21" s="41">
        <f>INDEX('[2]End - Use Prices'!$C$6:$AL$89,MATCH($C21,'[2]End - Use Prices'!$A$6:$A$89,0)+MATCH($D21,'[2]End - Use Prices'!$B$9:$B$11,0)-1,MATCH(AV$1,'[2]End - Use Prices'!$C$7:$AL$7,0))</f>
        <v>55.56</v>
      </c>
      <c r="AW21" s="41">
        <f>INDEX('[2]End - Use Prices'!$C$6:$AL$89,MATCH($C21,'[2]End - Use Prices'!$A$6:$A$89,0)+MATCH($D21,'[2]End - Use Prices'!$B$9:$B$11,0)-1,MATCH(AW$1,'[2]End - Use Prices'!$C$7:$AL$7,0))</f>
        <v>56.07</v>
      </c>
      <c r="AX21" s="41">
        <f>INDEX('[2]End - Use Prices'!$C$6:$AL$89,MATCH($C21,'[2]End - Use Prices'!$A$6:$A$89,0)+MATCH($D21,'[2]End - Use Prices'!$B$9:$B$11,0)-1,MATCH(AX$1,'[2]End - Use Prices'!$C$7:$AL$7,0))</f>
        <v>56.53</v>
      </c>
      <c r="AY21" s="41">
        <f>INDEX('[2]End - Use Prices'!$C$6:$AL$89,MATCH($C21,'[2]End - Use Prices'!$A$6:$A$89,0)+MATCH($D21,'[2]End - Use Prices'!$B$9:$B$11,0)-1,MATCH(AY$1,'[2]End - Use Prices'!$C$7:$AL$7,0))</f>
        <v>56.95</v>
      </c>
      <c r="AZ21" s="41">
        <f>INDEX('[2]End - Use Prices'!$C$6:$AL$89,MATCH($C21,'[2]End - Use Prices'!$A$6:$A$89,0)+MATCH($D21,'[2]End - Use Prices'!$B$9:$B$11,0)-1,MATCH(AZ$1,'[2]End - Use Prices'!$C$7:$AL$7,0))</f>
        <v>57.32</v>
      </c>
      <c r="BA21" s="41">
        <f>INDEX('[2]End - Use Prices'!$C$6:$AL$89,MATCH($C21,'[2]End - Use Prices'!$A$6:$A$89,0)+MATCH($D21,'[2]End - Use Prices'!$B$9:$B$11,0)-1,MATCH(BA$1,'[2]End - Use Prices'!$C$7:$AL$7,0))</f>
        <v>57.65</v>
      </c>
      <c r="BB21" s="41">
        <f>INDEX('[2]End - Use Prices'!$C$6:$AL$89,MATCH($C21,'[2]End - Use Prices'!$A$6:$A$89,0)+MATCH($D21,'[2]End - Use Prices'!$B$9:$B$11,0)-1,MATCH(BB$1,'[2]End - Use Prices'!$C$7:$AL$7,0))</f>
        <v>57.94</v>
      </c>
      <c r="BC21" s="41">
        <f>INDEX('[2]End - Use Prices'!$C$6:$AL$89,MATCH($C21,'[2]End - Use Prices'!$A$6:$A$89,0)+MATCH($D21,'[2]End - Use Prices'!$B$9:$B$11,0)-1,MATCH(BC$1,'[2]End - Use Prices'!$C$7:$AL$7,0))</f>
        <v>58.17</v>
      </c>
      <c r="BD21" s="41">
        <f>INDEX('[2]End - Use Prices'!$C$6:$AL$89,MATCH($C21,'[2]End - Use Prices'!$A$6:$A$89,0)+MATCH($D21,'[2]End - Use Prices'!$B$9:$B$11,0)-1,MATCH(BD$1,'[2]End - Use Prices'!$C$7:$AL$7,0))</f>
        <v>58.36</v>
      </c>
      <c r="BE21" s="41">
        <f>INDEX('[2]End - Use Prices'!$C$6:$AL$89,MATCH($C21,'[2]End - Use Prices'!$A$6:$A$89,0)+MATCH($D21,'[2]End - Use Prices'!$B$9:$B$11,0)-1,MATCH(BE$1,'[2]End - Use Prices'!$C$7:$AL$7,0))</f>
        <v>58.5</v>
      </c>
      <c r="BF21" s="41">
        <f>INDEX('[2]End - Use Prices'!$C$6:$AL$89,MATCH($C21,'[2]End - Use Prices'!$A$6:$A$89,0)+MATCH($D21,'[2]End - Use Prices'!$B$9:$B$11,0)-1,MATCH(BF$1,'[2]End - Use Prices'!$C$7:$AL$7,0))</f>
        <v>58.59</v>
      </c>
      <c r="BG21" s="41">
        <f>INDEX('[2]End - Use Prices'!$C$6:$AL$89,MATCH($C21,'[2]End - Use Prices'!$A$6:$A$89,0)+MATCH($D21,'[2]End - Use Prices'!$B$9:$B$11,0)-1,MATCH(BG$1,'[2]End - Use Prices'!$C$7:$AL$7,0))</f>
        <v>58.62</v>
      </c>
      <c r="BR21" s="39"/>
      <c r="BS21" s="39"/>
      <c r="BT21" s="39"/>
      <c r="BU21" s="39"/>
      <c r="BV21" s="39"/>
      <c r="BW21" s="39"/>
      <c r="BX21" s="39"/>
      <c r="BY21" s="39"/>
      <c r="BZ21" s="39"/>
      <c r="CA21" s="39"/>
    </row>
    <row r="22" spans="1:79">
      <c r="A22" s="5"/>
      <c r="B22" s="3"/>
      <c r="C22" s="25" t="s">
        <v>87</v>
      </c>
      <c r="D22" s="25" t="s">
        <v>2</v>
      </c>
      <c r="E22" s="25" t="s">
        <v>277</v>
      </c>
      <c r="F22" s="67" t="s">
        <v>275</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INDEX('[2]End - Use Prices'!$C$6:$AL$89,MATCH($C22,'[2]End - Use Prices'!$A$6:$A$89,0)+MATCH($D22,'[2]End - Use Prices'!$B$9:$B$11,0)-1,MATCH(X$1,'[2]End - Use Prices'!$C$7:$AL$7,0))</f>
        <v>35.630000000000003</v>
      </c>
      <c r="Y22" s="41">
        <f>INDEX('[2]End - Use Prices'!$C$6:$AL$89,MATCH($C22,'[2]End - Use Prices'!$A$6:$A$89,0)+MATCH($D22,'[2]End - Use Prices'!$B$9:$B$11,0)-1,MATCH(Y$1,'[2]End - Use Prices'!$C$7:$AL$7,0))</f>
        <v>40.94</v>
      </c>
      <c r="Z22" s="41">
        <f>INDEX('[2]End - Use Prices'!$C$6:$AL$89,MATCH($C22,'[2]End - Use Prices'!$A$6:$A$89,0)+MATCH($D22,'[2]End - Use Prices'!$B$9:$B$11,0)-1,MATCH(Z$1,'[2]End - Use Prices'!$C$7:$AL$7,0))</f>
        <v>42.23</v>
      </c>
      <c r="AA22" s="41">
        <f>INDEX('[2]End - Use Prices'!$C$6:$AL$89,MATCH($C22,'[2]End - Use Prices'!$A$6:$A$89,0)+MATCH($D22,'[2]End - Use Prices'!$B$9:$B$11,0)-1,MATCH(AA$1,'[2]End - Use Prices'!$C$7:$AL$7,0))</f>
        <v>41.92</v>
      </c>
      <c r="AB22" s="41">
        <f>INDEX('[2]End - Use Prices'!$C$6:$AL$89,MATCH($C22,'[2]End - Use Prices'!$A$6:$A$89,0)+MATCH($D22,'[2]End - Use Prices'!$B$9:$B$11,0)-1,MATCH(AB$1,'[2]End - Use Prices'!$C$7:$AL$7,0))</f>
        <v>43.47</v>
      </c>
      <c r="AC22" s="41">
        <f>INDEX('[2]End - Use Prices'!$C$6:$AL$89,MATCH($C22,'[2]End - Use Prices'!$A$6:$A$89,0)+MATCH($D22,'[2]End - Use Prices'!$B$9:$B$11,0)-1,MATCH(AC$1,'[2]End - Use Prices'!$C$7:$AL$7,0))</f>
        <v>42.27</v>
      </c>
      <c r="AD22" s="41">
        <f>INDEX('[2]End - Use Prices'!$C$6:$AL$89,MATCH($C22,'[2]End - Use Prices'!$A$6:$A$89,0)+MATCH($D22,'[2]End - Use Prices'!$B$9:$B$11,0)-1,MATCH(AD$1,'[2]End - Use Prices'!$C$7:$AL$7,0))</f>
        <v>41.5</v>
      </c>
      <c r="AE22" s="41">
        <f>INDEX('[2]End - Use Prices'!$C$6:$AL$89,MATCH($C22,'[2]End - Use Prices'!$A$6:$A$89,0)+MATCH($D22,'[2]End - Use Prices'!$B$9:$B$11,0)-1,MATCH(AE$1,'[2]End - Use Prices'!$C$7:$AL$7,0))</f>
        <v>41</v>
      </c>
      <c r="AF22" s="41">
        <f>INDEX('[2]End - Use Prices'!$C$6:$AL$89,MATCH($C22,'[2]End - Use Prices'!$A$6:$A$89,0)+MATCH($D22,'[2]End - Use Prices'!$B$9:$B$11,0)-1,MATCH(AF$1,'[2]End - Use Prices'!$C$7:$AL$7,0))</f>
        <v>40.340000000000003</v>
      </c>
      <c r="AG22" s="41">
        <f>INDEX('[2]End - Use Prices'!$C$6:$AL$89,MATCH($C22,'[2]End - Use Prices'!$A$6:$A$89,0)+MATCH($D22,'[2]End - Use Prices'!$B$9:$B$11,0)-1,MATCH(AG$1,'[2]End - Use Prices'!$C$7:$AL$7,0))</f>
        <v>40.39</v>
      </c>
      <c r="AH22" s="41">
        <f>INDEX('[2]End - Use Prices'!$C$6:$AL$89,MATCH($C22,'[2]End - Use Prices'!$A$6:$A$89,0)+MATCH($D22,'[2]End - Use Prices'!$B$9:$B$11,0)-1,MATCH(AH$1,'[2]End - Use Prices'!$C$7:$AL$7,0))</f>
        <v>41.52</v>
      </c>
      <c r="AI22" s="41">
        <f>INDEX('[2]End - Use Prices'!$C$6:$AL$89,MATCH($C22,'[2]End - Use Prices'!$A$6:$A$89,0)+MATCH($D22,'[2]End - Use Prices'!$B$9:$B$11,0)-1,MATCH(AI$1,'[2]End - Use Prices'!$C$7:$AL$7,0))</f>
        <v>42.28</v>
      </c>
      <c r="AJ22" s="41">
        <f>INDEX('[2]End - Use Prices'!$C$6:$AL$89,MATCH($C22,'[2]End - Use Prices'!$A$6:$A$89,0)+MATCH($D22,'[2]End - Use Prices'!$B$9:$B$11,0)-1,MATCH(AJ$1,'[2]End - Use Prices'!$C$7:$AL$7,0))</f>
        <v>42.82</v>
      </c>
      <c r="AK22" s="41">
        <f>INDEX('[2]End - Use Prices'!$C$6:$AL$89,MATCH($C22,'[2]End - Use Prices'!$A$6:$A$89,0)+MATCH($D22,'[2]End - Use Prices'!$B$9:$B$11,0)-1,MATCH(AK$1,'[2]End - Use Prices'!$C$7:$AL$7,0))</f>
        <v>43.37</v>
      </c>
      <c r="AL22" s="41">
        <f>INDEX('[2]End - Use Prices'!$C$6:$AL$89,MATCH($C22,'[2]End - Use Prices'!$A$6:$A$89,0)+MATCH($D22,'[2]End - Use Prices'!$B$9:$B$11,0)-1,MATCH(AL$1,'[2]End - Use Prices'!$C$7:$AL$7,0))</f>
        <v>43.92</v>
      </c>
      <c r="AM22" s="41">
        <f>INDEX('[2]End - Use Prices'!$C$6:$AL$89,MATCH($C22,'[2]End - Use Prices'!$A$6:$A$89,0)+MATCH($D22,'[2]End - Use Prices'!$B$9:$B$11,0)-1,MATCH(AM$1,'[2]End - Use Prices'!$C$7:$AL$7,0))</f>
        <v>44.47</v>
      </c>
      <c r="AN22" s="41">
        <f>INDEX('[2]End - Use Prices'!$C$6:$AL$89,MATCH($C22,'[2]End - Use Prices'!$A$6:$A$89,0)+MATCH($D22,'[2]End - Use Prices'!$B$9:$B$11,0)-1,MATCH(AN$1,'[2]End - Use Prices'!$C$7:$AL$7,0))</f>
        <v>45.04</v>
      </c>
      <c r="AO22" s="41">
        <f>INDEX('[2]End - Use Prices'!$C$6:$AL$89,MATCH($C22,'[2]End - Use Prices'!$A$6:$A$89,0)+MATCH($D22,'[2]End - Use Prices'!$B$9:$B$11,0)-1,MATCH(AO$1,'[2]End - Use Prices'!$C$7:$AL$7,0))</f>
        <v>45.61</v>
      </c>
      <c r="AP22" s="41">
        <f>INDEX('[2]End - Use Prices'!$C$6:$AL$89,MATCH($C22,'[2]End - Use Prices'!$A$6:$A$89,0)+MATCH($D22,'[2]End - Use Prices'!$B$9:$B$11,0)-1,MATCH(AP$1,'[2]End - Use Prices'!$C$7:$AL$7,0))</f>
        <v>46.19</v>
      </c>
      <c r="AQ22" s="41">
        <f>INDEX('[2]End - Use Prices'!$C$6:$AL$89,MATCH($C22,'[2]End - Use Prices'!$A$6:$A$89,0)+MATCH($D22,'[2]End - Use Prices'!$B$9:$B$11,0)-1,MATCH(AQ$1,'[2]End - Use Prices'!$C$7:$AL$7,0))</f>
        <v>46.78</v>
      </c>
      <c r="AR22" s="41">
        <f>INDEX('[2]End - Use Prices'!$C$6:$AL$89,MATCH($C22,'[2]End - Use Prices'!$A$6:$A$89,0)+MATCH($D22,'[2]End - Use Prices'!$B$9:$B$11,0)-1,MATCH(AR$1,'[2]End - Use Prices'!$C$7:$AL$7,0))</f>
        <v>47.37</v>
      </c>
      <c r="AS22" s="41">
        <f>INDEX('[2]End - Use Prices'!$C$6:$AL$89,MATCH($C22,'[2]End - Use Prices'!$A$6:$A$89,0)+MATCH($D22,'[2]End - Use Prices'!$B$9:$B$11,0)-1,MATCH(AS$1,'[2]End - Use Prices'!$C$7:$AL$7,0))</f>
        <v>47.97</v>
      </c>
      <c r="AT22" s="41">
        <f>INDEX('[2]End - Use Prices'!$C$6:$AL$89,MATCH($C22,'[2]End - Use Prices'!$A$6:$A$89,0)+MATCH($D22,'[2]End - Use Prices'!$B$9:$B$11,0)-1,MATCH(AT$1,'[2]End - Use Prices'!$C$7:$AL$7,0))</f>
        <v>48.58</v>
      </c>
      <c r="AU22" s="41">
        <f>INDEX('[2]End - Use Prices'!$C$6:$AL$89,MATCH($C22,'[2]End - Use Prices'!$A$6:$A$89,0)+MATCH($D22,'[2]End - Use Prices'!$B$9:$B$11,0)-1,MATCH(AU$1,'[2]End - Use Prices'!$C$7:$AL$7,0))</f>
        <v>49.2</v>
      </c>
      <c r="AV22" s="41">
        <f>INDEX('[2]End - Use Prices'!$C$6:$AL$89,MATCH($C22,'[2]End - Use Prices'!$A$6:$A$89,0)+MATCH($D22,'[2]End - Use Prices'!$B$9:$B$11,0)-1,MATCH(AV$1,'[2]End - Use Prices'!$C$7:$AL$7,0))</f>
        <v>49.82</v>
      </c>
      <c r="AW22" s="41">
        <f>INDEX('[2]End - Use Prices'!$C$6:$AL$89,MATCH($C22,'[2]End - Use Prices'!$A$6:$A$89,0)+MATCH($D22,'[2]End - Use Prices'!$B$9:$B$11,0)-1,MATCH(AW$1,'[2]End - Use Prices'!$C$7:$AL$7,0))</f>
        <v>50.45</v>
      </c>
      <c r="AX22" s="41">
        <f>INDEX('[2]End - Use Prices'!$C$6:$AL$89,MATCH($C22,'[2]End - Use Prices'!$A$6:$A$89,0)+MATCH($D22,'[2]End - Use Prices'!$B$9:$B$11,0)-1,MATCH(AX$1,'[2]End - Use Prices'!$C$7:$AL$7,0))</f>
        <v>51.09</v>
      </c>
      <c r="AY22" s="41">
        <f>INDEX('[2]End - Use Prices'!$C$6:$AL$89,MATCH($C22,'[2]End - Use Prices'!$A$6:$A$89,0)+MATCH($D22,'[2]End - Use Prices'!$B$9:$B$11,0)-1,MATCH(AY$1,'[2]End - Use Prices'!$C$7:$AL$7,0))</f>
        <v>51.74</v>
      </c>
      <c r="AZ22" s="41">
        <f>INDEX('[2]End - Use Prices'!$C$6:$AL$89,MATCH($C22,'[2]End - Use Prices'!$A$6:$A$89,0)+MATCH($D22,'[2]End - Use Prices'!$B$9:$B$11,0)-1,MATCH(AZ$1,'[2]End - Use Prices'!$C$7:$AL$7,0))</f>
        <v>52.4</v>
      </c>
      <c r="BA22" s="41">
        <f>INDEX('[2]End - Use Prices'!$C$6:$AL$89,MATCH($C22,'[2]End - Use Prices'!$A$6:$A$89,0)+MATCH($D22,'[2]End - Use Prices'!$B$9:$B$11,0)-1,MATCH(BA$1,'[2]End - Use Prices'!$C$7:$AL$7,0))</f>
        <v>53.07</v>
      </c>
      <c r="BB22" s="41">
        <f>INDEX('[2]End - Use Prices'!$C$6:$AL$89,MATCH($C22,'[2]End - Use Prices'!$A$6:$A$89,0)+MATCH($D22,'[2]End - Use Prices'!$B$9:$B$11,0)-1,MATCH(BB$1,'[2]End - Use Prices'!$C$7:$AL$7,0))</f>
        <v>53.74</v>
      </c>
      <c r="BC22" s="41">
        <f>INDEX('[2]End - Use Prices'!$C$6:$AL$89,MATCH($C22,'[2]End - Use Prices'!$A$6:$A$89,0)+MATCH($D22,'[2]End - Use Prices'!$B$9:$B$11,0)-1,MATCH(BC$1,'[2]End - Use Prices'!$C$7:$AL$7,0))</f>
        <v>54.42</v>
      </c>
      <c r="BD22" s="41">
        <f>INDEX('[2]End - Use Prices'!$C$6:$AL$89,MATCH($C22,'[2]End - Use Prices'!$A$6:$A$89,0)+MATCH($D22,'[2]End - Use Prices'!$B$9:$B$11,0)-1,MATCH(BD$1,'[2]End - Use Prices'!$C$7:$AL$7,0))</f>
        <v>55.11</v>
      </c>
      <c r="BE22" s="41">
        <f>INDEX('[2]End - Use Prices'!$C$6:$AL$89,MATCH($C22,'[2]End - Use Prices'!$A$6:$A$89,0)+MATCH($D22,'[2]End - Use Prices'!$B$9:$B$11,0)-1,MATCH(BE$1,'[2]End - Use Prices'!$C$7:$AL$7,0))</f>
        <v>55.81</v>
      </c>
      <c r="BF22" s="41">
        <f>INDEX('[2]End - Use Prices'!$C$6:$AL$89,MATCH($C22,'[2]End - Use Prices'!$A$6:$A$89,0)+MATCH($D22,'[2]End - Use Prices'!$B$9:$B$11,0)-1,MATCH(BF$1,'[2]End - Use Prices'!$C$7:$AL$7,0))</f>
        <v>56.52</v>
      </c>
      <c r="BG22" s="41">
        <f>INDEX('[2]End - Use Prices'!$C$6:$AL$89,MATCH($C22,'[2]End - Use Prices'!$A$6:$A$89,0)+MATCH($D22,'[2]End - Use Prices'!$B$9:$B$11,0)-1,MATCH(BG$1,'[2]End - Use Prices'!$C$7:$AL$7,0))</f>
        <v>57.24</v>
      </c>
      <c r="BR22" s="39"/>
      <c r="BS22" s="39"/>
      <c r="BT22" s="39"/>
      <c r="BU22" s="39"/>
      <c r="BV22" s="39"/>
      <c r="BW22" s="39"/>
      <c r="BX22" s="39"/>
      <c r="BY22" s="39"/>
      <c r="BZ22" s="39"/>
      <c r="CA22" s="39"/>
    </row>
    <row r="23" spans="1:79">
      <c r="A23" s="5"/>
      <c r="B23" s="3"/>
      <c r="C23" s="25" t="s">
        <v>88</v>
      </c>
      <c r="D23" s="25" t="s">
        <v>2</v>
      </c>
      <c r="E23" s="25" t="s">
        <v>277</v>
      </c>
      <c r="F23" s="67" t="s">
        <v>275</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INDEX('[2]End - Use Prices'!$C$6:$AL$89,MATCH($C23,'[2]End - Use Prices'!$A$6:$A$89,0)+MATCH($D23,'[2]End - Use Prices'!$B$9:$B$11,0)-1,MATCH(X$1,'[2]End - Use Prices'!$C$7:$AL$7,0))</f>
        <v>23.05</v>
      </c>
      <c r="Y23" s="41">
        <f>INDEX('[2]End - Use Prices'!$C$6:$AL$89,MATCH($C23,'[2]End - Use Prices'!$A$6:$A$89,0)+MATCH($D23,'[2]End - Use Prices'!$B$9:$B$11,0)-1,MATCH(Y$1,'[2]End - Use Prices'!$C$7:$AL$7,0))</f>
        <v>26.62</v>
      </c>
      <c r="Z23" s="41">
        <f>INDEX('[2]End - Use Prices'!$C$6:$AL$89,MATCH($C23,'[2]End - Use Prices'!$A$6:$A$89,0)+MATCH($D23,'[2]End - Use Prices'!$B$9:$B$11,0)-1,MATCH(Z$1,'[2]End - Use Prices'!$C$7:$AL$7,0))</f>
        <v>25.75</v>
      </c>
      <c r="AA23" s="41">
        <f>INDEX('[2]End - Use Prices'!$C$6:$AL$89,MATCH($C23,'[2]End - Use Prices'!$A$6:$A$89,0)+MATCH($D23,'[2]End - Use Prices'!$B$9:$B$11,0)-1,MATCH(AA$1,'[2]End - Use Prices'!$C$7:$AL$7,0))</f>
        <v>24.75</v>
      </c>
      <c r="AB23" s="41">
        <f>INDEX('[2]End - Use Prices'!$C$6:$AL$89,MATCH($C23,'[2]End - Use Prices'!$A$6:$A$89,0)+MATCH($D23,'[2]End - Use Prices'!$B$9:$B$11,0)-1,MATCH(AB$1,'[2]End - Use Prices'!$C$7:$AL$7,0))</f>
        <v>25.57</v>
      </c>
      <c r="AC23" s="41">
        <f>INDEX('[2]End - Use Prices'!$C$6:$AL$89,MATCH($C23,'[2]End - Use Prices'!$A$6:$A$89,0)+MATCH($D23,'[2]End - Use Prices'!$B$9:$B$11,0)-1,MATCH(AC$1,'[2]End - Use Prices'!$C$7:$AL$7,0))</f>
        <v>24.86</v>
      </c>
      <c r="AD23" s="41">
        <f>INDEX('[2]End - Use Prices'!$C$6:$AL$89,MATCH($C23,'[2]End - Use Prices'!$A$6:$A$89,0)+MATCH($D23,'[2]End - Use Prices'!$B$9:$B$11,0)-1,MATCH(AD$1,'[2]End - Use Prices'!$C$7:$AL$7,0))</f>
        <v>24.33</v>
      </c>
      <c r="AE23" s="41">
        <f>INDEX('[2]End - Use Prices'!$C$6:$AL$89,MATCH($C23,'[2]End - Use Prices'!$A$6:$A$89,0)+MATCH($D23,'[2]End - Use Prices'!$B$9:$B$11,0)-1,MATCH(AE$1,'[2]End - Use Prices'!$C$7:$AL$7,0))</f>
        <v>24.26</v>
      </c>
      <c r="AF23" s="41">
        <f>INDEX('[2]End - Use Prices'!$C$6:$AL$89,MATCH($C23,'[2]End - Use Prices'!$A$6:$A$89,0)+MATCH($D23,'[2]End - Use Prices'!$B$9:$B$11,0)-1,MATCH(AF$1,'[2]End - Use Prices'!$C$7:$AL$7,0))</f>
        <v>24.24</v>
      </c>
      <c r="AG23" s="41">
        <f>INDEX('[2]End - Use Prices'!$C$6:$AL$89,MATCH($C23,'[2]End - Use Prices'!$A$6:$A$89,0)+MATCH($D23,'[2]End - Use Prices'!$B$9:$B$11,0)-1,MATCH(AG$1,'[2]End - Use Prices'!$C$7:$AL$7,0))</f>
        <v>24.48</v>
      </c>
      <c r="AH23" s="41">
        <f>INDEX('[2]End - Use Prices'!$C$6:$AL$89,MATCH($C23,'[2]End - Use Prices'!$A$6:$A$89,0)+MATCH($D23,'[2]End - Use Prices'!$B$9:$B$11,0)-1,MATCH(AH$1,'[2]End - Use Prices'!$C$7:$AL$7,0))</f>
        <v>25.13</v>
      </c>
      <c r="AI23" s="41">
        <f>INDEX('[2]End - Use Prices'!$C$6:$AL$89,MATCH($C23,'[2]End - Use Prices'!$A$6:$A$89,0)+MATCH($D23,'[2]End - Use Prices'!$B$9:$B$11,0)-1,MATCH(AI$1,'[2]End - Use Prices'!$C$7:$AL$7,0))</f>
        <v>25.1</v>
      </c>
      <c r="AJ23" s="41">
        <f>INDEX('[2]End - Use Prices'!$C$6:$AL$89,MATCH($C23,'[2]End - Use Prices'!$A$6:$A$89,0)+MATCH($D23,'[2]End - Use Prices'!$B$9:$B$11,0)-1,MATCH(AJ$1,'[2]End - Use Prices'!$C$7:$AL$7,0))</f>
        <v>25.35</v>
      </c>
      <c r="AK23" s="41">
        <f>INDEX('[2]End - Use Prices'!$C$6:$AL$89,MATCH($C23,'[2]End - Use Prices'!$A$6:$A$89,0)+MATCH($D23,'[2]End - Use Prices'!$B$9:$B$11,0)-1,MATCH(AK$1,'[2]End - Use Prices'!$C$7:$AL$7,0))</f>
        <v>25.6</v>
      </c>
      <c r="AL23" s="41">
        <f>INDEX('[2]End - Use Prices'!$C$6:$AL$89,MATCH($C23,'[2]End - Use Prices'!$A$6:$A$89,0)+MATCH($D23,'[2]End - Use Prices'!$B$9:$B$11,0)-1,MATCH(AL$1,'[2]End - Use Prices'!$C$7:$AL$7,0))</f>
        <v>25.86</v>
      </c>
      <c r="AM23" s="41">
        <f>INDEX('[2]End - Use Prices'!$C$6:$AL$89,MATCH($C23,'[2]End - Use Prices'!$A$6:$A$89,0)+MATCH($D23,'[2]End - Use Prices'!$B$9:$B$11,0)-1,MATCH(AM$1,'[2]End - Use Prices'!$C$7:$AL$7,0))</f>
        <v>26.11</v>
      </c>
      <c r="AN23" s="41">
        <f>INDEX('[2]End - Use Prices'!$C$6:$AL$89,MATCH($C23,'[2]End - Use Prices'!$A$6:$A$89,0)+MATCH($D23,'[2]End - Use Prices'!$B$9:$B$11,0)-1,MATCH(AN$1,'[2]End - Use Prices'!$C$7:$AL$7,0))</f>
        <v>26.37</v>
      </c>
      <c r="AO23" s="41">
        <f>INDEX('[2]End - Use Prices'!$C$6:$AL$89,MATCH($C23,'[2]End - Use Prices'!$A$6:$A$89,0)+MATCH($D23,'[2]End - Use Prices'!$B$9:$B$11,0)-1,MATCH(AO$1,'[2]End - Use Prices'!$C$7:$AL$7,0))</f>
        <v>26.64</v>
      </c>
      <c r="AP23" s="41">
        <f>INDEX('[2]End - Use Prices'!$C$6:$AL$89,MATCH($C23,'[2]End - Use Prices'!$A$6:$A$89,0)+MATCH($D23,'[2]End - Use Prices'!$B$9:$B$11,0)-1,MATCH(AP$1,'[2]End - Use Prices'!$C$7:$AL$7,0))</f>
        <v>26.9</v>
      </c>
      <c r="AQ23" s="41">
        <f>INDEX('[2]End - Use Prices'!$C$6:$AL$89,MATCH($C23,'[2]End - Use Prices'!$A$6:$A$89,0)+MATCH($D23,'[2]End - Use Prices'!$B$9:$B$11,0)-1,MATCH(AQ$1,'[2]End - Use Prices'!$C$7:$AL$7,0))</f>
        <v>27.17</v>
      </c>
      <c r="AR23" s="41">
        <f>INDEX('[2]End - Use Prices'!$C$6:$AL$89,MATCH($C23,'[2]End - Use Prices'!$A$6:$A$89,0)+MATCH($D23,'[2]End - Use Prices'!$B$9:$B$11,0)-1,MATCH(AR$1,'[2]End - Use Prices'!$C$7:$AL$7,0))</f>
        <v>27.44</v>
      </c>
      <c r="AS23" s="41">
        <f>INDEX('[2]End - Use Prices'!$C$6:$AL$89,MATCH($C23,'[2]End - Use Prices'!$A$6:$A$89,0)+MATCH($D23,'[2]End - Use Prices'!$B$9:$B$11,0)-1,MATCH(AS$1,'[2]End - Use Prices'!$C$7:$AL$7,0))</f>
        <v>27.72</v>
      </c>
      <c r="AT23" s="41">
        <f>INDEX('[2]End - Use Prices'!$C$6:$AL$89,MATCH($C23,'[2]End - Use Prices'!$A$6:$A$89,0)+MATCH($D23,'[2]End - Use Prices'!$B$9:$B$11,0)-1,MATCH(AT$1,'[2]End - Use Prices'!$C$7:$AL$7,0))</f>
        <v>27.99</v>
      </c>
      <c r="AU23" s="41">
        <f>INDEX('[2]End - Use Prices'!$C$6:$AL$89,MATCH($C23,'[2]End - Use Prices'!$A$6:$A$89,0)+MATCH($D23,'[2]End - Use Prices'!$B$9:$B$11,0)-1,MATCH(AU$1,'[2]End - Use Prices'!$C$7:$AL$7,0))</f>
        <v>28.27</v>
      </c>
      <c r="AV23" s="41">
        <f>INDEX('[2]End - Use Prices'!$C$6:$AL$89,MATCH($C23,'[2]End - Use Prices'!$A$6:$A$89,0)+MATCH($D23,'[2]End - Use Prices'!$B$9:$B$11,0)-1,MATCH(AV$1,'[2]End - Use Prices'!$C$7:$AL$7,0))</f>
        <v>28.55</v>
      </c>
      <c r="AW23" s="41">
        <f>INDEX('[2]End - Use Prices'!$C$6:$AL$89,MATCH($C23,'[2]End - Use Prices'!$A$6:$A$89,0)+MATCH($D23,'[2]End - Use Prices'!$B$9:$B$11,0)-1,MATCH(AW$1,'[2]End - Use Prices'!$C$7:$AL$7,0))</f>
        <v>28.84</v>
      </c>
      <c r="AX23" s="41">
        <f>INDEX('[2]End - Use Prices'!$C$6:$AL$89,MATCH($C23,'[2]End - Use Prices'!$A$6:$A$89,0)+MATCH($D23,'[2]End - Use Prices'!$B$9:$B$11,0)-1,MATCH(AX$1,'[2]End - Use Prices'!$C$7:$AL$7,0))</f>
        <v>29.12</v>
      </c>
      <c r="AY23" s="41">
        <f>INDEX('[2]End - Use Prices'!$C$6:$AL$89,MATCH($C23,'[2]End - Use Prices'!$A$6:$A$89,0)+MATCH($D23,'[2]End - Use Prices'!$B$9:$B$11,0)-1,MATCH(AY$1,'[2]End - Use Prices'!$C$7:$AL$7,0))</f>
        <v>29.41</v>
      </c>
      <c r="AZ23" s="41">
        <f>INDEX('[2]End - Use Prices'!$C$6:$AL$89,MATCH($C23,'[2]End - Use Prices'!$A$6:$A$89,0)+MATCH($D23,'[2]End - Use Prices'!$B$9:$B$11,0)-1,MATCH(AZ$1,'[2]End - Use Prices'!$C$7:$AL$7,0))</f>
        <v>29.71</v>
      </c>
      <c r="BA23" s="41">
        <f>INDEX('[2]End - Use Prices'!$C$6:$AL$89,MATCH($C23,'[2]End - Use Prices'!$A$6:$A$89,0)+MATCH($D23,'[2]End - Use Prices'!$B$9:$B$11,0)-1,MATCH(BA$1,'[2]End - Use Prices'!$C$7:$AL$7,0))</f>
        <v>30</v>
      </c>
      <c r="BB23" s="41">
        <f>INDEX('[2]End - Use Prices'!$C$6:$AL$89,MATCH($C23,'[2]End - Use Prices'!$A$6:$A$89,0)+MATCH($D23,'[2]End - Use Prices'!$B$9:$B$11,0)-1,MATCH(BB$1,'[2]End - Use Prices'!$C$7:$AL$7,0))</f>
        <v>30.3</v>
      </c>
      <c r="BC23" s="41">
        <f>INDEX('[2]End - Use Prices'!$C$6:$AL$89,MATCH($C23,'[2]End - Use Prices'!$A$6:$A$89,0)+MATCH($D23,'[2]End - Use Prices'!$B$9:$B$11,0)-1,MATCH(BC$1,'[2]End - Use Prices'!$C$7:$AL$7,0))</f>
        <v>30.6</v>
      </c>
      <c r="BD23" s="41">
        <f>INDEX('[2]End - Use Prices'!$C$6:$AL$89,MATCH($C23,'[2]End - Use Prices'!$A$6:$A$89,0)+MATCH($D23,'[2]End - Use Prices'!$B$9:$B$11,0)-1,MATCH(BD$1,'[2]End - Use Prices'!$C$7:$AL$7,0))</f>
        <v>30.91</v>
      </c>
      <c r="BE23" s="41">
        <f>INDEX('[2]End - Use Prices'!$C$6:$AL$89,MATCH($C23,'[2]End - Use Prices'!$A$6:$A$89,0)+MATCH($D23,'[2]End - Use Prices'!$B$9:$B$11,0)-1,MATCH(BE$1,'[2]End - Use Prices'!$C$7:$AL$7,0))</f>
        <v>31.22</v>
      </c>
      <c r="BF23" s="41">
        <f>INDEX('[2]End - Use Prices'!$C$6:$AL$89,MATCH($C23,'[2]End - Use Prices'!$A$6:$A$89,0)+MATCH($D23,'[2]End - Use Prices'!$B$9:$B$11,0)-1,MATCH(BF$1,'[2]End - Use Prices'!$C$7:$AL$7,0))</f>
        <v>31.53</v>
      </c>
      <c r="BG23" s="41">
        <f>INDEX('[2]End - Use Prices'!$C$6:$AL$89,MATCH($C23,'[2]End - Use Prices'!$A$6:$A$89,0)+MATCH($D23,'[2]End - Use Prices'!$B$9:$B$11,0)-1,MATCH(BG$1,'[2]End - Use Prices'!$C$7:$AL$7,0))</f>
        <v>31.84</v>
      </c>
      <c r="BR23" s="39"/>
      <c r="BS23" s="39"/>
      <c r="BT23" s="39"/>
      <c r="BU23" s="39"/>
      <c r="BV23" s="39"/>
      <c r="BW23" s="39"/>
      <c r="BX23" s="39"/>
      <c r="BY23" s="39"/>
      <c r="BZ23" s="39"/>
      <c r="CA23" s="39"/>
    </row>
    <row r="24" spans="1:79">
      <c r="A24" s="5"/>
      <c r="B24" s="3"/>
      <c r="C24" s="25" t="s">
        <v>89</v>
      </c>
      <c r="D24" s="25" t="s">
        <v>2</v>
      </c>
      <c r="E24" s="25" t="s">
        <v>277</v>
      </c>
      <c r="F24" s="67" t="s">
        <v>275</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INDEX('[2]End - Use Prices'!$C$6:$AL$89,MATCH($C24,'[2]End - Use Prices'!$A$6:$A$89,0)+MATCH($D24,'[2]End - Use Prices'!$B$9:$B$11,0)-1,MATCH(X$1,'[2]End - Use Prices'!$C$7:$AL$7,0))</f>
        <v>36.92</v>
      </c>
      <c r="Y24" s="41">
        <f>INDEX('[2]End - Use Prices'!$C$6:$AL$89,MATCH($C24,'[2]End - Use Prices'!$A$6:$A$89,0)+MATCH($D24,'[2]End - Use Prices'!$B$9:$B$11,0)-1,MATCH(Y$1,'[2]End - Use Prices'!$C$7:$AL$7,0))</f>
        <v>40.86</v>
      </c>
      <c r="Z24" s="41">
        <f>INDEX('[2]End - Use Prices'!$C$6:$AL$89,MATCH($C24,'[2]End - Use Prices'!$A$6:$A$89,0)+MATCH($D24,'[2]End - Use Prices'!$B$9:$B$11,0)-1,MATCH(Z$1,'[2]End - Use Prices'!$C$7:$AL$7,0))</f>
        <v>40.64</v>
      </c>
      <c r="AA24" s="41">
        <f>INDEX('[2]End - Use Prices'!$C$6:$AL$89,MATCH($C24,'[2]End - Use Prices'!$A$6:$A$89,0)+MATCH($D24,'[2]End - Use Prices'!$B$9:$B$11,0)-1,MATCH(AA$1,'[2]End - Use Prices'!$C$7:$AL$7,0))</f>
        <v>37.31</v>
      </c>
      <c r="AB24" s="41">
        <f>INDEX('[2]End - Use Prices'!$C$6:$AL$89,MATCH($C24,'[2]End - Use Prices'!$A$6:$A$89,0)+MATCH($D24,'[2]End - Use Prices'!$B$9:$B$11,0)-1,MATCH(AB$1,'[2]End - Use Prices'!$C$7:$AL$7,0))</f>
        <v>39.53</v>
      </c>
      <c r="AC24" s="41">
        <f>INDEX('[2]End - Use Prices'!$C$6:$AL$89,MATCH($C24,'[2]End - Use Prices'!$A$6:$A$89,0)+MATCH($D24,'[2]End - Use Prices'!$B$9:$B$11,0)-1,MATCH(AC$1,'[2]End - Use Prices'!$C$7:$AL$7,0))</f>
        <v>39.14</v>
      </c>
      <c r="AD24" s="41">
        <f>INDEX('[2]End - Use Prices'!$C$6:$AL$89,MATCH($C24,'[2]End - Use Prices'!$A$6:$A$89,0)+MATCH($D24,'[2]End - Use Prices'!$B$9:$B$11,0)-1,MATCH(AD$1,'[2]End - Use Prices'!$C$7:$AL$7,0))</f>
        <v>40.4</v>
      </c>
      <c r="AE24" s="41">
        <f>INDEX('[2]End - Use Prices'!$C$6:$AL$89,MATCH($C24,'[2]End - Use Prices'!$A$6:$A$89,0)+MATCH($D24,'[2]End - Use Prices'!$B$9:$B$11,0)-1,MATCH(AE$1,'[2]End - Use Prices'!$C$7:$AL$7,0))</f>
        <v>42.06</v>
      </c>
      <c r="AF24" s="41">
        <f>INDEX('[2]End - Use Prices'!$C$6:$AL$89,MATCH($C24,'[2]End - Use Prices'!$A$6:$A$89,0)+MATCH($D24,'[2]End - Use Prices'!$B$9:$B$11,0)-1,MATCH(AF$1,'[2]End - Use Prices'!$C$7:$AL$7,0))</f>
        <v>42.96</v>
      </c>
      <c r="AG24" s="41">
        <f>INDEX('[2]End - Use Prices'!$C$6:$AL$89,MATCH($C24,'[2]End - Use Prices'!$A$6:$A$89,0)+MATCH($D24,'[2]End - Use Prices'!$B$9:$B$11,0)-1,MATCH(AG$1,'[2]End - Use Prices'!$C$7:$AL$7,0))</f>
        <v>46.39</v>
      </c>
      <c r="AH24" s="41">
        <f>INDEX('[2]End - Use Prices'!$C$6:$AL$89,MATCH($C24,'[2]End - Use Prices'!$A$6:$A$89,0)+MATCH($D24,'[2]End - Use Prices'!$B$9:$B$11,0)-1,MATCH(AH$1,'[2]End - Use Prices'!$C$7:$AL$7,0))</f>
        <v>48.73</v>
      </c>
      <c r="AI24" s="41">
        <f>INDEX('[2]End - Use Prices'!$C$6:$AL$89,MATCH($C24,'[2]End - Use Prices'!$A$6:$A$89,0)+MATCH($D24,'[2]End - Use Prices'!$B$9:$B$11,0)-1,MATCH(AI$1,'[2]End - Use Prices'!$C$7:$AL$7,0))</f>
        <v>58.38</v>
      </c>
      <c r="AJ24" s="41">
        <f>INDEX('[2]End - Use Prices'!$C$6:$AL$89,MATCH($C24,'[2]End - Use Prices'!$A$6:$A$89,0)+MATCH($D24,'[2]End - Use Prices'!$B$9:$B$11,0)-1,MATCH(AJ$1,'[2]End - Use Prices'!$C$7:$AL$7,0))</f>
        <v>58.96</v>
      </c>
      <c r="AK24" s="41">
        <f>INDEX('[2]End - Use Prices'!$C$6:$AL$89,MATCH($C24,'[2]End - Use Prices'!$A$6:$A$89,0)+MATCH($D24,'[2]End - Use Prices'!$B$9:$B$11,0)-1,MATCH(AK$1,'[2]End - Use Prices'!$C$7:$AL$7,0))</f>
        <v>59.62</v>
      </c>
      <c r="AL24" s="41">
        <f>INDEX('[2]End - Use Prices'!$C$6:$AL$89,MATCH($C24,'[2]End - Use Prices'!$A$6:$A$89,0)+MATCH($D24,'[2]End - Use Prices'!$B$9:$B$11,0)-1,MATCH(AL$1,'[2]End - Use Prices'!$C$7:$AL$7,0))</f>
        <v>60.27</v>
      </c>
      <c r="AM24" s="41">
        <f>INDEX('[2]End - Use Prices'!$C$6:$AL$89,MATCH($C24,'[2]End - Use Prices'!$A$6:$A$89,0)+MATCH($D24,'[2]End - Use Prices'!$B$9:$B$11,0)-1,MATCH(AM$1,'[2]End - Use Prices'!$C$7:$AL$7,0))</f>
        <v>60.89</v>
      </c>
      <c r="AN24" s="41">
        <f>INDEX('[2]End - Use Prices'!$C$6:$AL$89,MATCH($C24,'[2]End - Use Prices'!$A$6:$A$89,0)+MATCH($D24,'[2]End - Use Prices'!$B$9:$B$11,0)-1,MATCH(AN$1,'[2]End - Use Prices'!$C$7:$AL$7,0))</f>
        <v>61.51</v>
      </c>
      <c r="AO24" s="41">
        <f>INDEX('[2]End - Use Prices'!$C$6:$AL$89,MATCH($C24,'[2]End - Use Prices'!$A$6:$A$89,0)+MATCH($D24,'[2]End - Use Prices'!$B$9:$B$11,0)-1,MATCH(AO$1,'[2]End - Use Prices'!$C$7:$AL$7,0))</f>
        <v>62.1</v>
      </c>
      <c r="AP24" s="41">
        <f>INDEX('[2]End - Use Prices'!$C$6:$AL$89,MATCH($C24,'[2]End - Use Prices'!$A$6:$A$89,0)+MATCH($D24,'[2]End - Use Prices'!$B$9:$B$11,0)-1,MATCH(AP$1,'[2]End - Use Prices'!$C$7:$AL$7,0))</f>
        <v>62.68</v>
      </c>
      <c r="AQ24" s="41">
        <f>INDEX('[2]End - Use Prices'!$C$6:$AL$89,MATCH($C24,'[2]End - Use Prices'!$A$6:$A$89,0)+MATCH($D24,'[2]End - Use Prices'!$B$9:$B$11,0)-1,MATCH(AQ$1,'[2]End - Use Prices'!$C$7:$AL$7,0))</f>
        <v>63.25</v>
      </c>
      <c r="AR24" s="41">
        <f>INDEX('[2]End - Use Prices'!$C$6:$AL$89,MATCH($C24,'[2]End - Use Prices'!$A$6:$A$89,0)+MATCH($D24,'[2]End - Use Prices'!$B$9:$B$11,0)-1,MATCH(AR$1,'[2]End - Use Prices'!$C$7:$AL$7,0))</f>
        <v>63.81</v>
      </c>
      <c r="AS24" s="41">
        <f>INDEX('[2]End - Use Prices'!$C$6:$AL$89,MATCH($C24,'[2]End - Use Prices'!$A$6:$A$89,0)+MATCH($D24,'[2]End - Use Prices'!$B$9:$B$11,0)-1,MATCH(AS$1,'[2]End - Use Prices'!$C$7:$AL$7,0))</f>
        <v>64.36</v>
      </c>
      <c r="AT24" s="41">
        <f>INDEX('[2]End - Use Prices'!$C$6:$AL$89,MATCH($C24,'[2]End - Use Prices'!$A$6:$A$89,0)+MATCH($D24,'[2]End - Use Prices'!$B$9:$B$11,0)-1,MATCH(AT$1,'[2]End - Use Prices'!$C$7:$AL$7,0))</f>
        <v>64.900000000000006</v>
      </c>
      <c r="AU24" s="41">
        <f>INDEX('[2]End - Use Prices'!$C$6:$AL$89,MATCH($C24,'[2]End - Use Prices'!$A$6:$A$89,0)+MATCH($D24,'[2]End - Use Prices'!$B$9:$B$11,0)-1,MATCH(AU$1,'[2]End - Use Prices'!$C$7:$AL$7,0))</f>
        <v>65.430000000000007</v>
      </c>
      <c r="AV24" s="41">
        <f>INDEX('[2]End - Use Prices'!$C$6:$AL$89,MATCH($C24,'[2]End - Use Prices'!$A$6:$A$89,0)+MATCH($D24,'[2]End - Use Prices'!$B$9:$B$11,0)-1,MATCH(AV$1,'[2]End - Use Prices'!$C$7:$AL$7,0))</f>
        <v>65.95</v>
      </c>
      <c r="AW24" s="41">
        <f>INDEX('[2]End - Use Prices'!$C$6:$AL$89,MATCH($C24,'[2]End - Use Prices'!$A$6:$A$89,0)+MATCH($D24,'[2]End - Use Prices'!$B$9:$B$11,0)-1,MATCH(AW$1,'[2]End - Use Prices'!$C$7:$AL$7,0))</f>
        <v>66.47</v>
      </c>
      <c r="AX24" s="41">
        <f>INDEX('[2]End - Use Prices'!$C$6:$AL$89,MATCH($C24,'[2]End - Use Prices'!$A$6:$A$89,0)+MATCH($D24,'[2]End - Use Prices'!$B$9:$B$11,0)-1,MATCH(AX$1,'[2]End - Use Prices'!$C$7:$AL$7,0))</f>
        <v>66.989999999999995</v>
      </c>
      <c r="AY24" s="41">
        <f>INDEX('[2]End - Use Prices'!$C$6:$AL$89,MATCH($C24,'[2]End - Use Prices'!$A$6:$A$89,0)+MATCH($D24,'[2]End - Use Prices'!$B$9:$B$11,0)-1,MATCH(AY$1,'[2]End - Use Prices'!$C$7:$AL$7,0))</f>
        <v>67.510000000000005</v>
      </c>
      <c r="AZ24" s="41">
        <f>INDEX('[2]End - Use Prices'!$C$6:$AL$89,MATCH($C24,'[2]End - Use Prices'!$A$6:$A$89,0)+MATCH($D24,'[2]End - Use Prices'!$B$9:$B$11,0)-1,MATCH(AZ$1,'[2]End - Use Prices'!$C$7:$AL$7,0))</f>
        <v>68.02</v>
      </c>
      <c r="BA24" s="41">
        <f>INDEX('[2]End - Use Prices'!$C$6:$AL$89,MATCH($C24,'[2]End - Use Prices'!$A$6:$A$89,0)+MATCH($D24,'[2]End - Use Prices'!$B$9:$B$11,0)-1,MATCH(BA$1,'[2]End - Use Prices'!$C$7:$AL$7,0))</f>
        <v>68.53</v>
      </c>
      <c r="BB24" s="41">
        <f>INDEX('[2]End - Use Prices'!$C$6:$AL$89,MATCH($C24,'[2]End - Use Prices'!$A$6:$A$89,0)+MATCH($D24,'[2]End - Use Prices'!$B$9:$B$11,0)-1,MATCH(BB$1,'[2]End - Use Prices'!$C$7:$AL$7,0))</f>
        <v>69.05</v>
      </c>
      <c r="BC24" s="41">
        <f>INDEX('[2]End - Use Prices'!$C$6:$AL$89,MATCH($C24,'[2]End - Use Prices'!$A$6:$A$89,0)+MATCH($D24,'[2]End - Use Prices'!$B$9:$B$11,0)-1,MATCH(BC$1,'[2]End - Use Prices'!$C$7:$AL$7,0))</f>
        <v>69.569999999999993</v>
      </c>
      <c r="BD24" s="41">
        <f>INDEX('[2]End - Use Prices'!$C$6:$AL$89,MATCH($C24,'[2]End - Use Prices'!$A$6:$A$89,0)+MATCH($D24,'[2]End - Use Prices'!$B$9:$B$11,0)-1,MATCH(BD$1,'[2]End - Use Prices'!$C$7:$AL$7,0))</f>
        <v>70.09</v>
      </c>
      <c r="BE24" s="41">
        <f>INDEX('[2]End - Use Prices'!$C$6:$AL$89,MATCH($C24,'[2]End - Use Prices'!$A$6:$A$89,0)+MATCH($D24,'[2]End - Use Prices'!$B$9:$B$11,0)-1,MATCH(BE$1,'[2]End - Use Prices'!$C$7:$AL$7,0))</f>
        <v>70.62</v>
      </c>
      <c r="BF24" s="41">
        <f>INDEX('[2]End - Use Prices'!$C$6:$AL$89,MATCH($C24,'[2]End - Use Prices'!$A$6:$A$89,0)+MATCH($D24,'[2]End - Use Prices'!$B$9:$B$11,0)-1,MATCH(BF$1,'[2]End - Use Prices'!$C$7:$AL$7,0))</f>
        <v>71.150000000000006</v>
      </c>
      <c r="BG24" s="41">
        <f>INDEX('[2]End - Use Prices'!$C$6:$AL$89,MATCH($C24,'[2]End - Use Prices'!$A$6:$A$89,0)+MATCH($D24,'[2]End - Use Prices'!$B$9:$B$11,0)-1,MATCH(BG$1,'[2]End - Use Prices'!$C$7:$AL$7,0))</f>
        <v>71.69</v>
      </c>
      <c r="BR24" s="39"/>
      <c r="BS24" s="39"/>
      <c r="BT24" s="39"/>
      <c r="BU24" s="39"/>
      <c r="BV24" s="39"/>
      <c r="BW24" s="39"/>
      <c r="BX24" s="39"/>
      <c r="BY24" s="39"/>
      <c r="BZ24" s="39"/>
      <c r="CA24" s="39"/>
    </row>
    <row r="25" spans="1:79">
      <c r="A25" s="5"/>
      <c r="B25" s="3"/>
      <c r="C25" s="25" t="s">
        <v>90</v>
      </c>
      <c r="D25" s="25" t="s">
        <v>2</v>
      </c>
      <c r="E25" s="25" t="s">
        <v>277</v>
      </c>
      <c r="F25" s="67" t="s">
        <v>275</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INDEX('[2]End - Use Prices'!$C$6:$AL$89,MATCH($C25,'[2]End - Use Prices'!$A$6:$A$89,0)+MATCH($D25,'[2]End - Use Prices'!$B$9:$B$11,0)-1,MATCH(X$1,'[2]End - Use Prices'!$C$7:$AL$7,0))</f>
        <v>23.08</v>
      </c>
      <c r="Y25" s="41">
        <f>INDEX('[2]End - Use Prices'!$C$6:$AL$89,MATCH($C25,'[2]End - Use Prices'!$A$6:$A$89,0)+MATCH($D25,'[2]End - Use Prices'!$B$9:$B$11,0)-1,MATCH(Y$1,'[2]End - Use Prices'!$C$7:$AL$7,0))</f>
        <v>23.95</v>
      </c>
      <c r="Z25" s="41">
        <f>INDEX('[2]End - Use Prices'!$C$6:$AL$89,MATCH($C25,'[2]End - Use Prices'!$A$6:$A$89,0)+MATCH($D25,'[2]End - Use Prices'!$B$9:$B$11,0)-1,MATCH(Z$1,'[2]End - Use Prices'!$C$7:$AL$7,0))</f>
        <v>23.39</v>
      </c>
      <c r="AA25" s="41">
        <f>INDEX('[2]End - Use Prices'!$C$6:$AL$89,MATCH($C25,'[2]End - Use Prices'!$A$6:$A$89,0)+MATCH($D25,'[2]End - Use Prices'!$B$9:$B$11,0)-1,MATCH(AA$1,'[2]End - Use Prices'!$C$7:$AL$7,0))</f>
        <v>22.1</v>
      </c>
      <c r="AB25" s="41">
        <f>INDEX('[2]End - Use Prices'!$C$6:$AL$89,MATCH($C25,'[2]End - Use Prices'!$A$6:$A$89,0)+MATCH($D25,'[2]End - Use Prices'!$B$9:$B$11,0)-1,MATCH(AB$1,'[2]End - Use Prices'!$C$7:$AL$7,0))</f>
        <v>24.37</v>
      </c>
      <c r="AC25" s="41">
        <f>INDEX('[2]End - Use Prices'!$C$6:$AL$89,MATCH($C25,'[2]End - Use Prices'!$A$6:$A$89,0)+MATCH($D25,'[2]End - Use Prices'!$B$9:$B$11,0)-1,MATCH(AC$1,'[2]End - Use Prices'!$C$7:$AL$7,0))</f>
        <v>24.17</v>
      </c>
      <c r="AD25" s="41">
        <f>INDEX('[2]End - Use Prices'!$C$6:$AL$89,MATCH($C25,'[2]End - Use Prices'!$A$6:$A$89,0)+MATCH($D25,'[2]End - Use Prices'!$B$9:$B$11,0)-1,MATCH(AD$1,'[2]End - Use Prices'!$C$7:$AL$7,0))</f>
        <v>24.13</v>
      </c>
      <c r="AE25" s="41">
        <f>INDEX('[2]End - Use Prices'!$C$6:$AL$89,MATCH($C25,'[2]End - Use Prices'!$A$6:$A$89,0)+MATCH($D25,'[2]End - Use Prices'!$B$9:$B$11,0)-1,MATCH(AE$1,'[2]End - Use Prices'!$C$7:$AL$7,0))</f>
        <v>24.35</v>
      </c>
      <c r="AF25" s="41">
        <f>INDEX('[2]End - Use Prices'!$C$6:$AL$89,MATCH($C25,'[2]End - Use Prices'!$A$6:$A$89,0)+MATCH($D25,'[2]End - Use Prices'!$B$9:$B$11,0)-1,MATCH(AF$1,'[2]End - Use Prices'!$C$7:$AL$7,0))</f>
        <v>24.49</v>
      </c>
      <c r="AG25" s="41">
        <f>INDEX('[2]End - Use Prices'!$C$6:$AL$89,MATCH($C25,'[2]End - Use Prices'!$A$6:$A$89,0)+MATCH($D25,'[2]End - Use Prices'!$B$9:$B$11,0)-1,MATCH(AG$1,'[2]End - Use Prices'!$C$7:$AL$7,0))</f>
        <v>25.11</v>
      </c>
      <c r="AH25" s="41">
        <f>INDEX('[2]End - Use Prices'!$C$6:$AL$89,MATCH($C25,'[2]End - Use Prices'!$A$6:$A$89,0)+MATCH($D25,'[2]End - Use Prices'!$B$9:$B$11,0)-1,MATCH(AH$1,'[2]End - Use Prices'!$C$7:$AL$7,0))</f>
        <v>26.03</v>
      </c>
      <c r="AI25" s="41">
        <f>INDEX('[2]End - Use Prices'!$C$6:$AL$89,MATCH($C25,'[2]End - Use Prices'!$A$6:$A$89,0)+MATCH($D25,'[2]End - Use Prices'!$B$9:$B$11,0)-1,MATCH(AI$1,'[2]End - Use Prices'!$C$7:$AL$7,0))</f>
        <v>26.89</v>
      </c>
      <c r="AJ25" s="41">
        <f>INDEX('[2]End - Use Prices'!$C$6:$AL$89,MATCH($C25,'[2]End - Use Prices'!$A$6:$A$89,0)+MATCH($D25,'[2]End - Use Prices'!$B$9:$B$11,0)-1,MATCH(AJ$1,'[2]End - Use Prices'!$C$7:$AL$7,0))</f>
        <v>27.19</v>
      </c>
      <c r="AK25" s="41">
        <f>INDEX('[2]End - Use Prices'!$C$6:$AL$89,MATCH($C25,'[2]End - Use Prices'!$A$6:$A$89,0)+MATCH($D25,'[2]End - Use Prices'!$B$9:$B$11,0)-1,MATCH(AK$1,'[2]End - Use Prices'!$C$7:$AL$7,0))</f>
        <v>27.53</v>
      </c>
      <c r="AL25" s="41">
        <f>INDEX('[2]End - Use Prices'!$C$6:$AL$89,MATCH($C25,'[2]End - Use Prices'!$A$6:$A$89,0)+MATCH($D25,'[2]End - Use Prices'!$B$9:$B$11,0)-1,MATCH(AL$1,'[2]End - Use Prices'!$C$7:$AL$7,0))</f>
        <v>27.88</v>
      </c>
      <c r="AM25" s="41">
        <f>INDEX('[2]End - Use Prices'!$C$6:$AL$89,MATCH($C25,'[2]End - Use Prices'!$A$6:$A$89,0)+MATCH($D25,'[2]End - Use Prices'!$B$9:$B$11,0)-1,MATCH(AM$1,'[2]End - Use Prices'!$C$7:$AL$7,0))</f>
        <v>28.24</v>
      </c>
      <c r="AN25" s="41">
        <f>INDEX('[2]End - Use Prices'!$C$6:$AL$89,MATCH($C25,'[2]End - Use Prices'!$A$6:$A$89,0)+MATCH($D25,'[2]End - Use Prices'!$B$9:$B$11,0)-1,MATCH(AN$1,'[2]End - Use Prices'!$C$7:$AL$7,0))</f>
        <v>28.59</v>
      </c>
      <c r="AO25" s="41">
        <f>INDEX('[2]End - Use Prices'!$C$6:$AL$89,MATCH($C25,'[2]End - Use Prices'!$A$6:$A$89,0)+MATCH($D25,'[2]End - Use Prices'!$B$9:$B$11,0)-1,MATCH(AO$1,'[2]End - Use Prices'!$C$7:$AL$7,0))</f>
        <v>28.94</v>
      </c>
      <c r="AP25" s="41">
        <f>INDEX('[2]End - Use Prices'!$C$6:$AL$89,MATCH($C25,'[2]End - Use Prices'!$A$6:$A$89,0)+MATCH($D25,'[2]End - Use Prices'!$B$9:$B$11,0)-1,MATCH(AP$1,'[2]End - Use Prices'!$C$7:$AL$7,0))</f>
        <v>29.29</v>
      </c>
      <c r="AQ25" s="41">
        <f>INDEX('[2]End - Use Prices'!$C$6:$AL$89,MATCH($C25,'[2]End - Use Prices'!$A$6:$A$89,0)+MATCH($D25,'[2]End - Use Prices'!$B$9:$B$11,0)-1,MATCH(AQ$1,'[2]End - Use Prices'!$C$7:$AL$7,0))</f>
        <v>29.64</v>
      </c>
      <c r="AR25" s="41">
        <f>INDEX('[2]End - Use Prices'!$C$6:$AL$89,MATCH($C25,'[2]End - Use Prices'!$A$6:$A$89,0)+MATCH($D25,'[2]End - Use Prices'!$B$9:$B$11,0)-1,MATCH(AR$1,'[2]End - Use Prices'!$C$7:$AL$7,0))</f>
        <v>29.99</v>
      </c>
      <c r="AS25" s="41">
        <f>INDEX('[2]End - Use Prices'!$C$6:$AL$89,MATCH($C25,'[2]End - Use Prices'!$A$6:$A$89,0)+MATCH($D25,'[2]End - Use Prices'!$B$9:$B$11,0)-1,MATCH(AS$1,'[2]End - Use Prices'!$C$7:$AL$7,0))</f>
        <v>30.32</v>
      </c>
      <c r="AT25" s="41">
        <f>INDEX('[2]End - Use Prices'!$C$6:$AL$89,MATCH($C25,'[2]End - Use Prices'!$A$6:$A$89,0)+MATCH($D25,'[2]End - Use Prices'!$B$9:$B$11,0)-1,MATCH(AT$1,'[2]End - Use Prices'!$C$7:$AL$7,0))</f>
        <v>30.65</v>
      </c>
      <c r="AU25" s="41">
        <f>INDEX('[2]End - Use Prices'!$C$6:$AL$89,MATCH($C25,'[2]End - Use Prices'!$A$6:$A$89,0)+MATCH($D25,'[2]End - Use Prices'!$B$9:$B$11,0)-1,MATCH(AU$1,'[2]End - Use Prices'!$C$7:$AL$7,0))</f>
        <v>30.97</v>
      </c>
      <c r="AV25" s="41">
        <f>INDEX('[2]End - Use Prices'!$C$6:$AL$89,MATCH($C25,'[2]End - Use Prices'!$A$6:$A$89,0)+MATCH($D25,'[2]End - Use Prices'!$B$9:$B$11,0)-1,MATCH(AV$1,'[2]End - Use Prices'!$C$7:$AL$7,0))</f>
        <v>31.28</v>
      </c>
      <c r="AW25" s="41">
        <f>INDEX('[2]End - Use Prices'!$C$6:$AL$89,MATCH($C25,'[2]End - Use Prices'!$A$6:$A$89,0)+MATCH($D25,'[2]End - Use Prices'!$B$9:$B$11,0)-1,MATCH(AW$1,'[2]End - Use Prices'!$C$7:$AL$7,0))</f>
        <v>31.58</v>
      </c>
      <c r="AX25" s="41">
        <f>INDEX('[2]End - Use Prices'!$C$6:$AL$89,MATCH($C25,'[2]End - Use Prices'!$A$6:$A$89,0)+MATCH($D25,'[2]End - Use Prices'!$B$9:$B$11,0)-1,MATCH(AX$1,'[2]End - Use Prices'!$C$7:$AL$7,0))</f>
        <v>31.86</v>
      </c>
      <c r="AY25" s="41">
        <f>INDEX('[2]End - Use Prices'!$C$6:$AL$89,MATCH($C25,'[2]End - Use Prices'!$A$6:$A$89,0)+MATCH($D25,'[2]End - Use Prices'!$B$9:$B$11,0)-1,MATCH(AY$1,'[2]End - Use Prices'!$C$7:$AL$7,0))</f>
        <v>32.130000000000003</v>
      </c>
      <c r="AZ25" s="41">
        <f>INDEX('[2]End - Use Prices'!$C$6:$AL$89,MATCH($C25,'[2]End - Use Prices'!$A$6:$A$89,0)+MATCH($D25,'[2]End - Use Prices'!$B$9:$B$11,0)-1,MATCH(AZ$1,'[2]End - Use Prices'!$C$7:$AL$7,0))</f>
        <v>32.380000000000003</v>
      </c>
      <c r="BA25" s="41">
        <f>INDEX('[2]End - Use Prices'!$C$6:$AL$89,MATCH($C25,'[2]End - Use Prices'!$A$6:$A$89,0)+MATCH($D25,'[2]End - Use Prices'!$B$9:$B$11,0)-1,MATCH(BA$1,'[2]End - Use Prices'!$C$7:$AL$7,0))</f>
        <v>32.61</v>
      </c>
      <c r="BB25" s="41">
        <f>INDEX('[2]End - Use Prices'!$C$6:$AL$89,MATCH($C25,'[2]End - Use Prices'!$A$6:$A$89,0)+MATCH($D25,'[2]End - Use Prices'!$B$9:$B$11,0)-1,MATCH(BB$1,'[2]End - Use Prices'!$C$7:$AL$7,0))</f>
        <v>32.82</v>
      </c>
      <c r="BC25" s="41">
        <f>INDEX('[2]End - Use Prices'!$C$6:$AL$89,MATCH($C25,'[2]End - Use Prices'!$A$6:$A$89,0)+MATCH($D25,'[2]End - Use Prices'!$B$9:$B$11,0)-1,MATCH(BC$1,'[2]End - Use Prices'!$C$7:$AL$7,0))</f>
        <v>33.01</v>
      </c>
      <c r="BD25" s="41">
        <f>INDEX('[2]End - Use Prices'!$C$6:$AL$89,MATCH($C25,'[2]End - Use Prices'!$A$6:$A$89,0)+MATCH($D25,'[2]End - Use Prices'!$B$9:$B$11,0)-1,MATCH(BD$1,'[2]End - Use Prices'!$C$7:$AL$7,0))</f>
        <v>33.17</v>
      </c>
      <c r="BE25" s="41">
        <f>INDEX('[2]End - Use Prices'!$C$6:$AL$89,MATCH($C25,'[2]End - Use Prices'!$A$6:$A$89,0)+MATCH($D25,'[2]End - Use Prices'!$B$9:$B$11,0)-1,MATCH(BE$1,'[2]End - Use Prices'!$C$7:$AL$7,0))</f>
        <v>33.31</v>
      </c>
      <c r="BF25" s="41">
        <f>INDEX('[2]End - Use Prices'!$C$6:$AL$89,MATCH($C25,'[2]End - Use Prices'!$A$6:$A$89,0)+MATCH($D25,'[2]End - Use Prices'!$B$9:$B$11,0)-1,MATCH(BF$1,'[2]End - Use Prices'!$C$7:$AL$7,0))</f>
        <v>33.43</v>
      </c>
      <c r="BG25" s="41">
        <f>INDEX('[2]End - Use Prices'!$C$6:$AL$89,MATCH($C25,'[2]End - Use Prices'!$A$6:$A$89,0)+MATCH($D25,'[2]End - Use Prices'!$B$9:$B$11,0)-1,MATCH(BG$1,'[2]End - Use Prices'!$C$7:$AL$7,0))</f>
        <v>33.51</v>
      </c>
      <c r="BR25" s="39"/>
      <c r="BS25" s="39"/>
      <c r="BT25" s="39"/>
      <c r="BU25" s="39"/>
      <c r="BV25" s="39"/>
      <c r="BW25" s="39"/>
      <c r="BX25" s="39"/>
      <c r="BY25" s="39"/>
      <c r="BZ25" s="39"/>
      <c r="CA25" s="39"/>
    </row>
    <row r="26" spans="1:79">
      <c r="A26" s="5"/>
      <c r="B26" s="3"/>
      <c r="C26" s="25" t="s">
        <v>91</v>
      </c>
      <c r="D26" s="25" t="s">
        <v>2</v>
      </c>
      <c r="E26" s="25" t="s">
        <v>277</v>
      </c>
      <c r="F26" s="67" t="s">
        <v>275</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INDEX('[2]End - Use Prices'!$C$6:$AL$89,MATCH($C26,'[2]End - Use Prices'!$A$6:$A$89,0)+MATCH($D26,'[2]End - Use Prices'!$B$9:$B$11,0)-1,MATCH(X$1,'[2]End - Use Prices'!$C$7:$AL$7,0))</f>
        <v>36.07</v>
      </c>
      <c r="Y26" s="41">
        <f>INDEX('[2]End - Use Prices'!$C$6:$AL$89,MATCH($C26,'[2]End - Use Prices'!$A$6:$A$89,0)+MATCH($D26,'[2]End - Use Prices'!$B$9:$B$11,0)-1,MATCH(Y$1,'[2]End - Use Prices'!$C$7:$AL$7,0))</f>
        <v>42.3</v>
      </c>
      <c r="Z26" s="41">
        <f>INDEX('[2]End - Use Prices'!$C$6:$AL$89,MATCH($C26,'[2]End - Use Prices'!$A$6:$A$89,0)+MATCH($D26,'[2]End - Use Prices'!$B$9:$B$11,0)-1,MATCH(Z$1,'[2]End - Use Prices'!$C$7:$AL$7,0))</f>
        <v>41.68</v>
      </c>
      <c r="AA26" s="41">
        <f>INDEX('[2]End - Use Prices'!$C$6:$AL$89,MATCH($C26,'[2]End - Use Prices'!$A$6:$A$89,0)+MATCH($D26,'[2]End - Use Prices'!$B$9:$B$11,0)-1,MATCH(AA$1,'[2]End - Use Prices'!$C$7:$AL$7,0))</f>
        <v>39.369999999999997</v>
      </c>
      <c r="AB26" s="41">
        <f>INDEX('[2]End - Use Prices'!$C$6:$AL$89,MATCH($C26,'[2]End - Use Prices'!$A$6:$A$89,0)+MATCH($D26,'[2]End - Use Prices'!$B$9:$B$11,0)-1,MATCH(AB$1,'[2]End - Use Prices'!$C$7:$AL$7,0))</f>
        <v>40.299999999999997</v>
      </c>
      <c r="AC26" s="41">
        <f>INDEX('[2]End - Use Prices'!$C$6:$AL$89,MATCH($C26,'[2]End - Use Prices'!$A$6:$A$89,0)+MATCH($D26,'[2]End - Use Prices'!$B$9:$B$11,0)-1,MATCH(AC$1,'[2]End - Use Prices'!$C$7:$AL$7,0))</f>
        <v>42.93</v>
      </c>
      <c r="AD26" s="41">
        <f>INDEX('[2]End - Use Prices'!$C$6:$AL$89,MATCH($C26,'[2]End - Use Prices'!$A$6:$A$89,0)+MATCH($D26,'[2]End - Use Prices'!$B$9:$B$11,0)-1,MATCH(AD$1,'[2]End - Use Prices'!$C$7:$AL$7,0))</f>
        <v>43.6</v>
      </c>
      <c r="AE26" s="41">
        <f>INDEX('[2]End - Use Prices'!$C$6:$AL$89,MATCH($C26,'[2]End - Use Prices'!$A$6:$A$89,0)+MATCH($D26,'[2]End - Use Prices'!$B$9:$B$11,0)-1,MATCH(AE$1,'[2]End - Use Prices'!$C$7:$AL$7,0))</f>
        <v>43.08</v>
      </c>
      <c r="AF26" s="41">
        <f>INDEX('[2]End - Use Prices'!$C$6:$AL$89,MATCH($C26,'[2]End - Use Prices'!$A$6:$A$89,0)+MATCH($D26,'[2]End - Use Prices'!$B$9:$B$11,0)-1,MATCH(AF$1,'[2]End - Use Prices'!$C$7:$AL$7,0))</f>
        <v>44.44</v>
      </c>
      <c r="AG26" s="41">
        <f>INDEX('[2]End - Use Prices'!$C$6:$AL$89,MATCH($C26,'[2]End - Use Prices'!$A$6:$A$89,0)+MATCH($D26,'[2]End - Use Prices'!$B$9:$B$11,0)-1,MATCH(AG$1,'[2]End - Use Prices'!$C$7:$AL$7,0))</f>
        <v>46.3</v>
      </c>
      <c r="AH26" s="41">
        <f>INDEX('[2]End - Use Prices'!$C$6:$AL$89,MATCH($C26,'[2]End - Use Prices'!$A$6:$A$89,0)+MATCH($D26,'[2]End - Use Prices'!$B$9:$B$11,0)-1,MATCH(AH$1,'[2]End - Use Prices'!$C$7:$AL$7,0))</f>
        <v>48.06</v>
      </c>
      <c r="AI26" s="41">
        <f>INDEX('[2]End - Use Prices'!$C$6:$AL$89,MATCH($C26,'[2]End - Use Prices'!$A$6:$A$89,0)+MATCH($D26,'[2]End - Use Prices'!$B$9:$B$11,0)-1,MATCH(AI$1,'[2]End - Use Prices'!$C$7:$AL$7,0))</f>
        <v>48.66</v>
      </c>
      <c r="AJ26" s="41">
        <f>INDEX('[2]End - Use Prices'!$C$6:$AL$89,MATCH($C26,'[2]End - Use Prices'!$A$6:$A$89,0)+MATCH($D26,'[2]End - Use Prices'!$B$9:$B$11,0)-1,MATCH(AJ$1,'[2]End - Use Prices'!$C$7:$AL$7,0))</f>
        <v>49.42</v>
      </c>
      <c r="AK26" s="41">
        <f>INDEX('[2]End - Use Prices'!$C$6:$AL$89,MATCH($C26,'[2]End - Use Prices'!$A$6:$A$89,0)+MATCH($D26,'[2]End - Use Prices'!$B$9:$B$11,0)-1,MATCH(AK$1,'[2]End - Use Prices'!$C$7:$AL$7,0))</f>
        <v>50.31</v>
      </c>
      <c r="AL26" s="41">
        <f>INDEX('[2]End - Use Prices'!$C$6:$AL$89,MATCH($C26,'[2]End - Use Prices'!$A$6:$A$89,0)+MATCH($D26,'[2]End - Use Prices'!$B$9:$B$11,0)-1,MATCH(AL$1,'[2]End - Use Prices'!$C$7:$AL$7,0))</f>
        <v>51.11</v>
      </c>
      <c r="AM26" s="41">
        <f>INDEX('[2]End - Use Prices'!$C$6:$AL$89,MATCH($C26,'[2]End - Use Prices'!$A$6:$A$89,0)+MATCH($D26,'[2]End - Use Prices'!$B$9:$B$11,0)-1,MATCH(AM$1,'[2]End - Use Prices'!$C$7:$AL$7,0))</f>
        <v>51.84</v>
      </c>
      <c r="AN26" s="41">
        <f>INDEX('[2]End - Use Prices'!$C$6:$AL$89,MATCH($C26,'[2]End - Use Prices'!$A$6:$A$89,0)+MATCH($D26,'[2]End - Use Prices'!$B$9:$B$11,0)-1,MATCH(AN$1,'[2]End - Use Prices'!$C$7:$AL$7,0))</f>
        <v>52.5</v>
      </c>
      <c r="AO26" s="41">
        <f>INDEX('[2]End - Use Prices'!$C$6:$AL$89,MATCH($C26,'[2]End - Use Prices'!$A$6:$A$89,0)+MATCH($D26,'[2]End - Use Prices'!$B$9:$B$11,0)-1,MATCH(AO$1,'[2]End - Use Prices'!$C$7:$AL$7,0))</f>
        <v>53.11</v>
      </c>
      <c r="AP26" s="41">
        <f>INDEX('[2]End - Use Prices'!$C$6:$AL$89,MATCH($C26,'[2]End - Use Prices'!$A$6:$A$89,0)+MATCH($D26,'[2]End - Use Prices'!$B$9:$B$11,0)-1,MATCH(AP$1,'[2]End - Use Prices'!$C$7:$AL$7,0))</f>
        <v>53.65</v>
      </c>
      <c r="AQ26" s="41">
        <f>INDEX('[2]End - Use Prices'!$C$6:$AL$89,MATCH($C26,'[2]End - Use Prices'!$A$6:$A$89,0)+MATCH($D26,'[2]End - Use Prices'!$B$9:$B$11,0)-1,MATCH(AQ$1,'[2]End - Use Prices'!$C$7:$AL$7,0))</f>
        <v>54.15</v>
      </c>
      <c r="AR26" s="41">
        <f>INDEX('[2]End - Use Prices'!$C$6:$AL$89,MATCH($C26,'[2]End - Use Prices'!$A$6:$A$89,0)+MATCH($D26,'[2]End - Use Prices'!$B$9:$B$11,0)-1,MATCH(AR$1,'[2]End - Use Prices'!$C$7:$AL$7,0))</f>
        <v>54.59</v>
      </c>
      <c r="AS26" s="41">
        <f>INDEX('[2]End - Use Prices'!$C$6:$AL$89,MATCH($C26,'[2]End - Use Prices'!$A$6:$A$89,0)+MATCH($D26,'[2]End - Use Prices'!$B$9:$B$11,0)-1,MATCH(AS$1,'[2]End - Use Prices'!$C$7:$AL$7,0))</f>
        <v>55</v>
      </c>
      <c r="AT26" s="41">
        <f>INDEX('[2]End - Use Prices'!$C$6:$AL$89,MATCH($C26,'[2]End - Use Prices'!$A$6:$A$89,0)+MATCH($D26,'[2]End - Use Prices'!$B$9:$B$11,0)-1,MATCH(AT$1,'[2]End - Use Prices'!$C$7:$AL$7,0))</f>
        <v>55.38</v>
      </c>
      <c r="AU26" s="41">
        <f>INDEX('[2]End - Use Prices'!$C$6:$AL$89,MATCH($C26,'[2]End - Use Prices'!$A$6:$A$89,0)+MATCH($D26,'[2]End - Use Prices'!$B$9:$B$11,0)-1,MATCH(AU$1,'[2]End - Use Prices'!$C$7:$AL$7,0))</f>
        <v>55.73</v>
      </c>
      <c r="AV26" s="41">
        <f>INDEX('[2]End - Use Prices'!$C$6:$AL$89,MATCH($C26,'[2]End - Use Prices'!$A$6:$A$89,0)+MATCH($D26,'[2]End - Use Prices'!$B$9:$B$11,0)-1,MATCH(AV$1,'[2]End - Use Prices'!$C$7:$AL$7,0))</f>
        <v>56.05</v>
      </c>
      <c r="AW26" s="41">
        <f>INDEX('[2]End - Use Prices'!$C$6:$AL$89,MATCH($C26,'[2]End - Use Prices'!$A$6:$A$89,0)+MATCH($D26,'[2]End - Use Prices'!$B$9:$B$11,0)-1,MATCH(AW$1,'[2]End - Use Prices'!$C$7:$AL$7,0))</f>
        <v>56.35</v>
      </c>
      <c r="AX26" s="41">
        <f>INDEX('[2]End - Use Prices'!$C$6:$AL$89,MATCH($C26,'[2]End - Use Prices'!$A$6:$A$89,0)+MATCH($D26,'[2]End - Use Prices'!$B$9:$B$11,0)-1,MATCH(AX$1,'[2]End - Use Prices'!$C$7:$AL$7,0))</f>
        <v>56.65</v>
      </c>
      <c r="AY26" s="41">
        <f>INDEX('[2]End - Use Prices'!$C$6:$AL$89,MATCH($C26,'[2]End - Use Prices'!$A$6:$A$89,0)+MATCH($D26,'[2]End - Use Prices'!$B$9:$B$11,0)-1,MATCH(AY$1,'[2]End - Use Prices'!$C$7:$AL$7,0))</f>
        <v>56.93</v>
      </c>
      <c r="AZ26" s="41">
        <f>INDEX('[2]End - Use Prices'!$C$6:$AL$89,MATCH($C26,'[2]End - Use Prices'!$A$6:$A$89,0)+MATCH($D26,'[2]End - Use Prices'!$B$9:$B$11,0)-1,MATCH(AZ$1,'[2]End - Use Prices'!$C$7:$AL$7,0))</f>
        <v>57.22</v>
      </c>
      <c r="BA26" s="41">
        <f>INDEX('[2]End - Use Prices'!$C$6:$AL$89,MATCH($C26,'[2]End - Use Prices'!$A$6:$A$89,0)+MATCH($D26,'[2]End - Use Prices'!$B$9:$B$11,0)-1,MATCH(BA$1,'[2]End - Use Prices'!$C$7:$AL$7,0))</f>
        <v>57.51</v>
      </c>
      <c r="BB26" s="41">
        <f>INDEX('[2]End - Use Prices'!$C$6:$AL$89,MATCH($C26,'[2]End - Use Prices'!$A$6:$A$89,0)+MATCH($D26,'[2]End - Use Prices'!$B$9:$B$11,0)-1,MATCH(BB$1,'[2]End - Use Prices'!$C$7:$AL$7,0))</f>
        <v>57.81</v>
      </c>
      <c r="BC26" s="41">
        <f>INDEX('[2]End - Use Prices'!$C$6:$AL$89,MATCH($C26,'[2]End - Use Prices'!$A$6:$A$89,0)+MATCH($D26,'[2]End - Use Prices'!$B$9:$B$11,0)-1,MATCH(BC$1,'[2]End - Use Prices'!$C$7:$AL$7,0))</f>
        <v>58.13</v>
      </c>
      <c r="BD26" s="41">
        <f>INDEX('[2]End - Use Prices'!$C$6:$AL$89,MATCH($C26,'[2]End - Use Prices'!$A$6:$A$89,0)+MATCH($D26,'[2]End - Use Prices'!$B$9:$B$11,0)-1,MATCH(BD$1,'[2]End - Use Prices'!$C$7:$AL$7,0))</f>
        <v>58.47</v>
      </c>
      <c r="BE26" s="41">
        <f>INDEX('[2]End - Use Prices'!$C$6:$AL$89,MATCH($C26,'[2]End - Use Prices'!$A$6:$A$89,0)+MATCH($D26,'[2]End - Use Prices'!$B$9:$B$11,0)-1,MATCH(BE$1,'[2]End - Use Prices'!$C$7:$AL$7,0))</f>
        <v>58.83</v>
      </c>
      <c r="BF26" s="41">
        <f>INDEX('[2]End - Use Prices'!$C$6:$AL$89,MATCH($C26,'[2]End - Use Prices'!$A$6:$A$89,0)+MATCH($D26,'[2]End - Use Prices'!$B$9:$B$11,0)-1,MATCH(BF$1,'[2]End - Use Prices'!$C$7:$AL$7,0))</f>
        <v>59.23</v>
      </c>
      <c r="BG26" s="41">
        <f>INDEX('[2]End - Use Prices'!$C$6:$AL$89,MATCH($C26,'[2]End - Use Prices'!$A$6:$A$89,0)+MATCH($D26,'[2]End - Use Prices'!$B$9:$B$11,0)-1,MATCH(BG$1,'[2]End - Use Prices'!$C$7:$AL$7,0))</f>
        <v>59.66</v>
      </c>
      <c r="BR26" s="39"/>
      <c r="BS26" s="39"/>
      <c r="BT26" s="39"/>
      <c r="BU26" s="39"/>
      <c r="BV26" s="39"/>
      <c r="BW26" s="39"/>
      <c r="BX26" s="39"/>
      <c r="BY26" s="39"/>
      <c r="BZ26" s="39"/>
      <c r="CA26" s="39"/>
    </row>
    <row r="27" spans="1:79">
      <c r="A27" s="5"/>
      <c r="B27" s="3"/>
      <c r="C27" s="25" t="s">
        <v>5</v>
      </c>
      <c r="D27" s="25" t="s">
        <v>2</v>
      </c>
      <c r="E27" s="25" t="s">
        <v>277</v>
      </c>
      <c r="F27" s="67" t="s">
        <v>275</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INDEX('[2]End - Use Prices'!$C$6:$AL$89,MATCH($C27,'[2]End - Use Prices'!$A$6:$A$89,0)+MATCH($D27,'[2]End - Use Prices'!$B$9:$B$11,0)-1,MATCH(X$1,'[2]End - Use Prices'!$C$7:$AL$7,0))</f>
        <v>30.07</v>
      </c>
      <c r="Y27" s="41">
        <f>INDEX('[2]End - Use Prices'!$C$6:$AL$89,MATCH($C27,'[2]End - Use Prices'!$A$6:$A$89,0)+MATCH($D27,'[2]End - Use Prices'!$B$9:$B$11,0)-1,MATCH(Y$1,'[2]End - Use Prices'!$C$7:$AL$7,0))</f>
        <v>35.659999999999997</v>
      </c>
      <c r="Z27" s="41">
        <f>INDEX('[2]End - Use Prices'!$C$6:$AL$89,MATCH($C27,'[2]End - Use Prices'!$A$6:$A$89,0)+MATCH($D27,'[2]End - Use Prices'!$B$9:$B$11,0)-1,MATCH(Z$1,'[2]End - Use Prices'!$C$7:$AL$7,0))</f>
        <v>38.57</v>
      </c>
      <c r="AA27" s="41">
        <f>INDEX('[2]End - Use Prices'!$C$6:$AL$89,MATCH($C27,'[2]End - Use Prices'!$A$6:$A$89,0)+MATCH($D27,'[2]End - Use Prices'!$B$9:$B$11,0)-1,MATCH(AA$1,'[2]End - Use Prices'!$C$7:$AL$7,0))</f>
        <v>42.28</v>
      </c>
      <c r="AB27" s="41">
        <f>INDEX('[2]End - Use Prices'!$C$6:$AL$89,MATCH($C27,'[2]End - Use Prices'!$A$6:$A$89,0)+MATCH($D27,'[2]End - Use Prices'!$B$9:$B$11,0)-1,MATCH(AB$1,'[2]End - Use Prices'!$C$7:$AL$7,0))</f>
        <v>36.1</v>
      </c>
      <c r="AC27" s="41">
        <f>INDEX('[2]End - Use Prices'!$C$6:$AL$89,MATCH($C27,'[2]End - Use Prices'!$A$6:$A$89,0)+MATCH($D27,'[2]End - Use Prices'!$B$9:$B$11,0)-1,MATCH(AC$1,'[2]End - Use Prices'!$C$7:$AL$7,0))</f>
        <v>31.25</v>
      </c>
      <c r="AD27" s="41">
        <f>INDEX('[2]End - Use Prices'!$C$6:$AL$89,MATCH($C27,'[2]End - Use Prices'!$A$6:$A$89,0)+MATCH($D27,'[2]End - Use Prices'!$B$9:$B$11,0)-1,MATCH(AD$1,'[2]End - Use Prices'!$C$7:$AL$7,0))</f>
        <v>51.38</v>
      </c>
      <c r="AE27" s="41">
        <f>INDEX('[2]End - Use Prices'!$C$6:$AL$89,MATCH($C27,'[2]End - Use Prices'!$A$6:$A$89,0)+MATCH($D27,'[2]End - Use Prices'!$B$9:$B$11,0)-1,MATCH(AE$1,'[2]End - Use Prices'!$C$7:$AL$7,0))</f>
        <v>40.17</v>
      </c>
      <c r="AF27" s="41">
        <f>INDEX('[2]End - Use Prices'!$C$6:$AL$89,MATCH($C27,'[2]End - Use Prices'!$A$6:$A$89,0)+MATCH($D27,'[2]End - Use Prices'!$B$9:$B$11,0)-1,MATCH(AF$1,'[2]End - Use Prices'!$C$7:$AL$7,0))</f>
        <v>42.35</v>
      </c>
      <c r="AG27" s="41">
        <f>INDEX('[2]End - Use Prices'!$C$6:$AL$89,MATCH($C27,'[2]End - Use Prices'!$A$6:$A$89,0)+MATCH($D27,'[2]End - Use Prices'!$B$9:$B$11,0)-1,MATCH(AG$1,'[2]End - Use Prices'!$C$7:$AL$7,0))</f>
        <v>36.65</v>
      </c>
      <c r="AH27" s="41">
        <f>INDEX('[2]End - Use Prices'!$C$6:$AL$89,MATCH($C27,'[2]End - Use Prices'!$A$6:$A$89,0)+MATCH($D27,'[2]End - Use Prices'!$B$9:$B$11,0)-1,MATCH(AH$1,'[2]End - Use Prices'!$C$7:$AL$7,0))</f>
        <v>33.81</v>
      </c>
      <c r="AI27" s="41">
        <f>INDEX('[2]End - Use Prices'!$C$6:$AL$89,MATCH($C27,'[2]End - Use Prices'!$A$6:$A$89,0)+MATCH($D27,'[2]End - Use Prices'!$B$9:$B$11,0)-1,MATCH(AI$1,'[2]End - Use Prices'!$C$7:$AL$7,0))</f>
        <v>30.08</v>
      </c>
      <c r="AJ27" s="41">
        <f>INDEX('[2]End - Use Prices'!$C$6:$AL$89,MATCH($C27,'[2]End - Use Prices'!$A$6:$A$89,0)+MATCH($D27,'[2]End - Use Prices'!$B$9:$B$11,0)-1,MATCH(AJ$1,'[2]End - Use Prices'!$C$7:$AL$7,0))</f>
        <v>30.5</v>
      </c>
      <c r="AK27" s="41">
        <f>INDEX('[2]End - Use Prices'!$C$6:$AL$89,MATCH($C27,'[2]End - Use Prices'!$A$6:$A$89,0)+MATCH($D27,'[2]End - Use Prices'!$B$9:$B$11,0)-1,MATCH(AK$1,'[2]End - Use Prices'!$C$7:$AL$7,0))</f>
        <v>31.18</v>
      </c>
      <c r="AL27" s="41">
        <f>INDEX('[2]End - Use Prices'!$C$6:$AL$89,MATCH($C27,'[2]End - Use Prices'!$A$6:$A$89,0)+MATCH($D27,'[2]End - Use Prices'!$B$9:$B$11,0)-1,MATCH(AL$1,'[2]End - Use Prices'!$C$7:$AL$7,0))</f>
        <v>31.86</v>
      </c>
      <c r="AM27" s="41">
        <f>INDEX('[2]End - Use Prices'!$C$6:$AL$89,MATCH($C27,'[2]End - Use Prices'!$A$6:$A$89,0)+MATCH($D27,'[2]End - Use Prices'!$B$9:$B$11,0)-1,MATCH(AM$1,'[2]End - Use Prices'!$C$7:$AL$7,0))</f>
        <v>32.520000000000003</v>
      </c>
      <c r="AN27" s="41">
        <f>INDEX('[2]End - Use Prices'!$C$6:$AL$89,MATCH($C27,'[2]End - Use Prices'!$A$6:$A$89,0)+MATCH($D27,'[2]End - Use Prices'!$B$9:$B$11,0)-1,MATCH(AN$1,'[2]End - Use Prices'!$C$7:$AL$7,0))</f>
        <v>33.159999999999997</v>
      </c>
      <c r="AO27" s="41">
        <f>INDEX('[2]End - Use Prices'!$C$6:$AL$89,MATCH($C27,'[2]End - Use Prices'!$A$6:$A$89,0)+MATCH($D27,'[2]End - Use Prices'!$B$9:$B$11,0)-1,MATCH(AO$1,'[2]End - Use Prices'!$C$7:$AL$7,0))</f>
        <v>33.78</v>
      </c>
      <c r="AP27" s="41">
        <f>INDEX('[2]End - Use Prices'!$C$6:$AL$89,MATCH($C27,'[2]End - Use Prices'!$A$6:$A$89,0)+MATCH($D27,'[2]End - Use Prices'!$B$9:$B$11,0)-1,MATCH(AP$1,'[2]End - Use Prices'!$C$7:$AL$7,0))</f>
        <v>34.369999999999997</v>
      </c>
      <c r="AQ27" s="41">
        <f>INDEX('[2]End - Use Prices'!$C$6:$AL$89,MATCH($C27,'[2]End - Use Prices'!$A$6:$A$89,0)+MATCH($D27,'[2]End - Use Prices'!$B$9:$B$11,0)-1,MATCH(AQ$1,'[2]End - Use Prices'!$C$7:$AL$7,0))</f>
        <v>34.94</v>
      </c>
      <c r="AR27" s="41">
        <f>INDEX('[2]End - Use Prices'!$C$6:$AL$89,MATCH($C27,'[2]End - Use Prices'!$A$6:$A$89,0)+MATCH($D27,'[2]End - Use Prices'!$B$9:$B$11,0)-1,MATCH(AR$1,'[2]End - Use Prices'!$C$7:$AL$7,0))</f>
        <v>35.47</v>
      </c>
      <c r="AS27" s="41">
        <f>INDEX('[2]End - Use Prices'!$C$6:$AL$89,MATCH($C27,'[2]End - Use Prices'!$A$6:$A$89,0)+MATCH($D27,'[2]End - Use Prices'!$B$9:$B$11,0)-1,MATCH(AS$1,'[2]End - Use Prices'!$C$7:$AL$7,0))</f>
        <v>35.97</v>
      </c>
      <c r="AT27" s="41">
        <f>INDEX('[2]End - Use Prices'!$C$6:$AL$89,MATCH($C27,'[2]End - Use Prices'!$A$6:$A$89,0)+MATCH($D27,'[2]End - Use Prices'!$B$9:$B$11,0)-1,MATCH(AT$1,'[2]End - Use Prices'!$C$7:$AL$7,0))</f>
        <v>36.44</v>
      </c>
      <c r="AU27" s="41">
        <f>INDEX('[2]End - Use Prices'!$C$6:$AL$89,MATCH($C27,'[2]End - Use Prices'!$A$6:$A$89,0)+MATCH($D27,'[2]End - Use Prices'!$B$9:$B$11,0)-1,MATCH(AU$1,'[2]End - Use Prices'!$C$7:$AL$7,0))</f>
        <v>36.86</v>
      </c>
      <c r="AV27" s="41">
        <f>INDEX('[2]End - Use Prices'!$C$6:$AL$89,MATCH($C27,'[2]End - Use Prices'!$A$6:$A$89,0)+MATCH($D27,'[2]End - Use Prices'!$B$9:$B$11,0)-1,MATCH(AV$1,'[2]End - Use Prices'!$C$7:$AL$7,0))</f>
        <v>37.24</v>
      </c>
      <c r="AW27" s="41">
        <f>INDEX('[2]End - Use Prices'!$C$6:$AL$89,MATCH($C27,'[2]End - Use Prices'!$A$6:$A$89,0)+MATCH($D27,'[2]End - Use Prices'!$B$9:$B$11,0)-1,MATCH(AW$1,'[2]End - Use Prices'!$C$7:$AL$7,0))</f>
        <v>37.57</v>
      </c>
      <c r="AX27" s="41">
        <f>INDEX('[2]End - Use Prices'!$C$6:$AL$89,MATCH($C27,'[2]End - Use Prices'!$A$6:$A$89,0)+MATCH($D27,'[2]End - Use Prices'!$B$9:$B$11,0)-1,MATCH(AX$1,'[2]End - Use Prices'!$C$7:$AL$7,0))</f>
        <v>37.85</v>
      </c>
      <c r="AY27" s="41">
        <f>INDEX('[2]End - Use Prices'!$C$6:$AL$89,MATCH($C27,'[2]End - Use Prices'!$A$6:$A$89,0)+MATCH($D27,'[2]End - Use Prices'!$B$9:$B$11,0)-1,MATCH(AY$1,'[2]End - Use Prices'!$C$7:$AL$7,0))</f>
        <v>38.07</v>
      </c>
      <c r="AZ27" s="41">
        <f>INDEX('[2]End - Use Prices'!$C$6:$AL$89,MATCH($C27,'[2]End - Use Prices'!$A$6:$A$89,0)+MATCH($D27,'[2]End - Use Prices'!$B$9:$B$11,0)-1,MATCH(AZ$1,'[2]End - Use Prices'!$C$7:$AL$7,0))</f>
        <v>38.24</v>
      </c>
      <c r="BA27" s="41">
        <f>INDEX('[2]End - Use Prices'!$C$6:$AL$89,MATCH($C27,'[2]End - Use Prices'!$A$6:$A$89,0)+MATCH($D27,'[2]End - Use Prices'!$B$9:$B$11,0)-1,MATCH(BA$1,'[2]End - Use Prices'!$C$7:$AL$7,0))</f>
        <v>38.35</v>
      </c>
      <c r="BB27" s="41">
        <f>INDEX('[2]End - Use Prices'!$C$6:$AL$89,MATCH($C27,'[2]End - Use Prices'!$A$6:$A$89,0)+MATCH($D27,'[2]End - Use Prices'!$B$9:$B$11,0)-1,MATCH(BB$1,'[2]End - Use Prices'!$C$7:$AL$7,0))</f>
        <v>38.39</v>
      </c>
      <c r="BC27" s="41">
        <f>INDEX('[2]End - Use Prices'!$C$6:$AL$89,MATCH($C27,'[2]End - Use Prices'!$A$6:$A$89,0)+MATCH($D27,'[2]End - Use Prices'!$B$9:$B$11,0)-1,MATCH(BC$1,'[2]End - Use Prices'!$C$7:$AL$7,0))</f>
        <v>38.369999999999997</v>
      </c>
      <c r="BD27" s="41">
        <f>INDEX('[2]End - Use Prices'!$C$6:$AL$89,MATCH($C27,'[2]End - Use Prices'!$A$6:$A$89,0)+MATCH($D27,'[2]End - Use Prices'!$B$9:$B$11,0)-1,MATCH(BD$1,'[2]End - Use Prices'!$C$7:$AL$7,0))</f>
        <v>38.270000000000003</v>
      </c>
      <c r="BE27" s="41">
        <f>INDEX('[2]End - Use Prices'!$C$6:$AL$89,MATCH($C27,'[2]End - Use Prices'!$A$6:$A$89,0)+MATCH($D27,'[2]End - Use Prices'!$B$9:$B$11,0)-1,MATCH(BE$1,'[2]End - Use Prices'!$C$7:$AL$7,0))</f>
        <v>38.11</v>
      </c>
      <c r="BF27" s="41">
        <f>INDEX('[2]End - Use Prices'!$C$6:$AL$89,MATCH($C27,'[2]End - Use Prices'!$A$6:$A$89,0)+MATCH($D27,'[2]End - Use Prices'!$B$9:$B$11,0)-1,MATCH(BF$1,'[2]End - Use Prices'!$C$7:$AL$7,0))</f>
        <v>37.86</v>
      </c>
      <c r="BG27" s="41">
        <f>INDEX('[2]End - Use Prices'!$C$6:$AL$89,MATCH($C27,'[2]End - Use Prices'!$A$6:$A$89,0)+MATCH($D27,'[2]End - Use Prices'!$B$9:$B$11,0)-1,MATCH(BG$1,'[2]End - Use Prices'!$C$7:$AL$7,0))</f>
        <v>37.54</v>
      </c>
      <c r="BR27" s="39"/>
      <c r="BS27" s="39"/>
      <c r="BT27" s="39"/>
      <c r="BU27" s="39"/>
      <c r="BV27" s="39"/>
      <c r="BW27" s="39"/>
      <c r="BX27" s="39"/>
      <c r="BY27" s="39"/>
      <c r="BZ27" s="39"/>
      <c r="CA27" s="39"/>
    </row>
    <row r="28" spans="1:79">
      <c r="A28" s="5"/>
      <c r="B28" s="3"/>
      <c r="C28" s="25" t="s">
        <v>60</v>
      </c>
      <c r="D28" s="25" t="s">
        <v>2</v>
      </c>
      <c r="E28" s="25" t="s">
        <v>277</v>
      </c>
      <c r="F28" s="67" t="s">
        <v>275</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INDEX('[2]End - Use Prices'!$C$6:$AL$89,MATCH($C28,'[2]End - Use Prices'!$A$6:$A$89,0)+MATCH($D28,'[2]End - Use Prices'!$B$9:$B$11,0)-1,MATCH(X$1,'[2]End - Use Prices'!$C$7:$AL$7,0))</f>
        <v>22.24</v>
      </c>
      <c r="Y28" s="41">
        <f>INDEX('[2]End - Use Prices'!$C$6:$AL$89,MATCH($C28,'[2]End - Use Prices'!$A$6:$A$89,0)+MATCH($D28,'[2]End - Use Prices'!$B$9:$B$11,0)-1,MATCH(Y$1,'[2]End - Use Prices'!$C$7:$AL$7,0))</f>
        <v>23.07</v>
      </c>
      <c r="Z28" s="41">
        <f>INDEX('[2]End - Use Prices'!$C$6:$AL$89,MATCH($C28,'[2]End - Use Prices'!$A$6:$A$89,0)+MATCH($D28,'[2]End - Use Prices'!$B$9:$B$11,0)-1,MATCH(Z$1,'[2]End - Use Prices'!$C$7:$AL$7,0))</f>
        <v>22.79</v>
      </c>
      <c r="AA28" s="41">
        <f>INDEX('[2]End - Use Prices'!$C$6:$AL$89,MATCH($C28,'[2]End - Use Prices'!$A$6:$A$89,0)+MATCH($D28,'[2]End - Use Prices'!$B$9:$B$11,0)-1,MATCH(AA$1,'[2]End - Use Prices'!$C$7:$AL$7,0))</f>
        <v>22.61</v>
      </c>
      <c r="AB28" s="41">
        <f>INDEX('[2]End - Use Prices'!$C$6:$AL$89,MATCH($C28,'[2]End - Use Prices'!$A$6:$A$89,0)+MATCH($D28,'[2]End - Use Prices'!$B$9:$B$11,0)-1,MATCH(AB$1,'[2]End - Use Prices'!$C$7:$AL$7,0))</f>
        <v>23.66</v>
      </c>
      <c r="AC28" s="41">
        <f>INDEX('[2]End - Use Prices'!$C$6:$AL$89,MATCH($C28,'[2]End - Use Prices'!$A$6:$A$89,0)+MATCH($D28,'[2]End - Use Prices'!$B$9:$B$11,0)-1,MATCH(AC$1,'[2]End - Use Prices'!$C$7:$AL$7,0))</f>
        <v>25.9</v>
      </c>
      <c r="AD28" s="41">
        <f>INDEX('[2]End - Use Prices'!$C$6:$AL$89,MATCH($C28,'[2]End - Use Prices'!$A$6:$A$89,0)+MATCH($D28,'[2]End - Use Prices'!$B$9:$B$11,0)-1,MATCH(AD$1,'[2]End - Use Prices'!$C$7:$AL$7,0))</f>
        <v>25.46</v>
      </c>
      <c r="AE28" s="41">
        <f>INDEX('[2]End - Use Prices'!$C$6:$AL$89,MATCH($C28,'[2]End - Use Prices'!$A$6:$A$89,0)+MATCH($D28,'[2]End - Use Prices'!$B$9:$B$11,0)-1,MATCH(AE$1,'[2]End - Use Prices'!$C$7:$AL$7,0))</f>
        <v>28.65</v>
      </c>
      <c r="AF28" s="41">
        <f>INDEX('[2]End - Use Prices'!$C$6:$AL$89,MATCH($C28,'[2]End - Use Prices'!$A$6:$A$89,0)+MATCH($D28,'[2]End - Use Prices'!$B$9:$B$11,0)-1,MATCH(AF$1,'[2]End - Use Prices'!$C$7:$AL$7,0))</f>
        <v>27.24</v>
      </c>
      <c r="AG28" s="41">
        <f>INDEX('[2]End - Use Prices'!$C$6:$AL$89,MATCH($C28,'[2]End - Use Prices'!$A$6:$A$89,0)+MATCH($D28,'[2]End - Use Prices'!$B$9:$B$11,0)-1,MATCH(AG$1,'[2]End - Use Prices'!$C$7:$AL$7,0))</f>
        <v>28.61</v>
      </c>
      <c r="AH28" s="41">
        <f>INDEX('[2]End - Use Prices'!$C$6:$AL$89,MATCH($C28,'[2]End - Use Prices'!$A$6:$A$89,0)+MATCH($D28,'[2]End - Use Prices'!$B$9:$B$11,0)-1,MATCH(AH$1,'[2]End - Use Prices'!$C$7:$AL$7,0))</f>
        <v>30.53</v>
      </c>
      <c r="AI28" s="41">
        <f>INDEX('[2]End - Use Prices'!$C$6:$AL$89,MATCH($C28,'[2]End - Use Prices'!$A$6:$A$89,0)+MATCH($D28,'[2]End - Use Prices'!$B$9:$B$11,0)-1,MATCH(AI$1,'[2]End - Use Prices'!$C$7:$AL$7,0))</f>
        <v>31.55</v>
      </c>
      <c r="AJ28" s="41">
        <f>INDEX('[2]End - Use Prices'!$C$6:$AL$89,MATCH($C28,'[2]End - Use Prices'!$A$6:$A$89,0)+MATCH($D28,'[2]End - Use Prices'!$B$9:$B$11,0)-1,MATCH(AJ$1,'[2]End - Use Prices'!$C$7:$AL$7,0))</f>
        <v>31.68</v>
      </c>
      <c r="AK28" s="41">
        <f>INDEX('[2]End - Use Prices'!$C$6:$AL$89,MATCH($C28,'[2]End - Use Prices'!$A$6:$A$89,0)+MATCH($D28,'[2]End - Use Prices'!$B$9:$B$11,0)-1,MATCH(AK$1,'[2]End - Use Prices'!$C$7:$AL$7,0))</f>
        <v>31.78</v>
      </c>
      <c r="AL28" s="41">
        <f>INDEX('[2]End - Use Prices'!$C$6:$AL$89,MATCH($C28,'[2]End - Use Prices'!$A$6:$A$89,0)+MATCH($D28,'[2]End - Use Prices'!$B$9:$B$11,0)-1,MATCH(AL$1,'[2]End - Use Prices'!$C$7:$AL$7,0))</f>
        <v>31.88</v>
      </c>
      <c r="AM28" s="41">
        <f>INDEX('[2]End - Use Prices'!$C$6:$AL$89,MATCH($C28,'[2]End - Use Prices'!$A$6:$A$89,0)+MATCH($D28,'[2]End - Use Prices'!$B$9:$B$11,0)-1,MATCH(AM$1,'[2]End - Use Prices'!$C$7:$AL$7,0))</f>
        <v>31.99</v>
      </c>
      <c r="AN28" s="41">
        <f>INDEX('[2]End - Use Prices'!$C$6:$AL$89,MATCH($C28,'[2]End - Use Prices'!$A$6:$A$89,0)+MATCH($D28,'[2]End - Use Prices'!$B$9:$B$11,0)-1,MATCH(AN$1,'[2]End - Use Prices'!$C$7:$AL$7,0))</f>
        <v>32.1</v>
      </c>
      <c r="AO28" s="41">
        <f>INDEX('[2]End - Use Prices'!$C$6:$AL$89,MATCH($C28,'[2]End - Use Prices'!$A$6:$A$89,0)+MATCH($D28,'[2]End - Use Prices'!$B$9:$B$11,0)-1,MATCH(AO$1,'[2]End - Use Prices'!$C$7:$AL$7,0))</f>
        <v>32.229999999999997</v>
      </c>
      <c r="AP28" s="41">
        <f>INDEX('[2]End - Use Prices'!$C$6:$AL$89,MATCH($C28,'[2]End - Use Prices'!$A$6:$A$89,0)+MATCH($D28,'[2]End - Use Prices'!$B$9:$B$11,0)-1,MATCH(AP$1,'[2]End - Use Prices'!$C$7:$AL$7,0))</f>
        <v>32.35</v>
      </c>
      <c r="AQ28" s="41">
        <f>INDEX('[2]End - Use Prices'!$C$6:$AL$89,MATCH($C28,'[2]End - Use Prices'!$A$6:$A$89,0)+MATCH($D28,'[2]End - Use Prices'!$B$9:$B$11,0)-1,MATCH(AQ$1,'[2]End - Use Prices'!$C$7:$AL$7,0))</f>
        <v>32.479999999999997</v>
      </c>
      <c r="AR28" s="41">
        <f>INDEX('[2]End - Use Prices'!$C$6:$AL$89,MATCH($C28,'[2]End - Use Prices'!$A$6:$A$89,0)+MATCH($D28,'[2]End - Use Prices'!$B$9:$B$11,0)-1,MATCH(AR$1,'[2]End - Use Prices'!$C$7:$AL$7,0))</f>
        <v>32.61</v>
      </c>
      <c r="AS28" s="41">
        <f>INDEX('[2]End - Use Prices'!$C$6:$AL$89,MATCH($C28,'[2]End - Use Prices'!$A$6:$A$89,0)+MATCH($D28,'[2]End - Use Prices'!$B$9:$B$11,0)-1,MATCH(AS$1,'[2]End - Use Prices'!$C$7:$AL$7,0))</f>
        <v>32.74</v>
      </c>
      <c r="AT28" s="41">
        <f>INDEX('[2]End - Use Prices'!$C$6:$AL$89,MATCH($C28,'[2]End - Use Prices'!$A$6:$A$89,0)+MATCH($D28,'[2]End - Use Prices'!$B$9:$B$11,0)-1,MATCH(AT$1,'[2]End - Use Prices'!$C$7:$AL$7,0))</f>
        <v>32.869999999999997</v>
      </c>
      <c r="AU28" s="41">
        <f>INDEX('[2]End - Use Prices'!$C$6:$AL$89,MATCH($C28,'[2]End - Use Prices'!$A$6:$A$89,0)+MATCH($D28,'[2]End - Use Prices'!$B$9:$B$11,0)-1,MATCH(AU$1,'[2]End - Use Prices'!$C$7:$AL$7,0))</f>
        <v>33</v>
      </c>
      <c r="AV28" s="41">
        <f>INDEX('[2]End - Use Prices'!$C$6:$AL$89,MATCH($C28,'[2]End - Use Prices'!$A$6:$A$89,0)+MATCH($D28,'[2]End - Use Prices'!$B$9:$B$11,0)-1,MATCH(AV$1,'[2]End - Use Prices'!$C$7:$AL$7,0))</f>
        <v>33.130000000000003</v>
      </c>
      <c r="AW28" s="41">
        <f>INDEX('[2]End - Use Prices'!$C$6:$AL$89,MATCH($C28,'[2]End - Use Prices'!$A$6:$A$89,0)+MATCH($D28,'[2]End - Use Prices'!$B$9:$B$11,0)-1,MATCH(AW$1,'[2]End - Use Prices'!$C$7:$AL$7,0))</f>
        <v>33.25</v>
      </c>
      <c r="AX28" s="41">
        <f>INDEX('[2]End - Use Prices'!$C$6:$AL$89,MATCH($C28,'[2]End - Use Prices'!$A$6:$A$89,0)+MATCH($D28,'[2]End - Use Prices'!$B$9:$B$11,0)-1,MATCH(AX$1,'[2]End - Use Prices'!$C$7:$AL$7,0))</f>
        <v>33.369999999999997</v>
      </c>
      <c r="AY28" s="41">
        <f>INDEX('[2]End - Use Prices'!$C$6:$AL$89,MATCH($C28,'[2]End - Use Prices'!$A$6:$A$89,0)+MATCH($D28,'[2]End - Use Prices'!$B$9:$B$11,0)-1,MATCH(AY$1,'[2]End - Use Prices'!$C$7:$AL$7,0))</f>
        <v>33.479999999999997</v>
      </c>
      <c r="AZ28" s="41">
        <f>INDEX('[2]End - Use Prices'!$C$6:$AL$89,MATCH($C28,'[2]End - Use Prices'!$A$6:$A$89,0)+MATCH($D28,'[2]End - Use Prices'!$B$9:$B$11,0)-1,MATCH(AZ$1,'[2]End - Use Prices'!$C$7:$AL$7,0))</f>
        <v>33.58</v>
      </c>
      <c r="BA28" s="41">
        <f>INDEX('[2]End - Use Prices'!$C$6:$AL$89,MATCH($C28,'[2]End - Use Prices'!$A$6:$A$89,0)+MATCH($D28,'[2]End - Use Prices'!$B$9:$B$11,0)-1,MATCH(BA$1,'[2]End - Use Prices'!$C$7:$AL$7,0))</f>
        <v>33.68</v>
      </c>
      <c r="BB28" s="41">
        <f>INDEX('[2]End - Use Prices'!$C$6:$AL$89,MATCH($C28,'[2]End - Use Prices'!$A$6:$A$89,0)+MATCH($D28,'[2]End - Use Prices'!$B$9:$B$11,0)-1,MATCH(BB$1,'[2]End - Use Prices'!$C$7:$AL$7,0))</f>
        <v>33.76</v>
      </c>
      <c r="BC28" s="41">
        <f>INDEX('[2]End - Use Prices'!$C$6:$AL$89,MATCH($C28,'[2]End - Use Prices'!$A$6:$A$89,0)+MATCH($D28,'[2]End - Use Prices'!$B$9:$B$11,0)-1,MATCH(BC$1,'[2]End - Use Prices'!$C$7:$AL$7,0))</f>
        <v>33.840000000000003</v>
      </c>
      <c r="BD28" s="41">
        <f>INDEX('[2]End - Use Prices'!$C$6:$AL$89,MATCH($C28,'[2]End - Use Prices'!$A$6:$A$89,0)+MATCH($D28,'[2]End - Use Prices'!$B$9:$B$11,0)-1,MATCH(BD$1,'[2]End - Use Prices'!$C$7:$AL$7,0))</f>
        <v>33.9</v>
      </c>
      <c r="BE28" s="41">
        <f>INDEX('[2]End - Use Prices'!$C$6:$AL$89,MATCH($C28,'[2]End - Use Prices'!$A$6:$A$89,0)+MATCH($D28,'[2]End - Use Prices'!$B$9:$B$11,0)-1,MATCH(BE$1,'[2]End - Use Prices'!$C$7:$AL$7,0))</f>
        <v>33.950000000000003</v>
      </c>
      <c r="BF28" s="41">
        <f>INDEX('[2]End - Use Prices'!$C$6:$AL$89,MATCH($C28,'[2]End - Use Prices'!$A$6:$A$89,0)+MATCH($D28,'[2]End - Use Prices'!$B$9:$B$11,0)-1,MATCH(BF$1,'[2]End - Use Prices'!$C$7:$AL$7,0))</f>
        <v>33.979999999999997</v>
      </c>
      <c r="BG28" s="41">
        <f>INDEX('[2]End - Use Prices'!$C$6:$AL$89,MATCH($C28,'[2]End - Use Prices'!$A$6:$A$89,0)+MATCH($D28,'[2]End - Use Prices'!$B$9:$B$11,0)-1,MATCH(BG$1,'[2]End - Use Prices'!$C$7:$AL$7,0))</f>
        <v>34</v>
      </c>
      <c r="BR28" s="39"/>
      <c r="BS28" s="39"/>
      <c r="BT28" s="39"/>
      <c r="BU28" s="39"/>
      <c r="BV28" s="39"/>
      <c r="BW28" s="39"/>
      <c r="BX28" s="39"/>
      <c r="BY28" s="39"/>
      <c r="BZ28" s="39"/>
      <c r="CA28" s="39"/>
    </row>
    <row r="29" spans="1:79">
      <c r="A29" s="5"/>
      <c r="B29" s="3"/>
      <c r="C29" s="25" t="s">
        <v>92</v>
      </c>
      <c r="D29" s="25" t="s">
        <v>2</v>
      </c>
      <c r="E29" s="25" t="s">
        <v>277</v>
      </c>
      <c r="F29" s="67" t="s">
        <v>275</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INDEX('[2]End - Use Prices'!$C$6:$AL$89,MATCH($C29,'[2]End - Use Prices'!$A$6:$A$89,0)+MATCH($D29,'[2]End - Use Prices'!$B$9:$B$11,0)-1,MATCH(X$1,'[2]End - Use Prices'!$C$7:$AL$7,0))</f>
        <v>33.479999999999997</v>
      </c>
      <c r="Y29" s="41">
        <f>INDEX('[2]End - Use Prices'!$C$6:$AL$89,MATCH($C29,'[2]End - Use Prices'!$A$6:$A$89,0)+MATCH($D29,'[2]End - Use Prices'!$B$9:$B$11,0)-1,MATCH(Y$1,'[2]End - Use Prices'!$C$7:$AL$7,0))</f>
        <v>34.72</v>
      </c>
      <c r="Z29" s="41">
        <f>INDEX('[2]End - Use Prices'!$C$6:$AL$89,MATCH($C29,'[2]End - Use Prices'!$A$6:$A$89,0)+MATCH($D29,'[2]End - Use Prices'!$B$9:$B$11,0)-1,MATCH(Z$1,'[2]End - Use Prices'!$C$7:$AL$7,0))</f>
        <v>34.299999999999997</v>
      </c>
      <c r="AA29" s="41">
        <f>INDEX('[2]End - Use Prices'!$C$6:$AL$89,MATCH($C29,'[2]End - Use Prices'!$A$6:$A$89,0)+MATCH($D29,'[2]End - Use Prices'!$B$9:$B$11,0)-1,MATCH(AA$1,'[2]End - Use Prices'!$C$7:$AL$7,0))</f>
        <v>34</v>
      </c>
      <c r="AB29" s="41">
        <f>INDEX('[2]End - Use Prices'!$C$6:$AL$89,MATCH($C29,'[2]End - Use Prices'!$A$6:$A$89,0)+MATCH($D29,'[2]End - Use Prices'!$B$9:$B$11,0)-1,MATCH(AB$1,'[2]End - Use Prices'!$C$7:$AL$7,0))</f>
        <v>35.590000000000003</v>
      </c>
      <c r="AC29" s="41">
        <f>INDEX('[2]End - Use Prices'!$C$6:$AL$89,MATCH($C29,'[2]End - Use Prices'!$A$6:$A$89,0)+MATCH($D29,'[2]End - Use Prices'!$B$9:$B$11,0)-1,MATCH(AC$1,'[2]End - Use Prices'!$C$7:$AL$7,0))</f>
        <v>37.69</v>
      </c>
      <c r="AD29" s="41">
        <f>INDEX('[2]End - Use Prices'!$C$6:$AL$89,MATCH($C29,'[2]End - Use Prices'!$A$6:$A$89,0)+MATCH($D29,'[2]End - Use Prices'!$B$9:$B$11,0)-1,MATCH(AD$1,'[2]End - Use Prices'!$C$7:$AL$7,0))</f>
        <v>35.89</v>
      </c>
      <c r="AE29" s="41">
        <f>INDEX('[2]End - Use Prices'!$C$6:$AL$89,MATCH($C29,'[2]End - Use Prices'!$A$6:$A$89,0)+MATCH($D29,'[2]End - Use Prices'!$B$9:$B$11,0)-1,MATCH(AE$1,'[2]End - Use Prices'!$C$7:$AL$7,0))</f>
        <v>40.39</v>
      </c>
      <c r="AF29" s="41">
        <f>INDEX('[2]End - Use Prices'!$C$6:$AL$89,MATCH($C29,'[2]End - Use Prices'!$A$6:$A$89,0)+MATCH($D29,'[2]End - Use Prices'!$B$9:$B$11,0)-1,MATCH(AF$1,'[2]End - Use Prices'!$C$7:$AL$7,0))</f>
        <v>40.28</v>
      </c>
      <c r="AG29" s="41">
        <f>INDEX('[2]End - Use Prices'!$C$6:$AL$89,MATCH($C29,'[2]End - Use Prices'!$A$6:$A$89,0)+MATCH($D29,'[2]End - Use Prices'!$B$9:$B$11,0)-1,MATCH(AG$1,'[2]End - Use Prices'!$C$7:$AL$7,0))</f>
        <v>47.35</v>
      </c>
      <c r="AH29" s="41">
        <f>INDEX('[2]End - Use Prices'!$C$6:$AL$89,MATCH($C29,'[2]End - Use Prices'!$A$6:$A$89,0)+MATCH($D29,'[2]End - Use Prices'!$B$9:$B$11,0)-1,MATCH(AH$1,'[2]End - Use Prices'!$C$7:$AL$7,0))</f>
        <v>47.73</v>
      </c>
      <c r="AI29" s="41">
        <f>INDEX('[2]End - Use Prices'!$C$6:$AL$89,MATCH($C29,'[2]End - Use Prices'!$A$6:$A$89,0)+MATCH($D29,'[2]End - Use Prices'!$B$9:$B$11,0)-1,MATCH(AI$1,'[2]End - Use Prices'!$C$7:$AL$7,0))</f>
        <v>47.43</v>
      </c>
      <c r="AJ29" s="41">
        <f>INDEX('[2]End - Use Prices'!$C$6:$AL$89,MATCH($C29,'[2]End - Use Prices'!$A$6:$A$89,0)+MATCH($D29,'[2]End - Use Prices'!$B$9:$B$11,0)-1,MATCH(AJ$1,'[2]End - Use Prices'!$C$7:$AL$7,0))</f>
        <v>47.71</v>
      </c>
      <c r="AK29" s="41">
        <f>INDEX('[2]End - Use Prices'!$C$6:$AL$89,MATCH($C29,'[2]End - Use Prices'!$A$6:$A$89,0)+MATCH($D29,'[2]End - Use Prices'!$B$9:$B$11,0)-1,MATCH(AK$1,'[2]End - Use Prices'!$C$7:$AL$7,0))</f>
        <v>47.86</v>
      </c>
      <c r="AL29" s="41">
        <f>INDEX('[2]End - Use Prices'!$C$6:$AL$89,MATCH($C29,'[2]End - Use Prices'!$A$6:$A$89,0)+MATCH($D29,'[2]End - Use Prices'!$B$9:$B$11,0)-1,MATCH(AL$1,'[2]End - Use Prices'!$C$7:$AL$7,0))</f>
        <v>48.02</v>
      </c>
      <c r="AM29" s="41">
        <f>INDEX('[2]End - Use Prices'!$C$6:$AL$89,MATCH($C29,'[2]End - Use Prices'!$A$6:$A$89,0)+MATCH($D29,'[2]End - Use Prices'!$B$9:$B$11,0)-1,MATCH(AM$1,'[2]End - Use Prices'!$C$7:$AL$7,0))</f>
        <v>48.18</v>
      </c>
      <c r="AN29" s="41">
        <f>INDEX('[2]End - Use Prices'!$C$6:$AL$89,MATCH($C29,'[2]End - Use Prices'!$A$6:$A$89,0)+MATCH($D29,'[2]End - Use Prices'!$B$9:$B$11,0)-1,MATCH(AN$1,'[2]End - Use Prices'!$C$7:$AL$7,0))</f>
        <v>48.35</v>
      </c>
      <c r="AO29" s="41">
        <f>INDEX('[2]End - Use Prices'!$C$6:$AL$89,MATCH($C29,'[2]End - Use Prices'!$A$6:$A$89,0)+MATCH($D29,'[2]End - Use Prices'!$B$9:$B$11,0)-1,MATCH(AO$1,'[2]End - Use Prices'!$C$7:$AL$7,0))</f>
        <v>48.52</v>
      </c>
      <c r="AP29" s="41">
        <f>INDEX('[2]End - Use Prices'!$C$6:$AL$89,MATCH($C29,'[2]End - Use Prices'!$A$6:$A$89,0)+MATCH($D29,'[2]End - Use Prices'!$B$9:$B$11,0)-1,MATCH(AP$1,'[2]End - Use Prices'!$C$7:$AL$7,0))</f>
        <v>48.69</v>
      </c>
      <c r="AQ29" s="41">
        <f>INDEX('[2]End - Use Prices'!$C$6:$AL$89,MATCH($C29,'[2]End - Use Prices'!$A$6:$A$89,0)+MATCH($D29,'[2]End - Use Prices'!$B$9:$B$11,0)-1,MATCH(AQ$1,'[2]End - Use Prices'!$C$7:$AL$7,0))</f>
        <v>48.86</v>
      </c>
      <c r="AR29" s="41">
        <f>INDEX('[2]End - Use Prices'!$C$6:$AL$89,MATCH($C29,'[2]End - Use Prices'!$A$6:$A$89,0)+MATCH($D29,'[2]End - Use Prices'!$B$9:$B$11,0)-1,MATCH(AR$1,'[2]End - Use Prices'!$C$7:$AL$7,0))</f>
        <v>49.04</v>
      </c>
      <c r="AS29" s="41">
        <f>INDEX('[2]End - Use Prices'!$C$6:$AL$89,MATCH($C29,'[2]End - Use Prices'!$A$6:$A$89,0)+MATCH($D29,'[2]End - Use Prices'!$B$9:$B$11,0)-1,MATCH(AS$1,'[2]End - Use Prices'!$C$7:$AL$7,0))</f>
        <v>49.22</v>
      </c>
      <c r="AT29" s="41">
        <f>INDEX('[2]End - Use Prices'!$C$6:$AL$89,MATCH($C29,'[2]End - Use Prices'!$A$6:$A$89,0)+MATCH($D29,'[2]End - Use Prices'!$B$9:$B$11,0)-1,MATCH(AT$1,'[2]End - Use Prices'!$C$7:$AL$7,0))</f>
        <v>49.41</v>
      </c>
      <c r="AU29" s="41">
        <f>INDEX('[2]End - Use Prices'!$C$6:$AL$89,MATCH($C29,'[2]End - Use Prices'!$A$6:$A$89,0)+MATCH($D29,'[2]End - Use Prices'!$B$9:$B$11,0)-1,MATCH(AU$1,'[2]End - Use Prices'!$C$7:$AL$7,0))</f>
        <v>49.59</v>
      </c>
      <c r="AV29" s="41">
        <f>INDEX('[2]End - Use Prices'!$C$6:$AL$89,MATCH($C29,'[2]End - Use Prices'!$A$6:$A$89,0)+MATCH($D29,'[2]End - Use Prices'!$B$9:$B$11,0)-1,MATCH(AV$1,'[2]End - Use Prices'!$C$7:$AL$7,0))</f>
        <v>49.78</v>
      </c>
      <c r="AW29" s="41">
        <f>INDEX('[2]End - Use Prices'!$C$6:$AL$89,MATCH($C29,'[2]End - Use Prices'!$A$6:$A$89,0)+MATCH($D29,'[2]End - Use Prices'!$B$9:$B$11,0)-1,MATCH(AW$1,'[2]End - Use Prices'!$C$7:$AL$7,0))</f>
        <v>49.97</v>
      </c>
      <c r="AX29" s="41">
        <f>INDEX('[2]End - Use Prices'!$C$6:$AL$89,MATCH($C29,'[2]End - Use Prices'!$A$6:$A$89,0)+MATCH($D29,'[2]End - Use Prices'!$B$9:$B$11,0)-1,MATCH(AX$1,'[2]End - Use Prices'!$C$7:$AL$7,0))</f>
        <v>50.16</v>
      </c>
      <c r="AY29" s="41">
        <f>INDEX('[2]End - Use Prices'!$C$6:$AL$89,MATCH($C29,'[2]End - Use Prices'!$A$6:$A$89,0)+MATCH($D29,'[2]End - Use Prices'!$B$9:$B$11,0)-1,MATCH(AY$1,'[2]End - Use Prices'!$C$7:$AL$7,0))</f>
        <v>50.35</v>
      </c>
      <c r="AZ29" s="41">
        <f>INDEX('[2]End - Use Prices'!$C$6:$AL$89,MATCH($C29,'[2]End - Use Prices'!$A$6:$A$89,0)+MATCH($D29,'[2]End - Use Prices'!$B$9:$B$11,0)-1,MATCH(AZ$1,'[2]End - Use Prices'!$C$7:$AL$7,0))</f>
        <v>50.54</v>
      </c>
      <c r="BA29" s="41">
        <f>INDEX('[2]End - Use Prices'!$C$6:$AL$89,MATCH($C29,'[2]End - Use Prices'!$A$6:$A$89,0)+MATCH($D29,'[2]End - Use Prices'!$B$9:$B$11,0)-1,MATCH(BA$1,'[2]End - Use Prices'!$C$7:$AL$7,0))</f>
        <v>50.73</v>
      </c>
      <c r="BB29" s="41">
        <f>INDEX('[2]End - Use Prices'!$C$6:$AL$89,MATCH($C29,'[2]End - Use Prices'!$A$6:$A$89,0)+MATCH($D29,'[2]End - Use Prices'!$B$9:$B$11,0)-1,MATCH(BB$1,'[2]End - Use Prices'!$C$7:$AL$7,0))</f>
        <v>50.92</v>
      </c>
      <c r="BC29" s="41">
        <f>INDEX('[2]End - Use Prices'!$C$6:$AL$89,MATCH($C29,'[2]End - Use Prices'!$A$6:$A$89,0)+MATCH($D29,'[2]End - Use Prices'!$B$9:$B$11,0)-1,MATCH(BC$1,'[2]End - Use Prices'!$C$7:$AL$7,0))</f>
        <v>51.11</v>
      </c>
      <c r="BD29" s="41">
        <f>INDEX('[2]End - Use Prices'!$C$6:$AL$89,MATCH($C29,'[2]End - Use Prices'!$A$6:$A$89,0)+MATCH($D29,'[2]End - Use Prices'!$B$9:$B$11,0)-1,MATCH(BD$1,'[2]End - Use Prices'!$C$7:$AL$7,0))</f>
        <v>51.3</v>
      </c>
      <c r="BE29" s="41">
        <f>INDEX('[2]End - Use Prices'!$C$6:$AL$89,MATCH($C29,'[2]End - Use Prices'!$A$6:$A$89,0)+MATCH($D29,'[2]End - Use Prices'!$B$9:$B$11,0)-1,MATCH(BE$1,'[2]End - Use Prices'!$C$7:$AL$7,0))</f>
        <v>51.48</v>
      </c>
      <c r="BF29" s="41">
        <f>INDEX('[2]End - Use Prices'!$C$6:$AL$89,MATCH($C29,'[2]End - Use Prices'!$A$6:$A$89,0)+MATCH($D29,'[2]End - Use Prices'!$B$9:$B$11,0)-1,MATCH(BF$1,'[2]End - Use Prices'!$C$7:$AL$7,0))</f>
        <v>51.67</v>
      </c>
      <c r="BG29" s="41">
        <f>INDEX('[2]End - Use Prices'!$C$6:$AL$89,MATCH($C29,'[2]End - Use Prices'!$A$6:$A$89,0)+MATCH($D29,'[2]End - Use Prices'!$B$9:$B$11,0)-1,MATCH(BG$1,'[2]End - Use Prices'!$C$7:$AL$7,0))</f>
        <v>51.85</v>
      </c>
      <c r="BR29" s="39"/>
      <c r="BS29" s="39"/>
      <c r="BT29" s="39"/>
      <c r="BU29" s="39"/>
      <c r="BV29" s="39"/>
      <c r="BW29" s="39"/>
      <c r="BX29" s="39"/>
      <c r="BY29" s="39"/>
      <c r="BZ29" s="39"/>
      <c r="CA29" s="39"/>
    </row>
    <row r="30" spans="1:79">
      <c r="A30" s="5"/>
      <c r="B30" s="3"/>
      <c r="C30" s="25" t="s">
        <v>94</v>
      </c>
      <c r="D30" s="25" t="s">
        <v>2</v>
      </c>
      <c r="E30" s="25" t="s">
        <v>277</v>
      </c>
      <c r="F30" s="67" t="s">
        <v>275</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INDEX('[2]End - Use Prices'!$C$6:$AL$89,MATCH($C30,'[2]End - Use Prices'!$A$6:$A$89,0)+MATCH($D30,'[2]End - Use Prices'!$B$9:$B$11,0)-1,MATCH(X$1,'[2]End - Use Prices'!$C$7:$AL$7,0))</f>
        <v>80.930000000000007</v>
      </c>
      <c r="Y30" s="41">
        <f>INDEX('[2]End - Use Prices'!$C$6:$AL$89,MATCH($C30,'[2]End - Use Prices'!$A$6:$A$89,0)+MATCH($D30,'[2]End - Use Prices'!$B$9:$B$11,0)-1,MATCH(Y$1,'[2]End - Use Prices'!$C$7:$AL$7,0))</f>
        <v>83.41</v>
      </c>
      <c r="Z30" s="41">
        <f>INDEX('[2]End - Use Prices'!$C$6:$AL$89,MATCH($C30,'[2]End - Use Prices'!$A$6:$A$89,0)+MATCH($D30,'[2]End - Use Prices'!$B$9:$B$11,0)-1,MATCH(Z$1,'[2]End - Use Prices'!$C$7:$AL$7,0))</f>
        <v>82.56</v>
      </c>
      <c r="AA30" s="41">
        <f>INDEX('[2]End - Use Prices'!$C$6:$AL$89,MATCH($C30,'[2]End - Use Prices'!$A$6:$A$89,0)+MATCH($D30,'[2]End - Use Prices'!$B$9:$B$11,0)-1,MATCH(AA$1,'[2]End - Use Prices'!$C$7:$AL$7,0))</f>
        <v>81.98</v>
      </c>
      <c r="AB30" s="41">
        <f>INDEX('[2]End - Use Prices'!$C$6:$AL$89,MATCH($C30,'[2]End - Use Prices'!$A$6:$A$89,0)+MATCH($D30,'[2]End - Use Prices'!$B$9:$B$11,0)-1,MATCH(AB$1,'[2]End - Use Prices'!$C$7:$AL$7,0))</f>
        <v>85.14</v>
      </c>
      <c r="AC30" s="41">
        <f>INDEX('[2]End - Use Prices'!$C$6:$AL$89,MATCH($C30,'[2]End - Use Prices'!$A$6:$A$89,0)+MATCH($D30,'[2]End - Use Prices'!$B$9:$B$11,0)-1,MATCH(AC$1,'[2]End - Use Prices'!$C$7:$AL$7,0))</f>
        <v>89.34</v>
      </c>
      <c r="AD30" s="41">
        <f>INDEX('[2]End - Use Prices'!$C$6:$AL$89,MATCH($C30,'[2]End - Use Prices'!$A$6:$A$89,0)+MATCH($D30,'[2]End - Use Prices'!$B$9:$B$11,0)-1,MATCH(AD$1,'[2]End - Use Prices'!$C$7:$AL$7,0))</f>
        <v>85.75</v>
      </c>
      <c r="AE30" s="41">
        <f>INDEX('[2]End - Use Prices'!$C$6:$AL$89,MATCH($C30,'[2]End - Use Prices'!$A$6:$A$89,0)+MATCH($D30,'[2]End - Use Prices'!$B$9:$B$11,0)-1,MATCH(AE$1,'[2]End - Use Prices'!$C$7:$AL$7,0))</f>
        <v>94.73</v>
      </c>
      <c r="AF30" s="41">
        <f>INDEX('[2]End - Use Prices'!$C$6:$AL$89,MATCH($C30,'[2]End - Use Prices'!$A$6:$A$89,0)+MATCH($D30,'[2]End - Use Prices'!$B$9:$B$11,0)-1,MATCH(AF$1,'[2]End - Use Prices'!$C$7:$AL$7,0))</f>
        <v>94.52</v>
      </c>
      <c r="AG30" s="41">
        <f>INDEX('[2]End - Use Prices'!$C$6:$AL$89,MATCH($C30,'[2]End - Use Prices'!$A$6:$A$89,0)+MATCH($D30,'[2]End - Use Prices'!$B$9:$B$11,0)-1,MATCH(AG$1,'[2]End - Use Prices'!$C$7:$AL$7,0))</f>
        <v>94.52</v>
      </c>
      <c r="AH30" s="41">
        <f>INDEX('[2]End - Use Prices'!$C$6:$AL$89,MATCH($C30,'[2]End - Use Prices'!$A$6:$A$89,0)+MATCH($D30,'[2]End - Use Prices'!$B$9:$B$11,0)-1,MATCH(AH$1,'[2]End - Use Prices'!$C$7:$AL$7,0))</f>
        <v>95.28</v>
      </c>
      <c r="AI30" s="41">
        <f>INDEX('[2]End - Use Prices'!$C$6:$AL$89,MATCH($C30,'[2]End - Use Prices'!$A$6:$A$89,0)+MATCH($D30,'[2]End - Use Prices'!$B$9:$B$11,0)-1,MATCH(AI$1,'[2]End - Use Prices'!$C$7:$AL$7,0))</f>
        <v>94.69</v>
      </c>
      <c r="AJ30" s="41">
        <f>INDEX('[2]End - Use Prices'!$C$6:$AL$89,MATCH($C30,'[2]End - Use Prices'!$A$6:$A$89,0)+MATCH($D30,'[2]End - Use Prices'!$B$9:$B$11,0)-1,MATCH(AJ$1,'[2]End - Use Prices'!$C$7:$AL$7,0))</f>
        <v>95.56</v>
      </c>
      <c r="AK30" s="41">
        <f>INDEX('[2]End - Use Prices'!$C$6:$AL$89,MATCH($C30,'[2]End - Use Prices'!$A$6:$A$89,0)+MATCH($D30,'[2]End - Use Prices'!$B$9:$B$11,0)-1,MATCH(AK$1,'[2]End - Use Prices'!$C$7:$AL$7,0))</f>
        <v>96.01</v>
      </c>
      <c r="AL30" s="41">
        <f>INDEX('[2]End - Use Prices'!$C$6:$AL$89,MATCH($C30,'[2]End - Use Prices'!$A$6:$A$89,0)+MATCH($D30,'[2]End - Use Prices'!$B$9:$B$11,0)-1,MATCH(AL$1,'[2]End - Use Prices'!$C$7:$AL$7,0))</f>
        <v>96.45</v>
      </c>
      <c r="AM30" s="41">
        <f>INDEX('[2]End - Use Prices'!$C$6:$AL$89,MATCH($C30,'[2]End - Use Prices'!$A$6:$A$89,0)+MATCH($D30,'[2]End - Use Prices'!$B$9:$B$11,0)-1,MATCH(AM$1,'[2]End - Use Prices'!$C$7:$AL$7,0))</f>
        <v>96.87</v>
      </c>
      <c r="AN30" s="41">
        <f>INDEX('[2]End - Use Prices'!$C$6:$AL$89,MATCH($C30,'[2]End - Use Prices'!$A$6:$A$89,0)+MATCH($D30,'[2]End - Use Prices'!$B$9:$B$11,0)-1,MATCH(AN$1,'[2]End - Use Prices'!$C$7:$AL$7,0))</f>
        <v>97.29</v>
      </c>
      <c r="AO30" s="41">
        <f>INDEX('[2]End - Use Prices'!$C$6:$AL$89,MATCH($C30,'[2]End - Use Prices'!$A$6:$A$89,0)+MATCH($D30,'[2]End - Use Prices'!$B$9:$B$11,0)-1,MATCH(AO$1,'[2]End - Use Prices'!$C$7:$AL$7,0))</f>
        <v>97.69</v>
      </c>
      <c r="AP30" s="41">
        <f>INDEX('[2]End - Use Prices'!$C$6:$AL$89,MATCH($C30,'[2]End - Use Prices'!$A$6:$A$89,0)+MATCH($D30,'[2]End - Use Prices'!$B$9:$B$11,0)-1,MATCH(AP$1,'[2]End - Use Prices'!$C$7:$AL$7,0))</f>
        <v>98.09</v>
      </c>
      <c r="AQ30" s="41">
        <f>INDEX('[2]End - Use Prices'!$C$6:$AL$89,MATCH($C30,'[2]End - Use Prices'!$A$6:$A$89,0)+MATCH($D30,'[2]End - Use Prices'!$B$9:$B$11,0)-1,MATCH(AQ$1,'[2]End - Use Prices'!$C$7:$AL$7,0))</f>
        <v>98.48</v>
      </c>
      <c r="AR30" s="41">
        <f>INDEX('[2]End - Use Prices'!$C$6:$AL$89,MATCH($C30,'[2]End - Use Prices'!$A$6:$A$89,0)+MATCH($D30,'[2]End - Use Prices'!$B$9:$B$11,0)-1,MATCH(AR$1,'[2]End - Use Prices'!$C$7:$AL$7,0))</f>
        <v>98.86</v>
      </c>
      <c r="AS30" s="41">
        <f>INDEX('[2]End - Use Prices'!$C$6:$AL$89,MATCH($C30,'[2]End - Use Prices'!$A$6:$A$89,0)+MATCH($D30,'[2]End - Use Prices'!$B$9:$B$11,0)-1,MATCH(AS$1,'[2]End - Use Prices'!$C$7:$AL$7,0))</f>
        <v>99.23</v>
      </c>
      <c r="AT30" s="41">
        <f>INDEX('[2]End - Use Prices'!$C$6:$AL$89,MATCH($C30,'[2]End - Use Prices'!$A$6:$A$89,0)+MATCH($D30,'[2]End - Use Prices'!$B$9:$B$11,0)-1,MATCH(AT$1,'[2]End - Use Prices'!$C$7:$AL$7,0))</f>
        <v>99.6</v>
      </c>
      <c r="AU30" s="41">
        <f>INDEX('[2]End - Use Prices'!$C$6:$AL$89,MATCH($C30,'[2]End - Use Prices'!$A$6:$A$89,0)+MATCH($D30,'[2]End - Use Prices'!$B$9:$B$11,0)-1,MATCH(AU$1,'[2]End - Use Prices'!$C$7:$AL$7,0))</f>
        <v>99.97</v>
      </c>
      <c r="AV30" s="41">
        <f>INDEX('[2]End - Use Prices'!$C$6:$AL$89,MATCH($C30,'[2]End - Use Prices'!$A$6:$A$89,0)+MATCH($D30,'[2]End - Use Prices'!$B$9:$B$11,0)-1,MATCH(AV$1,'[2]End - Use Prices'!$C$7:$AL$7,0))</f>
        <v>100.34</v>
      </c>
      <c r="AW30" s="41">
        <f>INDEX('[2]End - Use Prices'!$C$6:$AL$89,MATCH($C30,'[2]End - Use Prices'!$A$6:$A$89,0)+MATCH($D30,'[2]End - Use Prices'!$B$9:$B$11,0)-1,MATCH(AW$1,'[2]End - Use Prices'!$C$7:$AL$7,0))</f>
        <v>100.71</v>
      </c>
      <c r="AX30" s="41">
        <f>INDEX('[2]End - Use Prices'!$C$6:$AL$89,MATCH($C30,'[2]End - Use Prices'!$A$6:$A$89,0)+MATCH($D30,'[2]End - Use Prices'!$B$9:$B$11,0)-1,MATCH(AX$1,'[2]End - Use Prices'!$C$7:$AL$7,0))</f>
        <v>101.08</v>
      </c>
      <c r="AY30" s="41">
        <f>INDEX('[2]End - Use Prices'!$C$6:$AL$89,MATCH($C30,'[2]End - Use Prices'!$A$6:$A$89,0)+MATCH($D30,'[2]End - Use Prices'!$B$9:$B$11,0)-1,MATCH(AY$1,'[2]End - Use Prices'!$C$7:$AL$7,0))</f>
        <v>101.45</v>
      </c>
      <c r="AZ30" s="41">
        <f>INDEX('[2]End - Use Prices'!$C$6:$AL$89,MATCH($C30,'[2]End - Use Prices'!$A$6:$A$89,0)+MATCH($D30,'[2]End - Use Prices'!$B$9:$B$11,0)-1,MATCH(AZ$1,'[2]End - Use Prices'!$C$7:$AL$7,0))</f>
        <v>101.83</v>
      </c>
      <c r="BA30" s="41">
        <f>INDEX('[2]End - Use Prices'!$C$6:$AL$89,MATCH($C30,'[2]End - Use Prices'!$A$6:$A$89,0)+MATCH($D30,'[2]End - Use Prices'!$B$9:$B$11,0)-1,MATCH(BA$1,'[2]End - Use Prices'!$C$7:$AL$7,0))</f>
        <v>102.21</v>
      </c>
      <c r="BB30" s="41">
        <f>INDEX('[2]End - Use Prices'!$C$6:$AL$89,MATCH($C30,'[2]End - Use Prices'!$A$6:$A$89,0)+MATCH($D30,'[2]End - Use Prices'!$B$9:$B$11,0)-1,MATCH(BB$1,'[2]End - Use Prices'!$C$7:$AL$7,0))</f>
        <v>102.6</v>
      </c>
      <c r="BC30" s="41">
        <f>INDEX('[2]End - Use Prices'!$C$6:$AL$89,MATCH($C30,'[2]End - Use Prices'!$A$6:$A$89,0)+MATCH($D30,'[2]End - Use Prices'!$B$9:$B$11,0)-1,MATCH(BC$1,'[2]End - Use Prices'!$C$7:$AL$7,0))</f>
        <v>103</v>
      </c>
      <c r="BD30" s="41">
        <f>INDEX('[2]End - Use Prices'!$C$6:$AL$89,MATCH($C30,'[2]End - Use Prices'!$A$6:$A$89,0)+MATCH($D30,'[2]End - Use Prices'!$B$9:$B$11,0)-1,MATCH(BD$1,'[2]End - Use Prices'!$C$7:$AL$7,0))</f>
        <v>103.4</v>
      </c>
      <c r="BE30" s="41">
        <f>INDEX('[2]End - Use Prices'!$C$6:$AL$89,MATCH($C30,'[2]End - Use Prices'!$A$6:$A$89,0)+MATCH($D30,'[2]End - Use Prices'!$B$9:$B$11,0)-1,MATCH(BE$1,'[2]End - Use Prices'!$C$7:$AL$7,0))</f>
        <v>103.82</v>
      </c>
      <c r="BF30" s="41">
        <f>INDEX('[2]End - Use Prices'!$C$6:$AL$89,MATCH($C30,'[2]End - Use Prices'!$A$6:$A$89,0)+MATCH($D30,'[2]End - Use Prices'!$B$9:$B$11,0)-1,MATCH(BF$1,'[2]End - Use Prices'!$C$7:$AL$7,0))</f>
        <v>104.25</v>
      </c>
      <c r="BG30" s="41">
        <f>INDEX('[2]End - Use Prices'!$C$6:$AL$89,MATCH($C30,'[2]End - Use Prices'!$A$6:$A$89,0)+MATCH($D30,'[2]End - Use Prices'!$B$9:$B$11,0)-1,MATCH(BG$1,'[2]End - Use Prices'!$C$7:$AL$7,0))</f>
        <v>104.69</v>
      </c>
      <c r="BR30" s="39"/>
      <c r="BS30" s="39"/>
      <c r="BT30" s="39"/>
      <c r="BU30" s="39"/>
      <c r="BV30" s="39"/>
      <c r="BW30" s="39"/>
      <c r="BX30" s="39"/>
      <c r="BY30" s="39"/>
      <c r="BZ30" s="39"/>
      <c r="CA30" s="39"/>
    </row>
    <row r="31" spans="1:79">
      <c r="A31" s="5"/>
      <c r="B31" s="3"/>
      <c r="C31" s="25" t="s">
        <v>93</v>
      </c>
      <c r="D31" s="25" t="s">
        <v>2</v>
      </c>
      <c r="E31" s="25" t="s">
        <v>277</v>
      </c>
      <c r="F31" s="67" t="s">
        <v>275</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INDEX('[2]End - Use Prices'!$C$6:$AL$89,MATCH($C31,'[2]End - Use Prices'!$A$6:$A$89,0)+MATCH($D31,'[2]End - Use Prices'!$B$9:$B$11,0)-1,MATCH(X$1,'[2]End - Use Prices'!$C$7:$AL$7,0))</f>
        <v>83.79</v>
      </c>
      <c r="Y31" s="41">
        <f>INDEX('[2]End - Use Prices'!$C$6:$AL$89,MATCH($C31,'[2]End - Use Prices'!$A$6:$A$89,0)+MATCH($D31,'[2]End - Use Prices'!$B$9:$B$11,0)-1,MATCH(Y$1,'[2]End - Use Prices'!$C$7:$AL$7,0))</f>
        <v>86.36</v>
      </c>
      <c r="Z31" s="41">
        <f>INDEX('[2]End - Use Prices'!$C$6:$AL$89,MATCH($C31,'[2]End - Use Prices'!$A$6:$A$89,0)+MATCH($D31,'[2]End - Use Prices'!$B$9:$B$11,0)-1,MATCH(Z$1,'[2]End - Use Prices'!$C$7:$AL$7,0))</f>
        <v>85.49</v>
      </c>
      <c r="AA31" s="41">
        <f>INDEX('[2]End - Use Prices'!$C$6:$AL$89,MATCH($C31,'[2]End - Use Prices'!$A$6:$A$89,0)+MATCH($D31,'[2]End - Use Prices'!$B$9:$B$11,0)-1,MATCH(AA$1,'[2]End - Use Prices'!$C$7:$AL$7,0))</f>
        <v>84.88</v>
      </c>
      <c r="AB31" s="41">
        <f>INDEX('[2]End - Use Prices'!$C$6:$AL$89,MATCH($C31,'[2]End - Use Prices'!$A$6:$A$89,0)+MATCH($D31,'[2]End - Use Prices'!$B$9:$B$11,0)-1,MATCH(AB$1,'[2]End - Use Prices'!$C$7:$AL$7,0))</f>
        <v>88.16</v>
      </c>
      <c r="AC31" s="41">
        <f>INDEX('[2]End - Use Prices'!$C$6:$AL$89,MATCH($C31,'[2]End - Use Prices'!$A$6:$A$89,0)+MATCH($D31,'[2]End - Use Prices'!$B$9:$B$11,0)-1,MATCH(AC$1,'[2]End - Use Prices'!$C$7:$AL$7,0))</f>
        <v>92.5</v>
      </c>
      <c r="AD31" s="41">
        <f>INDEX('[2]End - Use Prices'!$C$6:$AL$89,MATCH($C31,'[2]End - Use Prices'!$A$6:$A$89,0)+MATCH($D31,'[2]End - Use Prices'!$B$9:$B$11,0)-1,MATCH(AD$1,'[2]End - Use Prices'!$C$7:$AL$7,0))</f>
        <v>88.79</v>
      </c>
      <c r="AE31" s="41">
        <f>INDEX('[2]End - Use Prices'!$C$6:$AL$89,MATCH($C31,'[2]End - Use Prices'!$A$6:$A$89,0)+MATCH($D31,'[2]End - Use Prices'!$B$9:$B$11,0)-1,MATCH(AE$1,'[2]End - Use Prices'!$C$7:$AL$7,0))</f>
        <v>98.09</v>
      </c>
      <c r="AF31" s="41">
        <f>INDEX('[2]End - Use Prices'!$C$6:$AL$89,MATCH($C31,'[2]End - Use Prices'!$A$6:$A$89,0)+MATCH($D31,'[2]End - Use Prices'!$B$9:$B$11,0)-1,MATCH(AF$1,'[2]End - Use Prices'!$C$7:$AL$7,0))</f>
        <v>97.87</v>
      </c>
      <c r="AG31" s="41">
        <f>INDEX('[2]End - Use Prices'!$C$6:$AL$89,MATCH($C31,'[2]End - Use Prices'!$A$6:$A$89,0)+MATCH($D31,'[2]End - Use Prices'!$B$9:$B$11,0)-1,MATCH(AG$1,'[2]End - Use Prices'!$C$7:$AL$7,0))</f>
        <v>97.87</v>
      </c>
      <c r="AH31" s="41">
        <f>INDEX('[2]End - Use Prices'!$C$6:$AL$89,MATCH($C31,'[2]End - Use Prices'!$A$6:$A$89,0)+MATCH($D31,'[2]End - Use Prices'!$B$9:$B$11,0)-1,MATCH(AH$1,'[2]End - Use Prices'!$C$7:$AL$7,0))</f>
        <v>98.65</v>
      </c>
      <c r="AI31" s="41">
        <f>INDEX('[2]End - Use Prices'!$C$6:$AL$89,MATCH($C31,'[2]End - Use Prices'!$A$6:$A$89,0)+MATCH($D31,'[2]End - Use Prices'!$B$9:$B$11,0)-1,MATCH(AI$1,'[2]End - Use Prices'!$C$7:$AL$7,0))</f>
        <v>98.04</v>
      </c>
      <c r="AJ31" s="41">
        <f>INDEX('[2]End - Use Prices'!$C$6:$AL$89,MATCH($C31,'[2]End - Use Prices'!$A$6:$A$89,0)+MATCH($D31,'[2]End - Use Prices'!$B$9:$B$11,0)-1,MATCH(AJ$1,'[2]End - Use Prices'!$C$7:$AL$7,0))</f>
        <v>98.81</v>
      </c>
      <c r="AK31" s="41">
        <f>INDEX('[2]End - Use Prices'!$C$6:$AL$89,MATCH($C31,'[2]End - Use Prices'!$A$6:$A$89,0)+MATCH($D31,'[2]End - Use Prices'!$B$9:$B$11,0)-1,MATCH(AK$1,'[2]End - Use Prices'!$C$7:$AL$7,0))</f>
        <v>98.94</v>
      </c>
      <c r="AL31" s="41">
        <f>INDEX('[2]End - Use Prices'!$C$6:$AL$89,MATCH($C31,'[2]End - Use Prices'!$A$6:$A$89,0)+MATCH($D31,'[2]End - Use Prices'!$B$9:$B$11,0)-1,MATCH(AL$1,'[2]End - Use Prices'!$C$7:$AL$7,0))</f>
        <v>99.05</v>
      </c>
      <c r="AM31" s="41">
        <f>INDEX('[2]End - Use Prices'!$C$6:$AL$89,MATCH($C31,'[2]End - Use Prices'!$A$6:$A$89,0)+MATCH($D31,'[2]End - Use Prices'!$B$9:$B$11,0)-1,MATCH(AM$1,'[2]End - Use Prices'!$C$7:$AL$7,0))</f>
        <v>99.14</v>
      </c>
      <c r="AN31" s="41">
        <f>INDEX('[2]End - Use Prices'!$C$6:$AL$89,MATCH($C31,'[2]End - Use Prices'!$A$6:$A$89,0)+MATCH($D31,'[2]End - Use Prices'!$B$9:$B$11,0)-1,MATCH(AN$1,'[2]End - Use Prices'!$C$7:$AL$7,0))</f>
        <v>99.2</v>
      </c>
      <c r="AO31" s="41">
        <f>INDEX('[2]End - Use Prices'!$C$6:$AL$89,MATCH($C31,'[2]End - Use Prices'!$A$6:$A$89,0)+MATCH($D31,'[2]End - Use Prices'!$B$9:$B$11,0)-1,MATCH(AO$1,'[2]End - Use Prices'!$C$7:$AL$7,0))</f>
        <v>99.25</v>
      </c>
      <c r="AP31" s="41">
        <f>INDEX('[2]End - Use Prices'!$C$6:$AL$89,MATCH($C31,'[2]End - Use Prices'!$A$6:$A$89,0)+MATCH($D31,'[2]End - Use Prices'!$B$9:$B$11,0)-1,MATCH(AP$1,'[2]End - Use Prices'!$C$7:$AL$7,0))</f>
        <v>99.28</v>
      </c>
      <c r="AQ31" s="41">
        <f>INDEX('[2]End - Use Prices'!$C$6:$AL$89,MATCH($C31,'[2]End - Use Prices'!$A$6:$A$89,0)+MATCH($D31,'[2]End - Use Prices'!$B$9:$B$11,0)-1,MATCH(AQ$1,'[2]End - Use Prices'!$C$7:$AL$7,0))</f>
        <v>99.3</v>
      </c>
      <c r="AR31" s="41">
        <f>INDEX('[2]End - Use Prices'!$C$6:$AL$89,MATCH($C31,'[2]End - Use Prices'!$A$6:$A$89,0)+MATCH($D31,'[2]End - Use Prices'!$B$9:$B$11,0)-1,MATCH(AR$1,'[2]End - Use Prices'!$C$7:$AL$7,0))</f>
        <v>99.31</v>
      </c>
      <c r="AS31" s="41">
        <f>INDEX('[2]End - Use Prices'!$C$6:$AL$89,MATCH($C31,'[2]End - Use Prices'!$A$6:$A$89,0)+MATCH($D31,'[2]End - Use Prices'!$B$9:$B$11,0)-1,MATCH(AS$1,'[2]End - Use Prices'!$C$7:$AL$7,0))</f>
        <v>99.3</v>
      </c>
      <c r="AT31" s="41">
        <f>INDEX('[2]End - Use Prices'!$C$6:$AL$89,MATCH($C31,'[2]End - Use Prices'!$A$6:$A$89,0)+MATCH($D31,'[2]End - Use Prices'!$B$9:$B$11,0)-1,MATCH(AT$1,'[2]End - Use Prices'!$C$7:$AL$7,0))</f>
        <v>99.29</v>
      </c>
      <c r="AU31" s="41">
        <f>INDEX('[2]End - Use Prices'!$C$6:$AL$89,MATCH($C31,'[2]End - Use Prices'!$A$6:$A$89,0)+MATCH($D31,'[2]End - Use Prices'!$B$9:$B$11,0)-1,MATCH(AU$1,'[2]End - Use Prices'!$C$7:$AL$7,0))</f>
        <v>99.27</v>
      </c>
      <c r="AV31" s="41">
        <f>INDEX('[2]End - Use Prices'!$C$6:$AL$89,MATCH($C31,'[2]End - Use Prices'!$A$6:$A$89,0)+MATCH($D31,'[2]End - Use Prices'!$B$9:$B$11,0)-1,MATCH(AV$1,'[2]End - Use Prices'!$C$7:$AL$7,0))</f>
        <v>99.25</v>
      </c>
      <c r="AW31" s="41">
        <f>INDEX('[2]End - Use Prices'!$C$6:$AL$89,MATCH($C31,'[2]End - Use Prices'!$A$6:$A$89,0)+MATCH($D31,'[2]End - Use Prices'!$B$9:$B$11,0)-1,MATCH(AW$1,'[2]End - Use Prices'!$C$7:$AL$7,0))</f>
        <v>99.23</v>
      </c>
      <c r="AX31" s="41">
        <f>INDEX('[2]End - Use Prices'!$C$6:$AL$89,MATCH($C31,'[2]End - Use Prices'!$A$6:$A$89,0)+MATCH($D31,'[2]End - Use Prices'!$B$9:$B$11,0)-1,MATCH(AX$1,'[2]End - Use Prices'!$C$7:$AL$7,0))</f>
        <v>99.2</v>
      </c>
      <c r="AY31" s="41">
        <f>INDEX('[2]End - Use Prices'!$C$6:$AL$89,MATCH($C31,'[2]End - Use Prices'!$A$6:$A$89,0)+MATCH($D31,'[2]End - Use Prices'!$B$9:$B$11,0)-1,MATCH(AY$1,'[2]End - Use Prices'!$C$7:$AL$7,0))</f>
        <v>99.18</v>
      </c>
      <c r="AZ31" s="41">
        <f>INDEX('[2]End - Use Prices'!$C$6:$AL$89,MATCH($C31,'[2]End - Use Prices'!$A$6:$A$89,0)+MATCH($D31,'[2]End - Use Prices'!$B$9:$B$11,0)-1,MATCH(AZ$1,'[2]End - Use Prices'!$C$7:$AL$7,0))</f>
        <v>99.16</v>
      </c>
      <c r="BA31" s="41">
        <f>INDEX('[2]End - Use Prices'!$C$6:$AL$89,MATCH($C31,'[2]End - Use Prices'!$A$6:$A$89,0)+MATCH($D31,'[2]End - Use Prices'!$B$9:$B$11,0)-1,MATCH(BA$1,'[2]End - Use Prices'!$C$7:$AL$7,0))</f>
        <v>99.15</v>
      </c>
      <c r="BB31" s="41">
        <f>INDEX('[2]End - Use Prices'!$C$6:$AL$89,MATCH($C31,'[2]End - Use Prices'!$A$6:$A$89,0)+MATCH($D31,'[2]End - Use Prices'!$B$9:$B$11,0)-1,MATCH(BB$1,'[2]End - Use Prices'!$C$7:$AL$7,0))</f>
        <v>99.15</v>
      </c>
      <c r="BC31" s="41">
        <f>INDEX('[2]End - Use Prices'!$C$6:$AL$89,MATCH($C31,'[2]End - Use Prices'!$A$6:$A$89,0)+MATCH($D31,'[2]End - Use Prices'!$B$9:$B$11,0)-1,MATCH(BC$1,'[2]End - Use Prices'!$C$7:$AL$7,0))</f>
        <v>99.15</v>
      </c>
      <c r="BD31" s="41">
        <f>INDEX('[2]End - Use Prices'!$C$6:$AL$89,MATCH($C31,'[2]End - Use Prices'!$A$6:$A$89,0)+MATCH($D31,'[2]End - Use Prices'!$B$9:$B$11,0)-1,MATCH(BD$1,'[2]End - Use Prices'!$C$7:$AL$7,0))</f>
        <v>99.17</v>
      </c>
      <c r="BE31" s="41">
        <f>INDEX('[2]End - Use Prices'!$C$6:$AL$89,MATCH($C31,'[2]End - Use Prices'!$A$6:$A$89,0)+MATCH($D31,'[2]End - Use Prices'!$B$9:$B$11,0)-1,MATCH(BE$1,'[2]End - Use Prices'!$C$7:$AL$7,0))</f>
        <v>99.2</v>
      </c>
      <c r="BF31" s="41">
        <f>INDEX('[2]End - Use Prices'!$C$6:$AL$89,MATCH($C31,'[2]End - Use Prices'!$A$6:$A$89,0)+MATCH($D31,'[2]End - Use Prices'!$B$9:$B$11,0)-1,MATCH(BF$1,'[2]End - Use Prices'!$C$7:$AL$7,0))</f>
        <v>99.25</v>
      </c>
      <c r="BG31" s="41">
        <f>INDEX('[2]End - Use Prices'!$C$6:$AL$89,MATCH($C31,'[2]End - Use Prices'!$A$6:$A$89,0)+MATCH($D31,'[2]End - Use Prices'!$B$9:$B$11,0)-1,MATCH(BG$1,'[2]End - Use Prices'!$C$7:$AL$7,0))</f>
        <v>99.32</v>
      </c>
      <c r="BR31" s="39"/>
      <c r="BS31" s="39"/>
      <c r="BT31" s="39"/>
      <c r="BU31" s="39"/>
      <c r="BV31" s="39"/>
      <c r="BW31" s="39"/>
      <c r="BX31" s="39"/>
      <c r="BY31" s="39"/>
      <c r="BZ31" s="39"/>
      <c r="CA31" s="39"/>
    </row>
    <row r="32" spans="1:79">
      <c r="A32" s="5"/>
      <c r="B32" s="3"/>
      <c r="C32" s="25" t="s">
        <v>47</v>
      </c>
      <c r="D32" s="25" t="s">
        <v>13</v>
      </c>
      <c r="E32" s="25" t="s">
        <v>277</v>
      </c>
      <c r="F32" s="67" t="s">
        <v>275</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INDEX('[2]End - Use Prices'!$C$6:$AL$89,MATCH($C32,'[2]End - Use Prices'!$A$6:$A$89,0)+MATCH($D32,'[2]End - Use Prices'!$B$9:$B$11,0)-1,MATCH(X$1,'[2]End - Use Prices'!$C$7:$AL$7,0))</f>
        <v>15.81</v>
      </c>
      <c r="Y32" s="41">
        <f>INDEX('[2]End - Use Prices'!$C$6:$AL$89,MATCH($C32,'[2]End - Use Prices'!$A$6:$A$89,0)+MATCH($D32,'[2]End - Use Prices'!$B$9:$B$11,0)-1,MATCH(Y$1,'[2]End - Use Prices'!$C$7:$AL$7,0))</f>
        <v>16.04</v>
      </c>
      <c r="Z32" s="41">
        <f>INDEX('[2]End - Use Prices'!$C$6:$AL$89,MATCH($C32,'[2]End - Use Prices'!$A$6:$A$89,0)+MATCH($D32,'[2]End - Use Prices'!$B$9:$B$11,0)-1,MATCH(Z$1,'[2]End - Use Prices'!$C$7:$AL$7,0))</f>
        <v>14.76</v>
      </c>
      <c r="AA32" s="41">
        <f>INDEX('[2]End - Use Prices'!$C$6:$AL$89,MATCH($C32,'[2]End - Use Prices'!$A$6:$A$89,0)+MATCH($D32,'[2]End - Use Prices'!$B$9:$B$11,0)-1,MATCH(AA$1,'[2]End - Use Prices'!$C$7:$AL$7,0))</f>
        <v>14.82</v>
      </c>
      <c r="AB32" s="41">
        <f>INDEX('[2]End - Use Prices'!$C$6:$AL$89,MATCH($C32,'[2]End - Use Prices'!$A$6:$A$89,0)+MATCH($D32,'[2]End - Use Prices'!$B$9:$B$11,0)-1,MATCH(AB$1,'[2]End - Use Prices'!$C$7:$AL$7,0))</f>
        <v>12.89</v>
      </c>
      <c r="AC32" s="41">
        <f>INDEX('[2]End - Use Prices'!$C$6:$AL$89,MATCH($C32,'[2]End - Use Prices'!$A$6:$A$89,0)+MATCH($D32,'[2]End - Use Prices'!$B$9:$B$11,0)-1,MATCH(AC$1,'[2]End - Use Prices'!$C$7:$AL$7,0))</f>
        <v>12.69</v>
      </c>
      <c r="AD32" s="41">
        <f>INDEX('[2]End - Use Prices'!$C$6:$AL$89,MATCH($C32,'[2]End - Use Prices'!$A$6:$A$89,0)+MATCH($D32,'[2]End - Use Prices'!$B$9:$B$11,0)-1,MATCH(AD$1,'[2]End - Use Prices'!$C$7:$AL$7,0))</f>
        <v>11.75</v>
      </c>
      <c r="AE32" s="41">
        <f>INDEX('[2]End - Use Prices'!$C$6:$AL$89,MATCH($C32,'[2]End - Use Prices'!$A$6:$A$89,0)+MATCH($D32,'[2]End - Use Prices'!$B$9:$B$11,0)-1,MATCH(AE$1,'[2]End - Use Prices'!$C$7:$AL$7,0))</f>
        <v>10.82</v>
      </c>
      <c r="AF32" s="41">
        <f>INDEX('[2]End - Use Prices'!$C$6:$AL$89,MATCH($C32,'[2]End - Use Prices'!$A$6:$A$89,0)+MATCH($D32,'[2]End - Use Prices'!$B$9:$B$11,0)-1,MATCH(AF$1,'[2]End - Use Prices'!$C$7:$AL$7,0))</f>
        <v>10.77</v>
      </c>
      <c r="AG32" s="41">
        <f>INDEX('[2]End - Use Prices'!$C$6:$AL$89,MATCH($C32,'[2]End - Use Prices'!$A$6:$A$89,0)+MATCH($D32,'[2]End - Use Prices'!$B$9:$B$11,0)-1,MATCH(AG$1,'[2]End - Use Prices'!$C$7:$AL$7,0))</f>
        <v>11.71</v>
      </c>
      <c r="AH32" s="41">
        <f>INDEX('[2]End - Use Prices'!$C$6:$AL$89,MATCH($C32,'[2]End - Use Prices'!$A$6:$A$89,0)+MATCH($D32,'[2]End - Use Prices'!$B$9:$B$11,0)-1,MATCH(AH$1,'[2]End - Use Prices'!$C$7:$AL$7,0))</f>
        <v>10.65</v>
      </c>
      <c r="AI32" s="41">
        <f>INDEX('[2]End - Use Prices'!$C$6:$AL$89,MATCH($C32,'[2]End - Use Prices'!$A$6:$A$89,0)+MATCH($D32,'[2]End - Use Prices'!$B$9:$B$11,0)-1,MATCH(AI$1,'[2]End - Use Prices'!$C$7:$AL$7,0))</f>
        <v>8.93</v>
      </c>
      <c r="AJ32" s="41">
        <f>INDEX('[2]End - Use Prices'!$C$6:$AL$89,MATCH($C32,'[2]End - Use Prices'!$A$6:$A$89,0)+MATCH($D32,'[2]End - Use Prices'!$B$9:$B$11,0)-1,MATCH(AJ$1,'[2]End - Use Prices'!$C$7:$AL$7,0))</f>
        <v>10.82</v>
      </c>
      <c r="AK32" s="41">
        <f>INDEX('[2]End - Use Prices'!$C$6:$AL$89,MATCH($C32,'[2]End - Use Prices'!$A$6:$A$89,0)+MATCH($D32,'[2]End - Use Prices'!$B$9:$B$11,0)-1,MATCH(AK$1,'[2]End - Use Prices'!$C$7:$AL$7,0))</f>
        <v>9.86</v>
      </c>
      <c r="AL32" s="41">
        <f>INDEX('[2]End - Use Prices'!$C$6:$AL$89,MATCH($C32,'[2]End - Use Prices'!$A$6:$A$89,0)+MATCH($D32,'[2]End - Use Prices'!$B$9:$B$11,0)-1,MATCH(AL$1,'[2]End - Use Prices'!$C$7:$AL$7,0))</f>
        <v>9.5299999999999994</v>
      </c>
      <c r="AM32" s="41">
        <f>INDEX('[2]End - Use Prices'!$C$6:$AL$89,MATCH($C32,'[2]End - Use Prices'!$A$6:$A$89,0)+MATCH($D32,'[2]End - Use Prices'!$B$9:$B$11,0)-1,MATCH(AM$1,'[2]End - Use Prices'!$C$7:$AL$7,0))</f>
        <v>9.67</v>
      </c>
      <c r="AN32" s="41">
        <f>INDEX('[2]End - Use Prices'!$C$6:$AL$89,MATCH($C32,'[2]End - Use Prices'!$A$6:$A$89,0)+MATCH($D32,'[2]End - Use Prices'!$B$9:$B$11,0)-1,MATCH(AN$1,'[2]End - Use Prices'!$C$7:$AL$7,0))</f>
        <v>9.8699999999999992</v>
      </c>
      <c r="AO32" s="41">
        <f>INDEX('[2]End - Use Prices'!$C$6:$AL$89,MATCH($C32,'[2]End - Use Prices'!$A$6:$A$89,0)+MATCH($D32,'[2]End - Use Prices'!$B$9:$B$11,0)-1,MATCH(AO$1,'[2]End - Use Prices'!$C$7:$AL$7,0))</f>
        <v>10.19</v>
      </c>
      <c r="AP32" s="41">
        <f>INDEX('[2]End - Use Prices'!$C$6:$AL$89,MATCH($C32,'[2]End - Use Prices'!$A$6:$A$89,0)+MATCH($D32,'[2]End - Use Prices'!$B$9:$B$11,0)-1,MATCH(AP$1,'[2]End - Use Prices'!$C$7:$AL$7,0))</f>
        <v>10.44</v>
      </c>
      <c r="AQ32" s="41">
        <f>INDEX('[2]End - Use Prices'!$C$6:$AL$89,MATCH($C32,'[2]End - Use Prices'!$A$6:$A$89,0)+MATCH($D32,'[2]End - Use Prices'!$B$9:$B$11,0)-1,MATCH(AQ$1,'[2]End - Use Prices'!$C$7:$AL$7,0))</f>
        <v>10.53</v>
      </c>
      <c r="AR32" s="41">
        <f>INDEX('[2]End - Use Prices'!$C$6:$AL$89,MATCH($C32,'[2]End - Use Prices'!$A$6:$A$89,0)+MATCH($D32,'[2]End - Use Prices'!$B$9:$B$11,0)-1,MATCH(AR$1,'[2]End - Use Prices'!$C$7:$AL$7,0))</f>
        <v>10.64</v>
      </c>
      <c r="AS32" s="41">
        <f>INDEX('[2]End - Use Prices'!$C$6:$AL$89,MATCH($C32,'[2]End - Use Prices'!$A$6:$A$89,0)+MATCH($D32,'[2]End - Use Prices'!$B$9:$B$11,0)-1,MATCH(AS$1,'[2]End - Use Prices'!$C$7:$AL$7,0))</f>
        <v>10.82</v>
      </c>
      <c r="AT32" s="41">
        <f>INDEX('[2]End - Use Prices'!$C$6:$AL$89,MATCH($C32,'[2]End - Use Prices'!$A$6:$A$89,0)+MATCH($D32,'[2]End - Use Prices'!$B$9:$B$11,0)-1,MATCH(AT$1,'[2]End - Use Prices'!$C$7:$AL$7,0))</f>
        <v>10.85</v>
      </c>
      <c r="AU32" s="41">
        <f>INDEX('[2]End - Use Prices'!$C$6:$AL$89,MATCH($C32,'[2]End - Use Prices'!$A$6:$A$89,0)+MATCH($D32,'[2]End - Use Prices'!$B$9:$B$11,0)-1,MATCH(AU$1,'[2]End - Use Prices'!$C$7:$AL$7,0))</f>
        <v>10.9</v>
      </c>
      <c r="AV32" s="41">
        <f>INDEX('[2]End - Use Prices'!$C$6:$AL$89,MATCH($C32,'[2]End - Use Prices'!$A$6:$A$89,0)+MATCH($D32,'[2]End - Use Prices'!$B$9:$B$11,0)-1,MATCH(AV$1,'[2]End - Use Prices'!$C$7:$AL$7,0))</f>
        <v>10.96</v>
      </c>
      <c r="AW32" s="41">
        <f>INDEX('[2]End - Use Prices'!$C$6:$AL$89,MATCH($C32,'[2]End - Use Prices'!$A$6:$A$89,0)+MATCH($D32,'[2]End - Use Prices'!$B$9:$B$11,0)-1,MATCH(AW$1,'[2]End - Use Prices'!$C$7:$AL$7,0))</f>
        <v>11.02</v>
      </c>
      <c r="AX32" s="41">
        <f>INDEX('[2]End - Use Prices'!$C$6:$AL$89,MATCH($C32,'[2]End - Use Prices'!$A$6:$A$89,0)+MATCH($D32,'[2]End - Use Prices'!$B$9:$B$11,0)-1,MATCH(AX$1,'[2]End - Use Prices'!$C$7:$AL$7,0))</f>
        <v>11.09</v>
      </c>
      <c r="AY32" s="41">
        <f>INDEX('[2]End - Use Prices'!$C$6:$AL$89,MATCH($C32,'[2]End - Use Prices'!$A$6:$A$89,0)+MATCH($D32,'[2]End - Use Prices'!$B$9:$B$11,0)-1,MATCH(AY$1,'[2]End - Use Prices'!$C$7:$AL$7,0))</f>
        <v>11.18</v>
      </c>
      <c r="AZ32" s="41">
        <f>INDEX('[2]End - Use Prices'!$C$6:$AL$89,MATCH($C32,'[2]End - Use Prices'!$A$6:$A$89,0)+MATCH($D32,'[2]End - Use Prices'!$B$9:$B$11,0)-1,MATCH(AZ$1,'[2]End - Use Prices'!$C$7:$AL$7,0))</f>
        <v>11.28</v>
      </c>
      <c r="BA32" s="41">
        <f>INDEX('[2]End - Use Prices'!$C$6:$AL$89,MATCH($C32,'[2]End - Use Prices'!$A$6:$A$89,0)+MATCH($D32,'[2]End - Use Prices'!$B$9:$B$11,0)-1,MATCH(BA$1,'[2]End - Use Prices'!$C$7:$AL$7,0))</f>
        <v>11.33</v>
      </c>
      <c r="BB32" s="41">
        <f>INDEX('[2]End - Use Prices'!$C$6:$AL$89,MATCH($C32,'[2]End - Use Prices'!$A$6:$A$89,0)+MATCH($D32,'[2]End - Use Prices'!$B$9:$B$11,0)-1,MATCH(BB$1,'[2]End - Use Prices'!$C$7:$AL$7,0))</f>
        <v>11.37</v>
      </c>
      <c r="BC32" s="41">
        <f>INDEX('[2]End - Use Prices'!$C$6:$AL$89,MATCH($C32,'[2]End - Use Prices'!$A$6:$A$89,0)+MATCH($D32,'[2]End - Use Prices'!$B$9:$B$11,0)-1,MATCH(BC$1,'[2]End - Use Prices'!$C$7:$AL$7,0))</f>
        <v>11.41</v>
      </c>
      <c r="BD32" s="41">
        <f>INDEX('[2]End - Use Prices'!$C$6:$AL$89,MATCH($C32,'[2]End - Use Prices'!$A$6:$A$89,0)+MATCH($D32,'[2]End - Use Prices'!$B$9:$B$11,0)-1,MATCH(BD$1,'[2]End - Use Prices'!$C$7:$AL$7,0))</f>
        <v>11.43</v>
      </c>
      <c r="BE32" s="41">
        <f>INDEX('[2]End - Use Prices'!$C$6:$AL$89,MATCH($C32,'[2]End - Use Prices'!$A$6:$A$89,0)+MATCH($D32,'[2]End - Use Prices'!$B$9:$B$11,0)-1,MATCH(BE$1,'[2]End - Use Prices'!$C$7:$AL$7,0))</f>
        <v>11.43</v>
      </c>
      <c r="BF32" s="41">
        <f>INDEX('[2]End - Use Prices'!$C$6:$AL$89,MATCH($C32,'[2]End - Use Prices'!$A$6:$A$89,0)+MATCH($D32,'[2]End - Use Prices'!$B$9:$B$11,0)-1,MATCH(BF$1,'[2]End - Use Prices'!$C$7:$AL$7,0))</f>
        <v>11.44</v>
      </c>
      <c r="BG32" s="41">
        <f>INDEX('[2]End - Use Prices'!$C$6:$AL$89,MATCH($C32,'[2]End - Use Prices'!$A$6:$A$89,0)+MATCH($D32,'[2]End - Use Prices'!$B$9:$B$11,0)-1,MATCH(BG$1,'[2]End - Use Prices'!$C$7:$AL$7,0))</f>
        <v>11.44</v>
      </c>
      <c r="BR32" s="39"/>
      <c r="BS32" s="39"/>
      <c r="BT32" s="39"/>
      <c r="BU32" s="39"/>
      <c r="BV32" s="39"/>
      <c r="BW32" s="39"/>
      <c r="BX32" s="39"/>
      <c r="BY32" s="39"/>
      <c r="BZ32" s="39"/>
      <c r="CA32" s="39"/>
    </row>
    <row r="33" spans="1:79">
      <c r="A33" s="5"/>
      <c r="B33" s="3"/>
      <c r="C33" s="25" t="s">
        <v>84</v>
      </c>
      <c r="D33" s="25" t="s">
        <v>13</v>
      </c>
      <c r="E33" s="25" t="s">
        <v>277</v>
      </c>
      <c r="F33" s="67" t="s">
        <v>275</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INDEX('[2]End - Use Prices'!$C$6:$AL$89,MATCH($C33,'[2]End - Use Prices'!$A$6:$A$89,0)+MATCH($D33,'[2]End - Use Prices'!$B$9:$B$11,0)-1,MATCH(X$1,'[2]End - Use Prices'!$C$7:$AL$7,0))</f>
        <v>18.899999999999999</v>
      </c>
      <c r="Y33" s="41">
        <f>INDEX('[2]End - Use Prices'!$C$6:$AL$89,MATCH($C33,'[2]End - Use Prices'!$A$6:$A$89,0)+MATCH($D33,'[2]End - Use Prices'!$B$9:$B$11,0)-1,MATCH(Y$1,'[2]End - Use Prices'!$C$7:$AL$7,0))</f>
        <v>18.940000000000001</v>
      </c>
      <c r="Z33" s="41">
        <f>INDEX('[2]End - Use Prices'!$C$6:$AL$89,MATCH($C33,'[2]End - Use Prices'!$A$6:$A$89,0)+MATCH($D33,'[2]End - Use Prices'!$B$9:$B$11,0)-1,MATCH(Z$1,'[2]End - Use Prices'!$C$7:$AL$7,0))</f>
        <v>11.86</v>
      </c>
      <c r="AA33" s="41">
        <f>INDEX('[2]End - Use Prices'!$C$6:$AL$89,MATCH($C33,'[2]End - Use Prices'!$A$6:$A$89,0)+MATCH($D33,'[2]End - Use Prices'!$B$9:$B$11,0)-1,MATCH(AA$1,'[2]End - Use Prices'!$C$7:$AL$7,0))</f>
        <v>14.01</v>
      </c>
      <c r="AB33" s="41">
        <f>INDEX('[2]End - Use Prices'!$C$6:$AL$89,MATCH($C33,'[2]End - Use Prices'!$A$6:$A$89,0)+MATCH($D33,'[2]End - Use Prices'!$B$9:$B$11,0)-1,MATCH(AB$1,'[2]End - Use Prices'!$C$7:$AL$7,0))</f>
        <v>14.6</v>
      </c>
      <c r="AC33" s="41">
        <f>INDEX('[2]End - Use Prices'!$C$6:$AL$89,MATCH($C33,'[2]End - Use Prices'!$A$6:$A$89,0)+MATCH($D33,'[2]End - Use Prices'!$B$9:$B$11,0)-1,MATCH(AC$1,'[2]End - Use Prices'!$C$7:$AL$7,0))</f>
        <v>20.09</v>
      </c>
      <c r="AD33" s="41">
        <f>INDEX('[2]End - Use Prices'!$C$6:$AL$89,MATCH($C33,'[2]End - Use Prices'!$A$6:$A$89,0)+MATCH($D33,'[2]End - Use Prices'!$B$9:$B$11,0)-1,MATCH(AD$1,'[2]End - Use Prices'!$C$7:$AL$7,0))</f>
        <v>17.2</v>
      </c>
      <c r="AE33" s="41">
        <f>INDEX('[2]End - Use Prices'!$C$6:$AL$89,MATCH($C33,'[2]End - Use Prices'!$A$6:$A$89,0)+MATCH($D33,'[2]End - Use Prices'!$B$9:$B$11,0)-1,MATCH(AE$1,'[2]End - Use Prices'!$C$7:$AL$7,0))</f>
        <v>17.59</v>
      </c>
      <c r="AF33" s="41">
        <f>INDEX('[2]End - Use Prices'!$C$6:$AL$89,MATCH($C33,'[2]End - Use Prices'!$A$6:$A$89,0)+MATCH($D33,'[2]End - Use Prices'!$B$9:$B$11,0)-1,MATCH(AF$1,'[2]End - Use Prices'!$C$7:$AL$7,0))</f>
        <v>18.75</v>
      </c>
      <c r="AG33" s="41">
        <f>INDEX('[2]End - Use Prices'!$C$6:$AL$89,MATCH($C33,'[2]End - Use Prices'!$A$6:$A$89,0)+MATCH($D33,'[2]End - Use Prices'!$B$9:$B$11,0)-1,MATCH(AG$1,'[2]End - Use Prices'!$C$7:$AL$7,0))</f>
        <v>18.48</v>
      </c>
      <c r="AH33" s="41">
        <f>INDEX('[2]End - Use Prices'!$C$6:$AL$89,MATCH($C33,'[2]End - Use Prices'!$A$6:$A$89,0)+MATCH($D33,'[2]End - Use Prices'!$B$9:$B$11,0)-1,MATCH(AH$1,'[2]End - Use Prices'!$C$7:$AL$7,0))</f>
        <v>13.86</v>
      </c>
      <c r="AI33" s="41">
        <f>INDEX('[2]End - Use Prices'!$C$6:$AL$89,MATCH($C33,'[2]End - Use Prices'!$A$6:$A$89,0)+MATCH($D33,'[2]End - Use Prices'!$B$9:$B$11,0)-1,MATCH(AI$1,'[2]End - Use Prices'!$C$7:$AL$7,0))</f>
        <v>9.4700000000000006</v>
      </c>
      <c r="AJ33" s="41">
        <f>INDEX('[2]End - Use Prices'!$C$6:$AL$89,MATCH($C33,'[2]End - Use Prices'!$A$6:$A$89,0)+MATCH($D33,'[2]End - Use Prices'!$B$9:$B$11,0)-1,MATCH(AJ$1,'[2]End - Use Prices'!$C$7:$AL$7,0))</f>
        <v>10.75</v>
      </c>
      <c r="AK33" s="41">
        <f>INDEX('[2]End - Use Prices'!$C$6:$AL$89,MATCH($C33,'[2]End - Use Prices'!$A$6:$A$89,0)+MATCH($D33,'[2]End - Use Prices'!$B$9:$B$11,0)-1,MATCH(AK$1,'[2]End - Use Prices'!$C$7:$AL$7,0))</f>
        <v>10.63</v>
      </c>
      <c r="AL33" s="41">
        <f>INDEX('[2]End - Use Prices'!$C$6:$AL$89,MATCH($C33,'[2]End - Use Prices'!$A$6:$A$89,0)+MATCH($D33,'[2]End - Use Prices'!$B$9:$B$11,0)-1,MATCH(AL$1,'[2]End - Use Prices'!$C$7:$AL$7,0))</f>
        <v>10.61</v>
      </c>
      <c r="AM33" s="41">
        <f>INDEX('[2]End - Use Prices'!$C$6:$AL$89,MATCH($C33,'[2]End - Use Prices'!$A$6:$A$89,0)+MATCH($D33,'[2]End - Use Prices'!$B$9:$B$11,0)-1,MATCH(AM$1,'[2]End - Use Prices'!$C$7:$AL$7,0))</f>
        <v>10.91</v>
      </c>
      <c r="AN33" s="41">
        <f>INDEX('[2]End - Use Prices'!$C$6:$AL$89,MATCH($C33,'[2]End - Use Prices'!$A$6:$A$89,0)+MATCH($D33,'[2]End - Use Prices'!$B$9:$B$11,0)-1,MATCH(AN$1,'[2]End - Use Prices'!$C$7:$AL$7,0))</f>
        <v>11.07</v>
      </c>
      <c r="AO33" s="41">
        <f>INDEX('[2]End - Use Prices'!$C$6:$AL$89,MATCH($C33,'[2]End - Use Prices'!$A$6:$A$89,0)+MATCH($D33,'[2]End - Use Prices'!$B$9:$B$11,0)-1,MATCH(AO$1,'[2]End - Use Prices'!$C$7:$AL$7,0))</f>
        <v>11.22</v>
      </c>
      <c r="AP33" s="41">
        <f>INDEX('[2]End - Use Prices'!$C$6:$AL$89,MATCH($C33,'[2]End - Use Prices'!$A$6:$A$89,0)+MATCH($D33,'[2]End - Use Prices'!$B$9:$B$11,0)-1,MATCH(AP$1,'[2]End - Use Prices'!$C$7:$AL$7,0))</f>
        <v>11.35</v>
      </c>
      <c r="AQ33" s="41">
        <f>INDEX('[2]End - Use Prices'!$C$6:$AL$89,MATCH($C33,'[2]End - Use Prices'!$A$6:$A$89,0)+MATCH($D33,'[2]End - Use Prices'!$B$9:$B$11,0)-1,MATCH(AQ$1,'[2]End - Use Prices'!$C$7:$AL$7,0))</f>
        <v>11.35</v>
      </c>
      <c r="AR33" s="41">
        <f>INDEX('[2]End - Use Prices'!$C$6:$AL$89,MATCH($C33,'[2]End - Use Prices'!$A$6:$A$89,0)+MATCH($D33,'[2]End - Use Prices'!$B$9:$B$11,0)-1,MATCH(AR$1,'[2]End - Use Prices'!$C$7:$AL$7,0))</f>
        <v>11.38</v>
      </c>
      <c r="AS33" s="41">
        <f>INDEX('[2]End - Use Prices'!$C$6:$AL$89,MATCH($C33,'[2]End - Use Prices'!$A$6:$A$89,0)+MATCH($D33,'[2]End - Use Prices'!$B$9:$B$11,0)-1,MATCH(AS$1,'[2]End - Use Prices'!$C$7:$AL$7,0))</f>
        <v>11.48</v>
      </c>
      <c r="AT33" s="41">
        <f>INDEX('[2]End - Use Prices'!$C$6:$AL$89,MATCH($C33,'[2]End - Use Prices'!$A$6:$A$89,0)+MATCH($D33,'[2]End - Use Prices'!$B$9:$B$11,0)-1,MATCH(AT$1,'[2]End - Use Prices'!$C$7:$AL$7,0))</f>
        <v>11.57</v>
      </c>
      <c r="AU33" s="41">
        <f>INDEX('[2]End - Use Prices'!$C$6:$AL$89,MATCH($C33,'[2]End - Use Prices'!$A$6:$A$89,0)+MATCH($D33,'[2]End - Use Prices'!$B$9:$B$11,0)-1,MATCH(AU$1,'[2]End - Use Prices'!$C$7:$AL$7,0))</f>
        <v>11.67</v>
      </c>
      <c r="AV33" s="41">
        <f>INDEX('[2]End - Use Prices'!$C$6:$AL$89,MATCH($C33,'[2]End - Use Prices'!$A$6:$A$89,0)+MATCH($D33,'[2]End - Use Prices'!$B$9:$B$11,0)-1,MATCH(AV$1,'[2]End - Use Prices'!$C$7:$AL$7,0))</f>
        <v>11.79</v>
      </c>
      <c r="AW33" s="41">
        <f>INDEX('[2]End - Use Prices'!$C$6:$AL$89,MATCH($C33,'[2]End - Use Prices'!$A$6:$A$89,0)+MATCH($D33,'[2]End - Use Prices'!$B$9:$B$11,0)-1,MATCH(AW$1,'[2]End - Use Prices'!$C$7:$AL$7,0))</f>
        <v>11.9</v>
      </c>
      <c r="AX33" s="41">
        <f>INDEX('[2]End - Use Prices'!$C$6:$AL$89,MATCH($C33,'[2]End - Use Prices'!$A$6:$A$89,0)+MATCH($D33,'[2]End - Use Prices'!$B$9:$B$11,0)-1,MATCH(AX$1,'[2]End - Use Prices'!$C$7:$AL$7,0))</f>
        <v>12.02</v>
      </c>
      <c r="AY33" s="41">
        <f>INDEX('[2]End - Use Prices'!$C$6:$AL$89,MATCH($C33,'[2]End - Use Prices'!$A$6:$A$89,0)+MATCH($D33,'[2]End - Use Prices'!$B$9:$B$11,0)-1,MATCH(AY$1,'[2]End - Use Prices'!$C$7:$AL$7,0))</f>
        <v>12.15</v>
      </c>
      <c r="AZ33" s="41">
        <f>INDEX('[2]End - Use Prices'!$C$6:$AL$89,MATCH($C33,'[2]End - Use Prices'!$A$6:$A$89,0)+MATCH($D33,'[2]End - Use Prices'!$B$9:$B$11,0)-1,MATCH(AZ$1,'[2]End - Use Prices'!$C$7:$AL$7,0))</f>
        <v>12.3</v>
      </c>
      <c r="BA33" s="41">
        <f>INDEX('[2]End - Use Prices'!$C$6:$AL$89,MATCH($C33,'[2]End - Use Prices'!$A$6:$A$89,0)+MATCH($D33,'[2]End - Use Prices'!$B$9:$B$11,0)-1,MATCH(BA$1,'[2]End - Use Prices'!$C$7:$AL$7,0))</f>
        <v>12.38</v>
      </c>
      <c r="BB33" s="41">
        <f>INDEX('[2]End - Use Prices'!$C$6:$AL$89,MATCH($C33,'[2]End - Use Prices'!$A$6:$A$89,0)+MATCH($D33,'[2]End - Use Prices'!$B$9:$B$11,0)-1,MATCH(BB$1,'[2]End - Use Prices'!$C$7:$AL$7,0))</f>
        <v>12.45</v>
      </c>
      <c r="BC33" s="41">
        <f>INDEX('[2]End - Use Prices'!$C$6:$AL$89,MATCH($C33,'[2]End - Use Prices'!$A$6:$A$89,0)+MATCH($D33,'[2]End - Use Prices'!$B$9:$B$11,0)-1,MATCH(BC$1,'[2]End - Use Prices'!$C$7:$AL$7,0))</f>
        <v>12.52</v>
      </c>
      <c r="BD33" s="41">
        <f>INDEX('[2]End - Use Prices'!$C$6:$AL$89,MATCH($C33,'[2]End - Use Prices'!$A$6:$A$89,0)+MATCH($D33,'[2]End - Use Prices'!$B$9:$B$11,0)-1,MATCH(BD$1,'[2]End - Use Prices'!$C$7:$AL$7,0))</f>
        <v>12.57</v>
      </c>
      <c r="BE33" s="41">
        <f>INDEX('[2]End - Use Prices'!$C$6:$AL$89,MATCH($C33,'[2]End - Use Prices'!$A$6:$A$89,0)+MATCH($D33,'[2]End - Use Prices'!$B$9:$B$11,0)-1,MATCH(BE$1,'[2]End - Use Prices'!$C$7:$AL$7,0))</f>
        <v>12.6</v>
      </c>
      <c r="BF33" s="41">
        <f>INDEX('[2]End - Use Prices'!$C$6:$AL$89,MATCH($C33,'[2]End - Use Prices'!$A$6:$A$89,0)+MATCH($D33,'[2]End - Use Prices'!$B$9:$B$11,0)-1,MATCH(BF$1,'[2]End - Use Prices'!$C$7:$AL$7,0))</f>
        <v>12.64</v>
      </c>
      <c r="BG33" s="41">
        <f>INDEX('[2]End - Use Prices'!$C$6:$AL$89,MATCH($C33,'[2]End - Use Prices'!$A$6:$A$89,0)+MATCH($D33,'[2]End - Use Prices'!$B$9:$B$11,0)-1,MATCH(BG$1,'[2]End - Use Prices'!$C$7:$AL$7,0))</f>
        <v>12.67</v>
      </c>
      <c r="BR33" s="39"/>
      <c r="BS33" s="39"/>
      <c r="BT33" s="39"/>
      <c r="BU33" s="39"/>
      <c r="BV33" s="39"/>
      <c r="BW33" s="39"/>
      <c r="BX33" s="39"/>
      <c r="BY33" s="39"/>
      <c r="BZ33" s="39"/>
      <c r="CA33" s="39"/>
    </row>
    <row r="34" spans="1:79">
      <c r="A34" s="5"/>
      <c r="B34" s="3"/>
      <c r="C34" s="25" t="s">
        <v>85</v>
      </c>
      <c r="D34" s="25" t="s">
        <v>13</v>
      </c>
      <c r="E34" s="25" t="s">
        <v>277</v>
      </c>
      <c r="F34" s="67" t="s">
        <v>275</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INDEX('[2]End - Use Prices'!$C$6:$AL$89,MATCH($C34,'[2]End - Use Prices'!$A$6:$A$89,0)+MATCH($D34,'[2]End - Use Prices'!$B$9:$B$11,0)-1,MATCH(X$1,'[2]End - Use Prices'!$C$7:$AL$7,0))</f>
        <v>18.899999999999999</v>
      </c>
      <c r="Y34" s="41">
        <f>INDEX('[2]End - Use Prices'!$C$6:$AL$89,MATCH($C34,'[2]End - Use Prices'!$A$6:$A$89,0)+MATCH($D34,'[2]End - Use Prices'!$B$9:$B$11,0)-1,MATCH(Y$1,'[2]End - Use Prices'!$C$7:$AL$7,0))</f>
        <v>18.940000000000001</v>
      </c>
      <c r="Z34" s="41">
        <f>INDEX('[2]End - Use Prices'!$C$6:$AL$89,MATCH($C34,'[2]End - Use Prices'!$A$6:$A$89,0)+MATCH($D34,'[2]End - Use Prices'!$B$9:$B$11,0)-1,MATCH(Z$1,'[2]End - Use Prices'!$C$7:$AL$7,0))</f>
        <v>11.86</v>
      </c>
      <c r="AA34" s="41">
        <f>INDEX('[2]End - Use Prices'!$C$6:$AL$89,MATCH($C34,'[2]End - Use Prices'!$A$6:$A$89,0)+MATCH($D34,'[2]End - Use Prices'!$B$9:$B$11,0)-1,MATCH(AA$1,'[2]End - Use Prices'!$C$7:$AL$7,0))</f>
        <v>14.01</v>
      </c>
      <c r="AB34" s="41">
        <f>INDEX('[2]End - Use Prices'!$C$6:$AL$89,MATCH($C34,'[2]End - Use Prices'!$A$6:$A$89,0)+MATCH($D34,'[2]End - Use Prices'!$B$9:$B$11,0)-1,MATCH(AB$1,'[2]End - Use Prices'!$C$7:$AL$7,0))</f>
        <v>14.6</v>
      </c>
      <c r="AC34" s="41">
        <f>INDEX('[2]End - Use Prices'!$C$6:$AL$89,MATCH($C34,'[2]End - Use Prices'!$A$6:$A$89,0)+MATCH($D34,'[2]End - Use Prices'!$B$9:$B$11,0)-1,MATCH(AC$1,'[2]End - Use Prices'!$C$7:$AL$7,0))</f>
        <v>20.09</v>
      </c>
      <c r="AD34" s="41">
        <f>INDEX('[2]End - Use Prices'!$C$6:$AL$89,MATCH($C34,'[2]End - Use Prices'!$A$6:$A$89,0)+MATCH($D34,'[2]End - Use Prices'!$B$9:$B$11,0)-1,MATCH(AD$1,'[2]End - Use Prices'!$C$7:$AL$7,0))</f>
        <v>17.2</v>
      </c>
      <c r="AE34" s="41">
        <f>INDEX('[2]End - Use Prices'!$C$6:$AL$89,MATCH($C34,'[2]End - Use Prices'!$A$6:$A$89,0)+MATCH($D34,'[2]End - Use Prices'!$B$9:$B$11,0)-1,MATCH(AE$1,'[2]End - Use Prices'!$C$7:$AL$7,0))</f>
        <v>17.59</v>
      </c>
      <c r="AF34" s="41">
        <f>INDEX('[2]End - Use Prices'!$C$6:$AL$89,MATCH($C34,'[2]End - Use Prices'!$A$6:$A$89,0)+MATCH($D34,'[2]End - Use Prices'!$B$9:$B$11,0)-1,MATCH(AF$1,'[2]End - Use Prices'!$C$7:$AL$7,0))</f>
        <v>18.38</v>
      </c>
      <c r="AG34" s="41">
        <f>INDEX('[2]End - Use Prices'!$C$6:$AL$89,MATCH($C34,'[2]End - Use Prices'!$A$6:$A$89,0)+MATCH($D34,'[2]End - Use Prices'!$B$9:$B$11,0)-1,MATCH(AG$1,'[2]End - Use Prices'!$C$7:$AL$7,0))</f>
        <v>18.48</v>
      </c>
      <c r="AH34" s="41">
        <f>INDEX('[2]End - Use Prices'!$C$6:$AL$89,MATCH($C34,'[2]End - Use Prices'!$A$6:$A$89,0)+MATCH($D34,'[2]End - Use Prices'!$B$9:$B$11,0)-1,MATCH(AH$1,'[2]End - Use Prices'!$C$7:$AL$7,0))</f>
        <v>10.53</v>
      </c>
      <c r="AI34" s="41">
        <f>INDEX('[2]End - Use Prices'!$C$6:$AL$89,MATCH($C34,'[2]End - Use Prices'!$A$6:$A$89,0)+MATCH($D34,'[2]End - Use Prices'!$B$9:$B$11,0)-1,MATCH(AI$1,'[2]End - Use Prices'!$C$7:$AL$7,0))</f>
        <v>9.49</v>
      </c>
      <c r="AJ34" s="41">
        <f>INDEX('[2]End - Use Prices'!$C$6:$AL$89,MATCH($C34,'[2]End - Use Prices'!$A$6:$A$89,0)+MATCH($D34,'[2]End - Use Prices'!$B$9:$B$11,0)-1,MATCH(AJ$1,'[2]End - Use Prices'!$C$7:$AL$7,0))</f>
        <v>10.75</v>
      </c>
      <c r="AK34" s="41">
        <f>INDEX('[2]End - Use Prices'!$C$6:$AL$89,MATCH($C34,'[2]End - Use Prices'!$A$6:$A$89,0)+MATCH($D34,'[2]End - Use Prices'!$B$9:$B$11,0)-1,MATCH(AK$1,'[2]End - Use Prices'!$C$7:$AL$7,0))</f>
        <v>10.63</v>
      </c>
      <c r="AL34" s="41">
        <f>INDEX('[2]End - Use Prices'!$C$6:$AL$89,MATCH($C34,'[2]End - Use Prices'!$A$6:$A$89,0)+MATCH($D34,'[2]End - Use Prices'!$B$9:$B$11,0)-1,MATCH(AL$1,'[2]End - Use Prices'!$C$7:$AL$7,0))</f>
        <v>10.61</v>
      </c>
      <c r="AM34" s="41">
        <f>INDEX('[2]End - Use Prices'!$C$6:$AL$89,MATCH($C34,'[2]End - Use Prices'!$A$6:$A$89,0)+MATCH($D34,'[2]End - Use Prices'!$B$9:$B$11,0)-1,MATCH(AM$1,'[2]End - Use Prices'!$C$7:$AL$7,0))</f>
        <v>10.91</v>
      </c>
      <c r="AN34" s="41">
        <f>INDEX('[2]End - Use Prices'!$C$6:$AL$89,MATCH($C34,'[2]End - Use Prices'!$A$6:$A$89,0)+MATCH($D34,'[2]End - Use Prices'!$B$9:$B$11,0)-1,MATCH(AN$1,'[2]End - Use Prices'!$C$7:$AL$7,0))</f>
        <v>11.07</v>
      </c>
      <c r="AO34" s="41">
        <f>INDEX('[2]End - Use Prices'!$C$6:$AL$89,MATCH($C34,'[2]End - Use Prices'!$A$6:$A$89,0)+MATCH($D34,'[2]End - Use Prices'!$B$9:$B$11,0)-1,MATCH(AO$1,'[2]End - Use Prices'!$C$7:$AL$7,0))</f>
        <v>11.22</v>
      </c>
      <c r="AP34" s="41">
        <f>INDEX('[2]End - Use Prices'!$C$6:$AL$89,MATCH($C34,'[2]End - Use Prices'!$A$6:$A$89,0)+MATCH($D34,'[2]End - Use Prices'!$B$9:$B$11,0)-1,MATCH(AP$1,'[2]End - Use Prices'!$C$7:$AL$7,0))</f>
        <v>11.35</v>
      </c>
      <c r="AQ34" s="41">
        <f>INDEX('[2]End - Use Prices'!$C$6:$AL$89,MATCH($C34,'[2]End - Use Prices'!$A$6:$A$89,0)+MATCH($D34,'[2]End - Use Prices'!$B$9:$B$11,0)-1,MATCH(AQ$1,'[2]End - Use Prices'!$C$7:$AL$7,0))</f>
        <v>11.35</v>
      </c>
      <c r="AR34" s="41">
        <f>INDEX('[2]End - Use Prices'!$C$6:$AL$89,MATCH($C34,'[2]End - Use Prices'!$A$6:$A$89,0)+MATCH($D34,'[2]End - Use Prices'!$B$9:$B$11,0)-1,MATCH(AR$1,'[2]End - Use Prices'!$C$7:$AL$7,0))</f>
        <v>11.38</v>
      </c>
      <c r="AS34" s="41">
        <f>INDEX('[2]End - Use Prices'!$C$6:$AL$89,MATCH($C34,'[2]End - Use Prices'!$A$6:$A$89,0)+MATCH($D34,'[2]End - Use Prices'!$B$9:$B$11,0)-1,MATCH(AS$1,'[2]End - Use Prices'!$C$7:$AL$7,0))</f>
        <v>11.48</v>
      </c>
      <c r="AT34" s="41">
        <f>INDEX('[2]End - Use Prices'!$C$6:$AL$89,MATCH($C34,'[2]End - Use Prices'!$A$6:$A$89,0)+MATCH($D34,'[2]End - Use Prices'!$B$9:$B$11,0)-1,MATCH(AT$1,'[2]End - Use Prices'!$C$7:$AL$7,0))</f>
        <v>11.57</v>
      </c>
      <c r="AU34" s="41">
        <f>INDEX('[2]End - Use Prices'!$C$6:$AL$89,MATCH($C34,'[2]End - Use Prices'!$A$6:$A$89,0)+MATCH($D34,'[2]End - Use Prices'!$B$9:$B$11,0)-1,MATCH(AU$1,'[2]End - Use Prices'!$C$7:$AL$7,0))</f>
        <v>11.67</v>
      </c>
      <c r="AV34" s="41">
        <f>INDEX('[2]End - Use Prices'!$C$6:$AL$89,MATCH($C34,'[2]End - Use Prices'!$A$6:$A$89,0)+MATCH($D34,'[2]End - Use Prices'!$B$9:$B$11,0)-1,MATCH(AV$1,'[2]End - Use Prices'!$C$7:$AL$7,0))</f>
        <v>11.79</v>
      </c>
      <c r="AW34" s="41">
        <f>INDEX('[2]End - Use Prices'!$C$6:$AL$89,MATCH($C34,'[2]End - Use Prices'!$A$6:$A$89,0)+MATCH($D34,'[2]End - Use Prices'!$B$9:$B$11,0)-1,MATCH(AW$1,'[2]End - Use Prices'!$C$7:$AL$7,0))</f>
        <v>11.9</v>
      </c>
      <c r="AX34" s="41">
        <f>INDEX('[2]End - Use Prices'!$C$6:$AL$89,MATCH($C34,'[2]End - Use Prices'!$A$6:$A$89,0)+MATCH($D34,'[2]End - Use Prices'!$B$9:$B$11,0)-1,MATCH(AX$1,'[2]End - Use Prices'!$C$7:$AL$7,0))</f>
        <v>12.02</v>
      </c>
      <c r="AY34" s="41">
        <f>INDEX('[2]End - Use Prices'!$C$6:$AL$89,MATCH($C34,'[2]End - Use Prices'!$A$6:$A$89,0)+MATCH($D34,'[2]End - Use Prices'!$B$9:$B$11,0)-1,MATCH(AY$1,'[2]End - Use Prices'!$C$7:$AL$7,0))</f>
        <v>12.15</v>
      </c>
      <c r="AZ34" s="41">
        <f>INDEX('[2]End - Use Prices'!$C$6:$AL$89,MATCH($C34,'[2]End - Use Prices'!$A$6:$A$89,0)+MATCH($D34,'[2]End - Use Prices'!$B$9:$B$11,0)-1,MATCH(AZ$1,'[2]End - Use Prices'!$C$7:$AL$7,0))</f>
        <v>12.3</v>
      </c>
      <c r="BA34" s="41">
        <f>INDEX('[2]End - Use Prices'!$C$6:$AL$89,MATCH($C34,'[2]End - Use Prices'!$A$6:$A$89,0)+MATCH($D34,'[2]End - Use Prices'!$B$9:$B$11,0)-1,MATCH(BA$1,'[2]End - Use Prices'!$C$7:$AL$7,0))</f>
        <v>12.38</v>
      </c>
      <c r="BB34" s="41">
        <f>INDEX('[2]End - Use Prices'!$C$6:$AL$89,MATCH($C34,'[2]End - Use Prices'!$A$6:$A$89,0)+MATCH($D34,'[2]End - Use Prices'!$B$9:$B$11,0)-1,MATCH(BB$1,'[2]End - Use Prices'!$C$7:$AL$7,0))</f>
        <v>12.45</v>
      </c>
      <c r="BC34" s="41">
        <f>INDEX('[2]End - Use Prices'!$C$6:$AL$89,MATCH($C34,'[2]End - Use Prices'!$A$6:$A$89,0)+MATCH($D34,'[2]End - Use Prices'!$B$9:$B$11,0)-1,MATCH(BC$1,'[2]End - Use Prices'!$C$7:$AL$7,0))</f>
        <v>12.52</v>
      </c>
      <c r="BD34" s="41">
        <f>INDEX('[2]End - Use Prices'!$C$6:$AL$89,MATCH($C34,'[2]End - Use Prices'!$A$6:$A$89,0)+MATCH($D34,'[2]End - Use Prices'!$B$9:$B$11,0)-1,MATCH(BD$1,'[2]End - Use Prices'!$C$7:$AL$7,0))</f>
        <v>12.57</v>
      </c>
      <c r="BE34" s="41">
        <f>INDEX('[2]End - Use Prices'!$C$6:$AL$89,MATCH($C34,'[2]End - Use Prices'!$A$6:$A$89,0)+MATCH($D34,'[2]End - Use Prices'!$B$9:$B$11,0)-1,MATCH(BE$1,'[2]End - Use Prices'!$C$7:$AL$7,0))</f>
        <v>12.6</v>
      </c>
      <c r="BF34" s="41">
        <f>INDEX('[2]End - Use Prices'!$C$6:$AL$89,MATCH($C34,'[2]End - Use Prices'!$A$6:$A$89,0)+MATCH($D34,'[2]End - Use Prices'!$B$9:$B$11,0)-1,MATCH(BF$1,'[2]End - Use Prices'!$C$7:$AL$7,0))</f>
        <v>12.64</v>
      </c>
      <c r="BG34" s="41">
        <f>INDEX('[2]End - Use Prices'!$C$6:$AL$89,MATCH($C34,'[2]End - Use Prices'!$A$6:$A$89,0)+MATCH($D34,'[2]End - Use Prices'!$B$9:$B$11,0)-1,MATCH(BG$1,'[2]End - Use Prices'!$C$7:$AL$7,0))</f>
        <v>12.67</v>
      </c>
      <c r="BR34" s="39"/>
      <c r="BS34" s="39"/>
      <c r="BT34" s="39"/>
      <c r="BU34" s="39"/>
      <c r="BV34" s="39"/>
      <c r="BW34" s="39"/>
      <c r="BX34" s="39"/>
      <c r="BY34" s="39"/>
      <c r="BZ34" s="39"/>
      <c r="CA34" s="39"/>
    </row>
    <row r="35" spans="1:79">
      <c r="A35" s="5"/>
      <c r="B35" s="3"/>
      <c r="C35" s="25" t="s">
        <v>86</v>
      </c>
      <c r="D35" s="25" t="s">
        <v>13</v>
      </c>
      <c r="E35" s="25" t="s">
        <v>277</v>
      </c>
      <c r="F35" s="67" t="s">
        <v>275</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INDEX('[2]End - Use Prices'!$C$6:$AL$89,MATCH($C35,'[2]End - Use Prices'!$A$6:$A$89,0)+MATCH($D35,'[2]End - Use Prices'!$B$9:$B$11,0)-1,MATCH(X$1,'[2]End - Use Prices'!$C$7:$AL$7,0))</f>
        <v>48.47</v>
      </c>
      <c r="Y35" s="41">
        <f>INDEX('[2]End - Use Prices'!$C$6:$AL$89,MATCH($C35,'[2]End - Use Prices'!$A$6:$A$89,0)+MATCH($D35,'[2]End - Use Prices'!$B$9:$B$11,0)-1,MATCH(Y$1,'[2]End - Use Prices'!$C$7:$AL$7,0))</f>
        <v>44.05</v>
      </c>
      <c r="Z35" s="41">
        <f>INDEX('[2]End - Use Prices'!$C$6:$AL$89,MATCH($C35,'[2]End - Use Prices'!$A$6:$A$89,0)+MATCH($D35,'[2]End - Use Prices'!$B$9:$B$11,0)-1,MATCH(Z$1,'[2]End - Use Prices'!$C$7:$AL$7,0))</f>
        <v>40.97</v>
      </c>
      <c r="AA35" s="41">
        <f>INDEX('[2]End - Use Prices'!$C$6:$AL$89,MATCH($C35,'[2]End - Use Prices'!$A$6:$A$89,0)+MATCH($D35,'[2]End - Use Prices'!$B$9:$B$11,0)-1,MATCH(AA$1,'[2]End - Use Prices'!$C$7:$AL$7,0))</f>
        <v>39.74</v>
      </c>
      <c r="AB35" s="41">
        <f>INDEX('[2]End - Use Prices'!$C$6:$AL$89,MATCH($C35,'[2]End - Use Prices'!$A$6:$A$89,0)+MATCH($D35,'[2]End - Use Prices'!$B$9:$B$11,0)-1,MATCH(AB$1,'[2]End - Use Prices'!$C$7:$AL$7,0))</f>
        <v>38.31</v>
      </c>
      <c r="AC35" s="41">
        <f>INDEX('[2]End - Use Prices'!$C$6:$AL$89,MATCH($C35,'[2]End - Use Prices'!$A$6:$A$89,0)+MATCH($D35,'[2]End - Use Prices'!$B$9:$B$11,0)-1,MATCH(AC$1,'[2]End - Use Prices'!$C$7:$AL$7,0))</f>
        <v>36.06</v>
      </c>
      <c r="AD35" s="41">
        <f>INDEX('[2]End - Use Prices'!$C$6:$AL$89,MATCH($C35,'[2]End - Use Prices'!$A$6:$A$89,0)+MATCH($D35,'[2]End - Use Prices'!$B$9:$B$11,0)-1,MATCH(AD$1,'[2]End - Use Prices'!$C$7:$AL$7,0))</f>
        <v>33.869999999999997</v>
      </c>
      <c r="AE35" s="41">
        <f>INDEX('[2]End - Use Prices'!$C$6:$AL$89,MATCH($C35,'[2]End - Use Prices'!$A$6:$A$89,0)+MATCH($D35,'[2]End - Use Prices'!$B$9:$B$11,0)-1,MATCH(AE$1,'[2]End - Use Prices'!$C$7:$AL$7,0))</f>
        <v>32.549999999999997</v>
      </c>
      <c r="AF35" s="41">
        <f>INDEX('[2]End - Use Prices'!$C$6:$AL$89,MATCH($C35,'[2]End - Use Prices'!$A$6:$A$89,0)+MATCH($D35,'[2]End - Use Prices'!$B$9:$B$11,0)-1,MATCH(AF$1,'[2]End - Use Prices'!$C$7:$AL$7,0))</f>
        <v>25.3</v>
      </c>
      <c r="AG35" s="41">
        <f>INDEX('[2]End - Use Prices'!$C$6:$AL$89,MATCH($C35,'[2]End - Use Prices'!$A$6:$A$89,0)+MATCH($D35,'[2]End - Use Prices'!$B$9:$B$11,0)-1,MATCH(AG$1,'[2]End - Use Prices'!$C$7:$AL$7,0))</f>
        <v>26.06</v>
      </c>
      <c r="AH35" s="41">
        <f>INDEX('[2]End - Use Prices'!$C$6:$AL$89,MATCH($C35,'[2]End - Use Prices'!$A$6:$A$89,0)+MATCH($D35,'[2]End - Use Prices'!$B$9:$B$11,0)-1,MATCH(AH$1,'[2]End - Use Prices'!$C$7:$AL$7,0))</f>
        <v>30.99</v>
      </c>
      <c r="AI35" s="41">
        <f>INDEX('[2]End - Use Prices'!$C$6:$AL$89,MATCH($C35,'[2]End - Use Prices'!$A$6:$A$89,0)+MATCH($D35,'[2]End - Use Prices'!$B$9:$B$11,0)-1,MATCH(AI$1,'[2]End - Use Prices'!$C$7:$AL$7,0))</f>
        <v>27.98</v>
      </c>
      <c r="AJ35" s="41">
        <f>INDEX('[2]End - Use Prices'!$C$6:$AL$89,MATCH($C35,'[2]End - Use Prices'!$A$6:$A$89,0)+MATCH($D35,'[2]End - Use Prices'!$B$9:$B$11,0)-1,MATCH(AJ$1,'[2]End - Use Prices'!$C$7:$AL$7,0))</f>
        <v>25.3</v>
      </c>
      <c r="AK35" s="41">
        <f>INDEX('[2]End - Use Prices'!$C$6:$AL$89,MATCH($C35,'[2]End - Use Prices'!$A$6:$A$89,0)+MATCH($D35,'[2]End - Use Prices'!$B$9:$B$11,0)-1,MATCH(AK$1,'[2]End - Use Prices'!$C$7:$AL$7,0))</f>
        <v>25.21</v>
      </c>
      <c r="AL35" s="41">
        <f>INDEX('[2]End - Use Prices'!$C$6:$AL$89,MATCH($C35,'[2]End - Use Prices'!$A$6:$A$89,0)+MATCH($D35,'[2]End - Use Prices'!$B$9:$B$11,0)-1,MATCH(AL$1,'[2]End - Use Prices'!$C$7:$AL$7,0))</f>
        <v>25.2</v>
      </c>
      <c r="AM35" s="41">
        <f>INDEX('[2]End - Use Prices'!$C$6:$AL$89,MATCH($C35,'[2]End - Use Prices'!$A$6:$A$89,0)+MATCH($D35,'[2]End - Use Prices'!$B$9:$B$11,0)-1,MATCH(AM$1,'[2]End - Use Prices'!$C$7:$AL$7,0))</f>
        <v>25.99</v>
      </c>
      <c r="AN35" s="41">
        <f>INDEX('[2]End - Use Prices'!$C$6:$AL$89,MATCH($C35,'[2]End - Use Prices'!$A$6:$A$89,0)+MATCH($D35,'[2]End - Use Prices'!$B$9:$B$11,0)-1,MATCH(AN$1,'[2]End - Use Prices'!$C$7:$AL$7,0))</f>
        <v>26.36</v>
      </c>
      <c r="AO35" s="41">
        <f>INDEX('[2]End - Use Prices'!$C$6:$AL$89,MATCH($C35,'[2]End - Use Prices'!$A$6:$A$89,0)+MATCH($D35,'[2]End - Use Prices'!$B$9:$B$11,0)-1,MATCH(AO$1,'[2]End - Use Prices'!$C$7:$AL$7,0))</f>
        <v>26.71</v>
      </c>
      <c r="AP35" s="41">
        <f>INDEX('[2]End - Use Prices'!$C$6:$AL$89,MATCH($C35,'[2]End - Use Prices'!$A$6:$A$89,0)+MATCH($D35,'[2]End - Use Prices'!$B$9:$B$11,0)-1,MATCH(AP$1,'[2]End - Use Prices'!$C$7:$AL$7,0))</f>
        <v>27.03</v>
      </c>
      <c r="AQ35" s="41">
        <f>INDEX('[2]End - Use Prices'!$C$6:$AL$89,MATCH($C35,'[2]End - Use Prices'!$A$6:$A$89,0)+MATCH($D35,'[2]End - Use Prices'!$B$9:$B$11,0)-1,MATCH(AQ$1,'[2]End - Use Prices'!$C$7:$AL$7,0))</f>
        <v>26.98</v>
      </c>
      <c r="AR35" s="41">
        <f>INDEX('[2]End - Use Prices'!$C$6:$AL$89,MATCH($C35,'[2]End - Use Prices'!$A$6:$A$89,0)+MATCH($D35,'[2]End - Use Prices'!$B$9:$B$11,0)-1,MATCH(AR$1,'[2]End - Use Prices'!$C$7:$AL$7,0))</f>
        <v>26.97</v>
      </c>
      <c r="AS35" s="41">
        <f>INDEX('[2]End - Use Prices'!$C$6:$AL$89,MATCH($C35,'[2]End - Use Prices'!$A$6:$A$89,0)+MATCH($D35,'[2]End - Use Prices'!$B$9:$B$11,0)-1,MATCH(AS$1,'[2]End - Use Prices'!$C$7:$AL$7,0))</f>
        <v>27.01</v>
      </c>
      <c r="AT35" s="41">
        <f>INDEX('[2]End - Use Prices'!$C$6:$AL$89,MATCH($C35,'[2]End - Use Prices'!$A$6:$A$89,0)+MATCH($D35,'[2]End - Use Prices'!$B$9:$B$11,0)-1,MATCH(AT$1,'[2]End - Use Prices'!$C$7:$AL$7,0))</f>
        <v>27.04</v>
      </c>
      <c r="AU35" s="41">
        <f>INDEX('[2]End - Use Prices'!$C$6:$AL$89,MATCH($C35,'[2]End - Use Prices'!$A$6:$A$89,0)+MATCH($D35,'[2]End - Use Prices'!$B$9:$B$11,0)-1,MATCH(AU$1,'[2]End - Use Prices'!$C$7:$AL$7,0))</f>
        <v>27.1</v>
      </c>
      <c r="AV35" s="41">
        <f>INDEX('[2]End - Use Prices'!$C$6:$AL$89,MATCH($C35,'[2]End - Use Prices'!$A$6:$A$89,0)+MATCH($D35,'[2]End - Use Prices'!$B$9:$B$11,0)-1,MATCH(AV$1,'[2]End - Use Prices'!$C$7:$AL$7,0))</f>
        <v>27.16</v>
      </c>
      <c r="AW35" s="41">
        <f>INDEX('[2]End - Use Prices'!$C$6:$AL$89,MATCH($C35,'[2]End - Use Prices'!$A$6:$A$89,0)+MATCH($D35,'[2]End - Use Prices'!$B$9:$B$11,0)-1,MATCH(AW$1,'[2]End - Use Prices'!$C$7:$AL$7,0))</f>
        <v>27.22</v>
      </c>
      <c r="AX35" s="41">
        <f>INDEX('[2]End - Use Prices'!$C$6:$AL$89,MATCH($C35,'[2]End - Use Prices'!$A$6:$A$89,0)+MATCH($D35,'[2]End - Use Prices'!$B$9:$B$11,0)-1,MATCH(AX$1,'[2]End - Use Prices'!$C$7:$AL$7,0))</f>
        <v>27.29</v>
      </c>
      <c r="AY35" s="41">
        <f>INDEX('[2]End - Use Prices'!$C$6:$AL$89,MATCH($C35,'[2]End - Use Prices'!$A$6:$A$89,0)+MATCH($D35,'[2]End - Use Prices'!$B$9:$B$11,0)-1,MATCH(AY$1,'[2]End - Use Prices'!$C$7:$AL$7,0))</f>
        <v>27.37</v>
      </c>
      <c r="AZ35" s="41">
        <f>INDEX('[2]End - Use Prices'!$C$6:$AL$89,MATCH($C35,'[2]End - Use Prices'!$A$6:$A$89,0)+MATCH($D35,'[2]End - Use Prices'!$B$9:$B$11,0)-1,MATCH(AZ$1,'[2]End - Use Prices'!$C$7:$AL$7,0))</f>
        <v>27.46</v>
      </c>
      <c r="BA35" s="41">
        <f>INDEX('[2]End - Use Prices'!$C$6:$AL$89,MATCH($C35,'[2]End - Use Prices'!$A$6:$A$89,0)+MATCH($D35,'[2]End - Use Prices'!$B$9:$B$11,0)-1,MATCH(BA$1,'[2]End - Use Prices'!$C$7:$AL$7,0))</f>
        <v>27.51</v>
      </c>
      <c r="BB35" s="41">
        <f>INDEX('[2]End - Use Prices'!$C$6:$AL$89,MATCH($C35,'[2]End - Use Prices'!$A$6:$A$89,0)+MATCH($D35,'[2]End - Use Prices'!$B$9:$B$11,0)-1,MATCH(BB$1,'[2]End - Use Prices'!$C$7:$AL$7,0))</f>
        <v>27.55</v>
      </c>
      <c r="BC35" s="41">
        <f>INDEX('[2]End - Use Prices'!$C$6:$AL$89,MATCH($C35,'[2]End - Use Prices'!$A$6:$A$89,0)+MATCH($D35,'[2]End - Use Prices'!$B$9:$B$11,0)-1,MATCH(BC$1,'[2]End - Use Prices'!$C$7:$AL$7,0))</f>
        <v>27.58</v>
      </c>
      <c r="BD35" s="41">
        <f>INDEX('[2]End - Use Prices'!$C$6:$AL$89,MATCH($C35,'[2]End - Use Prices'!$A$6:$A$89,0)+MATCH($D35,'[2]End - Use Prices'!$B$9:$B$11,0)-1,MATCH(BD$1,'[2]End - Use Prices'!$C$7:$AL$7,0))</f>
        <v>27.6</v>
      </c>
      <c r="BE35" s="41">
        <f>INDEX('[2]End - Use Prices'!$C$6:$AL$89,MATCH($C35,'[2]End - Use Prices'!$A$6:$A$89,0)+MATCH($D35,'[2]End - Use Prices'!$B$9:$B$11,0)-1,MATCH(BE$1,'[2]End - Use Prices'!$C$7:$AL$7,0))</f>
        <v>27.61</v>
      </c>
      <c r="BF35" s="41">
        <f>INDEX('[2]End - Use Prices'!$C$6:$AL$89,MATCH($C35,'[2]End - Use Prices'!$A$6:$A$89,0)+MATCH($D35,'[2]End - Use Prices'!$B$9:$B$11,0)-1,MATCH(BF$1,'[2]End - Use Prices'!$C$7:$AL$7,0))</f>
        <v>27.62</v>
      </c>
      <c r="BG35" s="41">
        <f>INDEX('[2]End - Use Prices'!$C$6:$AL$89,MATCH($C35,'[2]End - Use Prices'!$A$6:$A$89,0)+MATCH($D35,'[2]End - Use Prices'!$B$9:$B$11,0)-1,MATCH(BG$1,'[2]End - Use Prices'!$C$7:$AL$7,0))</f>
        <v>27.62</v>
      </c>
      <c r="BR35" s="39"/>
      <c r="BS35" s="39"/>
      <c r="BT35" s="39"/>
      <c r="BU35" s="39"/>
      <c r="BV35" s="39"/>
      <c r="BW35" s="39"/>
      <c r="BX35" s="39"/>
      <c r="BY35" s="39"/>
      <c r="BZ35" s="39"/>
      <c r="CA35" s="39"/>
    </row>
    <row r="36" spans="1:79">
      <c r="A36" s="5"/>
      <c r="B36" s="3"/>
      <c r="C36" s="25" t="s">
        <v>87</v>
      </c>
      <c r="D36" s="25" t="s">
        <v>13</v>
      </c>
      <c r="E36" s="25" t="s">
        <v>277</v>
      </c>
      <c r="F36" s="67" t="s">
        <v>275</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INDEX('[2]End - Use Prices'!$C$6:$AL$89,MATCH($C36,'[2]End - Use Prices'!$A$6:$A$89,0)+MATCH($D36,'[2]End - Use Prices'!$B$9:$B$11,0)-1,MATCH(X$1,'[2]End - Use Prices'!$C$7:$AL$7,0))</f>
        <v>18.899999999999999</v>
      </c>
      <c r="Y36" s="41">
        <f>INDEX('[2]End - Use Prices'!$C$6:$AL$89,MATCH($C36,'[2]End - Use Prices'!$A$6:$A$89,0)+MATCH($D36,'[2]End - Use Prices'!$B$9:$B$11,0)-1,MATCH(Y$1,'[2]End - Use Prices'!$C$7:$AL$7,0))</f>
        <v>18.940000000000001</v>
      </c>
      <c r="Z36" s="41">
        <f>INDEX('[2]End - Use Prices'!$C$6:$AL$89,MATCH($C36,'[2]End - Use Prices'!$A$6:$A$89,0)+MATCH($D36,'[2]End - Use Prices'!$B$9:$B$11,0)-1,MATCH(Z$1,'[2]End - Use Prices'!$C$7:$AL$7,0))</f>
        <v>11.86</v>
      </c>
      <c r="AA36" s="41">
        <f>INDEX('[2]End - Use Prices'!$C$6:$AL$89,MATCH($C36,'[2]End - Use Prices'!$A$6:$A$89,0)+MATCH($D36,'[2]End - Use Prices'!$B$9:$B$11,0)-1,MATCH(AA$1,'[2]End - Use Prices'!$C$7:$AL$7,0))</f>
        <v>14.01</v>
      </c>
      <c r="AB36" s="41">
        <f>INDEX('[2]End - Use Prices'!$C$6:$AL$89,MATCH($C36,'[2]End - Use Prices'!$A$6:$A$89,0)+MATCH($D36,'[2]End - Use Prices'!$B$9:$B$11,0)-1,MATCH(AB$1,'[2]End - Use Prices'!$C$7:$AL$7,0))</f>
        <v>14.6</v>
      </c>
      <c r="AC36" s="41">
        <f>INDEX('[2]End - Use Prices'!$C$6:$AL$89,MATCH($C36,'[2]End - Use Prices'!$A$6:$A$89,0)+MATCH($D36,'[2]End - Use Prices'!$B$9:$B$11,0)-1,MATCH(AC$1,'[2]End - Use Prices'!$C$7:$AL$7,0))</f>
        <v>20.09</v>
      </c>
      <c r="AD36" s="41">
        <f>INDEX('[2]End - Use Prices'!$C$6:$AL$89,MATCH($C36,'[2]End - Use Prices'!$A$6:$A$89,0)+MATCH($D36,'[2]End - Use Prices'!$B$9:$B$11,0)-1,MATCH(AD$1,'[2]End - Use Prices'!$C$7:$AL$7,0))</f>
        <v>17.2</v>
      </c>
      <c r="AE36" s="41">
        <f>INDEX('[2]End - Use Prices'!$C$6:$AL$89,MATCH($C36,'[2]End - Use Prices'!$A$6:$A$89,0)+MATCH($D36,'[2]End - Use Prices'!$B$9:$B$11,0)-1,MATCH(AE$1,'[2]End - Use Prices'!$C$7:$AL$7,0))</f>
        <v>17.59</v>
      </c>
      <c r="AF36" s="41">
        <f>INDEX('[2]End - Use Prices'!$C$6:$AL$89,MATCH($C36,'[2]End - Use Prices'!$A$6:$A$89,0)+MATCH($D36,'[2]End - Use Prices'!$B$9:$B$11,0)-1,MATCH(AF$1,'[2]End - Use Prices'!$C$7:$AL$7,0))</f>
        <v>18.75</v>
      </c>
      <c r="AG36" s="41">
        <f>INDEX('[2]End - Use Prices'!$C$6:$AL$89,MATCH($C36,'[2]End - Use Prices'!$A$6:$A$89,0)+MATCH($D36,'[2]End - Use Prices'!$B$9:$B$11,0)-1,MATCH(AG$1,'[2]End - Use Prices'!$C$7:$AL$7,0))</f>
        <v>18.48</v>
      </c>
      <c r="AH36" s="41">
        <f>INDEX('[2]End - Use Prices'!$C$6:$AL$89,MATCH($C36,'[2]End - Use Prices'!$A$6:$A$89,0)+MATCH($D36,'[2]End - Use Prices'!$B$9:$B$11,0)-1,MATCH(AH$1,'[2]End - Use Prices'!$C$7:$AL$7,0))</f>
        <v>13.86</v>
      </c>
      <c r="AI36" s="41">
        <f>INDEX('[2]End - Use Prices'!$C$6:$AL$89,MATCH($C36,'[2]End - Use Prices'!$A$6:$A$89,0)+MATCH($D36,'[2]End - Use Prices'!$B$9:$B$11,0)-1,MATCH(AI$1,'[2]End - Use Prices'!$C$7:$AL$7,0))</f>
        <v>9.4700000000000006</v>
      </c>
      <c r="AJ36" s="41">
        <f>INDEX('[2]End - Use Prices'!$C$6:$AL$89,MATCH($C36,'[2]End - Use Prices'!$A$6:$A$89,0)+MATCH($D36,'[2]End - Use Prices'!$B$9:$B$11,0)-1,MATCH(AJ$1,'[2]End - Use Prices'!$C$7:$AL$7,0))</f>
        <v>10.75</v>
      </c>
      <c r="AK36" s="41">
        <f>INDEX('[2]End - Use Prices'!$C$6:$AL$89,MATCH($C36,'[2]End - Use Prices'!$A$6:$A$89,0)+MATCH($D36,'[2]End - Use Prices'!$B$9:$B$11,0)-1,MATCH(AK$1,'[2]End - Use Prices'!$C$7:$AL$7,0))</f>
        <v>10.63</v>
      </c>
      <c r="AL36" s="41">
        <f>INDEX('[2]End - Use Prices'!$C$6:$AL$89,MATCH($C36,'[2]End - Use Prices'!$A$6:$A$89,0)+MATCH($D36,'[2]End - Use Prices'!$B$9:$B$11,0)-1,MATCH(AL$1,'[2]End - Use Prices'!$C$7:$AL$7,0))</f>
        <v>10.61</v>
      </c>
      <c r="AM36" s="41">
        <f>INDEX('[2]End - Use Prices'!$C$6:$AL$89,MATCH($C36,'[2]End - Use Prices'!$A$6:$A$89,0)+MATCH($D36,'[2]End - Use Prices'!$B$9:$B$11,0)-1,MATCH(AM$1,'[2]End - Use Prices'!$C$7:$AL$7,0))</f>
        <v>11.56</v>
      </c>
      <c r="AN36" s="41">
        <f>INDEX('[2]End - Use Prices'!$C$6:$AL$89,MATCH($C36,'[2]End - Use Prices'!$A$6:$A$89,0)+MATCH($D36,'[2]End - Use Prices'!$B$9:$B$11,0)-1,MATCH(AN$1,'[2]End - Use Prices'!$C$7:$AL$7,0))</f>
        <v>12.01</v>
      </c>
      <c r="AO36" s="41">
        <f>INDEX('[2]End - Use Prices'!$C$6:$AL$89,MATCH($C36,'[2]End - Use Prices'!$A$6:$A$89,0)+MATCH($D36,'[2]End - Use Prices'!$B$9:$B$11,0)-1,MATCH(AO$1,'[2]End - Use Prices'!$C$7:$AL$7,0))</f>
        <v>12.44</v>
      </c>
      <c r="AP36" s="41">
        <f>INDEX('[2]End - Use Prices'!$C$6:$AL$89,MATCH($C36,'[2]End - Use Prices'!$A$6:$A$89,0)+MATCH($D36,'[2]End - Use Prices'!$B$9:$B$11,0)-1,MATCH(AP$1,'[2]End - Use Prices'!$C$7:$AL$7,0))</f>
        <v>12.83</v>
      </c>
      <c r="AQ36" s="41">
        <f>INDEX('[2]End - Use Prices'!$C$6:$AL$89,MATCH($C36,'[2]End - Use Prices'!$A$6:$A$89,0)+MATCH($D36,'[2]End - Use Prices'!$B$9:$B$11,0)-1,MATCH(AQ$1,'[2]End - Use Prices'!$C$7:$AL$7,0))</f>
        <v>12.77</v>
      </c>
      <c r="AR36" s="41">
        <f>INDEX('[2]End - Use Prices'!$C$6:$AL$89,MATCH($C36,'[2]End - Use Prices'!$A$6:$A$89,0)+MATCH($D36,'[2]End - Use Prices'!$B$9:$B$11,0)-1,MATCH(AR$1,'[2]End - Use Prices'!$C$7:$AL$7,0))</f>
        <v>12.76</v>
      </c>
      <c r="AS36" s="41">
        <f>INDEX('[2]End - Use Prices'!$C$6:$AL$89,MATCH($C36,'[2]End - Use Prices'!$A$6:$A$89,0)+MATCH($D36,'[2]End - Use Prices'!$B$9:$B$11,0)-1,MATCH(AS$1,'[2]End - Use Prices'!$C$7:$AL$7,0))</f>
        <v>12.82</v>
      </c>
      <c r="AT36" s="41">
        <f>INDEX('[2]End - Use Prices'!$C$6:$AL$89,MATCH($C36,'[2]End - Use Prices'!$A$6:$A$89,0)+MATCH($D36,'[2]End - Use Prices'!$B$9:$B$11,0)-1,MATCH(AT$1,'[2]End - Use Prices'!$C$7:$AL$7,0))</f>
        <v>12.87</v>
      </c>
      <c r="AU36" s="41">
        <f>INDEX('[2]End - Use Prices'!$C$6:$AL$89,MATCH($C36,'[2]End - Use Prices'!$A$6:$A$89,0)+MATCH($D36,'[2]End - Use Prices'!$B$9:$B$11,0)-1,MATCH(AU$1,'[2]End - Use Prices'!$C$7:$AL$7,0))</f>
        <v>12.94</v>
      </c>
      <c r="AV36" s="41">
        <f>INDEX('[2]End - Use Prices'!$C$6:$AL$89,MATCH($C36,'[2]End - Use Prices'!$A$6:$A$89,0)+MATCH($D36,'[2]End - Use Prices'!$B$9:$B$11,0)-1,MATCH(AV$1,'[2]End - Use Prices'!$C$7:$AL$7,0))</f>
        <v>13.03</v>
      </c>
      <c r="AW36" s="41">
        <f>INDEX('[2]End - Use Prices'!$C$6:$AL$89,MATCH($C36,'[2]End - Use Prices'!$A$6:$A$89,0)+MATCH($D36,'[2]End - Use Prices'!$B$9:$B$11,0)-1,MATCH(AW$1,'[2]End - Use Prices'!$C$7:$AL$7,0))</f>
        <v>13.11</v>
      </c>
      <c r="AX36" s="41">
        <f>INDEX('[2]End - Use Prices'!$C$6:$AL$89,MATCH($C36,'[2]End - Use Prices'!$A$6:$A$89,0)+MATCH($D36,'[2]End - Use Prices'!$B$9:$B$11,0)-1,MATCH(AX$1,'[2]End - Use Prices'!$C$7:$AL$7,0))</f>
        <v>13.21</v>
      </c>
      <c r="AY36" s="41">
        <f>INDEX('[2]End - Use Prices'!$C$6:$AL$89,MATCH($C36,'[2]End - Use Prices'!$A$6:$A$89,0)+MATCH($D36,'[2]End - Use Prices'!$B$9:$B$11,0)-1,MATCH(AY$1,'[2]End - Use Prices'!$C$7:$AL$7,0))</f>
        <v>13.32</v>
      </c>
      <c r="AZ36" s="41">
        <f>INDEX('[2]End - Use Prices'!$C$6:$AL$89,MATCH($C36,'[2]End - Use Prices'!$A$6:$A$89,0)+MATCH($D36,'[2]End - Use Prices'!$B$9:$B$11,0)-1,MATCH(AZ$1,'[2]End - Use Prices'!$C$7:$AL$7,0))</f>
        <v>13.44</v>
      </c>
      <c r="BA36" s="41">
        <f>INDEX('[2]End - Use Prices'!$C$6:$AL$89,MATCH($C36,'[2]End - Use Prices'!$A$6:$A$89,0)+MATCH($D36,'[2]End - Use Prices'!$B$9:$B$11,0)-1,MATCH(BA$1,'[2]End - Use Prices'!$C$7:$AL$7,0))</f>
        <v>13.5</v>
      </c>
      <c r="BB36" s="41">
        <f>INDEX('[2]End - Use Prices'!$C$6:$AL$89,MATCH($C36,'[2]End - Use Prices'!$A$6:$A$89,0)+MATCH($D36,'[2]End - Use Prices'!$B$9:$B$11,0)-1,MATCH(BB$1,'[2]End - Use Prices'!$C$7:$AL$7,0))</f>
        <v>13.55</v>
      </c>
      <c r="BC36" s="41">
        <f>INDEX('[2]End - Use Prices'!$C$6:$AL$89,MATCH($C36,'[2]End - Use Prices'!$A$6:$A$89,0)+MATCH($D36,'[2]End - Use Prices'!$B$9:$B$11,0)-1,MATCH(BC$1,'[2]End - Use Prices'!$C$7:$AL$7,0))</f>
        <v>13.6</v>
      </c>
      <c r="BD36" s="41">
        <f>INDEX('[2]End - Use Prices'!$C$6:$AL$89,MATCH($C36,'[2]End - Use Prices'!$A$6:$A$89,0)+MATCH($D36,'[2]End - Use Prices'!$B$9:$B$11,0)-1,MATCH(BD$1,'[2]End - Use Prices'!$C$7:$AL$7,0))</f>
        <v>13.63</v>
      </c>
      <c r="BE36" s="41">
        <f>INDEX('[2]End - Use Prices'!$C$6:$AL$89,MATCH($C36,'[2]End - Use Prices'!$A$6:$A$89,0)+MATCH($D36,'[2]End - Use Prices'!$B$9:$B$11,0)-1,MATCH(BE$1,'[2]End - Use Prices'!$C$7:$AL$7,0))</f>
        <v>13.64</v>
      </c>
      <c r="BF36" s="41">
        <f>INDEX('[2]End - Use Prices'!$C$6:$AL$89,MATCH($C36,'[2]End - Use Prices'!$A$6:$A$89,0)+MATCH($D36,'[2]End - Use Prices'!$B$9:$B$11,0)-1,MATCH(BF$1,'[2]End - Use Prices'!$C$7:$AL$7,0))</f>
        <v>13.66</v>
      </c>
      <c r="BG36" s="41">
        <f>INDEX('[2]End - Use Prices'!$C$6:$AL$89,MATCH($C36,'[2]End - Use Prices'!$A$6:$A$89,0)+MATCH($D36,'[2]End - Use Prices'!$B$9:$B$11,0)-1,MATCH(BG$1,'[2]End - Use Prices'!$C$7:$AL$7,0))</f>
        <v>13.67</v>
      </c>
      <c r="BR36" s="39"/>
      <c r="BS36" s="39"/>
      <c r="BT36" s="39"/>
      <c r="BU36" s="39"/>
      <c r="BV36" s="39"/>
      <c r="BW36" s="39"/>
      <c r="BX36" s="39"/>
      <c r="BY36" s="39"/>
      <c r="BZ36" s="39"/>
      <c r="CA36" s="39"/>
    </row>
    <row r="37" spans="1:79">
      <c r="A37" s="5"/>
      <c r="B37" s="3"/>
      <c r="C37" s="25" t="s">
        <v>88</v>
      </c>
      <c r="D37" s="25" t="s">
        <v>13</v>
      </c>
      <c r="E37" s="25" t="s">
        <v>277</v>
      </c>
      <c r="F37" s="67" t="s">
        <v>275</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INDEX('[2]End - Use Prices'!$C$6:$AL$89,MATCH($C37,'[2]End - Use Prices'!$A$6:$A$89,0)+MATCH($D37,'[2]End - Use Prices'!$B$9:$B$11,0)-1,MATCH(X$1,'[2]End - Use Prices'!$C$7:$AL$7,0))</f>
        <v>20.32</v>
      </c>
      <c r="Y37" s="41">
        <f>INDEX('[2]End - Use Prices'!$C$6:$AL$89,MATCH($C37,'[2]End - Use Prices'!$A$6:$A$89,0)+MATCH($D37,'[2]End - Use Prices'!$B$9:$B$11,0)-1,MATCH(Y$1,'[2]End - Use Prices'!$C$7:$AL$7,0))</f>
        <v>20.36</v>
      </c>
      <c r="Z37" s="41">
        <f>INDEX('[2]End - Use Prices'!$C$6:$AL$89,MATCH($C37,'[2]End - Use Prices'!$A$6:$A$89,0)+MATCH($D37,'[2]End - Use Prices'!$B$9:$B$11,0)-1,MATCH(Z$1,'[2]End - Use Prices'!$C$7:$AL$7,0))</f>
        <v>19</v>
      </c>
      <c r="AA37" s="41">
        <f>INDEX('[2]End - Use Prices'!$C$6:$AL$89,MATCH($C37,'[2]End - Use Prices'!$A$6:$A$89,0)+MATCH($D37,'[2]End - Use Prices'!$B$9:$B$11,0)-1,MATCH(AA$1,'[2]End - Use Prices'!$C$7:$AL$7,0))</f>
        <v>19.5</v>
      </c>
      <c r="AB37" s="41">
        <f>INDEX('[2]End - Use Prices'!$C$6:$AL$89,MATCH($C37,'[2]End - Use Prices'!$A$6:$A$89,0)+MATCH($D37,'[2]End - Use Prices'!$B$9:$B$11,0)-1,MATCH(AB$1,'[2]End - Use Prices'!$C$7:$AL$7,0))</f>
        <v>18.579999999999998</v>
      </c>
      <c r="AC37" s="41">
        <f>INDEX('[2]End - Use Prices'!$C$6:$AL$89,MATCH($C37,'[2]End - Use Prices'!$A$6:$A$89,0)+MATCH($D37,'[2]End - Use Prices'!$B$9:$B$11,0)-1,MATCH(AC$1,'[2]End - Use Prices'!$C$7:$AL$7,0))</f>
        <v>18.399999999999999</v>
      </c>
      <c r="AD37" s="41">
        <f>INDEX('[2]End - Use Prices'!$C$6:$AL$89,MATCH($C37,'[2]End - Use Prices'!$A$6:$A$89,0)+MATCH($D37,'[2]End - Use Prices'!$B$9:$B$11,0)-1,MATCH(AD$1,'[2]End - Use Prices'!$C$7:$AL$7,0))</f>
        <v>17.54</v>
      </c>
      <c r="AE37" s="41">
        <f>INDEX('[2]End - Use Prices'!$C$6:$AL$89,MATCH($C37,'[2]End - Use Prices'!$A$6:$A$89,0)+MATCH($D37,'[2]End - Use Prices'!$B$9:$B$11,0)-1,MATCH(AE$1,'[2]End - Use Prices'!$C$7:$AL$7,0))</f>
        <v>17.05</v>
      </c>
      <c r="AF37" s="41">
        <f>INDEX('[2]End - Use Prices'!$C$6:$AL$89,MATCH($C37,'[2]End - Use Prices'!$A$6:$A$89,0)+MATCH($D37,'[2]End - Use Prices'!$B$9:$B$11,0)-1,MATCH(AF$1,'[2]End - Use Prices'!$C$7:$AL$7,0))</f>
        <v>15.49</v>
      </c>
      <c r="AG37" s="41">
        <f>INDEX('[2]End - Use Prices'!$C$6:$AL$89,MATCH($C37,'[2]End - Use Prices'!$A$6:$A$89,0)+MATCH($D37,'[2]End - Use Prices'!$B$9:$B$11,0)-1,MATCH(AG$1,'[2]End - Use Prices'!$C$7:$AL$7,0))</f>
        <v>16.84</v>
      </c>
      <c r="AH37" s="41">
        <f>INDEX('[2]End - Use Prices'!$C$6:$AL$89,MATCH($C37,'[2]End - Use Prices'!$A$6:$A$89,0)+MATCH($D37,'[2]End - Use Prices'!$B$9:$B$11,0)-1,MATCH(AH$1,'[2]End - Use Prices'!$C$7:$AL$7,0))</f>
        <v>15.95</v>
      </c>
      <c r="AI37" s="41">
        <f>INDEX('[2]End - Use Prices'!$C$6:$AL$89,MATCH($C37,'[2]End - Use Prices'!$A$6:$A$89,0)+MATCH($D37,'[2]End - Use Prices'!$B$9:$B$11,0)-1,MATCH(AI$1,'[2]End - Use Prices'!$C$7:$AL$7,0))</f>
        <v>14.86</v>
      </c>
      <c r="AJ37" s="41">
        <f>INDEX('[2]End - Use Prices'!$C$6:$AL$89,MATCH($C37,'[2]End - Use Prices'!$A$6:$A$89,0)+MATCH($D37,'[2]End - Use Prices'!$B$9:$B$11,0)-1,MATCH(AJ$1,'[2]End - Use Prices'!$C$7:$AL$7,0))</f>
        <v>15.15</v>
      </c>
      <c r="AK37" s="41">
        <f>INDEX('[2]End - Use Prices'!$C$6:$AL$89,MATCH($C37,'[2]End - Use Prices'!$A$6:$A$89,0)+MATCH($D37,'[2]End - Use Prices'!$B$9:$B$11,0)-1,MATCH(AK$1,'[2]End - Use Prices'!$C$7:$AL$7,0))</f>
        <v>15</v>
      </c>
      <c r="AL37" s="41">
        <f>INDEX('[2]End - Use Prices'!$C$6:$AL$89,MATCH($C37,'[2]End - Use Prices'!$A$6:$A$89,0)+MATCH($D37,'[2]End - Use Prices'!$B$9:$B$11,0)-1,MATCH(AL$1,'[2]End - Use Prices'!$C$7:$AL$7,0))</f>
        <v>14.94</v>
      </c>
      <c r="AM37" s="41">
        <f>INDEX('[2]End - Use Prices'!$C$6:$AL$89,MATCH($C37,'[2]End - Use Prices'!$A$6:$A$89,0)+MATCH($D37,'[2]End - Use Prices'!$B$9:$B$11,0)-1,MATCH(AM$1,'[2]End - Use Prices'!$C$7:$AL$7,0))</f>
        <v>15</v>
      </c>
      <c r="AN37" s="41">
        <f>INDEX('[2]End - Use Prices'!$C$6:$AL$89,MATCH($C37,'[2]End - Use Prices'!$A$6:$A$89,0)+MATCH($D37,'[2]End - Use Prices'!$B$9:$B$11,0)-1,MATCH(AN$1,'[2]End - Use Prices'!$C$7:$AL$7,0))</f>
        <v>15.24</v>
      </c>
      <c r="AO37" s="41">
        <f>INDEX('[2]End - Use Prices'!$C$6:$AL$89,MATCH($C37,'[2]End - Use Prices'!$A$6:$A$89,0)+MATCH($D37,'[2]End - Use Prices'!$B$9:$B$11,0)-1,MATCH(AO$1,'[2]End - Use Prices'!$C$7:$AL$7,0))</f>
        <v>15.47</v>
      </c>
      <c r="AP37" s="41">
        <f>INDEX('[2]End - Use Prices'!$C$6:$AL$89,MATCH($C37,'[2]End - Use Prices'!$A$6:$A$89,0)+MATCH($D37,'[2]End - Use Prices'!$B$9:$B$11,0)-1,MATCH(AP$1,'[2]End - Use Prices'!$C$7:$AL$7,0))</f>
        <v>15.66</v>
      </c>
      <c r="AQ37" s="41">
        <f>INDEX('[2]End - Use Prices'!$C$6:$AL$89,MATCH($C37,'[2]End - Use Prices'!$A$6:$A$89,0)+MATCH($D37,'[2]End - Use Prices'!$B$9:$B$11,0)-1,MATCH(AQ$1,'[2]End - Use Prices'!$C$7:$AL$7,0))</f>
        <v>15.86</v>
      </c>
      <c r="AR37" s="41">
        <f>INDEX('[2]End - Use Prices'!$C$6:$AL$89,MATCH($C37,'[2]End - Use Prices'!$A$6:$A$89,0)+MATCH($D37,'[2]End - Use Prices'!$B$9:$B$11,0)-1,MATCH(AR$1,'[2]End - Use Prices'!$C$7:$AL$7,0))</f>
        <v>16.07</v>
      </c>
      <c r="AS37" s="41">
        <f>INDEX('[2]End - Use Prices'!$C$6:$AL$89,MATCH($C37,'[2]End - Use Prices'!$A$6:$A$89,0)+MATCH($D37,'[2]End - Use Prices'!$B$9:$B$11,0)-1,MATCH(AS$1,'[2]End - Use Prices'!$C$7:$AL$7,0))</f>
        <v>16.350000000000001</v>
      </c>
      <c r="AT37" s="41">
        <f>INDEX('[2]End - Use Prices'!$C$6:$AL$89,MATCH($C37,'[2]End - Use Prices'!$A$6:$A$89,0)+MATCH($D37,'[2]End - Use Prices'!$B$9:$B$11,0)-1,MATCH(AT$1,'[2]End - Use Prices'!$C$7:$AL$7,0))</f>
        <v>16.36</v>
      </c>
      <c r="AU37" s="41">
        <f>INDEX('[2]End - Use Prices'!$C$6:$AL$89,MATCH($C37,'[2]End - Use Prices'!$A$6:$A$89,0)+MATCH($D37,'[2]End - Use Prices'!$B$9:$B$11,0)-1,MATCH(AU$1,'[2]End - Use Prices'!$C$7:$AL$7,0))</f>
        <v>16.399999999999999</v>
      </c>
      <c r="AV37" s="41">
        <f>INDEX('[2]End - Use Prices'!$C$6:$AL$89,MATCH($C37,'[2]End - Use Prices'!$A$6:$A$89,0)+MATCH($D37,'[2]End - Use Prices'!$B$9:$B$11,0)-1,MATCH(AV$1,'[2]End - Use Prices'!$C$7:$AL$7,0))</f>
        <v>16.45</v>
      </c>
      <c r="AW37" s="41">
        <f>INDEX('[2]End - Use Prices'!$C$6:$AL$89,MATCH($C37,'[2]End - Use Prices'!$A$6:$A$89,0)+MATCH($D37,'[2]End - Use Prices'!$B$9:$B$11,0)-1,MATCH(AW$1,'[2]End - Use Prices'!$C$7:$AL$7,0))</f>
        <v>16.5</v>
      </c>
      <c r="AX37" s="41">
        <f>INDEX('[2]End - Use Prices'!$C$6:$AL$89,MATCH($C37,'[2]End - Use Prices'!$A$6:$A$89,0)+MATCH($D37,'[2]End - Use Prices'!$B$9:$B$11,0)-1,MATCH(AX$1,'[2]End - Use Prices'!$C$7:$AL$7,0))</f>
        <v>16.57</v>
      </c>
      <c r="AY37" s="41">
        <f>INDEX('[2]End - Use Prices'!$C$6:$AL$89,MATCH($C37,'[2]End - Use Prices'!$A$6:$A$89,0)+MATCH($D37,'[2]End - Use Prices'!$B$9:$B$11,0)-1,MATCH(AY$1,'[2]End - Use Prices'!$C$7:$AL$7,0))</f>
        <v>16.649999999999999</v>
      </c>
      <c r="AZ37" s="41">
        <f>INDEX('[2]End - Use Prices'!$C$6:$AL$89,MATCH($C37,'[2]End - Use Prices'!$A$6:$A$89,0)+MATCH($D37,'[2]End - Use Prices'!$B$9:$B$11,0)-1,MATCH(AZ$1,'[2]End - Use Prices'!$C$7:$AL$7,0))</f>
        <v>16.739999999999998</v>
      </c>
      <c r="BA37" s="41">
        <f>INDEX('[2]End - Use Prices'!$C$6:$AL$89,MATCH($C37,'[2]End - Use Prices'!$A$6:$A$89,0)+MATCH($D37,'[2]End - Use Prices'!$B$9:$B$11,0)-1,MATCH(BA$1,'[2]End - Use Prices'!$C$7:$AL$7,0))</f>
        <v>16.77</v>
      </c>
      <c r="BB37" s="41">
        <f>INDEX('[2]End - Use Prices'!$C$6:$AL$89,MATCH($C37,'[2]End - Use Prices'!$A$6:$A$89,0)+MATCH($D37,'[2]End - Use Prices'!$B$9:$B$11,0)-1,MATCH(BB$1,'[2]End - Use Prices'!$C$7:$AL$7,0))</f>
        <v>16.809999999999999</v>
      </c>
      <c r="BC37" s="41">
        <f>INDEX('[2]End - Use Prices'!$C$6:$AL$89,MATCH($C37,'[2]End - Use Prices'!$A$6:$A$89,0)+MATCH($D37,'[2]End - Use Prices'!$B$9:$B$11,0)-1,MATCH(BC$1,'[2]End - Use Prices'!$C$7:$AL$7,0))</f>
        <v>16.829999999999998</v>
      </c>
      <c r="BD37" s="41">
        <f>INDEX('[2]End - Use Prices'!$C$6:$AL$89,MATCH($C37,'[2]End - Use Prices'!$A$6:$A$89,0)+MATCH($D37,'[2]End - Use Prices'!$B$9:$B$11,0)-1,MATCH(BD$1,'[2]End - Use Prices'!$C$7:$AL$7,0))</f>
        <v>16.829999999999998</v>
      </c>
      <c r="BE37" s="41">
        <f>INDEX('[2]End - Use Prices'!$C$6:$AL$89,MATCH($C37,'[2]End - Use Prices'!$A$6:$A$89,0)+MATCH($D37,'[2]End - Use Prices'!$B$9:$B$11,0)-1,MATCH(BE$1,'[2]End - Use Prices'!$C$7:$AL$7,0))</f>
        <v>16.829999999999998</v>
      </c>
      <c r="BF37" s="41">
        <f>INDEX('[2]End - Use Prices'!$C$6:$AL$89,MATCH($C37,'[2]End - Use Prices'!$A$6:$A$89,0)+MATCH($D37,'[2]End - Use Prices'!$B$9:$B$11,0)-1,MATCH(BF$1,'[2]End - Use Prices'!$C$7:$AL$7,0))</f>
        <v>16.82</v>
      </c>
      <c r="BG37" s="41">
        <f>INDEX('[2]End - Use Prices'!$C$6:$AL$89,MATCH($C37,'[2]End - Use Prices'!$A$6:$A$89,0)+MATCH($D37,'[2]End - Use Prices'!$B$9:$B$11,0)-1,MATCH(BG$1,'[2]End - Use Prices'!$C$7:$AL$7,0))</f>
        <v>16.809999999999999</v>
      </c>
      <c r="BR37" s="39"/>
      <c r="BS37" s="39"/>
      <c r="BT37" s="39"/>
      <c r="BU37" s="39"/>
      <c r="BV37" s="39"/>
      <c r="BW37" s="39"/>
      <c r="BX37" s="39"/>
      <c r="BY37" s="39"/>
      <c r="BZ37" s="39"/>
      <c r="CA37" s="39"/>
    </row>
    <row r="38" spans="1:79">
      <c r="A38" s="5"/>
      <c r="B38" s="3"/>
      <c r="C38" s="25" t="s">
        <v>89</v>
      </c>
      <c r="D38" s="25" t="s">
        <v>13</v>
      </c>
      <c r="E38" s="25" t="s">
        <v>277</v>
      </c>
      <c r="F38" s="67" t="s">
        <v>275</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INDEX('[2]End - Use Prices'!$C$6:$AL$89,MATCH($C38,'[2]End - Use Prices'!$A$6:$A$89,0)+MATCH($D38,'[2]End - Use Prices'!$B$9:$B$11,0)-1,MATCH(X$1,'[2]End - Use Prices'!$C$7:$AL$7,0))</f>
        <v>16.739999999999998</v>
      </c>
      <c r="Y38" s="41">
        <f>INDEX('[2]End - Use Prices'!$C$6:$AL$89,MATCH($C38,'[2]End - Use Prices'!$A$6:$A$89,0)+MATCH($D38,'[2]End - Use Prices'!$B$9:$B$11,0)-1,MATCH(Y$1,'[2]End - Use Prices'!$C$7:$AL$7,0))</f>
        <v>17.82</v>
      </c>
      <c r="Z38" s="41">
        <f>INDEX('[2]End - Use Prices'!$C$6:$AL$89,MATCH($C38,'[2]End - Use Prices'!$A$6:$A$89,0)+MATCH($D38,'[2]End - Use Prices'!$B$9:$B$11,0)-1,MATCH(Z$1,'[2]End - Use Prices'!$C$7:$AL$7,0))</f>
        <v>16.100000000000001</v>
      </c>
      <c r="AA38" s="41">
        <f>INDEX('[2]End - Use Prices'!$C$6:$AL$89,MATCH($C38,'[2]End - Use Prices'!$A$6:$A$89,0)+MATCH($D38,'[2]End - Use Prices'!$B$9:$B$11,0)-1,MATCH(AA$1,'[2]End - Use Prices'!$C$7:$AL$7,0))</f>
        <v>16.25</v>
      </c>
      <c r="AB38" s="41">
        <f>INDEX('[2]End - Use Prices'!$C$6:$AL$89,MATCH($C38,'[2]End - Use Prices'!$A$6:$A$89,0)+MATCH($D38,'[2]End - Use Prices'!$B$9:$B$11,0)-1,MATCH(AB$1,'[2]End - Use Prices'!$C$7:$AL$7,0))</f>
        <v>13.76</v>
      </c>
      <c r="AC38" s="41">
        <f>INDEX('[2]End - Use Prices'!$C$6:$AL$89,MATCH($C38,'[2]End - Use Prices'!$A$6:$A$89,0)+MATCH($D38,'[2]End - Use Prices'!$B$9:$B$11,0)-1,MATCH(AC$1,'[2]End - Use Prices'!$C$7:$AL$7,0))</f>
        <v>13.57</v>
      </c>
      <c r="AD38" s="41">
        <f>INDEX('[2]End - Use Prices'!$C$6:$AL$89,MATCH($C38,'[2]End - Use Prices'!$A$6:$A$89,0)+MATCH($D38,'[2]End - Use Prices'!$B$9:$B$11,0)-1,MATCH(AD$1,'[2]End - Use Prices'!$C$7:$AL$7,0))</f>
        <v>11.83</v>
      </c>
      <c r="AE38" s="41">
        <f>INDEX('[2]End - Use Prices'!$C$6:$AL$89,MATCH($C38,'[2]End - Use Prices'!$A$6:$A$89,0)+MATCH($D38,'[2]End - Use Prices'!$B$9:$B$11,0)-1,MATCH(AE$1,'[2]End - Use Prices'!$C$7:$AL$7,0))</f>
        <v>11.22</v>
      </c>
      <c r="AF38" s="41">
        <f>INDEX('[2]End - Use Prices'!$C$6:$AL$89,MATCH($C38,'[2]End - Use Prices'!$A$6:$A$89,0)+MATCH($D38,'[2]End - Use Prices'!$B$9:$B$11,0)-1,MATCH(AF$1,'[2]End - Use Prices'!$C$7:$AL$7,0))</f>
        <v>11.17</v>
      </c>
      <c r="AG38" s="41">
        <f>INDEX('[2]End - Use Prices'!$C$6:$AL$89,MATCH($C38,'[2]End - Use Prices'!$A$6:$A$89,0)+MATCH($D38,'[2]End - Use Prices'!$B$9:$B$11,0)-1,MATCH(AG$1,'[2]End - Use Prices'!$C$7:$AL$7,0))</f>
        <v>12.03</v>
      </c>
      <c r="AH38" s="41">
        <f>INDEX('[2]End - Use Prices'!$C$6:$AL$89,MATCH($C38,'[2]End - Use Prices'!$A$6:$A$89,0)+MATCH($D38,'[2]End - Use Prices'!$B$9:$B$11,0)-1,MATCH(AH$1,'[2]End - Use Prices'!$C$7:$AL$7,0))</f>
        <v>12.15</v>
      </c>
      <c r="AI38" s="41">
        <f>INDEX('[2]End - Use Prices'!$C$6:$AL$89,MATCH($C38,'[2]End - Use Prices'!$A$6:$A$89,0)+MATCH($D38,'[2]End - Use Prices'!$B$9:$B$11,0)-1,MATCH(AI$1,'[2]End - Use Prices'!$C$7:$AL$7,0))</f>
        <v>9.42</v>
      </c>
      <c r="AJ38" s="41">
        <f>INDEX('[2]End - Use Prices'!$C$6:$AL$89,MATCH($C38,'[2]End - Use Prices'!$A$6:$A$89,0)+MATCH($D38,'[2]End - Use Prices'!$B$9:$B$11,0)-1,MATCH(AJ$1,'[2]End - Use Prices'!$C$7:$AL$7,0))</f>
        <v>13.49</v>
      </c>
      <c r="AK38" s="41">
        <f>INDEX('[2]End - Use Prices'!$C$6:$AL$89,MATCH($C38,'[2]End - Use Prices'!$A$6:$A$89,0)+MATCH($D38,'[2]End - Use Prices'!$B$9:$B$11,0)-1,MATCH(AK$1,'[2]End - Use Prices'!$C$7:$AL$7,0))</f>
        <v>10.95</v>
      </c>
      <c r="AL38" s="41">
        <f>INDEX('[2]End - Use Prices'!$C$6:$AL$89,MATCH($C38,'[2]End - Use Prices'!$A$6:$A$89,0)+MATCH($D38,'[2]End - Use Prices'!$B$9:$B$11,0)-1,MATCH(AL$1,'[2]End - Use Prices'!$C$7:$AL$7,0))</f>
        <v>10.029999999999999</v>
      </c>
      <c r="AM38" s="41">
        <f>INDEX('[2]End - Use Prices'!$C$6:$AL$89,MATCH($C38,'[2]End - Use Prices'!$A$6:$A$89,0)+MATCH($D38,'[2]End - Use Prices'!$B$9:$B$11,0)-1,MATCH(AM$1,'[2]End - Use Prices'!$C$7:$AL$7,0))</f>
        <v>10.119999999999999</v>
      </c>
      <c r="AN38" s="41">
        <f>INDEX('[2]End - Use Prices'!$C$6:$AL$89,MATCH($C38,'[2]End - Use Prices'!$A$6:$A$89,0)+MATCH($D38,'[2]End - Use Prices'!$B$9:$B$11,0)-1,MATCH(AN$1,'[2]End - Use Prices'!$C$7:$AL$7,0))</f>
        <v>10.4</v>
      </c>
      <c r="AO38" s="41">
        <f>INDEX('[2]End - Use Prices'!$C$6:$AL$89,MATCH($C38,'[2]End - Use Prices'!$A$6:$A$89,0)+MATCH($D38,'[2]End - Use Prices'!$B$9:$B$11,0)-1,MATCH(AO$1,'[2]End - Use Prices'!$C$7:$AL$7,0))</f>
        <v>10.68</v>
      </c>
      <c r="AP38" s="41">
        <f>INDEX('[2]End - Use Prices'!$C$6:$AL$89,MATCH($C38,'[2]End - Use Prices'!$A$6:$A$89,0)+MATCH($D38,'[2]End - Use Prices'!$B$9:$B$11,0)-1,MATCH(AP$1,'[2]End - Use Prices'!$C$7:$AL$7,0))</f>
        <v>10.91</v>
      </c>
      <c r="AQ38" s="41">
        <f>INDEX('[2]End - Use Prices'!$C$6:$AL$89,MATCH($C38,'[2]End - Use Prices'!$A$6:$A$89,0)+MATCH($D38,'[2]End - Use Prices'!$B$9:$B$11,0)-1,MATCH(AQ$1,'[2]End - Use Prices'!$C$7:$AL$7,0))</f>
        <v>11.15</v>
      </c>
      <c r="AR38" s="41">
        <f>INDEX('[2]End - Use Prices'!$C$6:$AL$89,MATCH($C38,'[2]End - Use Prices'!$A$6:$A$89,0)+MATCH($D38,'[2]End - Use Prices'!$B$9:$B$11,0)-1,MATCH(AR$1,'[2]End - Use Prices'!$C$7:$AL$7,0))</f>
        <v>11.4</v>
      </c>
      <c r="AS38" s="41">
        <f>INDEX('[2]End - Use Prices'!$C$6:$AL$89,MATCH($C38,'[2]End - Use Prices'!$A$6:$A$89,0)+MATCH($D38,'[2]End - Use Prices'!$B$9:$B$11,0)-1,MATCH(AS$1,'[2]End - Use Prices'!$C$7:$AL$7,0))</f>
        <v>11.72</v>
      </c>
      <c r="AT38" s="41">
        <f>INDEX('[2]End - Use Prices'!$C$6:$AL$89,MATCH($C38,'[2]End - Use Prices'!$A$6:$A$89,0)+MATCH($D38,'[2]End - Use Prices'!$B$9:$B$11,0)-1,MATCH(AT$1,'[2]End - Use Prices'!$C$7:$AL$7,0))</f>
        <v>11.76</v>
      </c>
      <c r="AU38" s="41">
        <f>INDEX('[2]End - Use Prices'!$C$6:$AL$89,MATCH($C38,'[2]End - Use Prices'!$A$6:$A$89,0)+MATCH($D38,'[2]End - Use Prices'!$B$9:$B$11,0)-1,MATCH(AU$1,'[2]End - Use Prices'!$C$7:$AL$7,0))</f>
        <v>11.83</v>
      </c>
      <c r="AV38" s="41">
        <f>INDEX('[2]End - Use Prices'!$C$6:$AL$89,MATCH($C38,'[2]End - Use Prices'!$A$6:$A$89,0)+MATCH($D38,'[2]End - Use Prices'!$B$9:$B$11,0)-1,MATCH(AV$1,'[2]End - Use Prices'!$C$7:$AL$7,0))</f>
        <v>11.91</v>
      </c>
      <c r="AW38" s="41">
        <f>INDEX('[2]End - Use Prices'!$C$6:$AL$89,MATCH($C38,'[2]End - Use Prices'!$A$6:$A$89,0)+MATCH($D38,'[2]End - Use Prices'!$B$9:$B$11,0)-1,MATCH(AW$1,'[2]End - Use Prices'!$C$7:$AL$7,0))</f>
        <v>11.98</v>
      </c>
      <c r="AX38" s="41">
        <f>INDEX('[2]End - Use Prices'!$C$6:$AL$89,MATCH($C38,'[2]End - Use Prices'!$A$6:$A$89,0)+MATCH($D38,'[2]End - Use Prices'!$B$9:$B$11,0)-1,MATCH(AX$1,'[2]End - Use Prices'!$C$7:$AL$7,0))</f>
        <v>12.07</v>
      </c>
      <c r="AY38" s="41">
        <f>INDEX('[2]End - Use Prices'!$C$6:$AL$89,MATCH($C38,'[2]End - Use Prices'!$A$6:$A$89,0)+MATCH($D38,'[2]End - Use Prices'!$B$9:$B$11,0)-1,MATCH(AY$1,'[2]End - Use Prices'!$C$7:$AL$7,0))</f>
        <v>12.18</v>
      </c>
      <c r="AZ38" s="41">
        <f>INDEX('[2]End - Use Prices'!$C$6:$AL$89,MATCH($C38,'[2]End - Use Prices'!$A$6:$A$89,0)+MATCH($D38,'[2]End - Use Prices'!$B$9:$B$11,0)-1,MATCH(AZ$1,'[2]End - Use Prices'!$C$7:$AL$7,0))</f>
        <v>12.29</v>
      </c>
      <c r="BA38" s="41">
        <f>INDEX('[2]End - Use Prices'!$C$6:$AL$89,MATCH($C38,'[2]End - Use Prices'!$A$6:$A$89,0)+MATCH($D38,'[2]End - Use Prices'!$B$9:$B$11,0)-1,MATCH(BA$1,'[2]End - Use Prices'!$C$7:$AL$7,0))</f>
        <v>12.35</v>
      </c>
      <c r="BB38" s="41">
        <f>INDEX('[2]End - Use Prices'!$C$6:$AL$89,MATCH($C38,'[2]End - Use Prices'!$A$6:$A$89,0)+MATCH($D38,'[2]End - Use Prices'!$B$9:$B$11,0)-1,MATCH(BB$1,'[2]End - Use Prices'!$C$7:$AL$7,0))</f>
        <v>12.4</v>
      </c>
      <c r="BC38" s="41">
        <f>INDEX('[2]End - Use Prices'!$C$6:$AL$89,MATCH($C38,'[2]End - Use Prices'!$A$6:$A$89,0)+MATCH($D38,'[2]End - Use Prices'!$B$9:$B$11,0)-1,MATCH(BC$1,'[2]End - Use Prices'!$C$7:$AL$7,0))</f>
        <v>12.45</v>
      </c>
      <c r="BD38" s="41">
        <f>INDEX('[2]End - Use Prices'!$C$6:$AL$89,MATCH($C38,'[2]End - Use Prices'!$A$6:$A$89,0)+MATCH($D38,'[2]End - Use Prices'!$B$9:$B$11,0)-1,MATCH(BD$1,'[2]End - Use Prices'!$C$7:$AL$7,0))</f>
        <v>12.48</v>
      </c>
      <c r="BE38" s="41">
        <f>INDEX('[2]End - Use Prices'!$C$6:$AL$89,MATCH($C38,'[2]End - Use Prices'!$A$6:$A$89,0)+MATCH($D38,'[2]End - Use Prices'!$B$9:$B$11,0)-1,MATCH(BE$1,'[2]End - Use Prices'!$C$7:$AL$7,0))</f>
        <v>12.49</v>
      </c>
      <c r="BF38" s="41">
        <f>INDEX('[2]End - Use Prices'!$C$6:$AL$89,MATCH($C38,'[2]End - Use Prices'!$A$6:$A$89,0)+MATCH($D38,'[2]End - Use Prices'!$B$9:$B$11,0)-1,MATCH(BF$1,'[2]End - Use Prices'!$C$7:$AL$7,0))</f>
        <v>12.51</v>
      </c>
      <c r="BG38" s="41">
        <f>INDEX('[2]End - Use Prices'!$C$6:$AL$89,MATCH($C38,'[2]End - Use Prices'!$A$6:$A$89,0)+MATCH($D38,'[2]End - Use Prices'!$B$9:$B$11,0)-1,MATCH(BG$1,'[2]End - Use Prices'!$C$7:$AL$7,0))</f>
        <v>12.52</v>
      </c>
      <c r="BR38" s="39"/>
      <c r="BS38" s="39"/>
      <c r="BT38" s="39"/>
      <c r="BU38" s="39"/>
      <c r="BV38" s="39"/>
      <c r="BW38" s="39"/>
      <c r="BX38" s="39"/>
      <c r="BY38" s="39"/>
      <c r="BZ38" s="39"/>
      <c r="CA38" s="39"/>
    </row>
    <row r="39" spans="1:79">
      <c r="A39" s="5"/>
      <c r="B39" s="3"/>
      <c r="C39" s="25" t="s">
        <v>90</v>
      </c>
      <c r="D39" s="25" t="s">
        <v>13</v>
      </c>
      <c r="E39" s="25" t="s">
        <v>277</v>
      </c>
      <c r="F39" s="67" t="s">
        <v>275</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INDEX('[2]End - Use Prices'!$C$6:$AL$89,MATCH($C39,'[2]End - Use Prices'!$A$6:$A$89,0)+MATCH($D39,'[2]End - Use Prices'!$B$9:$B$11,0)-1,MATCH(X$1,'[2]End - Use Prices'!$C$7:$AL$7,0))</f>
        <v>16.21</v>
      </c>
      <c r="Y39" s="41">
        <f>INDEX('[2]End - Use Prices'!$C$6:$AL$89,MATCH($C39,'[2]End - Use Prices'!$A$6:$A$89,0)+MATCH($D39,'[2]End - Use Prices'!$B$9:$B$11,0)-1,MATCH(Y$1,'[2]End - Use Prices'!$C$7:$AL$7,0))</f>
        <v>15.41</v>
      </c>
      <c r="Z39" s="41">
        <f>INDEX('[2]End - Use Prices'!$C$6:$AL$89,MATCH($C39,'[2]End - Use Prices'!$A$6:$A$89,0)+MATCH($D39,'[2]End - Use Prices'!$B$9:$B$11,0)-1,MATCH(Z$1,'[2]End - Use Prices'!$C$7:$AL$7,0))</f>
        <v>14.81</v>
      </c>
      <c r="AA39" s="41">
        <f>INDEX('[2]End - Use Prices'!$C$6:$AL$89,MATCH($C39,'[2]End - Use Prices'!$A$6:$A$89,0)+MATCH($D39,'[2]End - Use Prices'!$B$9:$B$11,0)-1,MATCH(AA$1,'[2]End - Use Prices'!$C$7:$AL$7,0))</f>
        <v>14.53</v>
      </c>
      <c r="AB39" s="41">
        <f>INDEX('[2]End - Use Prices'!$C$6:$AL$89,MATCH($C39,'[2]End - Use Prices'!$A$6:$A$89,0)+MATCH($D39,'[2]End - Use Prices'!$B$9:$B$11,0)-1,MATCH(AB$1,'[2]End - Use Prices'!$C$7:$AL$7,0))</f>
        <v>14.23</v>
      </c>
      <c r="AC39" s="41">
        <f>INDEX('[2]End - Use Prices'!$C$6:$AL$89,MATCH($C39,'[2]End - Use Prices'!$A$6:$A$89,0)+MATCH($D39,'[2]End - Use Prices'!$B$9:$B$11,0)-1,MATCH(AC$1,'[2]End - Use Prices'!$C$7:$AL$7,0))</f>
        <v>11.7</v>
      </c>
      <c r="AD39" s="41">
        <f>INDEX('[2]End - Use Prices'!$C$6:$AL$89,MATCH($C39,'[2]End - Use Prices'!$A$6:$A$89,0)+MATCH($D39,'[2]End - Use Prices'!$B$9:$B$11,0)-1,MATCH(AD$1,'[2]End - Use Prices'!$C$7:$AL$7,0))</f>
        <v>11.6</v>
      </c>
      <c r="AE39" s="41">
        <f>INDEX('[2]End - Use Prices'!$C$6:$AL$89,MATCH($C39,'[2]End - Use Prices'!$A$6:$A$89,0)+MATCH($D39,'[2]End - Use Prices'!$B$9:$B$11,0)-1,MATCH(AE$1,'[2]End - Use Prices'!$C$7:$AL$7,0))</f>
        <v>10.07</v>
      </c>
      <c r="AF39" s="41">
        <f>INDEX('[2]End - Use Prices'!$C$6:$AL$89,MATCH($C39,'[2]End - Use Prices'!$A$6:$A$89,0)+MATCH($D39,'[2]End - Use Prices'!$B$9:$B$11,0)-1,MATCH(AF$1,'[2]End - Use Prices'!$C$7:$AL$7,0))</f>
        <v>10.41</v>
      </c>
      <c r="AG39" s="41">
        <f>INDEX('[2]End - Use Prices'!$C$6:$AL$89,MATCH($C39,'[2]End - Use Prices'!$A$6:$A$89,0)+MATCH($D39,'[2]End - Use Prices'!$B$9:$B$11,0)-1,MATCH(AG$1,'[2]End - Use Prices'!$C$7:$AL$7,0))</f>
        <v>10.98</v>
      </c>
      <c r="AH39" s="41">
        <f>INDEX('[2]End - Use Prices'!$C$6:$AL$89,MATCH($C39,'[2]End - Use Prices'!$A$6:$A$89,0)+MATCH($D39,'[2]End - Use Prices'!$B$9:$B$11,0)-1,MATCH(AH$1,'[2]End - Use Prices'!$C$7:$AL$7,0))</f>
        <v>11.47</v>
      </c>
      <c r="AI39" s="41">
        <f>INDEX('[2]End - Use Prices'!$C$6:$AL$89,MATCH($C39,'[2]End - Use Prices'!$A$6:$A$89,0)+MATCH($D39,'[2]End - Use Prices'!$B$9:$B$11,0)-1,MATCH(AI$1,'[2]End - Use Prices'!$C$7:$AL$7,0))</f>
        <v>9.65</v>
      </c>
      <c r="AJ39" s="41">
        <f>INDEX('[2]End - Use Prices'!$C$6:$AL$89,MATCH($C39,'[2]End - Use Prices'!$A$6:$A$89,0)+MATCH($D39,'[2]End - Use Prices'!$B$9:$B$11,0)-1,MATCH(AJ$1,'[2]End - Use Prices'!$C$7:$AL$7,0))</f>
        <v>9.7100000000000009</v>
      </c>
      <c r="AK39" s="41">
        <f>INDEX('[2]End - Use Prices'!$C$6:$AL$89,MATCH($C39,'[2]End - Use Prices'!$A$6:$A$89,0)+MATCH($D39,'[2]End - Use Prices'!$B$9:$B$11,0)-1,MATCH(AK$1,'[2]End - Use Prices'!$C$7:$AL$7,0))</f>
        <v>9.6300000000000008</v>
      </c>
      <c r="AL39" s="41">
        <f>INDEX('[2]End - Use Prices'!$C$6:$AL$89,MATCH($C39,'[2]End - Use Prices'!$A$6:$A$89,0)+MATCH($D39,'[2]End - Use Prices'!$B$9:$B$11,0)-1,MATCH(AL$1,'[2]End - Use Prices'!$C$7:$AL$7,0))</f>
        <v>9.6199999999999992</v>
      </c>
      <c r="AM39" s="41">
        <f>INDEX('[2]End - Use Prices'!$C$6:$AL$89,MATCH($C39,'[2]End - Use Prices'!$A$6:$A$89,0)+MATCH($D39,'[2]End - Use Prices'!$B$9:$B$11,0)-1,MATCH(AM$1,'[2]End - Use Prices'!$C$7:$AL$7,0))</f>
        <v>10.53</v>
      </c>
      <c r="AN39" s="41">
        <f>INDEX('[2]End - Use Prices'!$C$6:$AL$89,MATCH($C39,'[2]End - Use Prices'!$A$6:$A$89,0)+MATCH($D39,'[2]End - Use Prices'!$B$9:$B$11,0)-1,MATCH(AN$1,'[2]End - Use Prices'!$C$7:$AL$7,0))</f>
        <v>10.96</v>
      </c>
      <c r="AO39" s="41">
        <f>INDEX('[2]End - Use Prices'!$C$6:$AL$89,MATCH($C39,'[2]End - Use Prices'!$A$6:$A$89,0)+MATCH($D39,'[2]End - Use Prices'!$B$9:$B$11,0)-1,MATCH(AO$1,'[2]End - Use Prices'!$C$7:$AL$7,0))</f>
        <v>11.37</v>
      </c>
      <c r="AP39" s="41">
        <f>INDEX('[2]End - Use Prices'!$C$6:$AL$89,MATCH($C39,'[2]End - Use Prices'!$A$6:$A$89,0)+MATCH($D39,'[2]End - Use Prices'!$B$9:$B$11,0)-1,MATCH(AP$1,'[2]End - Use Prices'!$C$7:$AL$7,0))</f>
        <v>11.74</v>
      </c>
      <c r="AQ39" s="41">
        <f>INDEX('[2]End - Use Prices'!$C$6:$AL$89,MATCH($C39,'[2]End - Use Prices'!$A$6:$A$89,0)+MATCH($D39,'[2]End - Use Prices'!$B$9:$B$11,0)-1,MATCH(AQ$1,'[2]End - Use Prices'!$C$7:$AL$7,0))</f>
        <v>11.76</v>
      </c>
      <c r="AR39" s="41">
        <f>INDEX('[2]End - Use Prices'!$C$6:$AL$89,MATCH($C39,'[2]End - Use Prices'!$A$6:$A$89,0)+MATCH($D39,'[2]End - Use Prices'!$B$9:$B$11,0)-1,MATCH(AR$1,'[2]End - Use Prices'!$C$7:$AL$7,0))</f>
        <v>11.81</v>
      </c>
      <c r="AS39" s="41">
        <f>INDEX('[2]End - Use Prices'!$C$6:$AL$89,MATCH($C39,'[2]End - Use Prices'!$A$6:$A$89,0)+MATCH($D39,'[2]End - Use Prices'!$B$9:$B$11,0)-1,MATCH(AS$1,'[2]End - Use Prices'!$C$7:$AL$7,0))</f>
        <v>11.93</v>
      </c>
      <c r="AT39" s="41">
        <f>INDEX('[2]End - Use Prices'!$C$6:$AL$89,MATCH($C39,'[2]End - Use Prices'!$A$6:$A$89,0)+MATCH($D39,'[2]End - Use Prices'!$B$9:$B$11,0)-1,MATCH(AT$1,'[2]End - Use Prices'!$C$7:$AL$7,0))</f>
        <v>12.04</v>
      </c>
      <c r="AU39" s="41">
        <f>INDEX('[2]End - Use Prices'!$C$6:$AL$89,MATCH($C39,'[2]End - Use Prices'!$A$6:$A$89,0)+MATCH($D39,'[2]End - Use Prices'!$B$9:$B$11,0)-1,MATCH(AU$1,'[2]End - Use Prices'!$C$7:$AL$7,0))</f>
        <v>12.16</v>
      </c>
      <c r="AV39" s="41">
        <f>INDEX('[2]End - Use Prices'!$C$6:$AL$89,MATCH($C39,'[2]End - Use Prices'!$A$6:$A$89,0)+MATCH($D39,'[2]End - Use Prices'!$B$9:$B$11,0)-1,MATCH(AV$1,'[2]End - Use Prices'!$C$7:$AL$7,0))</f>
        <v>12.3</v>
      </c>
      <c r="AW39" s="41">
        <f>INDEX('[2]End - Use Prices'!$C$6:$AL$89,MATCH($C39,'[2]End - Use Prices'!$A$6:$A$89,0)+MATCH($D39,'[2]End - Use Prices'!$B$9:$B$11,0)-1,MATCH(AW$1,'[2]End - Use Prices'!$C$7:$AL$7,0))</f>
        <v>12.43</v>
      </c>
      <c r="AX39" s="41">
        <f>INDEX('[2]End - Use Prices'!$C$6:$AL$89,MATCH($C39,'[2]End - Use Prices'!$A$6:$A$89,0)+MATCH($D39,'[2]End - Use Prices'!$B$9:$B$11,0)-1,MATCH(AX$1,'[2]End - Use Prices'!$C$7:$AL$7,0))</f>
        <v>12.56</v>
      </c>
      <c r="AY39" s="41">
        <f>INDEX('[2]End - Use Prices'!$C$6:$AL$89,MATCH($C39,'[2]End - Use Prices'!$A$6:$A$89,0)+MATCH($D39,'[2]End - Use Prices'!$B$9:$B$11,0)-1,MATCH(AY$1,'[2]End - Use Prices'!$C$7:$AL$7,0))</f>
        <v>12.7</v>
      </c>
      <c r="AZ39" s="41">
        <f>INDEX('[2]End - Use Prices'!$C$6:$AL$89,MATCH($C39,'[2]End - Use Prices'!$A$6:$A$89,0)+MATCH($D39,'[2]End - Use Prices'!$B$9:$B$11,0)-1,MATCH(AZ$1,'[2]End - Use Prices'!$C$7:$AL$7,0))</f>
        <v>12.86</v>
      </c>
      <c r="BA39" s="41">
        <f>INDEX('[2]End - Use Prices'!$C$6:$AL$89,MATCH($C39,'[2]End - Use Prices'!$A$6:$A$89,0)+MATCH($D39,'[2]End - Use Prices'!$B$9:$B$11,0)-1,MATCH(BA$1,'[2]End - Use Prices'!$C$7:$AL$7,0))</f>
        <v>12.95</v>
      </c>
      <c r="BB39" s="41">
        <f>INDEX('[2]End - Use Prices'!$C$6:$AL$89,MATCH($C39,'[2]End - Use Prices'!$A$6:$A$89,0)+MATCH($D39,'[2]End - Use Prices'!$B$9:$B$11,0)-1,MATCH(BB$1,'[2]End - Use Prices'!$C$7:$AL$7,0))</f>
        <v>13.03</v>
      </c>
      <c r="BC39" s="41">
        <f>INDEX('[2]End - Use Prices'!$C$6:$AL$89,MATCH($C39,'[2]End - Use Prices'!$A$6:$A$89,0)+MATCH($D39,'[2]End - Use Prices'!$B$9:$B$11,0)-1,MATCH(BC$1,'[2]End - Use Prices'!$C$7:$AL$7,0))</f>
        <v>13.11</v>
      </c>
      <c r="BD39" s="41">
        <f>INDEX('[2]End - Use Prices'!$C$6:$AL$89,MATCH($C39,'[2]End - Use Prices'!$A$6:$A$89,0)+MATCH($D39,'[2]End - Use Prices'!$B$9:$B$11,0)-1,MATCH(BD$1,'[2]End - Use Prices'!$C$7:$AL$7,0))</f>
        <v>13.17</v>
      </c>
      <c r="BE39" s="41">
        <f>INDEX('[2]End - Use Prices'!$C$6:$AL$89,MATCH($C39,'[2]End - Use Prices'!$A$6:$A$89,0)+MATCH($D39,'[2]End - Use Prices'!$B$9:$B$11,0)-1,MATCH(BE$1,'[2]End - Use Prices'!$C$7:$AL$7,0))</f>
        <v>13.22</v>
      </c>
      <c r="BF39" s="41">
        <f>INDEX('[2]End - Use Prices'!$C$6:$AL$89,MATCH($C39,'[2]End - Use Prices'!$A$6:$A$89,0)+MATCH($D39,'[2]End - Use Prices'!$B$9:$B$11,0)-1,MATCH(BF$1,'[2]End - Use Prices'!$C$7:$AL$7,0))</f>
        <v>13.27</v>
      </c>
      <c r="BG39" s="41">
        <f>INDEX('[2]End - Use Prices'!$C$6:$AL$89,MATCH($C39,'[2]End - Use Prices'!$A$6:$A$89,0)+MATCH($D39,'[2]End - Use Prices'!$B$9:$B$11,0)-1,MATCH(BG$1,'[2]End - Use Prices'!$C$7:$AL$7,0))</f>
        <v>13.31</v>
      </c>
      <c r="BR39" s="39"/>
      <c r="BS39" s="39"/>
      <c r="BT39" s="39"/>
      <c r="BU39" s="39"/>
      <c r="BV39" s="39"/>
      <c r="BW39" s="39"/>
      <c r="BX39" s="39"/>
      <c r="BY39" s="39"/>
      <c r="BZ39" s="39"/>
      <c r="CA39" s="39"/>
    </row>
    <row r="40" spans="1:79">
      <c r="A40" s="5"/>
      <c r="B40" s="3"/>
      <c r="C40" s="25" t="s">
        <v>91</v>
      </c>
      <c r="D40" s="25" t="s">
        <v>13</v>
      </c>
      <c r="E40" s="25" t="s">
        <v>277</v>
      </c>
      <c r="F40" s="67" t="s">
        <v>275</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INDEX('[2]End - Use Prices'!$C$6:$AL$89,MATCH($C40,'[2]End - Use Prices'!$A$6:$A$89,0)+MATCH($D40,'[2]End - Use Prices'!$B$9:$B$11,0)-1,MATCH(X$1,'[2]End - Use Prices'!$C$7:$AL$7,0))</f>
        <v>14.11</v>
      </c>
      <c r="Y40" s="41">
        <f>INDEX('[2]End - Use Prices'!$C$6:$AL$89,MATCH($C40,'[2]End - Use Prices'!$A$6:$A$89,0)+MATCH($D40,'[2]End - Use Prices'!$B$9:$B$11,0)-1,MATCH(Y$1,'[2]End - Use Prices'!$C$7:$AL$7,0))</f>
        <v>13.96</v>
      </c>
      <c r="Z40" s="41">
        <f>INDEX('[2]End - Use Prices'!$C$6:$AL$89,MATCH($C40,'[2]End - Use Prices'!$A$6:$A$89,0)+MATCH($D40,'[2]End - Use Prices'!$B$9:$B$11,0)-1,MATCH(Z$1,'[2]End - Use Prices'!$C$7:$AL$7,0))</f>
        <v>13.58</v>
      </c>
      <c r="AA40" s="41">
        <f>INDEX('[2]End - Use Prices'!$C$6:$AL$89,MATCH($C40,'[2]End - Use Prices'!$A$6:$A$89,0)+MATCH($D40,'[2]End - Use Prices'!$B$9:$B$11,0)-1,MATCH(AA$1,'[2]End - Use Prices'!$C$7:$AL$7,0))</f>
        <v>12.3</v>
      </c>
      <c r="AB40" s="41">
        <f>INDEX('[2]End - Use Prices'!$C$6:$AL$89,MATCH($C40,'[2]End - Use Prices'!$A$6:$A$89,0)+MATCH($D40,'[2]End - Use Prices'!$B$9:$B$11,0)-1,MATCH(AB$1,'[2]End - Use Prices'!$C$7:$AL$7,0))</f>
        <v>14.1</v>
      </c>
      <c r="AC40" s="41">
        <f>INDEX('[2]End - Use Prices'!$C$6:$AL$89,MATCH($C40,'[2]End - Use Prices'!$A$6:$A$89,0)+MATCH($D40,'[2]End - Use Prices'!$B$9:$B$11,0)-1,MATCH(AC$1,'[2]End - Use Prices'!$C$7:$AL$7,0))</f>
        <v>12.28</v>
      </c>
      <c r="AD40" s="41">
        <f>INDEX('[2]End - Use Prices'!$C$6:$AL$89,MATCH($C40,'[2]End - Use Prices'!$A$6:$A$89,0)+MATCH($D40,'[2]End - Use Prices'!$B$9:$B$11,0)-1,MATCH(AD$1,'[2]End - Use Prices'!$C$7:$AL$7,0))</f>
        <v>11.25</v>
      </c>
      <c r="AE40" s="41">
        <f>INDEX('[2]End - Use Prices'!$C$6:$AL$89,MATCH($C40,'[2]End - Use Prices'!$A$6:$A$89,0)+MATCH($D40,'[2]End - Use Prices'!$B$9:$B$11,0)-1,MATCH(AE$1,'[2]End - Use Prices'!$C$7:$AL$7,0))</f>
        <v>10.93</v>
      </c>
      <c r="AF40" s="41">
        <f>INDEX('[2]End - Use Prices'!$C$6:$AL$89,MATCH($C40,'[2]End - Use Prices'!$A$6:$A$89,0)+MATCH($D40,'[2]End - Use Prices'!$B$9:$B$11,0)-1,MATCH(AF$1,'[2]End - Use Prices'!$C$7:$AL$7,0))</f>
        <v>10.61</v>
      </c>
      <c r="AG40" s="41">
        <f>INDEX('[2]End - Use Prices'!$C$6:$AL$89,MATCH($C40,'[2]End - Use Prices'!$A$6:$A$89,0)+MATCH($D40,'[2]End - Use Prices'!$B$9:$B$11,0)-1,MATCH(AG$1,'[2]End - Use Prices'!$C$7:$AL$7,0))</f>
        <v>9.19</v>
      </c>
      <c r="AH40" s="41">
        <f>INDEX('[2]End - Use Prices'!$C$6:$AL$89,MATCH($C40,'[2]End - Use Prices'!$A$6:$A$89,0)+MATCH($D40,'[2]End - Use Prices'!$B$9:$B$11,0)-1,MATCH(AH$1,'[2]End - Use Prices'!$C$7:$AL$7,0))</f>
        <v>11.81</v>
      </c>
      <c r="AI40" s="41">
        <f>INDEX('[2]End - Use Prices'!$C$6:$AL$89,MATCH($C40,'[2]End - Use Prices'!$A$6:$A$89,0)+MATCH($D40,'[2]End - Use Prices'!$B$9:$B$11,0)-1,MATCH(AI$1,'[2]End - Use Prices'!$C$7:$AL$7,0))</f>
        <v>8.8000000000000007</v>
      </c>
      <c r="AJ40" s="41">
        <f>INDEX('[2]End - Use Prices'!$C$6:$AL$89,MATCH($C40,'[2]End - Use Prices'!$A$6:$A$89,0)+MATCH($D40,'[2]End - Use Prices'!$B$9:$B$11,0)-1,MATCH(AJ$1,'[2]End - Use Prices'!$C$7:$AL$7,0))</f>
        <v>7.48</v>
      </c>
      <c r="AK40" s="41">
        <f>INDEX('[2]End - Use Prices'!$C$6:$AL$89,MATCH($C40,'[2]End - Use Prices'!$A$6:$A$89,0)+MATCH($D40,'[2]End - Use Prices'!$B$9:$B$11,0)-1,MATCH(AK$1,'[2]End - Use Prices'!$C$7:$AL$7,0))</f>
        <v>7.4</v>
      </c>
      <c r="AL40" s="41">
        <f>INDEX('[2]End - Use Prices'!$C$6:$AL$89,MATCH($C40,'[2]End - Use Prices'!$A$6:$A$89,0)+MATCH($D40,'[2]End - Use Prices'!$B$9:$B$11,0)-1,MATCH(AL$1,'[2]End - Use Prices'!$C$7:$AL$7,0))</f>
        <v>7.39</v>
      </c>
      <c r="AM40" s="41">
        <f>INDEX('[2]End - Use Prices'!$C$6:$AL$89,MATCH($C40,'[2]End - Use Prices'!$A$6:$A$89,0)+MATCH($D40,'[2]End - Use Prices'!$B$9:$B$11,0)-1,MATCH(AM$1,'[2]End - Use Prices'!$C$7:$AL$7,0))</f>
        <v>8.3000000000000007</v>
      </c>
      <c r="AN40" s="41">
        <f>INDEX('[2]End - Use Prices'!$C$6:$AL$89,MATCH($C40,'[2]End - Use Prices'!$A$6:$A$89,0)+MATCH($D40,'[2]End - Use Prices'!$B$9:$B$11,0)-1,MATCH(AN$1,'[2]End - Use Prices'!$C$7:$AL$7,0))</f>
        <v>8.73</v>
      </c>
      <c r="AO40" s="41">
        <f>INDEX('[2]End - Use Prices'!$C$6:$AL$89,MATCH($C40,'[2]End - Use Prices'!$A$6:$A$89,0)+MATCH($D40,'[2]End - Use Prices'!$B$9:$B$11,0)-1,MATCH(AO$1,'[2]End - Use Prices'!$C$7:$AL$7,0))</f>
        <v>9.14</v>
      </c>
      <c r="AP40" s="41">
        <f>INDEX('[2]End - Use Prices'!$C$6:$AL$89,MATCH($C40,'[2]End - Use Prices'!$A$6:$A$89,0)+MATCH($D40,'[2]End - Use Prices'!$B$9:$B$11,0)-1,MATCH(AP$1,'[2]End - Use Prices'!$C$7:$AL$7,0))</f>
        <v>9.51</v>
      </c>
      <c r="AQ40" s="41">
        <f>INDEX('[2]End - Use Prices'!$C$6:$AL$89,MATCH($C40,'[2]End - Use Prices'!$A$6:$A$89,0)+MATCH($D40,'[2]End - Use Prices'!$B$9:$B$11,0)-1,MATCH(AQ$1,'[2]End - Use Prices'!$C$7:$AL$7,0))</f>
        <v>9.4499999999999993</v>
      </c>
      <c r="AR40" s="41">
        <f>INDEX('[2]End - Use Prices'!$C$6:$AL$89,MATCH($C40,'[2]End - Use Prices'!$A$6:$A$89,0)+MATCH($D40,'[2]End - Use Prices'!$B$9:$B$11,0)-1,MATCH(AR$1,'[2]End - Use Prices'!$C$7:$AL$7,0))</f>
        <v>9.42</v>
      </c>
      <c r="AS40" s="41">
        <f>INDEX('[2]End - Use Prices'!$C$6:$AL$89,MATCH($C40,'[2]End - Use Prices'!$A$6:$A$89,0)+MATCH($D40,'[2]End - Use Prices'!$B$9:$B$11,0)-1,MATCH(AS$1,'[2]End - Use Prices'!$C$7:$AL$7,0))</f>
        <v>9.4600000000000009</v>
      </c>
      <c r="AT40" s="41">
        <f>INDEX('[2]End - Use Prices'!$C$6:$AL$89,MATCH($C40,'[2]End - Use Prices'!$A$6:$A$89,0)+MATCH($D40,'[2]End - Use Prices'!$B$9:$B$11,0)-1,MATCH(AT$1,'[2]End - Use Prices'!$C$7:$AL$7,0))</f>
        <v>9.48</v>
      </c>
      <c r="AU40" s="41">
        <f>INDEX('[2]End - Use Prices'!$C$6:$AL$89,MATCH($C40,'[2]End - Use Prices'!$A$6:$A$89,0)+MATCH($D40,'[2]End - Use Prices'!$B$9:$B$11,0)-1,MATCH(AU$1,'[2]End - Use Prices'!$C$7:$AL$7,0))</f>
        <v>9.52</v>
      </c>
      <c r="AV40" s="41">
        <f>INDEX('[2]End - Use Prices'!$C$6:$AL$89,MATCH($C40,'[2]End - Use Prices'!$A$6:$A$89,0)+MATCH($D40,'[2]End - Use Prices'!$B$9:$B$11,0)-1,MATCH(AV$1,'[2]End - Use Prices'!$C$7:$AL$7,0))</f>
        <v>9.57</v>
      </c>
      <c r="AW40" s="41">
        <f>INDEX('[2]End - Use Prices'!$C$6:$AL$89,MATCH($C40,'[2]End - Use Prices'!$A$6:$A$89,0)+MATCH($D40,'[2]End - Use Prices'!$B$9:$B$11,0)-1,MATCH(AW$1,'[2]End - Use Prices'!$C$7:$AL$7,0))</f>
        <v>9.6199999999999992</v>
      </c>
      <c r="AX40" s="41">
        <f>INDEX('[2]End - Use Prices'!$C$6:$AL$89,MATCH($C40,'[2]End - Use Prices'!$A$6:$A$89,0)+MATCH($D40,'[2]End - Use Prices'!$B$9:$B$11,0)-1,MATCH(AX$1,'[2]End - Use Prices'!$C$7:$AL$7,0))</f>
        <v>9.68</v>
      </c>
      <c r="AY40" s="41">
        <f>INDEX('[2]End - Use Prices'!$C$6:$AL$89,MATCH($C40,'[2]End - Use Prices'!$A$6:$A$89,0)+MATCH($D40,'[2]End - Use Prices'!$B$9:$B$11,0)-1,MATCH(AY$1,'[2]End - Use Prices'!$C$7:$AL$7,0))</f>
        <v>9.75</v>
      </c>
      <c r="AZ40" s="41">
        <f>INDEX('[2]End - Use Prices'!$C$6:$AL$89,MATCH($C40,'[2]End - Use Prices'!$A$6:$A$89,0)+MATCH($D40,'[2]End - Use Prices'!$B$9:$B$11,0)-1,MATCH(AZ$1,'[2]End - Use Prices'!$C$7:$AL$7,0))</f>
        <v>9.83</v>
      </c>
      <c r="BA40" s="41">
        <f>INDEX('[2]End - Use Prices'!$C$6:$AL$89,MATCH($C40,'[2]End - Use Prices'!$A$6:$A$89,0)+MATCH($D40,'[2]End - Use Prices'!$B$9:$B$11,0)-1,MATCH(BA$1,'[2]End - Use Prices'!$C$7:$AL$7,0))</f>
        <v>9.8699999999999992</v>
      </c>
      <c r="BB40" s="41">
        <f>INDEX('[2]End - Use Prices'!$C$6:$AL$89,MATCH($C40,'[2]End - Use Prices'!$A$6:$A$89,0)+MATCH($D40,'[2]End - Use Prices'!$B$9:$B$11,0)-1,MATCH(BB$1,'[2]End - Use Prices'!$C$7:$AL$7,0))</f>
        <v>9.9</v>
      </c>
      <c r="BC40" s="41">
        <f>INDEX('[2]End - Use Prices'!$C$6:$AL$89,MATCH($C40,'[2]End - Use Prices'!$A$6:$A$89,0)+MATCH($D40,'[2]End - Use Prices'!$B$9:$B$11,0)-1,MATCH(BC$1,'[2]End - Use Prices'!$C$7:$AL$7,0))</f>
        <v>9.93</v>
      </c>
      <c r="BD40" s="41">
        <f>INDEX('[2]End - Use Prices'!$C$6:$AL$89,MATCH($C40,'[2]End - Use Prices'!$A$6:$A$89,0)+MATCH($D40,'[2]End - Use Prices'!$B$9:$B$11,0)-1,MATCH(BD$1,'[2]End - Use Prices'!$C$7:$AL$7,0))</f>
        <v>9.94</v>
      </c>
      <c r="BE40" s="41">
        <f>INDEX('[2]End - Use Prices'!$C$6:$AL$89,MATCH($C40,'[2]End - Use Prices'!$A$6:$A$89,0)+MATCH($D40,'[2]End - Use Prices'!$B$9:$B$11,0)-1,MATCH(BE$1,'[2]End - Use Prices'!$C$7:$AL$7,0))</f>
        <v>9.94</v>
      </c>
      <c r="BF40" s="41">
        <f>INDEX('[2]End - Use Prices'!$C$6:$AL$89,MATCH($C40,'[2]End - Use Prices'!$A$6:$A$89,0)+MATCH($D40,'[2]End - Use Prices'!$B$9:$B$11,0)-1,MATCH(BF$1,'[2]End - Use Prices'!$C$7:$AL$7,0))</f>
        <v>9.9499999999999993</v>
      </c>
      <c r="BG40" s="41">
        <f>INDEX('[2]End - Use Prices'!$C$6:$AL$89,MATCH($C40,'[2]End - Use Prices'!$A$6:$A$89,0)+MATCH($D40,'[2]End - Use Prices'!$B$9:$B$11,0)-1,MATCH(BG$1,'[2]End - Use Prices'!$C$7:$AL$7,0))</f>
        <v>9.9499999999999993</v>
      </c>
      <c r="BR40" s="39"/>
      <c r="BS40" s="39"/>
      <c r="BT40" s="39"/>
      <c r="BU40" s="39"/>
      <c r="BV40" s="39"/>
      <c r="BW40" s="39"/>
      <c r="BX40" s="39"/>
      <c r="BY40" s="39"/>
      <c r="BZ40" s="39"/>
      <c r="CA40" s="39"/>
    </row>
    <row r="41" spans="1:79">
      <c r="A41" s="5"/>
      <c r="B41" s="3"/>
      <c r="C41" s="25" t="s">
        <v>5</v>
      </c>
      <c r="D41" s="25" t="s">
        <v>13</v>
      </c>
      <c r="E41" s="25" t="s">
        <v>277</v>
      </c>
      <c r="F41" s="67" t="s">
        <v>275</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INDEX('[2]End - Use Prices'!$C$6:$AL$89,MATCH($C41,'[2]End - Use Prices'!$A$6:$A$89,0)+MATCH($D41,'[2]End - Use Prices'!$B$9:$B$11,0)-1,MATCH(X$1,'[2]End - Use Prices'!$C$7:$AL$7,0))</f>
        <v>12.98</v>
      </c>
      <c r="Y41" s="41">
        <f>INDEX('[2]End - Use Prices'!$C$6:$AL$89,MATCH($C41,'[2]End - Use Prices'!$A$6:$A$89,0)+MATCH($D41,'[2]End - Use Prices'!$B$9:$B$11,0)-1,MATCH(Y$1,'[2]End - Use Prices'!$C$7:$AL$7,0))</f>
        <v>11.76</v>
      </c>
      <c r="Z41" s="41">
        <f>INDEX('[2]End - Use Prices'!$C$6:$AL$89,MATCH($C41,'[2]End - Use Prices'!$A$6:$A$89,0)+MATCH($D41,'[2]End - Use Prices'!$B$9:$B$11,0)-1,MATCH(Z$1,'[2]End - Use Prices'!$C$7:$AL$7,0))</f>
        <v>10.95</v>
      </c>
      <c r="AA41" s="41">
        <f>INDEX('[2]End - Use Prices'!$C$6:$AL$89,MATCH($C41,'[2]End - Use Prices'!$A$6:$A$89,0)+MATCH($D41,'[2]End - Use Prices'!$B$9:$B$11,0)-1,MATCH(AA$1,'[2]End - Use Prices'!$C$7:$AL$7,0))</f>
        <v>11.03</v>
      </c>
      <c r="AB41" s="41">
        <f>INDEX('[2]End - Use Prices'!$C$6:$AL$89,MATCH($C41,'[2]End - Use Prices'!$A$6:$A$89,0)+MATCH($D41,'[2]End - Use Prices'!$B$9:$B$11,0)-1,MATCH(AB$1,'[2]End - Use Prices'!$C$7:$AL$7,0))</f>
        <v>7.77</v>
      </c>
      <c r="AC41" s="41">
        <f>INDEX('[2]End - Use Prices'!$C$6:$AL$89,MATCH($C41,'[2]End - Use Prices'!$A$6:$A$89,0)+MATCH($D41,'[2]End - Use Prices'!$B$9:$B$11,0)-1,MATCH(AC$1,'[2]End - Use Prices'!$C$7:$AL$7,0))</f>
        <v>7.97</v>
      </c>
      <c r="AD41" s="41">
        <f>INDEX('[2]End - Use Prices'!$C$6:$AL$89,MATCH($C41,'[2]End - Use Prices'!$A$6:$A$89,0)+MATCH($D41,'[2]End - Use Prices'!$B$9:$B$11,0)-1,MATCH(AD$1,'[2]End - Use Prices'!$C$7:$AL$7,0))</f>
        <v>8.15</v>
      </c>
      <c r="AE41" s="41">
        <f>INDEX('[2]End - Use Prices'!$C$6:$AL$89,MATCH($C41,'[2]End - Use Prices'!$A$6:$A$89,0)+MATCH($D41,'[2]End - Use Prices'!$B$9:$B$11,0)-1,MATCH(AE$1,'[2]End - Use Prices'!$C$7:$AL$7,0))</f>
        <v>6.63</v>
      </c>
      <c r="AF41" s="41">
        <f>INDEX('[2]End - Use Prices'!$C$6:$AL$89,MATCH($C41,'[2]End - Use Prices'!$A$6:$A$89,0)+MATCH($D41,'[2]End - Use Prices'!$B$9:$B$11,0)-1,MATCH(AF$1,'[2]End - Use Prices'!$C$7:$AL$7,0))</f>
        <v>6.93</v>
      </c>
      <c r="AG41" s="41">
        <f>INDEX('[2]End - Use Prices'!$C$6:$AL$89,MATCH($C41,'[2]End - Use Prices'!$A$6:$A$89,0)+MATCH($D41,'[2]End - Use Prices'!$B$9:$B$11,0)-1,MATCH(AG$1,'[2]End - Use Prices'!$C$7:$AL$7,0))</f>
        <v>8.5399999999999991</v>
      </c>
      <c r="AH41" s="41">
        <f>INDEX('[2]End - Use Prices'!$C$6:$AL$89,MATCH($C41,'[2]End - Use Prices'!$A$6:$A$89,0)+MATCH($D41,'[2]End - Use Prices'!$B$9:$B$11,0)-1,MATCH(AH$1,'[2]End - Use Prices'!$C$7:$AL$7,0))</f>
        <v>3.36</v>
      </c>
      <c r="AI41" s="41">
        <f>INDEX('[2]End - Use Prices'!$C$6:$AL$89,MATCH($C41,'[2]End - Use Prices'!$A$6:$A$89,0)+MATCH($D41,'[2]End - Use Prices'!$B$9:$B$11,0)-1,MATCH(AI$1,'[2]End - Use Prices'!$C$7:$AL$7,0))</f>
        <v>5.3</v>
      </c>
      <c r="AJ41" s="41">
        <f>INDEX('[2]End - Use Prices'!$C$6:$AL$89,MATCH($C41,'[2]End - Use Prices'!$A$6:$A$89,0)+MATCH($D41,'[2]End - Use Prices'!$B$9:$B$11,0)-1,MATCH(AJ$1,'[2]End - Use Prices'!$C$7:$AL$7,0))</f>
        <v>4.5599999999999996</v>
      </c>
      <c r="AK41" s="41">
        <f>INDEX('[2]End - Use Prices'!$C$6:$AL$89,MATCH($C41,'[2]End - Use Prices'!$A$6:$A$89,0)+MATCH($D41,'[2]End - Use Prices'!$B$9:$B$11,0)-1,MATCH(AK$1,'[2]End - Use Prices'!$C$7:$AL$7,0))</f>
        <v>5.99</v>
      </c>
      <c r="AL41" s="41">
        <f>INDEX('[2]End - Use Prices'!$C$6:$AL$89,MATCH($C41,'[2]End - Use Prices'!$A$6:$A$89,0)+MATCH($D41,'[2]End - Use Prices'!$B$9:$B$11,0)-1,MATCH(AL$1,'[2]End - Use Prices'!$C$7:$AL$7,0))</f>
        <v>6.47</v>
      </c>
      <c r="AM41" s="41">
        <f>INDEX('[2]End - Use Prices'!$C$6:$AL$89,MATCH($C41,'[2]End - Use Prices'!$A$6:$A$89,0)+MATCH($D41,'[2]End - Use Prices'!$B$9:$B$11,0)-1,MATCH(AM$1,'[2]End - Use Prices'!$C$7:$AL$7,0))</f>
        <v>6.42</v>
      </c>
      <c r="AN41" s="41">
        <f>INDEX('[2]End - Use Prices'!$C$6:$AL$89,MATCH($C41,'[2]End - Use Prices'!$A$6:$A$89,0)+MATCH($D41,'[2]End - Use Prices'!$B$9:$B$11,0)-1,MATCH(AN$1,'[2]End - Use Prices'!$C$7:$AL$7,0))</f>
        <v>6.38</v>
      </c>
      <c r="AO41" s="41">
        <f>INDEX('[2]End - Use Prices'!$C$6:$AL$89,MATCH($C41,'[2]End - Use Prices'!$A$6:$A$89,0)+MATCH($D41,'[2]End - Use Prices'!$B$9:$B$11,0)-1,MATCH(AO$1,'[2]End - Use Prices'!$C$7:$AL$7,0))</f>
        <v>6.84</v>
      </c>
      <c r="AP41" s="41">
        <f>INDEX('[2]End - Use Prices'!$C$6:$AL$89,MATCH($C41,'[2]End - Use Prices'!$A$6:$A$89,0)+MATCH($D41,'[2]End - Use Prices'!$B$9:$B$11,0)-1,MATCH(AP$1,'[2]End - Use Prices'!$C$7:$AL$7,0))</f>
        <v>7.25</v>
      </c>
      <c r="AQ41" s="41">
        <f>INDEX('[2]End - Use Prices'!$C$6:$AL$89,MATCH($C41,'[2]End - Use Prices'!$A$6:$A$89,0)+MATCH($D41,'[2]End - Use Prices'!$B$9:$B$11,0)-1,MATCH(AQ$1,'[2]End - Use Prices'!$C$7:$AL$7,0))</f>
        <v>7.19</v>
      </c>
      <c r="AR41" s="41">
        <f>INDEX('[2]End - Use Prices'!$C$6:$AL$89,MATCH($C41,'[2]End - Use Prices'!$A$6:$A$89,0)+MATCH($D41,'[2]End - Use Prices'!$B$9:$B$11,0)-1,MATCH(AR$1,'[2]End - Use Prices'!$C$7:$AL$7,0))</f>
        <v>7.15</v>
      </c>
      <c r="AS41" s="41">
        <f>INDEX('[2]End - Use Prices'!$C$6:$AL$89,MATCH($C41,'[2]End - Use Prices'!$A$6:$A$89,0)+MATCH($D41,'[2]End - Use Prices'!$B$9:$B$11,0)-1,MATCH(AS$1,'[2]End - Use Prices'!$C$7:$AL$7,0))</f>
        <v>7.18</v>
      </c>
      <c r="AT41" s="41">
        <f>INDEX('[2]End - Use Prices'!$C$6:$AL$89,MATCH($C41,'[2]End - Use Prices'!$A$6:$A$89,0)+MATCH($D41,'[2]End - Use Prices'!$B$9:$B$11,0)-1,MATCH(AT$1,'[2]End - Use Prices'!$C$7:$AL$7,0))</f>
        <v>7.2</v>
      </c>
      <c r="AU41" s="41">
        <f>INDEX('[2]End - Use Prices'!$C$6:$AL$89,MATCH($C41,'[2]End - Use Prices'!$A$6:$A$89,0)+MATCH($D41,'[2]End - Use Prices'!$B$9:$B$11,0)-1,MATCH(AU$1,'[2]End - Use Prices'!$C$7:$AL$7,0))</f>
        <v>7.23</v>
      </c>
      <c r="AV41" s="41">
        <f>INDEX('[2]End - Use Prices'!$C$6:$AL$89,MATCH($C41,'[2]End - Use Prices'!$A$6:$A$89,0)+MATCH($D41,'[2]End - Use Prices'!$B$9:$B$11,0)-1,MATCH(AV$1,'[2]End - Use Prices'!$C$7:$AL$7,0))</f>
        <v>7.28</v>
      </c>
      <c r="AW41" s="41">
        <f>INDEX('[2]End - Use Prices'!$C$6:$AL$89,MATCH($C41,'[2]End - Use Prices'!$A$6:$A$89,0)+MATCH($D41,'[2]End - Use Prices'!$B$9:$B$11,0)-1,MATCH(AW$1,'[2]End - Use Prices'!$C$7:$AL$7,0))</f>
        <v>7.33</v>
      </c>
      <c r="AX41" s="41">
        <f>INDEX('[2]End - Use Prices'!$C$6:$AL$89,MATCH($C41,'[2]End - Use Prices'!$A$6:$A$89,0)+MATCH($D41,'[2]End - Use Prices'!$B$9:$B$11,0)-1,MATCH(AX$1,'[2]End - Use Prices'!$C$7:$AL$7,0))</f>
        <v>7.38</v>
      </c>
      <c r="AY41" s="41">
        <f>INDEX('[2]End - Use Prices'!$C$6:$AL$89,MATCH($C41,'[2]End - Use Prices'!$A$6:$A$89,0)+MATCH($D41,'[2]End - Use Prices'!$B$9:$B$11,0)-1,MATCH(AY$1,'[2]End - Use Prices'!$C$7:$AL$7,0))</f>
        <v>7.45</v>
      </c>
      <c r="AZ41" s="41">
        <f>INDEX('[2]End - Use Prices'!$C$6:$AL$89,MATCH($C41,'[2]End - Use Prices'!$A$6:$A$89,0)+MATCH($D41,'[2]End - Use Prices'!$B$9:$B$11,0)-1,MATCH(AZ$1,'[2]End - Use Prices'!$C$7:$AL$7,0))</f>
        <v>7.53</v>
      </c>
      <c r="BA41" s="41">
        <f>INDEX('[2]End - Use Prices'!$C$6:$AL$89,MATCH($C41,'[2]End - Use Prices'!$A$6:$A$89,0)+MATCH($D41,'[2]End - Use Prices'!$B$9:$B$11,0)-1,MATCH(BA$1,'[2]End - Use Prices'!$C$7:$AL$7,0))</f>
        <v>7.57</v>
      </c>
      <c r="BB41" s="41">
        <f>INDEX('[2]End - Use Prices'!$C$6:$AL$89,MATCH($C41,'[2]End - Use Prices'!$A$6:$A$89,0)+MATCH($D41,'[2]End - Use Prices'!$B$9:$B$11,0)-1,MATCH(BB$1,'[2]End - Use Prices'!$C$7:$AL$7,0))</f>
        <v>7.6</v>
      </c>
      <c r="BC41" s="41">
        <f>INDEX('[2]End - Use Prices'!$C$6:$AL$89,MATCH($C41,'[2]End - Use Prices'!$A$6:$A$89,0)+MATCH($D41,'[2]End - Use Prices'!$B$9:$B$11,0)-1,MATCH(BC$1,'[2]End - Use Prices'!$C$7:$AL$7,0))</f>
        <v>7.62</v>
      </c>
      <c r="BD41" s="41">
        <f>INDEX('[2]End - Use Prices'!$C$6:$AL$89,MATCH($C41,'[2]End - Use Prices'!$A$6:$A$89,0)+MATCH($D41,'[2]End - Use Prices'!$B$9:$B$11,0)-1,MATCH(BD$1,'[2]End - Use Prices'!$C$7:$AL$7,0))</f>
        <v>7.63</v>
      </c>
      <c r="BE41" s="41">
        <f>INDEX('[2]End - Use Prices'!$C$6:$AL$89,MATCH($C41,'[2]End - Use Prices'!$A$6:$A$89,0)+MATCH($D41,'[2]End - Use Prices'!$B$9:$B$11,0)-1,MATCH(BE$1,'[2]End - Use Prices'!$C$7:$AL$7,0))</f>
        <v>7.63</v>
      </c>
      <c r="BF41" s="41">
        <f>INDEX('[2]End - Use Prices'!$C$6:$AL$89,MATCH($C41,'[2]End - Use Prices'!$A$6:$A$89,0)+MATCH($D41,'[2]End - Use Prices'!$B$9:$B$11,0)-1,MATCH(BF$1,'[2]End - Use Prices'!$C$7:$AL$7,0))</f>
        <v>7.63</v>
      </c>
      <c r="BG41" s="41">
        <f>INDEX('[2]End - Use Prices'!$C$6:$AL$89,MATCH($C41,'[2]End - Use Prices'!$A$6:$A$89,0)+MATCH($D41,'[2]End - Use Prices'!$B$9:$B$11,0)-1,MATCH(BG$1,'[2]End - Use Prices'!$C$7:$AL$7,0))</f>
        <v>7.63</v>
      </c>
      <c r="BR41" s="39"/>
      <c r="BS41" s="39"/>
      <c r="BT41" s="39"/>
      <c r="BU41" s="39"/>
      <c r="BV41" s="39"/>
      <c r="BW41" s="39"/>
      <c r="BX41" s="39"/>
      <c r="BY41" s="39"/>
      <c r="BZ41" s="39"/>
      <c r="CA41" s="39"/>
    </row>
    <row r="42" spans="1:79">
      <c r="A42" s="5"/>
      <c r="B42" s="3"/>
      <c r="C42" s="25" t="s">
        <v>60</v>
      </c>
      <c r="D42" s="25" t="s">
        <v>13</v>
      </c>
      <c r="E42" s="25" t="s">
        <v>277</v>
      </c>
      <c r="F42" s="67" t="s">
        <v>275</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INDEX('[2]End - Use Prices'!$C$6:$AL$89,MATCH($C42,'[2]End - Use Prices'!$A$6:$A$89,0)+MATCH($D42,'[2]End - Use Prices'!$B$9:$B$11,0)-1,MATCH(X$1,'[2]End - Use Prices'!$C$7:$AL$7,0))</f>
        <v>15.71</v>
      </c>
      <c r="Y42" s="41">
        <f>INDEX('[2]End - Use Prices'!$C$6:$AL$89,MATCH($C42,'[2]End - Use Prices'!$A$6:$A$89,0)+MATCH($D42,'[2]End - Use Prices'!$B$9:$B$11,0)-1,MATCH(Y$1,'[2]End - Use Prices'!$C$7:$AL$7,0))</f>
        <v>16.100000000000001</v>
      </c>
      <c r="Z42" s="41">
        <f>INDEX('[2]End - Use Prices'!$C$6:$AL$89,MATCH($C42,'[2]End - Use Prices'!$A$6:$A$89,0)+MATCH($D42,'[2]End - Use Prices'!$B$9:$B$11,0)-1,MATCH(Z$1,'[2]End - Use Prices'!$C$7:$AL$7,0))</f>
        <v>15.95</v>
      </c>
      <c r="AA42" s="41">
        <f>INDEX('[2]End - Use Prices'!$C$6:$AL$89,MATCH($C42,'[2]End - Use Prices'!$A$6:$A$89,0)+MATCH($D42,'[2]End - Use Prices'!$B$9:$B$11,0)-1,MATCH(AA$1,'[2]End - Use Prices'!$C$7:$AL$7,0))</f>
        <v>15.79</v>
      </c>
      <c r="AB42" s="41">
        <f>INDEX('[2]End - Use Prices'!$C$6:$AL$89,MATCH($C42,'[2]End - Use Prices'!$A$6:$A$89,0)+MATCH($D42,'[2]End - Use Prices'!$B$9:$B$11,0)-1,MATCH(AB$1,'[2]End - Use Prices'!$C$7:$AL$7,0))</f>
        <v>16.8</v>
      </c>
      <c r="AC42" s="41">
        <f>INDEX('[2]End - Use Prices'!$C$6:$AL$89,MATCH($C42,'[2]End - Use Prices'!$A$6:$A$89,0)+MATCH($D42,'[2]End - Use Prices'!$B$9:$B$11,0)-1,MATCH(AC$1,'[2]End - Use Prices'!$C$7:$AL$7,0))</f>
        <v>17.63</v>
      </c>
      <c r="AD42" s="41">
        <f>INDEX('[2]End - Use Prices'!$C$6:$AL$89,MATCH($C42,'[2]End - Use Prices'!$A$6:$A$89,0)+MATCH($D42,'[2]End - Use Prices'!$B$9:$B$11,0)-1,MATCH(AD$1,'[2]End - Use Prices'!$C$7:$AL$7,0))</f>
        <v>17.100000000000001</v>
      </c>
      <c r="AE42" s="41">
        <f>INDEX('[2]End - Use Prices'!$C$6:$AL$89,MATCH($C42,'[2]End - Use Prices'!$A$6:$A$89,0)+MATCH($D42,'[2]End - Use Prices'!$B$9:$B$11,0)-1,MATCH(AE$1,'[2]End - Use Prices'!$C$7:$AL$7,0))</f>
        <v>16.28</v>
      </c>
      <c r="AF42" s="41">
        <f>INDEX('[2]End - Use Prices'!$C$6:$AL$89,MATCH($C42,'[2]End - Use Prices'!$A$6:$A$89,0)+MATCH($D42,'[2]End - Use Prices'!$B$9:$B$11,0)-1,MATCH(AF$1,'[2]End - Use Prices'!$C$7:$AL$7,0))</f>
        <v>15.65</v>
      </c>
      <c r="AG42" s="41">
        <f>INDEX('[2]End - Use Prices'!$C$6:$AL$89,MATCH($C42,'[2]End - Use Prices'!$A$6:$A$89,0)+MATCH($D42,'[2]End - Use Prices'!$B$9:$B$11,0)-1,MATCH(AG$1,'[2]End - Use Prices'!$C$7:$AL$7,0))</f>
        <v>16.579999999999998</v>
      </c>
      <c r="AH42" s="41">
        <f>INDEX('[2]End - Use Prices'!$C$6:$AL$89,MATCH($C42,'[2]End - Use Prices'!$A$6:$A$89,0)+MATCH($D42,'[2]End - Use Prices'!$B$9:$B$11,0)-1,MATCH(AH$1,'[2]End - Use Prices'!$C$7:$AL$7,0))</f>
        <v>15.79</v>
      </c>
      <c r="AI42" s="41">
        <f>INDEX('[2]End - Use Prices'!$C$6:$AL$89,MATCH($C42,'[2]End - Use Prices'!$A$6:$A$89,0)+MATCH($D42,'[2]End - Use Prices'!$B$9:$B$11,0)-1,MATCH(AI$1,'[2]End - Use Prices'!$C$7:$AL$7,0))</f>
        <v>12.09</v>
      </c>
      <c r="AJ42" s="41">
        <f>INDEX('[2]End - Use Prices'!$C$6:$AL$89,MATCH($C42,'[2]End - Use Prices'!$A$6:$A$89,0)+MATCH($D42,'[2]End - Use Prices'!$B$9:$B$11,0)-1,MATCH(AJ$1,'[2]End - Use Prices'!$C$7:$AL$7,0))</f>
        <v>12.97</v>
      </c>
      <c r="AK42" s="41">
        <f>INDEX('[2]End - Use Prices'!$C$6:$AL$89,MATCH($C42,'[2]End - Use Prices'!$A$6:$A$89,0)+MATCH($D42,'[2]End - Use Prices'!$B$9:$B$11,0)-1,MATCH(AK$1,'[2]End - Use Prices'!$C$7:$AL$7,0))</f>
        <v>12.73</v>
      </c>
      <c r="AL42" s="41">
        <f>INDEX('[2]End - Use Prices'!$C$6:$AL$89,MATCH($C42,'[2]End - Use Prices'!$A$6:$A$89,0)+MATCH($D42,'[2]End - Use Prices'!$B$9:$B$11,0)-1,MATCH(AL$1,'[2]End - Use Prices'!$C$7:$AL$7,0))</f>
        <v>12.86</v>
      </c>
      <c r="AM42" s="41">
        <f>INDEX('[2]End - Use Prices'!$C$6:$AL$89,MATCH($C42,'[2]End - Use Prices'!$A$6:$A$89,0)+MATCH($D42,'[2]End - Use Prices'!$B$9:$B$11,0)-1,MATCH(AM$1,'[2]End - Use Prices'!$C$7:$AL$7,0))</f>
        <v>13.09</v>
      </c>
      <c r="AN42" s="41">
        <f>INDEX('[2]End - Use Prices'!$C$6:$AL$89,MATCH($C42,'[2]End - Use Prices'!$A$6:$A$89,0)+MATCH($D42,'[2]End - Use Prices'!$B$9:$B$11,0)-1,MATCH(AN$1,'[2]End - Use Prices'!$C$7:$AL$7,0))</f>
        <v>13.29</v>
      </c>
      <c r="AO42" s="41">
        <f>INDEX('[2]End - Use Prices'!$C$6:$AL$89,MATCH($C42,'[2]End - Use Prices'!$A$6:$A$89,0)+MATCH($D42,'[2]End - Use Prices'!$B$9:$B$11,0)-1,MATCH(AO$1,'[2]End - Use Prices'!$C$7:$AL$7,0))</f>
        <v>13.49</v>
      </c>
      <c r="AP42" s="41">
        <f>INDEX('[2]End - Use Prices'!$C$6:$AL$89,MATCH($C42,'[2]End - Use Prices'!$A$6:$A$89,0)+MATCH($D42,'[2]End - Use Prices'!$B$9:$B$11,0)-1,MATCH(AP$1,'[2]End - Use Prices'!$C$7:$AL$7,0))</f>
        <v>13.43</v>
      </c>
      <c r="AQ42" s="41">
        <f>INDEX('[2]End - Use Prices'!$C$6:$AL$89,MATCH($C42,'[2]End - Use Prices'!$A$6:$A$89,0)+MATCH($D42,'[2]End - Use Prices'!$B$9:$B$11,0)-1,MATCH(AQ$1,'[2]End - Use Prices'!$C$7:$AL$7,0))</f>
        <v>13.32</v>
      </c>
      <c r="AR42" s="41">
        <f>INDEX('[2]End - Use Prices'!$C$6:$AL$89,MATCH($C42,'[2]End - Use Prices'!$A$6:$A$89,0)+MATCH($D42,'[2]End - Use Prices'!$B$9:$B$11,0)-1,MATCH(AR$1,'[2]End - Use Prices'!$C$7:$AL$7,0))</f>
        <v>13.24</v>
      </c>
      <c r="AS42" s="41">
        <f>INDEX('[2]End - Use Prices'!$C$6:$AL$89,MATCH($C42,'[2]End - Use Prices'!$A$6:$A$89,0)+MATCH($D42,'[2]End - Use Prices'!$B$9:$B$11,0)-1,MATCH(AS$1,'[2]End - Use Prices'!$C$7:$AL$7,0))</f>
        <v>13.25</v>
      </c>
      <c r="AT42" s="41">
        <f>INDEX('[2]End - Use Prices'!$C$6:$AL$89,MATCH($C42,'[2]End - Use Prices'!$A$6:$A$89,0)+MATCH($D42,'[2]End - Use Prices'!$B$9:$B$11,0)-1,MATCH(AT$1,'[2]End - Use Prices'!$C$7:$AL$7,0))</f>
        <v>13.24</v>
      </c>
      <c r="AU42" s="41">
        <f>INDEX('[2]End - Use Prices'!$C$6:$AL$89,MATCH($C42,'[2]End - Use Prices'!$A$6:$A$89,0)+MATCH($D42,'[2]End - Use Prices'!$B$9:$B$11,0)-1,MATCH(AU$1,'[2]End - Use Prices'!$C$7:$AL$7,0))</f>
        <v>13.26</v>
      </c>
      <c r="AV42" s="41">
        <f>INDEX('[2]End - Use Prices'!$C$6:$AL$89,MATCH($C42,'[2]End - Use Prices'!$A$6:$A$89,0)+MATCH($D42,'[2]End - Use Prices'!$B$9:$B$11,0)-1,MATCH(AV$1,'[2]End - Use Prices'!$C$7:$AL$7,0))</f>
        <v>13.3</v>
      </c>
      <c r="AW42" s="41">
        <f>INDEX('[2]End - Use Prices'!$C$6:$AL$89,MATCH($C42,'[2]End - Use Prices'!$A$6:$A$89,0)+MATCH($D42,'[2]End - Use Prices'!$B$9:$B$11,0)-1,MATCH(AW$1,'[2]End - Use Prices'!$C$7:$AL$7,0))</f>
        <v>13.33</v>
      </c>
      <c r="AX42" s="41">
        <f>INDEX('[2]End - Use Prices'!$C$6:$AL$89,MATCH($C42,'[2]End - Use Prices'!$A$6:$A$89,0)+MATCH($D42,'[2]End - Use Prices'!$B$9:$B$11,0)-1,MATCH(AX$1,'[2]End - Use Prices'!$C$7:$AL$7,0))</f>
        <v>13.38</v>
      </c>
      <c r="AY42" s="41">
        <f>INDEX('[2]End - Use Prices'!$C$6:$AL$89,MATCH($C42,'[2]End - Use Prices'!$A$6:$A$89,0)+MATCH($D42,'[2]End - Use Prices'!$B$9:$B$11,0)-1,MATCH(AY$1,'[2]End - Use Prices'!$C$7:$AL$7,0))</f>
        <v>13.44</v>
      </c>
      <c r="AZ42" s="41">
        <f>INDEX('[2]End - Use Prices'!$C$6:$AL$89,MATCH($C42,'[2]End - Use Prices'!$A$6:$A$89,0)+MATCH($D42,'[2]End - Use Prices'!$B$9:$B$11,0)-1,MATCH(AZ$1,'[2]End - Use Prices'!$C$7:$AL$7,0))</f>
        <v>13.51</v>
      </c>
      <c r="BA42" s="41">
        <f>INDEX('[2]End - Use Prices'!$C$6:$AL$89,MATCH($C42,'[2]End - Use Prices'!$A$6:$A$89,0)+MATCH($D42,'[2]End - Use Prices'!$B$9:$B$11,0)-1,MATCH(BA$1,'[2]End - Use Prices'!$C$7:$AL$7,0))</f>
        <v>13.54</v>
      </c>
      <c r="BB42" s="41">
        <f>INDEX('[2]End - Use Prices'!$C$6:$AL$89,MATCH($C42,'[2]End - Use Prices'!$A$6:$A$89,0)+MATCH($D42,'[2]End - Use Prices'!$B$9:$B$11,0)-1,MATCH(BB$1,'[2]End - Use Prices'!$C$7:$AL$7,0))</f>
        <v>13.56</v>
      </c>
      <c r="BC42" s="41">
        <f>INDEX('[2]End - Use Prices'!$C$6:$AL$89,MATCH($C42,'[2]End - Use Prices'!$A$6:$A$89,0)+MATCH($D42,'[2]End - Use Prices'!$B$9:$B$11,0)-1,MATCH(BC$1,'[2]End - Use Prices'!$C$7:$AL$7,0))</f>
        <v>13.57</v>
      </c>
      <c r="BD42" s="41">
        <f>INDEX('[2]End - Use Prices'!$C$6:$AL$89,MATCH($C42,'[2]End - Use Prices'!$A$6:$A$89,0)+MATCH($D42,'[2]End - Use Prices'!$B$9:$B$11,0)-1,MATCH(BD$1,'[2]End - Use Prices'!$C$7:$AL$7,0))</f>
        <v>13.56</v>
      </c>
      <c r="BE42" s="41">
        <f>INDEX('[2]End - Use Prices'!$C$6:$AL$89,MATCH($C42,'[2]End - Use Prices'!$A$6:$A$89,0)+MATCH($D42,'[2]End - Use Prices'!$B$9:$B$11,0)-1,MATCH(BE$1,'[2]End - Use Prices'!$C$7:$AL$7,0))</f>
        <v>13.54</v>
      </c>
      <c r="BF42" s="41">
        <f>INDEX('[2]End - Use Prices'!$C$6:$AL$89,MATCH($C42,'[2]End - Use Prices'!$A$6:$A$89,0)+MATCH($D42,'[2]End - Use Prices'!$B$9:$B$11,0)-1,MATCH(BF$1,'[2]End - Use Prices'!$C$7:$AL$7,0))</f>
        <v>13.52</v>
      </c>
      <c r="BG42" s="41">
        <f>INDEX('[2]End - Use Prices'!$C$6:$AL$89,MATCH($C42,'[2]End - Use Prices'!$A$6:$A$89,0)+MATCH($D42,'[2]End - Use Prices'!$B$9:$B$11,0)-1,MATCH(BG$1,'[2]End - Use Prices'!$C$7:$AL$7,0))</f>
        <v>13.49</v>
      </c>
      <c r="BR42" s="39"/>
      <c r="BS42" s="39"/>
      <c r="BT42" s="39"/>
      <c r="BU42" s="39"/>
      <c r="BV42" s="39"/>
      <c r="BW42" s="39"/>
      <c r="BX42" s="39"/>
      <c r="BY42" s="39"/>
      <c r="BZ42" s="39"/>
      <c r="CA42" s="39"/>
    </row>
    <row r="43" spans="1:79">
      <c r="A43" s="5"/>
      <c r="B43" s="3"/>
      <c r="C43" s="25" t="s">
        <v>92</v>
      </c>
      <c r="D43" s="25" t="s">
        <v>13</v>
      </c>
      <c r="E43" s="25" t="s">
        <v>277</v>
      </c>
      <c r="F43" s="67" t="s">
        <v>275</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INDEX('[2]End - Use Prices'!$C$6:$AL$89,MATCH($C43,'[2]End - Use Prices'!$A$6:$A$89,0)+MATCH($D43,'[2]End - Use Prices'!$B$9:$B$11,0)-1,MATCH(X$1,'[2]End - Use Prices'!$C$7:$AL$7,0))</f>
        <v>15.71</v>
      </c>
      <c r="Y43" s="41">
        <f>INDEX('[2]End - Use Prices'!$C$6:$AL$89,MATCH($C43,'[2]End - Use Prices'!$A$6:$A$89,0)+MATCH($D43,'[2]End - Use Prices'!$B$9:$B$11,0)-1,MATCH(Y$1,'[2]End - Use Prices'!$C$7:$AL$7,0))</f>
        <v>16.100000000000001</v>
      </c>
      <c r="Z43" s="41">
        <f>INDEX('[2]End - Use Prices'!$C$6:$AL$89,MATCH($C43,'[2]End - Use Prices'!$A$6:$A$89,0)+MATCH($D43,'[2]End - Use Prices'!$B$9:$B$11,0)-1,MATCH(Z$1,'[2]End - Use Prices'!$C$7:$AL$7,0))</f>
        <v>15.74</v>
      </c>
      <c r="AA43" s="41">
        <f>INDEX('[2]End - Use Prices'!$C$6:$AL$89,MATCH($C43,'[2]End - Use Prices'!$A$6:$A$89,0)+MATCH($D43,'[2]End - Use Prices'!$B$9:$B$11,0)-1,MATCH(AA$1,'[2]End - Use Prices'!$C$7:$AL$7,0))</f>
        <v>15.46</v>
      </c>
      <c r="AB43" s="41">
        <f>INDEX('[2]End - Use Prices'!$C$6:$AL$89,MATCH($C43,'[2]End - Use Prices'!$A$6:$A$89,0)+MATCH($D43,'[2]End - Use Prices'!$B$9:$B$11,0)-1,MATCH(AB$1,'[2]End - Use Prices'!$C$7:$AL$7,0))</f>
        <v>15.41</v>
      </c>
      <c r="AC43" s="41">
        <f>INDEX('[2]End - Use Prices'!$C$6:$AL$89,MATCH($C43,'[2]End - Use Prices'!$A$6:$A$89,0)+MATCH($D43,'[2]End - Use Prices'!$B$9:$B$11,0)-1,MATCH(AC$1,'[2]End - Use Prices'!$C$7:$AL$7,0))</f>
        <v>14.92</v>
      </c>
      <c r="AD43" s="41">
        <f>INDEX('[2]End - Use Prices'!$C$6:$AL$89,MATCH($C43,'[2]End - Use Prices'!$A$6:$A$89,0)+MATCH($D43,'[2]End - Use Prices'!$B$9:$B$11,0)-1,MATCH(AD$1,'[2]End - Use Prices'!$C$7:$AL$7,0))</f>
        <v>13.77</v>
      </c>
      <c r="AE43" s="41">
        <f>INDEX('[2]End - Use Prices'!$C$6:$AL$89,MATCH($C43,'[2]End - Use Prices'!$A$6:$A$89,0)+MATCH($D43,'[2]End - Use Prices'!$B$9:$B$11,0)-1,MATCH(AE$1,'[2]End - Use Prices'!$C$7:$AL$7,0))</f>
        <v>12.54</v>
      </c>
      <c r="AF43" s="41">
        <f>INDEX('[2]End - Use Prices'!$C$6:$AL$89,MATCH($C43,'[2]End - Use Prices'!$A$6:$A$89,0)+MATCH($D43,'[2]End - Use Prices'!$B$9:$B$11,0)-1,MATCH(AF$1,'[2]End - Use Prices'!$C$7:$AL$7,0))</f>
        <v>12.18</v>
      </c>
      <c r="AG43" s="41">
        <f>INDEX('[2]End - Use Prices'!$C$6:$AL$89,MATCH($C43,'[2]End - Use Prices'!$A$6:$A$89,0)+MATCH($D43,'[2]End - Use Prices'!$B$9:$B$11,0)-1,MATCH(AG$1,'[2]End - Use Prices'!$C$7:$AL$7,0))</f>
        <v>13.28</v>
      </c>
      <c r="AH43" s="41">
        <f>INDEX('[2]End - Use Prices'!$C$6:$AL$89,MATCH($C43,'[2]End - Use Prices'!$A$6:$A$89,0)+MATCH($D43,'[2]End - Use Prices'!$B$9:$B$11,0)-1,MATCH(AH$1,'[2]End - Use Prices'!$C$7:$AL$7,0))</f>
        <v>12.25</v>
      </c>
      <c r="AI43" s="41">
        <f>INDEX('[2]End - Use Prices'!$C$6:$AL$89,MATCH($C43,'[2]End - Use Prices'!$A$6:$A$89,0)+MATCH($D43,'[2]End - Use Prices'!$B$9:$B$11,0)-1,MATCH(AI$1,'[2]End - Use Prices'!$C$7:$AL$7,0))</f>
        <v>8.43</v>
      </c>
      <c r="AJ43" s="41">
        <f>INDEX('[2]End - Use Prices'!$C$6:$AL$89,MATCH($C43,'[2]End - Use Prices'!$A$6:$A$89,0)+MATCH($D43,'[2]End - Use Prices'!$B$9:$B$11,0)-1,MATCH(AJ$1,'[2]End - Use Prices'!$C$7:$AL$7,0))</f>
        <v>8.91</v>
      </c>
      <c r="AK43" s="41">
        <f>INDEX('[2]End - Use Prices'!$C$6:$AL$89,MATCH($C43,'[2]End - Use Prices'!$A$6:$A$89,0)+MATCH($D43,'[2]End - Use Prices'!$B$9:$B$11,0)-1,MATCH(AK$1,'[2]End - Use Prices'!$C$7:$AL$7,0))</f>
        <v>8.81</v>
      </c>
      <c r="AL43" s="41">
        <f>INDEX('[2]End - Use Prices'!$C$6:$AL$89,MATCH($C43,'[2]End - Use Prices'!$A$6:$A$89,0)+MATCH($D43,'[2]End - Use Prices'!$B$9:$B$11,0)-1,MATCH(AL$1,'[2]End - Use Prices'!$C$7:$AL$7,0))</f>
        <v>8.7899999999999991</v>
      </c>
      <c r="AM43" s="41">
        <f>INDEX('[2]End - Use Prices'!$C$6:$AL$89,MATCH($C43,'[2]End - Use Prices'!$A$6:$A$89,0)+MATCH($D43,'[2]End - Use Prices'!$B$9:$B$11,0)-1,MATCH(AM$1,'[2]End - Use Prices'!$C$7:$AL$7,0))</f>
        <v>9.07</v>
      </c>
      <c r="AN43" s="41">
        <f>INDEX('[2]End - Use Prices'!$C$6:$AL$89,MATCH($C43,'[2]End - Use Prices'!$A$6:$A$89,0)+MATCH($D43,'[2]End - Use Prices'!$B$9:$B$11,0)-1,MATCH(AN$1,'[2]End - Use Prices'!$C$7:$AL$7,0))</f>
        <v>9.2200000000000006</v>
      </c>
      <c r="AO43" s="41">
        <f>INDEX('[2]End - Use Prices'!$C$6:$AL$89,MATCH($C43,'[2]End - Use Prices'!$A$6:$A$89,0)+MATCH($D43,'[2]End - Use Prices'!$B$9:$B$11,0)-1,MATCH(AO$1,'[2]End - Use Prices'!$C$7:$AL$7,0))</f>
        <v>9.36</v>
      </c>
      <c r="AP43" s="41">
        <f>INDEX('[2]End - Use Prices'!$C$6:$AL$89,MATCH($C43,'[2]End - Use Prices'!$A$6:$A$89,0)+MATCH($D43,'[2]End - Use Prices'!$B$9:$B$11,0)-1,MATCH(AP$1,'[2]End - Use Prices'!$C$7:$AL$7,0))</f>
        <v>9.48</v>
      </c>
      <c r="AQ43" s="41">
        <f>INDEX('[2]End - Use Prices'!$C$6:$AL$89,MATCH($C43,'[2]End - Use Prices'!$A$6:$A$89,0)+MATCH($D43,'[2]End - Use Prices'!$B$9:$B$11,0)-1,MATCH(AQ$1,'[2]End - Use Prices'!$C$7:$AL$7,0))</f>
        <v>9.48</v>
      </c>
      <c r="AR43" s="41">
        <f>INDEX('[2]End - Use Prices'!$C$6:$AL$89,MATCH($C43,'[2]End - Use Prices'!$A$6:$A$89,0)+MATCH($D43,'[2]End - Use Prices'!$B$9:$B$11,0)-1,MATCH(AR$1,'[2]End - Use Prices'!$C$7:$AL$7,0))</f>
        <v>9.5</v>
      </c>
      <c r="AS43" s="41">
        <f>INDEX('[2]End - Use Prices'!$C$6:$AL$89,MATCH($C43,'[2]End - Use Prices'!$A$6:$A$89,0)+MATCH($D43,'[2]End - Use Prices'!$B$9:$B$11,0)-1,MATCH(AS$1,'[2]End - Use Prices'!$C$7:$AL$7,0))</f>
        <v>9.58</v>
      </c>
      <c r="AT43" s="41">
        <f>INDEX('[2]End - Use Prices'!$C$6:$AL$89,MATCH($C43,'[2]End - Use Prices'!$A$6:$A$89,0)+MATCH($D43,'[2]End - Use Prices'!$B$9:$B$11,0)-1,MATCH(AT$1,'[2]End - Use Prices'!$C$7:$AL$7,0))</f>
        <v>9.66</v>
      </c>
      <c r="AU43" s="41">
        <f>INDEX('[2]End - Use Prices'!$C$6:$AL$89,MATCH($C43,'[2]End - Use Prices'!$A$6:$A$89,0)+MATCH($D43,'[2]End - Use Prices'!$B$9:$B$11,0)-1,MATCH(AU$1,'[2]End - Use Prices'!$C$7:$AL$7,0))</f>
        <v>9.75</v>
      </c>
      <c r="AV43" s="41">
        <f>INDEX('[2]End - Use Prices'!$C$6:$AL$89,MATCH($C43,'[2]End - Use Prices'!$A$6:$A$89,0)+MATCH($D43,'[2]End - Use Prices'!$B$9:$B$11,0)-1,MATCH(AV$1,'[2]End - Use Prices'!$C$7:$AL$7,0))</f>
        <v>9.85</v>
      </c>
      <c r="AW43" s="41">
        <f>INDEX('[2]End - Use Prices'!$C$6:$AL$89,MATCH($C43,'[2]End - Use Prices'!$A$6:$A$89,0)+MATCH($D43,'[2]End - Use Prices'!$B$9:$B$11,0)-1,MATCH(AW$1,'[2]End - Use Prices'!$C$7:$AL$7,0))</f>
        <v>9.94</v>
      </c>
      <c r="AX43" s="41">
        <f>INDEX('[2]End - Use Prices'!$C$6:$AL$89,MATCH($C43,'[2]End - Use Prices'!$A$6:$A$89,0)+MATCH($D43,'[2]End - Use Prices'!$B$9:$B$11,0)-1,MATCH(AX$1,'[2]End - Use Prices'!$C$7:$AL$7,0))</f>
        <v>10.039999999999999</v>
      </c>
      <c r="AY43" s="41">
        <f>INDEX('[2]End - Use Prices'!$C$6:$AL$89,MATCH($C43,'[2]End - Use Prices'!$A$6:$A$89,0)+MATCH($D43,'[2]End - Use Prices'!$B$9:$B$11,0)-1,MATCH(AY$1,'[2]End - Use Prices'!$C$7:$AL$7,0))</f>
        <v>10.16</v>
      </c>
      <c r="AZ43" s="41">
        <f>INDEX('[2]End - Use Prices'!$C$6:$AL$89,MATCH($C43,'[2]End - Use Prices'!$A$6:$A$89,0)+MATCH($D43,'[2]End - Use Prices'!$B$9:$B$11,0)-1,MATCH(AZ$1,'[2]End - Use Prices'!$C$7:$AL$7,0))</f>
        <v>10.28</v>
      </c>
      <c r="BA43" s="41">
        <f>INDEX('[2]End - Use Prices'!$C$6:$AL$89,MATCH($C43,'[2]End - Use Prices'!$A$6:$A$89,0)+MATCH($D43,'[2]End - Use Prices'!$B$9:$B$11,0)-1,MATCH(BA$1,'[2]End - Use Prices'!$C$7:$AL$7,0))</f>
        <v>10.34</v>
      </c>
      <c r="BB43" s="41">
        <f>INDEX('[2]End - Use Prices'!$C$6:$AL$89,MATCH($C43,'[2]End - Use Prices'!$A$6:$A$89,0)+MATCH($D43,'[2]End - Use Prices'!$B$9:$B$11,0)-1,MATCH(BB$1,'[2]End - Use Prices'!$C$7:$AL$7,0))</f>
        <v>10.41</v>
      </c>
      <c r="BC43" s="41">
        <f>INDEX('[2]End - Use Prices'!$C$6:$AL$89,MATCH($C43,'[2]End - Use Prices'!$A$6:$A$89,0)+MATCH($D43,'[2]End - Use Prices'!$B$9:$B$11,0)-1,MATCH(BC$1,'[2]End - Use Prices'!$C$7:$AL$7,0))</f>
        <v>10.46</v>
      </c>
      <c r="BD43" s="41">
        <f>INDEX('[2]End - Use Prices'!$C$6:$AL$89,MATCH($C43,'[2]End - Use Prices'!$A$6:$A$89,0)+MATCH($D43,'[2]End - Use Prices'!$B$9:$B$11,0)-1,MATCH(BD$1,'[2]End - Use Prices'!$C$7:$AL$7,0))</f>
        <v>10.5</v>
      </c>
      <c r="BE43" s="41">
        <f>INDEX('[2]End - Use Prices'!$C$6:$AL$89,MATCH($C43,'[2]End - Use Prices'!$A$6:$A$89,0)+MATCH($D43,'[2]End - Use Prices'!$B$9:$B$11,0)-1,MATCH(BE$1,'[2]End - Use Prices'!$C$7:$AL$7,0))</f>
        <v>10.54</v>
      </c>
      <c r="BF43" s="41">
        <f>INDEX('[2]End - Use Prices'!$C$6:$AL$89,MATCH($C43,'[2]End - Use Prices'!$A$6:$A$89,0)+MATCH($D43,'[2]End - Use Prices'!$B$9:$B$11,0)-1,MATCH(BF$1,'[2]End - Use Prices'!$C$7:$AL$7,0))</f>
        <v>10.57</v>
      </c>
      <c r="BG43" s="41">
        <f>INDEX('[2]End - Use Prices'!$C$6:$AL$89,MATCH($C43,'[2]End - Use Prices'!$A$6:$A$89,0)+MATCH($D43,'[2]End - Use Prices'!$B$9:$B$11,0)-1,MATCH(BG$1,'[2]End - Use Prices'!$C$7:$AL$7,0))</f>
        <v>10.59</v>
      </c>
      <c r="BR43" s="39"/>
      <c r="BS43" s="39"/>
      <c r="BT43" s="39"/>
      <c r="BU43" s="39"/>
      <c r="BV43" s="39"/>
      <c r="BW43" s="39"/>
      <c r="BX43" s="39"/>
      <c r="BY43" s="39"/>
      <c r="BZ43" s="39"/>
      <c r="CA43" s="39"/>
    </row>
    <row r="44" spans="1:79">
      <c r="A44" s="5"/>
      <c r="B44" s="3"/>
      <c r="C44" s="25" t="s">
        <v>94</v>
      </c>
      <c r="D44" s="25" t="s">
        <v>13</v>
      </c>
      <c r="E44" s="25" t="s">
        <v>277</v>
      </c>
      <c r="F44" s="67" t="s">
        <v>275</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INDEX('[2]End - Use Prices'!$C$6:$AL$89,MATCH($C44,'[2]End - Use Prices'!$A$6:$A$89,0)+MATCH($D44,'[2]End - Use Prices'!$B$9:$B$11,0)-1,MATCH(X$1,'[2]End - Use Prices'!$C$7:$AL$7,0))</f>
        <v>32.04</v>
      </c>
      <c r="Y44" s="41">
        <f>INDEX('[2]End - Use Prices'!$C$6:$AL$89,MATCH($C44,'[2]End - Use Prices'!$A$6:$A$89,0)+MATCH($D44,'[2]End - Use Prices'!$B$9:$B$11,0)-1,MATCH(Y$1,'[2]End - Use Prices'!$C$7:$AL$7,0))</f>
        <v>31.25</v>
      </c>
      <c r="Z44" s="41">
        <f>INDEX('[2]End - Use Prices'!$C$6:$AL$89,MATCH($C44,'[2]End - Use Prices'!$A$6:$A$89,0)+MATCH($D44,'[2]End - Use Prices'!$B$9:$B$11,0)-1,MATCH(Z$1,'[2]End - Use Prices'!$C$7:$AL$7,0))</f>
        <v>32.020000000000003</v>
      </c>
      <c r="AA44" s="41">
        <f>INDEX('[2]End - Use Prices'!$C$6:$AL$89,MATCH($C44,'[2]End - Use Prices'!$A$6:$A$89,0)+MATCH($D44,'[2]End - Use Prices'!$B$9:$B$11,0)-1,MATCH(AA$1,'[2]End - Use Prices'!$C$7:$AL$7,0))</f>
        <v>31.29</v>
      </c>
      <c r="AB44" s="41">
        <f>INDEX('[2]End - Use Prices'!$C$6:$AL$89,MATCH($C44,'[2]End - Use Prices'!$A$6:$A$89,0)+MATCH($D44,'[2]End - Use Prices'!$B$9:$B$11,0)-1,MATCH(AB$1,'[2]End - Use Prices'!$C$7:$AL$7,0))</f>
        <v>30.74</v>
      </c>
      <c r="AC44" s="41">
        <f>INDEX('[2]End - Use Prices'!$C$6:$AL$89,MATCH($C44,'[2]End - Use Prices'!$A$6:$A$89,0)+MATCH($D44,'[2]End - Use Prices'!$B$9:$B$11,0)-1,MATCH(AC$1,'[2]End - Use Prices'!$C$7:$AL$7,0))</f>
        <v>30.65</v>
      </c>
      <c r="AD44" s="41">
        <f>INDEX('[2]End - Use Prices'!$C$6:$AL$89,MATCH($C44,'[2]End - Use Prices'!$A$6:$A$89,0)+MATCH($D44,'[2]End - Use Prices'!$B$9:$B$11,0)-1,MATCH(AD$1,'[2]End - Use Prices'!$C$7:$AL$7,0))</f>
        <v>29.66</v>
      </c>
      <c r="AE44" s="41">
        <f>INDEX('[2]End - Use Prices'!$C$6:$AL$89,MATCH($C44,'[2]End - Use Prices'!$A$6:$A$89,0)+MATCH($D44,'[2]End - Use Prices'!$B$9:$B$11,0)-1,MATCH(AE$1,'[2]End - Use Prices'!$C$7:$AL$7,0))</f>
        <v>33.369999999999997</v>
      </c>
      <c r="AF44" s="41">
        <f>INDEX('[2]End - Use Prices'!$C$6:$AL$89,MATCH($C44,'[2]End - Use Prices'!$A$6:$A$89,0)+MATCH($D44,'[2]End - Use Prices'!$B$9:$B$11,0)-1,MATCH(AF$1,'[2]End - Use Prices'!$C$7:$AL$7,0))</f>
        <v>33.28</v>
      </c>
      <c r="AG44" s="41">
        <f>INDEX('[2]End - Use Prices'!$C$6:$AL$89,MATCH($C44,'[2]End - Use Prices'!$A$6:$A$89,0)+MATCH($D44,'[2]End - Use Prices'!$B$9:$B$11,0)-1,MATCH(AG$1,'[2]End - Use Prices'!$C$7:$AL$7,0))</f>
        <v>39.119999999999997</v>
      </c>
      <c r="AH44" s="41">
        <f>INDEX('[2]End - Use Prices'!$C$6:$AL$89,MATCH($C44,'[2]End - Use Prices'!$A$6:$A$89,0)+MATCH($D44,'[2]End - Use Prices'!$B$9:$B$11,0)-1,MATCH(AH$1,'[2]End - Use Prices'!$C$7:$AL$7,0))</f>
        <v>39.43</v>
      </c>
      <c r="AI44" s="41">
        <f>INDEX('[2]End - Use Prices'!$C$6:$AL$89,MATCH($C44,'[2]End - Use Prices'!$A$6:$A$89,0)+MATCH($D44,'[2]End - Use Prices'!$B$9:$B$11,0)-1,MATCH(AI$1,'[2]End - Use Prices'!$C$7:$AL$7,0))</f>
        <v>39.19</v>
      </c>
      <c r="AJ44" s="41">
        <f>INDEX('[2]End - Use Prices'!$C$6:$AL$89,MATCH($C44,'[2]End - Use Prices'!$A$6:$A$89,0)+MATCH($D44,'[2]End - Use Prices'!$B$9:$B$11,0)-1,MATCH(AJ$1,'[2]End - Use Prices'!$C$7:$AL$7,0))</f>
        <v>39.659999999999997</v>
      </c>
      <c r="AK44" s="41">
        <f>INDEX('[2]End - Use Prices'!$C$6:$AL$89,MATCH($C44,'[2]End - Use Prices'!$A$6:$A$89,0)+MATCH($D44,'[2]End - Use Prices'!$B$9:$B$11,0)-1,MATCH(AK$1,'[2]End - Use Prices'!$C$7:$AL$7,0))</f>
        <v>39.57</v>
      </c>
      <c r="AL44" s="41">
        <f>INDEX('[2]End - Use Prices'!$C$6:$AL$89,MATCH($C44,'[2]End - Use Prices'!$A$6:$A$89,0)+MATCH($D44,'[2]End - Use Prices'!$B$9:$B$11,0)-1,MATCH(AL$1,'[2]End - Use Prices'!$C$7:$AL$7,0))</f>
        <v>39.549999999999997</v>
      </c>
      <c r="AM44" s="41">
        <f>INDEX('[2]End - Use Prices'!$C$6:$AL$89,MATCH($C44,'[2]End - Use Prices'!$A$6:$A$89,0)+MATCH($D44,'[2]End - Use Prices'!$B$9:$B$11,0)-1,MATCH(AM$1,'[2]End - Use Prices'!$C$7:$AL$7,0))</f>
        <v>41.09</v>
      </c>
      <c r="AN44" s="41">
        <f>INDEX('[2]End - Use Prices'!$C$6:$AL$89,MATCH($C44,'[2]End - Use Prices'!$A$6:$A$89,0)+MATCH($D44,'[2]End - Use Prices'!$B$9:$B$11,0)-1,MATCH(AN$1,'[2]End - Use Prices'!$C$7:$AL$7,0))</f>
        <v>41.81</v>
      </c>
      <c r="AO44" s="41">
        <f>INDEX('[2]End - Use Prices'!$C$6:$AL$89,MATCH($C44,'[2]End - Use Prices'!$A$6:$A$89,0)+MATCH($D44,'[2]End - Use Prices'!$B$9:$B$11,0)-1,MATCH(AO$1,'[2]End - Use Prices'!$C$7:$AL$7,0))</f>
        <v>42.49</v>
      </c>
      <c r="AP44" s="41">
        <f>INDEX('[2]End - Use Prices'!$C$6:$AL$89,MATCH($C44,'[2]End - Use Prices'!$A$6:$A$89,0)+MATCH($D44,'[2]End - Use Prices'!$B$9:$B$11,0)-1,MATCH(AP$1,'[2]End - Use Prices'!$C$7:$AL$7,0))</f>
        <v>43.1</v>
      </c>
      <c r="AQ44" s="41">
        <f>INDEX('[2]End - Use Prices'!$C$6:$AL$89,MATCH($C44,'[2]End - Use Prices'!$A$6:$A$89,0)+MATCH($D44,'[2]End - Use Prices'!$B$9:$B$11,0)-1,MATCH(AQ$1,'[2]End - Use Prices'!$C$7:$AL$7,0))</f>
        <v>43</v>
      </c>
      <c r="AR44" s="41">
        <f>INDEX('[2]End - Use Prices'!$C$6:$AL$89,MATCH($C44,'[2]End - Use Prices'!$A$6:$A$89,0)+MATCH($D44,'[2]End - Use Prices'!$B$9:$B$11,0)-1,MATCH(AR$1,'[2]End - Use Prices'!$C$7:$AL$7,0))</f>
        <v>42.93</v>
      </c>
      <c r="AS44" s="41">
        <f>INDEX('[2]End - Use Prices'!$C$6:$AL$89,MATCH($C44,'[2]End - Use Prices'!$A$6:$A$89,0)+MATCH($D44,'[2]End - Use Prices'!$B$9:$B$11,0)-1,MATCH(AS$1,'[2]End - Use Prices'!$C$7:$AL$7,0))</f>
        <v>42.95</v>
      </c>
      <c r="AT44" s="41">
        <f>INDEX('[2]End - Use Prices'!$C$6:$AL$89,MATCH($C44,'[2]End - Use Prices'!$A$6:$A$89,0)+MATCH($D44,'[2]End - Use Prices'!$B$9:$B$11,0)-1,MATCH(AT$1,'[2]End - Use Prices'!$C$7:$AL$7,0))</f>
        <v>42.95</v>
      </c>
      <c r="AU44" s="41">
        <f>INDEX('[2]End - Use Prices'!$C$6:$AL$89,MATCH($C44,'[2]End - Use Prices'!$A$6:$A$89,0)+MATCH($D44,'[2]End - Use Prices'!$B$9:$B$11,0)-1,MATCH(AU$1,'[2]End - Use Prices'!$C$7:$AL$7,0))</f>
        <v>42.97</v>
      </c>
      <c r="AV44" s="41">
        <f>INDEX('[2]End - Use Prices'!$C$6:$AL$89,MATCH($C44,'[2]End - Use Prices'!$A$6:$A$89,0)+MATCH($D44,'[2]End - Use Prices'!$B$9:$B$11,0)-1,MATCH(AV$1,'[2]End - Use Prices'!$C$7:$AL$7,0))</f>
        <v>43.01</v>
      </c>
      <c r="AW44" s="41">
        <f>INDEX('[2]End - Use Prices'!$C$6:$AL$89,MATCH($C44,'[2]End - Use Prices'!$A$6:$A$89,0)+MATCH($D44,'[2]End - Use Prices'!$B$9:$B$11,0)-1,MATCH(AW$1,'[2]End - Use Prices'!$C$7:$AL$7,0))</f>
        <v>43.05</v>
      </c>
      <c r="AX44" s="41">
        <f>INDEX('[2]End - Use Prices'!$C$6:$AL$89,MATCH($C44,'[2]End - Use Prices'!$A$6:$A$89,0)+MATCH($D44,'[2]End - Use Prices'!$B$9:$B$11,0)-1,MATCH(AX$1,'[2]End - Use Prices'!$C$7:$AL$7,0))</f>
        <v>43.1</v>
      </c>
      <c r="AY44" s="41">
        <f>INDEX('[2]End - Use Prices'!$C$6:$AL$89,MATCH($C44,'[2]End - Use Prices'!$A$6:$A$89,0)+MATCH($D44,'[2]End - Use Prices'!$B$9:$B$11,0)-1,MATCH(AY$1,'[2]End - Use Prices'!$C$7:$AL$7,0))</f>
        <v>43.17</v>
      </c>
      <c r="AZ44" s="41">
        <f>INDEX('[2]End - Use Prices'!$C$6:$AL$89,MATCH($C44,'[2]End - Use Prices'!$A$6:$A$89,0)+MATCH($D44,'[2]End - Use Prices'!$B$9:$B$11,0)-1,MATCH(AZ$1,'[2]End - Use Prices'!$C$7:$AL$7,0))</f>
        <v>43.25</v>
      </c>
      <c r="BA44" s="41">
        <f>INDEX('[2]End - Use Prices'!$C$6:$AL$89,MATCH($C44,'[2]End - Use Prices'!$A$6:$A$89,0)+MATCH($D44,'[2]End - Use Prices'!$B$9:$B$11,0)-1,MATCH(BA$1,'[2]End - Use Prices'!$C$7:$AL$7,0))</f>
        <v>43.28</v>
      </c>
      <c r="BB44" s="41">
        <f>INDEX('[2]End - Use Prices'!$C$6:$AL$89,MATCH($C44,'[2]End - Use Prices'!$A$6:$A$89,0)+MATCH($D44,'[2]End - Use Prices'!$B$9:$B$11,0)-1,MATCH(BB$1,'[2]End - Use Prices'!$C$7:$AL$7,0))</f>
        <v>43.31</v>
      </c>
      <c r="BC44" s="41">
        <f>INDEX('[2]End - Use Prices'!$C$6:$AL$89,MATCH($C44,'[2]End - Use Prices'!$A$6:$A$89,0)+MATCH($D44,'[2]End - Use Prices'!$B$9:$B$11,0)-1,MATCH(BC$1,'[2]End - Use Prices'!$C$7:$AL$7,0))</f>
        <v>43.33</v>
      </c>
      <c r="BD44" s="41">
        <f>INDEX('[2]End - Use Prices'!$C$6:$AL$89,MATCH($C44,'[2]End - Use Prices'!$A$6:$A$89,0)+MATCH($D44,'[2]End - Use Prices'!$B$9:$B$11,0)-1,MATCH(BD$1,'[2]End - Use Prices'!$C$7:$AL$7,0))</f>
        <v>43.33</v>
      </c>
      <c r="BE44" s="41">
        <f>INDEX('[2]End - Use Prices'!$C$6:$AL$89,MATCH($C44,'[2]End - Use Prices'!$A$6:$A$89,0)+MATCH($D44,'[2]End - Use Prices'!$B$9:$B$11,0)-1,MATCH(BE$1,'[2]End - Use Prices'!$C$7:$AL$7,0))</f>
        <v>43.31</v>
      </c>
      <c r="BF44" s="41">
        <f>INDEX('[2]End - Use Prices'!$C$6:$AL$89,MATCH($C44,'[2]End - Use Prices'!$A$6:$A$89,0)+MATCH($D44,'[2]End - Use Prices'!$B$9:$B$11,0)-1,MATCH(BF$1,'[2]End - Use Prices'!$C$7:$AL$7,0))</f>
        <v>43.3</v>
      </c>
      <c r="BG44" s="41">
        <f>INDEX('[2]End - Use Prices'!$C$6:$AL$89,MATCH($C44,'[2]End - Use Prices'!$A$6:$A$89,0)+MATCH($D44,'[2]End - Use Prices'!$B$9:$B$11,0)-1,MATCH(BG$1,'[2]End - Use Prices'!$C$7:$AL$7,0))</f>
        <v>43.29</v>
      </c>
      <c r="BR44" s="39"/>
      <c r="BS44" s="39"/>
      <c r="BT44" s="39"/>
      <c r="BU44" s="39"/>
      <c r="BV44" s="39"/>
      <c r="BW44" s="39"/>
      <c r="BX44" s="39"/>
      <c r="BY44" s="39"/>
      <c r="BZ44" s="39"/>
      <c r="CA44" s="39"/>
    </row>
    <row r="45" spans="1:79">
      <c r="A45" s="5"/>
      <c r="B45" s="3"/>
      <c r="C45" s="25" t="s">
        <v>93</v>
      </c>
      <c r="D45" s="25" t="s">
        <v>13</v>
      </c>
      <c r="E45" s="25" t="s">
        <v>277</v>
      </c>
      <c r="F45" s="67" t="s">
        <v>275</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INDEX('[2]End - Use Prices'!$C$6:$AL$89,MATCH($C45,'[2]End - Use Prices'!$A$6:$A$89,0)+MATCH($D45,'[2]End - Use Prices'!$B$9:$B$11,0)-1,MATCH(X$1,'[2]End - Use Prices'!$C$7:$AL$7,0))</f>
        <v>15.71</v>
      </c>
      <c r="Y45" s="41">
        <f>INDEX('[2]End - Use Prices'!$C$6:$AL$89,MATCH($C45,'[2]End - Use Prices'!$A$6:$A$89,0)+MATCH($D45,'[2]End - Use Prices'!$B$9:$B$11,0)-1,MATCH(Y$1,'[2]End - Use Prices'!$C$7:$AL$7,0))</f>
        <v>16.100000000000001</v>
      </c>
      <c r="Z45" s="41">
        <f>INDEX('[2]End - Use Prices'!$C$6:$AL$89,MATCH($C45,'[2]End - Use Prices'!$A$6:$A$89,0)+MATCH($D45,'[2]End - Use Prices'!$B$9:$B$11,0)-1,MATCH(Z$1,'[2]End - Use Prices'!$C$7:$AL$7,0))</f>
        <v>15.74</v>
      </c>
      <c r="AA45" s="41">
        <f>INDEX('[2]End - Use Prices'!$C$6:$AL$89,MATCH($C45,'[2]End - Use Prices'!$A$6:$A$89,0)+MATCH($D45,'[2]End - Use Prices'!$B$9:$B$11,0)-1,MATCH(AA$1,'[2]End - Use Prices'!$C$7:$AL$7,0))</f>
        <v>15.46</v>
      </c>
      <c r="AB45" s="41">
        <f>INDEX('[2]End - Use Prices'!$C$6:$AL$89,MATCH($C45,'[2]End - Use Prices'!$A$6:$A$89,0)+MATCH($D45,'[2]End - Use Prices'!$B$9:$B$11,0)-1,MATCH(AB$1,'[2]End - Use Prices'!$C$7:$AL$7,0))</f>
        <v>15.41</v>
      </c>
      <c r="AC45" s="41">
        <f>INDEX('[2]End - Use Prices'!$C$6:$AL$89,MATCH($C45,'[2]End - Use Prices'!$A$6:$A$89,0)+MATCH($D45,'[2]End - Use Prices'!$B$9:$B$11,0)-1,MATCH(AC$1,'[2]End - Use Prices'!$C$7:$AL$7,0))</f>
        <v>14.92</v>
      </c>
      <c r="AD45" s="41">
        <f>INDEX('[2]End - Use Prices'!$C$6:$AL$89,MATCH($C45,'[2]End - Use Prices'!$A$6:$A$89,0)+MATCH($D45,'[2]End - Use Prices'!$B$9:$B$11,0)-1,MATCH(AD$1,'[2]End - Use Prices'!$C$7:$AL$7,0))</f>
        <v>13.77</v>
      </c>
      <c r="AE45" s="41">
        <f>INDEX('[2]End - Use Prices'!$C$6:$AL$89,MATCH($C45,'[2]End - Use Prices'!$A$6:$A$89,0)+MATCH($D45,'[2]End - Use Prices'!$B$9:$B$11,0)-1,MATCH(AE$1,'[2]End - Use Prices'!$C$7:$AL$7,0))</f>
        <v>12.54</v>
      </c>
      <c r="AF45" s="41">
        <f>INDEX('[2]End - Use Prices'!$C$6:$AL$89,MATCH($C45,'[2]End - Use Prices'!$A$6:$A$89,0)+MATCH($D45,'[2]End - Use Prices'!$B$9:$B$11,0)-1,MATCH(AF$1,'[2]End - Use Prices'!$C$7:$AL$7,0))</f>
        <v>12.18</v>
      </c>
      <c r="AG45" s="41">
        <f>INDEX('[2]End - Use Prices'!$C$6:$AL$89,MATCH($C45,'[2]End - Use Prices'!$A$6:$A$89,0)+MATCH($D45,'[2]End - Use Prices'!$B$9:$B$11,0)-1,MATCH(AG$1,'[2]End - Use Prices'!$C$7:$AL$7,0))</f>
        <v>13.28</v>
      </c>
      <c r="AH45" s="41">
        <f>INDEX('[2]End - Use Prices'!$C$6:$AL$89,MATCH($C45,'[2]End - Use Prices'!$A$6:$A$89,0)+MATCH($D45,'[2]End - Use Prices'!$B$9:$B$11,0)-1,MATCH(AH$1,'[2]End - Use Prices'!$C$7:$AL$7,0))</f>
        <v>12.25</v>
      </c>
      <c r="AI45" s="41">
        <f>INDEX('[2]End - Use Prices'!$C$6:$AL$89,MATCH($C45,'[2]End - Use Prices'!$A$6:$A$89,0)+MATCH($D45,'[2]End - Use Prices'!$B$9:$B$11,0)-1,MATCH(AI$1,'[2]End - Use Prices'!$C$7:$AL$7,0))</f>
        <v>8.43</v>
      </c>
      <c r="AJ45" s="41">
        <f>INDEX('[2]End - Use Prices'!$C$6:$AL$89,MATCH($C45,'[2]End - Use Prices'!$A$6:$A$89,0)+MATCH($D45,'[2]End - Use Prices'!$B$9:$B$11,0)-1,MATCH(AJ$1,'[2]End - Use Prices'!$C$7:$AL$7,0))</f>
        <v>8.91</v>
      </c>
      <c r="AK45" s="41">
        <f>INDEX('[2]End - Use Prices'!$C$6:$AL$89,MATCH($C45,'[2]End - Use Prices'!$A$6:$A$89,0)+MATCH($D45,'[2]End - Use Prices'!$B$9:$B$11,0)-1,MATCH(AK$1,'[2]End - Use Prices'!$C$7:$AL$7,0))</f>
        <v>8.81</v>
      </c>
      <c r="AL45" s="41">
        <f>INDEX('[2]End - Use Prices'!$C$6:$AL$89,MATCH($C45,'[2]End - Use Prices'!$A$6:$A$89,0)+MATCH($D45,'[2]End - Use Prices'!$B$9:$B$11,0)-1,MATCH(AL$1,'[2]End - Use Prices'!$C$7:$AL$7,0))</f>
        <v>8.7899999999999991</v>
      </c>
      <c r="AM45" s="41">
        <f>INDEX('[2]End - Use Prices'!$C$6:$AL$89,MATCH($C45,'[2]End - Use Prices'!$A$6:$A$89,0)+MATCH($D45,'[2]End - Use Prices'!$B$9:$B$11,0)-1,MATCH(AM$1,'[2]End - Use Prices'!$C$7:$AL$7,0))</f>
        <v>9.07</v>
      </c>
      <c r="AN45" s="41">
        <f>INDEX('[2]End - Use Prices'!$C$6:$AL$89,MATCH($C45,'[2]End - Use Prices'!$A$6:$A$89,0)+MATCH($D45,'[2]End - Use Prices'!$B$9:$B$11,0)-1,MATCH(AN$1,'[2]End - Use Prices'!$C$7:$AL$7,0))</f>
        <v>9.2200000000000006</v>
      </c>
      <c r="AO45" s="41">
        <f>INDEX('[2]End - Use Prices'!$C$6:$AL$89,MATCH($C45,'[2]End - Use Prices'!$A$6:$A$89,0)+MATCH($D45,'[2]End - Use Prices'!$B$9:$B$11,0)-1,MATCH(AO$1,'[2]End - Use Prices'!$C$7:$AL$7,0))</f>
        <v>9.36</v>
      </c>
      <c r="AP45" s="41">
        <f>INDEX('[2]End - Use Prices'!$C$6:$AL$89,MATCH($C45,'[2]End - Use Prices'!$A$6:$A$89,0)+MATCH($D45,'[2]End - Use Prices'!$B$9:$B$11,0)-1,MATCH(AP$1,'[2]End - Use Prices'!$C$7:$AL$7,0))</f>
        <v>9.48</v>
      </c>
      <c r="AQ45" s="41">
        <f>INDEX('[2]End - Use Prices'!$C$6:$AL$89,MATCH($C45,'[2]End - Use Prices'!$A$6:$A$89,0)+MATCH($D45,'[2]End - Use Prices'!$B$9:$B$11,0)-1,MATCH(AQ$1,'[2]End - Use Prices'!$C$7:$AL$7,0))</f>
        <v>9.48</v>
      </c>
      <c r="AR45" s="41">
        <f>INDEX('[2]End - Use Prices'!$C$6:$AL$89,MATCH($C45,'[2]End - Use Prices'!$A$6:$A$89,0)+MATCH($D45,'[2]End - Use Prices'!$B$9:$B$11,0)-1,MATCH(AR$1,'[2]End - Use Prices'!$C$7:$AL$7,0))</f>
        <v>9.5</v>
      </c>
      <c r="AS45" s="41">
        <f>INDEX('[2]End - Use Prices'!$C$6:$AL$89,MATCH($C45,'[2]End - Use Prices'!$A$6:$A$89,0)+MATCH($D45,'[2]End - Use Prices'!$B$9:$B$11,0)-1,MATCH(AS$1,'[2]End - Use Prices'!$C$7:$AL$7,0))</f>
        <v>9.58</v>
      </c>
      <c r="AT45" s="41">
        <f>INDEX('[2]End - Use Prices'!$C$6:$AL$89,MATCH($C45,'[2]End - Use Prices'!$A$6:$A$89,0)+MATCH($D45,'[2]End - Use Prices'!$B$9:$B$11,0)-1,MATCH(AT$1,'[2]End - Use Prices'!$C$7:$AL$7,0))</f>
        <v>9.66</v>
      </c>
      <c r="AU45" s="41">
        <f>INDEX('[2]End - Use Prices'!$C$6:$AL$89,MATCH($C45,'[2]End - Use Prices'!$A$6:$A$89,0)+MATCH($D45,'[2]End - Use Prices'!$B$9:$B$11,0)-1,MATCH(AU$1,'[2]End - Use Prices'!$C$7:$AL$7,0))</f>
        <v>9.75</v>
      </c>
      <c r="AV45" s="41">
        <f>INDEX('[2]End - Use Prices'!$C$6:$AL$89,MATCH($C45,'[2]End - Use Prices'!$A$6:$A$89,0)+MATCH($D45,'[2]End - Use Prices'!$B$9:$B$11,0)-1,MATCH(AV$1,'[2]End - Use Prices'!$C$7:$AL$7,0))</f>
        <v>9.85</v>
      </c>
      <c r="AW45" s="41">
        <f>INDEX('[2]End - Use Prices'!$C$6:$AL$89,MATCH($C45,'[2]End - Use Prices'!$A$6:$A$89,0)+MATCH($D45,'[2]End - Use Prices'!$B$9:$B$11,0)-1,MATCH(AW$1,'[2]End - Use Prices'!$C$7:$AL$7,0))</f>
        <v>9.94</v>
      </c>
      <c r="AX45" s="41">
        <f>INDEX('[2]End - Use Prices'!$C$6:$AL$89,MATCH($C45,'[2]End - Use Prices'!$A$6:$A$89,0)+MATCH($D45,'[2]End - Use Prices'!$B$9:$B$11,0)-1,MATCH(AX$1,'[2]End - Use Prices'!$C$7:$AL$7,0))</f>
        <v>10.039999999999999</v>
      </c>
      <c r="AY45" s="41">
        <f>INDEX('[2]End - Use Prices'!$C$6:$AL$89,MATCH($C45,'[2]End - Use Prices'!$A$6:$A$89,0)+MATCH($D45,'[2]End - Use Prices'!$B$9:$B$11,0)-1,MATCH(AY$1,'[2]End - Use Prices'!$C$7:$AL$7,0))</f>
        <v>10.16</v>
      </c>
      <c r="AZ45" s="41">
        <f>INDEX('[2]End - Use Prices'!$C$6:$AL$89,MATCH($C45,'[2]End - Use Prices'!$A$6:$A$89,0)+MATCH($D45,'[2]End - Use Prices'!$B$9:$B$11,0)-1,MATCH(AZ$1,'[2]End - Use Prices'!$C$7:$AL$7,0))</f>
        <v>10.28</v>
      </c>
      <c r="BA45" s="41">
        <f>INDEX('[2]End - Use Prices'!$C$6:$AL$89,MATCH($C45,'[2]End - Use Prices'!$A$6:$A$89,0)+MATCH($D45,'[2]End - Use Prices'!$B$9:$B$11,0)-1,MATCH(BA$1,'[2]End - Use Prices'!$C$7:$AL$7,0))</f>
        <v>10.34</v>
      </c>
      <c r="BB45" s="41">
        <f>INDEX('[2]End - Use Prices'!$C$6:$AL$89,MATCH($C45,'[2]End - Use Prices'!$A$6:$A$89,0)+MATCH($D45,'[2]End - Use Prices'!$B$9:$B$11,0)-1,MATCH(BB$1,'[2]End - Use Prices'!$C$7:$AL$7,0))</f>
        <v>10.41</v>
      </c>
      <c r="BC45" s="41">
        <f>INDEX('[2]End - Use Prices'!$C$6:$AL$89,MATCH($C45,'[2]End - Use Prices'!$A$6:$A$89,0)+MATCH($D45,'[2]End - Use Prices'!$B$9:$B$11,0)-1,MATCH(BC$1,'[2]End - Use Prices'!$C$7:$AL$7,0))</f>
        <v>10.46</v>
      </c>
      <c r="BD45" s="41">
        <f>INDEX('[2]End - Use Prices'!$C$6:$AL$89,MATCH($C45,'[2]End - Use Prices'!$A$6:$A$89,0)+MATCH($D45,'[2]End - Use Prices'!$B$9:$B$11,0)-1,MATCH(BD$1,'[2]End - Use Prices'!$C$7:$AL$7,0))</f>
        <v>10.5</v>
      </c>
      <c r="BE45" s="41">
        <f>INDEX('[2]End - Use Prices'!$C$6:$AL$89,MATCH($C45,'[2]End - Use Prices'!$A$6:$A$89,0)+MATCH($D45,'[2]End - Use Prices'!$B$9:$B$11,0)-1,MATCH(BE$1,'[2]End - Use Prices'!$C$7:$AL$7,0))</f>
        <v>10.54</v>
      </c>
      <c r="BF45" s="41">
        <f>INDEX('[2]End - Use Prices'!$C$6:$AL$89,MATCH($C45,'[2]End - Use Prices'!$A$6:$A$89,0)+MATCH($D45,'[2]End - Use Prices'!$B$9:$B$11,0)-1,MATCH(BF$1,'[2]End - Use Prices'!$C$7:$AL$7,0))</f>
        <v>10.57</v>
      </c>
      <c r="BG45" s="41">
        <f>INDEX('[2]End - Use Prices'!$C$6:$AL$89,MATCH($C45,'[2]End - Use Prices'!$A$6:$A$89,0)+MATCH($D45,'[2]End - Use Prices'!$B$9:$B$11,0)-1,MATCH(BG$1,'[2]End - Use Prices'!$C$7:$AL$7,0))</f>
        <v>10.59</v>
      </c>
      <c r="BR45" s="39"/>
      <c r="BS45" s="39"/>
      <c r="BT45" s="39"/>
      <c r="BU45" s="39"/>
      <c r="BV45" s="39"/>
      <c r="BW45" s="39"/>
      <c r="BX45" s="39"/>
      <c r="BY45" s="39"/>
      <c r="BZ45" s="39"/>
      <c r="CA45" s="39"/>
    </row>
    <row r="46" spans="1:79">
      <c r="A46" s="5"/>
      <c r="B46" s="3"/>
      <c r="C46" s="25" t="s">
        <v>47</v>
      </c>
      <c r="D46" s="25" t="s">
        <v>276</v>
      </c>
      <c r="E46" s="25" t="s">
        <v>277</v>
      </c>
      <c r="F46" s="67" t="s">
        <v>275</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INDEX('[2]End - Use Prices'!$C$6:$AL$89,MATCH($C46,'[2]End - Use Prices'!$A$6:$A$89,0)+MATCH($D46,'[2]End - Use Prices'!$B$9:$B$11,0)-1,MATCH(X$1,'[2]End - Use Prices'!$C$7:$AL$7,0))</f>
        <v>25.71</v>
      </c>
      <c r="Y46" s="41">
        <f>INDEX('[2]End - Use Prices'!$C$6:$AL$89,MATCH($C46,'[2]End - Use Prices'!$A$6:$A$89,0)+MATCH($D46,'[2]End - Use Prices'!$B$9:$B$11,0)-1,MATCH(Y$1,'[2]End - Use Prices'!$C$7:$AL$7,0))</f>
        <v>26.31</v>
      </c>
      <c r="Z46" s="41">
        <f>INDEX('[2]End - Use Prices'!$C$6:$AL$89,MATCH($C46,'[2]End - Use Prices'!$A$6:$A$89,0)+MATCH($D46,'[2]End - Use Prices'!$B$9:$B$11,0)-1,MATCH(Z$1,'[2]End - Use Prices'!$C$7:$AL$7,0))</f>
        <v>26.43</v>
      </c>
      <c r="AA46" s="41">
        <f>INDEX('[2]End - Use Prices'!$C$6:$AL$89,MATCH($C46,'[2]End - Use Prices'!$A$6:$A$89,0)+MATCH($D46,'[2]End - Use Prices'!$B$9:$B$11,0)-1,MATCH(AA$1,'[2]End - Use Prices'!$C$7:$AL$7,0))</f>
        <v>33.200000000000003</v>
      </c>
      <c r="AB46" s="41">
        <f>INDEX('[2]End - Use Prices'!$C$6:$AL$89,MATCH($C46,'[2]End - Use Prices'!$A$6:$A$89,0)+MATCH($D46,'[2]End - Use Prices'!$B$9:$B$11,0)-1,MATCH(AB$1,'[2]End - Use Prices'!$C$7:$AL$7,0))</f>
        <v>23.79</v>
      </c>
      <c r="AC46" s="41">
        <f>INDEX('[2]End - Use Prices'!$C$6:$AL$89,MATCH($C46,'[2]End - Use Prices'!$A$6:$A$89,0)+MATCH($D46,'[2]End - Use Prices'!$B$9:$B$11,0)-1,MATCH(AC$1,'[2]End - Use Prices'!$C$7:$AL$7,0))</f>
        <v>26.91</v>
      </c>
      <c r="AD46" s="41">
        <f>INDEX('[2]End - Use Prices'!$C$6:$AL$89,MATCH($C46,'[2]End - Use Prices'!$A$6:$A$89,0)+MATCH($D46,'[2]End - Use Prices'!$B$9:$B$11,0)-1,MATCH(AD$1,'[2]End - Use Prices'!$C$7:$AL$7,0))</f>
        <v>32.58</v>
      </c>
      <c r="AE46" s="41">
        <f>INDEX('[2]End - Use Prices'!$C$6:$AL$89,MATCH($C46,'[2]End - Use Prices'!$A$6:$A$89,0)+MATCH($D46,'[2]End - Use Prices'!$B$9:$B$11,0)-1,MATCH(AE$1,'[2]End - Use Prices'!$C$7:$AL$7,0))</f>
        <v>33.74</v>
      </c>
      <c r="AF46" s="41">
        <f>INDEX('[2]End - Use Prices'!$C$6:$AL$89,MATCH($C46,'[2]End - Use Prices'!$A$6:$A$89,0)+MATCH($D46,'[2]End - Use Prices'!$B$9:$B$11,0)-1,MATCH(AF$1,'[2]End - Use Prices'!$C$7:$AL$7,0))</f>
        <v>33.31</v>
      </c>
      <c r="AG46" s="41">
        <f>INDEX('[2]End - Use Prices'!$C$6:$AL$89,MATCH($C46,'[2]End - Use Prices'!$A$6:$A$89,0)+MATCH($D46,'[2]End - Use Prices'!$B$9:$B$11,0)-1,MATCH(AG$1,'[2]End - Use Prices'!$C$7:$AL$7,0))</f>
        <v>34.46</v>
      </c>
      <c r="AH46" s="41">
        <f>INDEX('[2]End - Use Prices'!$C$6:$AL$89,MATCH($C46,'[2]End - Use Prices'!$A$6:$A$89,0)+MATCH($D46,'[2]End - Use Prices'!$B$9:$B$11,0)-1,MATCH(AH$1,'[2]End - Use Prices'!$C$7:$AL$7,0))</f>
        <v>28.23</v>
      </c>
      <c r="AI46" s="41">
        <f>INDEX('[2]End - Use Prices'!$C$6:$AL$89,MATCH($C46,'[2]End - Use Prices'!$A$6:$A$89,0)+MATCH($D46,'[2]End - Use Prices'!$B$9:$B$11,0)-1,MATCH(AI$1,'[2]End - Use Prices'!$C$7:$AL$7,0))</f>
        <v>24.61</v>
      </c>
      <c r="AJ46" s="41">
        <f>INDEX('[2]End - Use Prices'!$C$6:$AL$89,MATCH($C46,'[2]End - Use Prices'!$A$6:$A$89,0)+MATCH($D46,'[2]End - Use Prices'!$B$9:$B$11,0)-1,MATCH(AJ$1,'[2]End - Use Prices'!$C$7:$AL$7,0))</f>
        <v>27.26</v>
      </c>
      <c r="AK46" s="41">
        <f>INDEX('[2]End - Use Prices'!$C$6:$AL$89,MATCH($C46,'[2]End - Use Prices'!$A$6:$A$89,0)+MATCH($D46,'[2]End - Use Prices'!$B$9:$B$11,0)-1,MATCH(AK$1,'[2]End - Use Prices'!$C$7:$AL$7,0))</f>
        <v>31.59</v>
      </c>
      <c r="AL46" s="41">
        <f>INDEX('[2]End - Use Prices'!$C$6:$AL$89,MATCH($C46,'[2]End - Use Prices'!$A$6:$A$89,0)+MATCH($D46,'[2]End - Use Prices'!$B$9:$B$11,0)-1,MATCH(AL$1,'[2]End - Use Prices'!$C$7:$AL$7,0))</f>
        <v>35.08</v>
      </c>
      <c r="AM46" s="41">
        <f>INDEX('[2]End - Use Prices'!$C$6:$AL$89,MATCH($C46,'[2]End - Use Prices'!$A$6:$A$89,0)+MATCH($D46,'[2]End - Use Prices'!$B$9:$B$11,0)-1,MATCH(AM$1,'[2]End - Use Prices'!$C$7:$AL$7,0))</f>
        <v>38.950000000000003</v>
      </c>
      <c r="AN46" s="41">
        <f>INDEX('[2]End - Use Prices'!$C$6:$AL$89,MATCH($C46,'[2]End - Use Prices'!$A$6:$A$89,0)+MATCH($D46,'[2]End - Use Prices'!$B$9:$B$11,0)-1,MATCH(AN$1,'[2]End - Use Prices'!$C$7:$AL$7,0))</f>
        <v>36.01</v>
      </c>
      <c r="AO46" s="41">
        <f>INDEX('[2]End - Use Prices'!$C$6:$AL$89,MATCH($C46,'[2]End - Use Prices'!$A$6:$A$89,0)+MATCH($D46,'[2]End - Use Prices'!$B$9:$B$11,0)-1,MATCH(AO$1,'[2]End - Use Prices'!$C$7:$AL$7,0))</f>
        <v>34.17</v>
      </c>
      <c r="AP46" s="41">
        <f>INDEX('[2]End - Use Prices'!$C$6:$AL$89,MATCH($C46,'[2]End - Use Prices'!$A$6:$A$89,0)+MATCH($D46,'[2]End - Use Prices'!$B$9:$B$11,0)-1,MATCH(AP$1,'[2]End - Use Prices'!$C$7:$AL$7,0))</f>
        <v>34.06</v>
      </c>
      <c r="AQ46" s="41">
        <f>INDEX('[2]End - Use Prices'!$C$6:$AL$89,MATCH($C46,'[2]End - Use Prices'!$A$6:$A$89,0)+MATCH($D46,'[2]End - Use Prices'!$B$9:$B$11,0)-1,MATCH(AQ$1,'[2]End - Use Prices'!$C$7:$AL$7,0))</f>
        <v>34.04</v>
      </c>
      <c r="AR46" s="41">
        <f>INDEX('[2]End - Use Prices'!$C$6:$AL$89,MATCH($C46,'[2]End - Use Prices'!$A$6:$A$89,0)+MATCH($D46,'[2]End - Use Prices'!$B$9:$B$11,0)-1,MATCH(AR$1,'[2]End - Use Prices'!$C$7:$AL$7,0))</f>
        <v>34.25</v>
      </c>
      <c r="AS46" s="41">
        <f>INDEX('[2]End - Use Prices'!$C$6:$AL$89,MATCH($C46,'[2]End - Use Prices'!$A$6:$A$89,0)+MATCH($D46,'[2]End - Use Prices'!$B$9:$B$11,0)-1,MATCH(AS$1,'[2]End - Use Prices'!$C$7:$AL$7,0))</f>
        <v>34.39</v>
      </c>
      <c r="AT46" s="41">
        <f>INDEX('[2]End - Use Prices'!$C$6:$AL$89,MATCH($C46,'[2]End - Use Prices'!$A$6:$A$89,0)+MATCH($D46,'[2]End - Use Prices'!$B$9:$B$11,0)-1,MATCH(AT$1,'[2]End - Use Prices'!$C$7:$AL$7,0))</f>
        <v>34.22</v>
      </c>
      <c r="AU46" s="41">
        <f>INDEX('[2]End - Use Prices'!$C$6:$AL$89,MATCH($C46,'[2]End - Use Prices'!$A$6:$A$89,0)+MATCH($D46,'[2]End - Use Prices'!$B$9:$B$11,0)-1,MATCH(AU$1,'[2]End - Use Prices'!$C$7:$AL$7,0))</f>
        <v>34.020000000000003</v>
      </c>
      <c r="AV46" s="41">
        <f>INDEX('[2]End - Use Prices'!$C$6:$AL$89,MATCH($C46,'[2]End - Use Prices'!$A$6:$A$89,0)+MATCH($D46,'[2]End - Use Prices'!$B$9:$B$11,0)-1,MATCH(AV$1,'[2]End - Use Prices'!$C$7:$AL$7,0))</f>
        <v>33.840000000000003</v>
      </c>
      <c r="AW46" s="41">
        <f>INDEX('[2]End - Use Prices'!$C$6:$AL$89,MATCH($C46,'[2]End - Use Prices'!$A$6:$A$89,0)+MATCH($D46,'[2]End - Use Prices'!$B$9:$B$11,0)-1,MATCH(AW$1,'[2]End - Use Prices'!$C$7:$AL$7,0))</f>
        <v>33.67</v>
      </c>
      <c r="AX46" s="41">
        <f>INDEX('[2]End - Use Prices'!$C$6:$AL$89,MATCH($C46,'[2]End - Use Prices'!$A$6:$A$89,0)+MATCH($D46,'[2]End - Use Prices'!$B$9:$B$11,0)-1,MATCH(AX$1,'[2]End - Use Prices'!$C$7:$AL$7,0))</f>
        <v>33.58</v>
      </c>
      <c r="AY46" s="41">
        <f>INDEX('[2]End - Use Prices'!$C$6:$AL$89,MATCH($C46,'[2]End - Use Prices'!$A$6:$A$89,0)+MATCH($D46,'[2]End - Use Prices'!$B$9:$B$11,0)-1,MATCH(AY$1,'[2]End - Use Prices'!$C$7:$AL$7,0))</f>
        <v>33.51</v>
      </c>
      <c r="AZ46" s="41">
        <f>INDEX('[2]End - Use Prices'!$C$6:$AL$89,MATCH($C46,'[2]End - Use Prices'!$A$6:$A$89,0)+MATCH($D46,'[2]End - Use Prices'!$B$9:$B$11,0)-1,MATCH(AZ$1,'[2]End - Use Prices'!$C$7:$AL$7,0))</f>
        <v>33.49</v>
      </c>
      <c r="BA46" s="41">
        <f>INDEX('[2]End - Use Prices'!$C$6:$AL$89,MATCH($C46,'[2]End - Use Prices'!$A$6:$A$89,0)+MATCH($D46,'[2]End - Use Prices'!$B$9:$B$11,0)-1,MATCH(BA$1,'[2]End - Use Prices'!$C$7:$AL$7,0))</f>
        <v>33.5</v>
      </c>
      <c r="BB46" s="41">
        <f>INDEX('[2]End - Use Prices'!$C$6:$AL$89,MATCH($C46,'[2]End - Use Prices'!$A$6:$A$89,0)+MATCH($D46,'[2]End - Use Prices'!$B$9:$B$11,0)-1,MATCH(BB$1,'[2]End - Use Prices'!$C$7:$AL$7,0))</f>
        <v>33.49</v>
      </c>
      <c r="BC46" s="41">
        <f>INDEX('[2]End - Use Prices'!$C$6:$AL$89,MATCH($C46,'[2]End - Use Prices'!$A$6:$A$89,0)+MATCH($D46,'[2]End - Use Prices'!$B$9:$B$11,0)-1,MATCH(BC$1,'[2]End - Use Prices'!$C$7:$AL$7,0))</f>
        <v>33.46</v>
      </c>
      <c r="BD46" s="41">
        <f>INDEX('[2]End - Use Prices'!$C$6:$AL$89,MATCH($C46,'[2]End - Use Prices'!$A$6:$A$89,0)+MATCH($D46,'[2]End - Use Prices'!$B$9:$B$11,0)-1,MATCH(BD$1,'[2]End - Use Prices'!$C$7:$AL$7,0))</f>
        <v>33.42</v>
      </c>
      <c r="BE46" s="41">
        <f>INDEX('[2]End - Use Prices'!$C$6:$AL$89,MATCH($C46,'[2]End - Use Prices'!$A$6:$A$89,0)+MATCH($D46,'[2]End - Use Prices'!$B$9:$B$11,0)-1,MATCH(BE$1,'[2]End - Use Prices'!$C$7:$AL$7,0))</f>
        <v>33.340000000000003</v>
      </c>
      <c r="BF46" s="41">
        <f>INDEX('[2]End - Use Prices'!$C$6:$AL$89,MATCH($C46,'[2]End - Use Prices'!$A$6:$A$89,0)+MATCH($D46,'[2]End - Use Prices'!$B$9:$B$11,0)-1,MATCH(BF$1,'[2]End - Use Prices'!$C$7:$AL$7,0))</f>
        <v>33.270000000000003</v>
      </c>
      <c r="BG46" s="41">
        <f>INDEX('[2]End - Use Prices'!$C$6:$AL$89,MATCH($C46,'[2]End - Use Prices'!$A$6:$A$89,0)+MATCH($D46,'[2]End - Use Prices'!$B$9:$B$11,0)-1,MATCH(BG$1,'[2]End - Use Prices'!$C$7:$AL$7,0))</f>
        <v>33.18</v>
      </c>
      <c r="BR46" s="39"/>
      <c r="BS46" s="39"/>
      <c r="BT46" s="39"/>
      <c r="BU46" s="39"/>
      <c r="BV46" s="39"/>
      <c r="BW46" s="39"/>
      <c r="BX46" s="39"/>
      <c r="BY46" s="39"/>
      <c r="BZ46" s="39"/>
      <c r="CA46" s="39"/>
    </row>
    <row r="47" spans="1:79">
      <c r="A47" s="5"/>
      <c r="B47" s="3"/>
      <c r="C47" s="25" t="s">
        <v>84</v>
      </c>
      <c r="D47" s="25" t="s">
        <v>276</v>
      </c>
      <c r="E47" s="25" t="s">
        <v>277</v>
      </c>
      <c r="F47" s="67" t="s">
        <v>275</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INDEX('[2]End - Use Prices'!$C$6:$AL$89,MATCH($C47,'[2]End - Use Prices'!$A$6:$A$89,0)+MATCH($D47,'[2]End - Use Prices'!$B$9:$B$11,0)-1,MATCH(X$1,'[2]End - Use Prices'!$C$7:$AL$7,0))</f>
        <v>25.86</v>
      </c>
      <c r="Y47" s="41">
        <f>INDEX('[2]End - Use Prices'!$C$6:$AL$89,MATCH($C47,'[2]End - Use Prices'!$A$6:$A$89,0)+MATCH($D47,'[2]End - Use Prices'!$B$9:$B$11,0)-1,MATCH(Y$1,'[2]End - Use Prices'!$C$7:$AL$7,0))</f>
        <v>27.18</v>
      </c>
      <c r="Z47" s="41">
        <f>INDEX('[2]End - Use Prices'!$C$6:$AL$89,MATCH($C47,'[2]End - Use Prices'!$A$6:$A$89,0)+MATCH($D47,'[2]End - Use Prices'!$B$9:$B$11,0)-1,MATCH(Z$1,'[2]End - Use Prices'!$C$7:$AL$7,0))</f>
        <v>27.19</v>
      </c>
      <c r="AA47" s="41">
        <f>INDEX('[2]End - Use Prices'!$C$6:$AL$89,MATCH($C47,'[2]End - Use Prices'!$A$6:$A$89,0)+MATCH($D47,'[2]End - Use Prices'!$B$9:$B$11,0)-1,MATCH(AA$1,'[2]End - Use Prices'!$C$7:$AL$7,0))</f>
        <v>32.65</v>
      </c>
      <c r="AB47" s="41">
        <f>INDEX('[2]End - Use Prices'!$C$6:$AL$89,MATCH($C47,'[2]End - Use Prices'!$A$6:$A$89,0)+MATCH($D47,'[2]End - Use Prices'!$B$9:$B$11,0)-1,MATCH(AB$1,'[2]End - Use Prices'!$C$7:$AL$7,0))</f>
        <v>22.7</v>
      </c>
      <c r="AC47" s="41">
        <f>INDEX('[2]End - Use Prices'!$C$6:$AL$89,MATCH($C47,'[2]End - Use Prices'!$A$6:$A$89,0)+MATCH($D47,'[2]End - Use Prices'!$B$9:$B$11,0)-1,MATCH(AC$1,'[2]End - Use Prices'!$C$7:$AL$7,0))</f>
        <v>26.25</v>
      </c>
      <c r="AD47" s="41">
        <f>INDEX('[2]End - Use Prices'!$C$6:$AL$89,MATCH($C47,'[2]End - Use Prices'!$A$6:$A$89,0)+MATCH($D47,'[2]End - Use Prices'!$B$9:$B$11,0)-1,MATCH(AD$1,'[2]End - Use Prices'!$C$7:$AL$7,0))</f>
        <v>31.74</v>
      </c>
      <c r="AE47" s="41">
        <f>INDEX('[2]End - Use Prices'!$C$6:$AL$89,MATCH($C47,'[2]End - Use Prices'!$A$6:$A$89,0)+MATCH($D47,'[2]End - Use Prices'!$B$9:$B$11,0)-1,MATCH(AE$1,'[2]End - Use Prices'!$C$7:$AL$7,0))</f>
        <v>32.58</v>
      </c>
      <c r="AF47" s="41">
        <f>INDEX('[2]End - Use Prices'!$C$6:$AL$89,MATCH($C47,'[2]End - Use Prices'!$A$6:$A$89,0)+MATCH($D47,'[2]End - Use Prices'!$B$9:$B$11,0)-1,MATCH(AF$1,'[2]End - Use Prices'!$C$7:$AL$7,0))</f>
        <v>29.61</v>
      </c>
      <c r="AG47" s="41">
        <f>INDEX('[2]End - Use Prices'!$C$6:$AL$89,MATCH($C47,'[2]End - Use Prices'!$A$6:$A$89,0)+MATCH($D47,'[2]End - Use Prices'!$B$9:$B$11,0)-1,MATCH(AG$1,'[2]End - Use Prices'!$C$7:$AL$7,0))</f>
        <v>29.41</v>
      </c>
      <c r="AH47" s="41">
        <f>INDEX('[2]End - Use Prices'!$C$6:$AL$89,MATCH($C47,'[2]End - Use Prices'!$A$6:$A$89,0)+MATCH($D47,'[2]End - Use Prices'!$B$9:$B$11,0)-1,MATCH(AH$1,'[2]End - Use Prices'!$C$7:$AL$7,0))</f>
        <v>22.78</v>
      </c>
      <c r="AI47" s="41">
        <f>INDEX('[2]End - Use Prices'!$C$6:$AL$89,MATCH($C47,'[2]End - Use Prices'!$A$6:$A$89,0)+MATCH($D47,'[2]End - Use Prices'!$B$9:$B$11,0)-1,MATCH(AI$1,'[2]End - Use Prices'!$C$7:$AL$7,0))</f>
        <v>21.05</v>
      </c>
      <c r="AJ47" s="41">
        <f>INDEX('[2]End - Use Prices'!$C$6:$AL$89,MATCH($C47,'[2]End - Use Prices'!$A$6:$A$89,0)+MATCH($D47,'[2]End - Use Prices'!$B$9:$B$11,0)-1,MATCH(AJ$1,'[2]End - Use Prices'!$C$7:$AL$7,0))</f>
        <v>24</v>
      </c>
      <c r="AK47" s="41">
        <f>INDEX('[2]End - Use Prices'!$C$6:$AL$89,MATCH($C47,'[2]End - Use Prices'!$A$6:$A$89,0)+MATCH($D47,'[2]End - Use Prices'!$B$9:$B$11,0)-1,MATCH(AK$1,'[2]End - Use Prices'!$C$7:$AL$7,0))</f>
        <v>27.31</v>
      </c>
      <c r="AL47" s="41">
        <f>INDEX('[2]End - Use Prices'!$C$6:$AL$89,MATCH($C47,'[2]End - Use Prices'!$A$6:$A$89,0)+MATCH($D47,'[2]End - Use Prices'!$B$9:$B$11,0)-1,MATCH(AL$1,'[2]End - Use Prices'!$C$7:$AL$7,0))</f>
        <v>30.69</v>
      </c>
      <c r="AM47" s="41">
        <f>INDEX('[2]End - Use Prices'!$C$6:$AL$89,MATCH($C47,'[2]End - Use Prices'!$A$6:$A$89,0)+MATCH($D47,'[2]End - Use Prices'!$B$9:$B$11,0)-1,MATCH(AM$1,'[2]End - Use Prices'!$C$7:$AL$7,0))</f>
        <v>35.65</v>
      </c>
      <c r="AN47" s="41">
        <f>INDEX('[2]End - Use Prices'!$C$6:$AL$89,MATCH($C47,'[2]End - Use Prices'!$A$6:$A$89,0)+MATCH($D47,'[2]End - Use Prices'!$B$9:$B$11,0)-1,MATCH(AN$1,'[2]End - Use Prices'!$C$7:$AL$7,0))</f>
        <v>32.92</v>
      </c>
      <c r="AO47" s="41">
        <f>INDEX('[2]End - Use Prices'!$C$6:$AL$89,MATCH($C47,'[2]End - Use Prices'!$A$6:$A$89,0)+MATCH($D47,'[2]End - Use Prices'!$B$9:$B$11,0)-1,MATCH(AO$1,'[2]End - Use Prices'!$C$7:$AL$7,0))</f>
        <v>31.27</v>
      </c>
      <c r="AP47" s="41">
        <f>INDEX('[2]End - Use Prices'!$C$6:$AL$89,MATCH($C47,'[2]End - Use Prices'!$A$6:$A$89,0)+MATCH($D47,'[2]End - Use Prices'!$B$9:$B$11,0)-1,MATCH(AP$1,'[2]End - Use Prices'!$C$7:$AL$7,0))</f>
        <v>31.4</v>
      </c>
      <c r="AQ47" s="41">
        <f>INDEX('[2]End - Use Prices'!$C$6:$AL$89,MATCH($C47,'[2]End - Use Prices'!$A$6:$A$89,0)+MATCH($D47,'[2]End - Use Prices'!$B$9:$B$11,0)-1,MATCH(AQ$1,'[2]End - Use Prices'!$C$7:$AL$7,0))</f>
        <v>31.13</v>
      </c>
      <c r="AR47" s="41">
        <f>INDEX('[2]End - Use Prices'!$C$6:$AL$89,MATCH($C47,'[2]End - Use Prices'!$A$6:$A$89,0)+MATCH($D47,'[2]End - Use Prices'!$B$9:$B$11,0)-1,MATCH(AR$1,'[2]End - Use Prices'!$C$7:$AL$7,0))</f>
        <v>31.1</v>
      </c>
      <c r="AS47" s="41">
        <f>INDEX('[2]End - Use Prices'!$C$6:$AL$89,MATCH($C47,'[2]End - Use Prices'!$A$6:$A$89,0)+MATCH($D47,'[2]End - Use Prices'!$B$9:$B$11,0)-1,MATCH(AS$1,'[2]End - Use Prices'!$C$7:$AL$7,0))</f>
        <v>31.02</v>
      </c>
      <c r="AT47" s="41">
        <f>INDEX('[2]End - Use Prices'!$C$6:$AL$89,MATCH($C47,'[2]End - Use Prices'!$A$6:$A$89,0)+MATCH($D47,'[2]End - Use Prices'!$B$9:$B$11,0)-1,MATCH(AT$1,'[2]End - Use Prices'!$C$7:$AL$7,0))</f>
        <v>30.85</v>
      </c>
      <c r="AU47" s="41">
        <f>INDEX('[2]End - Use Prices'!$C$6:$AL$89,MATCH($C47,'[2]End - Use Prices'!$A$6:$A$89,0)+MATCH($D47,'[2]End - Use Prices'!$B$9:$B$11,0)-1,MATCH(AU$1,'[2]End - Use Prices'!$C$7:$AL$7,0))</f>
        <v>30.63</v>
      </c>
      <c r="AV47" s="41">
        <f>INDEX('[2]End - Use Prices'!$C$6:$AL$89,MATCH($C47,'[2]End - Use Prices'!$A$6:$A$89,0)+MATCH($D47,'[2]End - Use Prices'!$B$9:$B$11,0)-1,MATCH(AV$1,'[2]End - Use Prices'!$C$7:$AL$7,0))</f>
        <v>30.45</v>
      </c>
      <c r="AW47" s="41">
        <f>INDEX('[2]End - Use Prices'!$C$6:$AL$89,MATCH($C47,'[2]End - Use Prices'!$A$6:$A$89,0)+MATCH($D47,'[2]End - Use Prices'!$B$9:$B$11,0)-1,MATCH(AW$1,'[2]End - Use Prices'!$C$7:$AL$7,0))</f>
        <v>30.26</v>
      </c>
      <c r="AX47" s="41">
        <f>INDEX('[2]End - Use Prices'!$C$6:$AL$89,MATCH($C47,'[2]End - Use Prices'!$A$6:$A$89,0)+MATCH($D47,'[2]End - Use Prices'!$B$9:$B$11,0)-1,MATCH(AX$1,'[2]End - Use Prices'!$C$7:$AL$7,0))</f>
        <v>30.15</v>
      </c>
      <c r="AY47" s="41">
        <f>INDEX('[2]End - Use Prices'!$C$6:$AL$89,MATCH($C47,'[2]End - Use Prices'!$A$6:$A$89,0)+MATCH($D47,'[2]End - Use Prices'!$B$9:$B$11,0)-1,MATCH(AY$1,'[2]End - Use Prices'!$C$7:$AL$7,0))</f>
        <v>30.08</v>
      </c>
      <c r="AZ47" s="41">
        <f>INDEX('[2]End - Use Prices'!$C$6:$AL$89,MATCH($C47,'[2]End - Use Prices'!$A$6:$A$89,0)+MATCH($D47,'[2]End - Use Prices'!$B$9:$B$11,0)-1,MATCH(AZ$1,'[2]End - Use Prices'!$C$7:$AL$7,0))</f>
        <v>30.05</v>
      </c>
      <c r="BA47" s="41">
        <f>INDEX('[2]End - Use Prices'!$C$6:$AL$89,MATCH($C47,'[2]End - Use Prices'!$A$6:$A$89,0)+MATCH($D47,'[2]End - Use Prices'!$B$9:$B$11,0)-1,MATCH(BA$1,'[2]End - Use Prices'!$C$7:$AL$7,0))</f>
        <v>30.05</v>
      </c>
      <c r="BB47" s="41">
        <f>INDEX('[2]End - Use Prices'!$C$6:$AL$89,MATCH($C47,'[2]End - Use Prices'!$A$6:$A$89,0)+MATCH($D47,'[2]End - Use Prices'!$B$9:$B$11,0)-1,MATCH(BB$1,'[2]End - Use Prices'!$C$7:$AL$7,0))</f>
        <v>30.03</v>
      </c>
      <c r="BC47" s="41">
        <f>INDEX('[2]End - Use Prices'!$C$6:$AL$89,MATCH($C47,'[2]End - Use Prices'!$A$6:$A$89,0)+MATCH($D47,'[2]End - Use Prices'!$B$9:$B$11,0)-1,MATCH(BC$1,'[2]End - Use Prices'!$C$7:$AL$7,0))</f>
        <v>29.99</v>
      </c>
      <c r="BD47" s="41">
        <f>INDEX('[2]End - Use Prices'!$C$6:$AL$89,MATCH($C47,'[2]End - Use Prices'!$A$6:$A$89,0)+MATCH($D47,'[2]End - Use Prices'!$B$9:$B$11,0)-1,MATCH(BD$1,'[2]End - Use Prices'!$C$7:$AL$7,0))</f>
        <v>29.93</v>
      </c>
      <c r="BE47" s="41">
        <f>INDEX('[2]End - Use Prices'!$C$6:$AL$89,MATCH($C47,'[2]End - Use Prices'!$A$6:$A$89,0)+MATCH($D47,'[2]End - Use Prices'!$B$9:$B$11,0)-1,MATCH(BE$1,'[2]End - Use Prices'!$C$7:$AL$7,0))</f>
        <v>29.84</v>
      </c>
      <c r="BF47" s="41">
        <f>INDEX('[2]End - Use Prices'!$C$6:$AL$89,MATCH($C47,'[2]End - Use Prices'!$A$6:$A$89,0)+MATCH($D47,'[2]End - Use Prices'!$B$9:$B$11,0)-1,MATCH(BF$1,'[2]End - Use Prices'!$C$7:$AL$7,0))</f>
        <v>29.75</v>
      </c>
      <c r="BG47" s="41">
        <f>INDEX('[2]End - Use Prices'!$C$6:$AL$89,MATCH($C47,'[2]End - Use Prices'!$A$6:$A$89,0)+MATCH($D47,'[2]End - Use Prices'!$B$9:$B$11,0)-1,MATCH(BG$1,'[2]End - Use Prices'!$C$7:$AL$7,0))</f>
        <v>29.65</v>
      </c>
      <c r="BR47" s="39"/>
      <c r="BS47" s="39"/>
      <c r="BT47" s="39"/>
      <c r="BU47" s="39"/>
      <c r="BV47" s="39"/>
      <c r="BW47" s="39"/>
      <c r="BX47" s="39"/>
      <c r="BY47" s="39"/>
      <c r="BZ47" s="39"/>
      <c r="CA47" s="39"/>
    </row>
    <row r="48" spans="1:79">
      <c r="A48" s="5"/>
      <c r="B48" s="3"/>
      <c r="C48" s="25" t="s">
        <v>85</v>
      </c>
      <c r="D48" s="25" t="s">
        <v>276</v>
      </c>
      <c r="E48" s="25" t="s">
        <v>277</v>
      </c>
      <c r="F48" s="67" t="s">
        <v>275</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INDEX('[2]End - Use Prices'!$C$6:$AL$89,MATCH($C48,'[2]End - Use Prices'!$A$6:$A$89,0)+MATCH($D48,'[2]End - Use Prices'!$B$9:$B$11,0)-1,MATCH(X$1,'[2]End - Use Prices'!$C$7:$AL$7,0))</f>
        <v>24.29</v>
      </c>
      <c r="Y48" s="41">
        <f>INDEX('[2]End - Use Prices'!$C$6:$AL$89,MATCH($C48,'[2]End - Use Prices'!$A$6:$A$89,0)+MATCH($D48,'[2]End - Use Prices'!$B$9:$B$11,0)-1,MATCH(Y$1,'[2]End - Use Prices'!$C$7:$AL$7,0))</f>
        <v>24.86</v>
      </c>
      <c r="Z48" s="41">
        <f>INDEX('[2]End - Use Prices'!$C$6:$AL$89,MATCH($C48,'[2]End - Use Prices'!$A$6:$A$89,0)+MATCH($D48,'[2]End - Use Prices'!$B$9:$B$11,0)-1,MATCH(Z$1,'[2]End - Use Prices'!$C$7:$AL$7,0))</f>
        <v>24.61</v>
      </c>
      <c r="AA48" s="41">
        <f>INDEX('[2]End - Use Prices'!$C$6:$AL$89,MATCH($C48,'[2]End - Use Prices'!$A$6:$A$89,0)+MATCH($D48,'[2]End - Use Prices'!$B$9:$B$11,0)-1,MATCH(AA$1,'[2]End - Use Prices'!$C$7:$AL$7,0))</f>
        <v>30.51</v>
      </c>
      <c r="AB48" s="41">
        <f>INDEX('[2]End - Use Prices'!$C$6:$AL$89,MATCH($C48,'[2]End - Use Prices'!$A$6:$A$89,0)+MATCH($D48,'[2]End - Use Prices'!$B$9:$B$11,0)-1,MATCH(AB$1,'[2]End - Use Prices'!$C$7:$AL$7,0))</f>
        <v>21.93</v>
      </c>
      <c r="AC48" s="41">
        <f>INDEX('[2]End - Use Prices'!$C$6:$AL$89,MATCH($C48,'[2]End - Use Prices'!$A$6:$A$89,0)+MATCH($D48,'[2]End - Use Prices'!$B$9:$B$11,0)-1,MATCH(AC$1,'[2]End - Use Prices'!$C$7:$AL$7,0))</f>
        <v>24.71</v>
      </c>
      <c r="AD48" s="41">
        <f>INDEX('[2]End - Use Prices'!$C$6:$AL$89,MATCH($C48,'[2]End - Use Prices'!$A$6:$A$89,0)+MATCH($D48,'[2]End - Use Prices'!$B$9:$B$11,0)-1,MATCH(AD$1,'[2]End - Use Prices'!$C$7:$AL$7,0))</f>
        <v>30.18</v>
      </c>
      <c r="AE48" s="41">
        <f>INDEX('[2]End - Use Prices'!$C$6:$AL$89,MATCH($C48,'[2]End - Use Prices'!$A$6:$A$89,0)+MATCH($D48,'[2]End - Use Prices'!$B$9:$B$11,0)-1,MATCH(AE$1,'[2]End - Use Prices'!$C$7:$AL$7,0))</f>
        <v>31.33</v>
      </c>
      <c r="AF48" s="41">
        <f>INDEX('[2]End - Use Prices'!$C$6:$AL$89,MATCH($C48,'[2]End - Use Prices'!$A$6:$A$89,0)+MATCH($D48,'[2]End - Use Prices'!$B$9:$B$11,0)-1,MATCH(AF$1,'[2]End - Use Prices'!$C$7:$AL$7,0))</f>
        <v>30.91</v>
      </c>
      <c r="AG48" s="41">
        <f>INDEX('[2]End - Use Prices'!$C$6:$AL$89,MATCH($C48,'[2]End - Use Prices'!$A$6:$A$89,0)+MATCH($D48,'[2]End - Use Prices'!$B$9:$B$11,0)-1,MATCH(AG$1,'[2]End - Use Prices'!$C$7:$AL$7,0))</f>
        <v>31</v>
      </c>
      <c r="AH48" s="41">
        <f>INDEX('[2]End - Use Prices'!$C$6:$AL$89,MATCH($C48,'[2]End - Use Prices'!$A$6:$A$89,0)+MATCH($D48,'[2]End - Use Prices'!$B$9:$B$11,0)-1,MATCH(AH$1,'[2]End - Use Prices'!$C$7:$AL$7,0))</f>
        <v>24.09</v>
      </c>
      <c r="AI48" s="41">
        <f>INDEX('[2]End - Use Prices'!$C$6:$AL$89,MATCH($C48,'[2]End - Use Prices'!$A$6:$A$89,0)+MATCH($D48,'[2]End - Use Prices'!$B$9:$B$11,0)-1,MATCH(AI$1,'[2]End - Use Prices'!$C$7:$AL$7,0))</f>
        <v>20.85</v>
      </c>
      <c r="AJ48" s="41">
        <f>INDEX('[2]End - Use Prices'!$C$6:$AL$89,MATCH($C48,'[2]End - Use Prices'!$A$6:$A$89,0)+MATCH($D48,'[2]End - Use Prices'!$B$9:$B$11,0)-1,MATCH(AJ$1,'[2]End - Use Prices'!$C$7:$AL$7,0))</f>
        <v>22.06</v>
      </c>
      <c r="AK48" s="41">
        <f>INDEX('[2]End - Use Prices'!$C$6:$AL$89,MATCH($C48,'[2]End - Use Prices'!$A$6:$A$89,0)+MATCH($D48,'[2]End - Use Prices'!$B$9:$B$11,0)-1,MATCH(AK$1,'[2]End - Use Prices'!$C$7:$AL$7,0))</f>
        <v>26.58</v>
      </c>
      <c r="AL48" s="41">
        <f>INDEX('[2]End - Use Prices'!$C$6:$AL$89,MATCH($C48,'[2]End - Use Prices'!$A$6:$A$89,0)+MATCH($D48,'[2]End - Use Prices'!$B$9:$B$11,0)-1,MATCH(AL$1,'[2]End - Use Prices'!$C$7:$AL$7,0))</f>
        <v>29.7</v>
      </c>
      <c r="AM48" s="41">
        <f>INDEX('[2]End - Use Prices'!$C$6:$AL$89,MATCH($C48,'[2]End - Use Prices'!$A$6:$A$89,0)+MATCH($D48,'[2]End - Use Prices'!$B$9:$B$11,0)-1,MATCH(AM$1,'[2]End - Use Prices'!$C$7:$AL$7,0))</f>
        <v>34.39</v>
      </c>
      <c r="AN48" s="41">
        <f>INDEX('[2]End - Use Prices'!$C$6:$AL$89,MATCH($C48,'[2]End - Use Prices'!$A$6:$A$89,0)+MATCH($D48,'[2]End - Use Prices'!$B$9:$B$11,0)-1,MATCH(AN$1,'[2]End - Use Prices'!$C$7:$AL$7,0))</f>
        <v>31.95</v>
      </c>
      <c r="AO48" s="41">
        <f>INDEX('[2]End - Use Prices'!$C$6:$AL$89,MATCH($C48,'[2]End - Use Prices'!$A$6:$A$89,0)+MATCH($D48,'[2]End - Use Prices'!$B$9:$B$11,0)-1,MATCH(AO$1,'[2]End - Use Prices'!$C$7:$AL$7,0))</f>
        <v>30.49</v>
      </c>
      <c r="AP48" s="41">
        <f>INDEX('[2]End - Use Prices'!$C$6:$AL$89,MATCH($C48,'[2]End - Use Prices'!$A$6:$A$89,0)+MATCH($D48,'[2]End - Use Prices'!$B$9:$B$11,0)-1,MATCH(AP$1,'[2]End - Use Prices'!$C$7:$AL$7,0))</f>
        <v>30.66</v>
      </c>
      <c r="AQ48" s="41">
        <f>INDEX('[2]End - Use Prices'!$C$6:$AL$89,MATCH($C48,'[2]End - Use Prices'!$A$6:$A$89,0)+MATCH($D48,'[2]End - Use Prices'!$B$9:$B$11,0)-1,MATCH(AQ$1,'[2]End - Use Prices'!$C$7:$AL$7,0))</f>
        <v>30.4</v>
      </c>
      <c r="AR48" s="41">
        <f>INDEX('[2]End - Use Prices'!$C$6:$AL$89,MATCH($C48,'[2]End - Use Prices'!$A$6:$A$89,0)+MATCH($D48,'[2]End - Use Prices'!$B$9:$B$11,0)-1,MATCH(AR$1,'[2]End - Use Prices'!$C$7:$AL$7,0))</f>
        <v>30.37</v>
      </c>
      <c r="AS48" s="41">
        <f>INDEX('[2]End - Use Prices'!$C$6:$AL$89,MATCH($C48,'[2]End - Use Prices'!$A$6:$A$89,0)+MATCH($D48,'[2]End - Use Prices'!$B$9:$B$11,0)-1,MATCH(AS$1,'[2]End - Use Prices'!$C$7:$AL$7,0))</f>
        <v>30.29</v>
      </c>
      <c r="AT48" s="41">
        <f>INDEX('[2]End - Use Prices'!$C$6:$AL$89,MATCH($C48,'[2]End - Use Prices'!$A$6:$A$89,0)+MATCH($D48,'[2]End - Use Prices'!$B$9:$B$11,0)-1,MATCH(AT$1,'[2]End - Use Prices'!$C$7:$AL$7,0))</f>
        <v>30.12</v>
      </c>
      <c r="AU48" s="41">
        <f>INDEX('[2]End - Use Prices'!$C$6:$AL$89,MATCH($C48,'[2]End - Use Prices'!$A$6:$A$89,0)+MATCH($D48,'[2]End - Use Prices'!$B$9:$B$11,0)-1,MATCH(AU$1,'[2]End - Use Prices'!$C$7:$AL$7,0))</f>
        <v>29.91</v>
      </c>
      <c r="AV48" s="41">
        <f>INDEX('[2]End - Use Prices'!$C$6:$AL$89,MATCH($C48,'[2]End - Use Prices'!$A$6:$A$89,0)+MATCH($D48,'[2]End - Use Prices'!$B$9:$B$11,0)-1,MATCH(AV$1,'[2]End - Use Prices'!$C$7:$AL$7,0))</f>
        <v>29.74</v>
      </c>
      <c r="AW48" s="41">
        <f>INDEX('[2]End - Use Prices'!$C$6:$AL$89,MATCH($C48,'[2]End - Use Prices'!$A$6:$A$89,0)+MATCH($D48,'[2]End - Use Prices'!$B$9:$B$11,0)-1,MATCH(AW$1,'[2]End - Use Prices'!$C$7:$AL$7,0))</f>
        <v>29.56</v>
      </c>
      <c r="AX48" s="41">
        <f>INDEX('[2]End - Use Prices'!$C$6:$AL$89,MATCH($C48,'[2]End - Use Prices'!$A$6:$A$89,0)+MATCH($D48,'[2]End - Use Prices'!$B$9:$B$11,0)-1,MATCH(AX$1,'[2]End - Use Prices'!$C$7:$AL$7,0))</f>
        <v>29.46</v>
      </c>
      <c r="AY48" s="41">
        <f>INDEX('[2]End - Use Prices'!$C$6:$AL$89,MATCH($C48,'[2]End - Use Prices'!$A$6:$A$89,0)+MATCH($D48,'[2]End - Use Prices'!$B$9:$B$11,0)-1,MATCH(AY$1,'[2]End - Use Prices'!$C$7:$AL$7,0))</f>
        <v>29.39</v>
      </c>
      <c r="AZ48" s="41">
        <f>INDEX('[2]End - Use Prices'!$C$6:$AL$89,MATCH($C48,'[2]End - Use Prices'!$A$6:$A$89,0)+MATCH($D48,'[2]End - Use Prices'!$B$9:$B$11,0)-1,MATCH(AZ$1,'[2]End - Use Prices'!$C$7:$AL$7,0))</f>
        <v>29.35</v>
      </c>
      <c r="BA48" s="41">
        <f>INDEX('[2]End - Use Prices'!$C$6:$AL$89,MATCH($C48,'[2]End - Use Prices'!$A$6:$A$89,0)+MATCH($D48,'[2]End - Use Prices'!$B$9:$B$11,0)-1,MATCH(BA$1,'[2]End - Use Prices'!$C$7:$AL$7,0))</f>
        <v>29.35</v>
      </c>
      <c r="BB48" s="41">
        <f>INDEX('[2]End - Use Prices'!$C$6:$AL$89,MATCH($C48,'[2]End - Use Prices'!$A$6:$A$89,0)+MATCH($D48,'[2]End - Use Prices'!$B$9:$B$11,0)-1,MATCH(BB$1,'[2]End - Use Prices'!$C$7:$AL$7,0))</f>
        <v>29.32</v>
      </c>
      <c r="BC48" s="41">
        <f>INDEX('[2]End - Use Prices'!$C$6:$AL$89,MATCH($C48,'[2]End - Use Prices'!$A$6:$A$89,0)+MATCH($D48,'[2]End - Use Prices'!$B$9:$B$11,0)-1,MATCH(BC$1,'[2]End - Use Prices'!$C$7:$AL$7,0))</f>
        <v>29.28</v>
      </c>
      <c r="BD48" s="41">
        <f>INDEX('[2]End - Use Prices'!$C$6:$AL$89,MATCH($C48,'[2]End - Use Prices'!$A$6:$A$89,0)+MATCH($D48,'[2]End - Use Prices'!$B$9:$B$11,0)-1,MATCH(BD$1,'[2]End - Use Prices'!$C$7:$AL$7,0))</f>
        <v>29.23</v>
      </c>
      <c r="BE48" s="41">
        <f>INDEX('[2]End - Use Prices'!$C$6:$AL$89,MATCH($C48,'[2]End - Use Prices'!$A$6:$A$89,0)+MATCH($D48,'[2]End - Use Prices'!$B$9:$B$11,0)-1,MATCH(BE$1,'[2]End - Use Prices'!$C$7:$AL$7,0))</f>
        <v>29.14</v>
      </c>
      <c r="BF48" s="41">
        <f>INDEX('[2]End - Use Prices'!$C$6:$AL$89,MATCH($C48,'[2]End - Use Prices'!$A$6:$A$89,0)+MATCH($D48,'[2]End - Use Prices'!$B$9:$B$11,0)-1,MATCH(BF$1,'[2]End - Use Prices'!$C$7:$AL$7,0))</f>
        <v>29.05</v>
      </c>
      <c r="BG48" s="41">
        <f>INDEX('[2]End - Use Prices'!$C$6:$AL$89,MATCH($C48,'[2]End - Use Prices'!$A$6:$A$89,0)+MATCH($D48,'[2]End - Use Prices'!$B$9:$B$11,0)-1,MATCH(BG$1,'[2]End - Use Prices'!$C$7:$AL$7,0))</f>
        <v>28.95</v>
      </c>
      <c r="BR48" s="39"/>
      <c r="BS48" s="39"/>
      <c r="BT48" s="39"/>
      <c r="BU48" s="39"/>
      <c r="BV48" s="39"/>
      <c r="BW48" s="39"/>
      <c r="BX48" s="39"/>
      <c r="BY48" s="39"/>
      <c r="BZ48" s="39"/>
      <c r="CA48" s="39"/>
    </row>
    <row r="49" spans="1:79">
      <c r="A49" s="5"/>
      <c r="B49" s="3"/>
      <c r="C49" s="25" t="s">
        <v>86</v>
      </c>
      <c r="D49" s="25" t="s">
        <v>276</v>
      </c>
      <c r="E49" s="25" t="s">
        <v>277</v>
      </c>
      <c r="F49" s="67" t="s">
        <v>275</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INDEX('[2]End - Use Prices'!$C$6:$AL$89,MATCH($C49,'[2]End - Use Prices'!$A$6:$A$89,0)+MATCH($D49,'[2]End - Use Prices'!$B$9:$B$11,0)-1,MATCH(X$1,'[2]End - Use Prices'!$C$7:$AL$7,0))</f>
        <v>27.52</v>
      </c>
      <c r="Y49" s="41">
        <f>INDEX('[2]End - Use Prices'!$C$6:$AL$89,MATCH($C49,'[2]End - Use Prices'!$A$6:$A$89,0)+MATCH($D49,'[2]End - Use Prices'!$B$9:$B$11,0)-1,MATCH(Y$1,'[2]End - Use Prices'!$C$7:$AL$7,0))</f>
        <v>28.18</v>
      </c>
      <c r="Z49" s="41">
        <f>INDEX('[2]End - Use Prices'!$C$6:$AL$89,MATCH($C49,'[2]End - Use Prices'!$A$6:$A$89,0)+MATCH($D49,'[2]End - Use Prices'!$B$9:$B$11,0)-1,MATCH(Z$1,'[2]End - Use Prices'!$C$7:$AL$7,0))</f>
        <v>26.07</v>
      </c>
      <c r="AA49" s="41">
        <f>INDEX('[2]End - Use Prices'!$C$6:$AL$89,MATCH($C49,'[2]End - Use Prices'!$A$6:$A$89,0)+MATCH($D49,'[2]End - Use Prices'!$B$9:$B$11,0)-1,MATCH(AA$1,'[2]End - Use Prices'!$C$7:$AL$7,0))</f>
        <v>31.72</v>
      </c>
      <c r="AB49" s="41">
        <f>INDEX('[2]End - Use Prices'!$C$6:$AL$89,MATCH($C49,'[2]End - Use Prices'!$A$6:$A$89,0)+MATCH($D49,'[2]End - Use Prices'!$B$9:$B$11,0)-1,MATCH(AB$1,'[2]End - Use Prices'!$C$7:$AL$7,0))</f>
        <v>22.7</v>
      </c>
      <c r="AC49" s="41">
        <f>INDEX('[2]End - Use Prices'!$C$6:$AL$89,MATCH($C49,'[2]End - Use Prices'!$A$6:$A$89,0)+MATCH($D49,'[2]End - Use Prices'!$B$9:$B$11,0)-1,MATCH(AC$1,'[2]End - Use Prices'!$C$7:$AL$7,0))</f>
        <v>25.32</v>
      </c>
      <c r="AD49" s="41">
        <f>INDEX('[2]End - Use Prices'!$C$6:$AL$89,MATCH($C49,'[2]End - Use Prices'!$A$6:$A$89,0)+MATCH($D49,'[2]End - Use Prices'!$B$9:$B$11,0)-1,MATCH(AD$1,'[2]End - Use Prices'!$C$7:$AL$7,0))</f>
        <v>30.73</v>
      </c>
      <c r="AE49" s="41">
        <f>INDEX('[2]End - Use Prices'!$C$6:$AL$89,MATCH($C49,'[2]End - Use Prices'!$A$6:$A$89,0)+MATCH($D49,'[2]End - Use Prices'!$B$9:$B$11,0)-1,MATCH(AE$1,'[2]End - Use Prices'!$C$7:$AL$7,0))</f>
        <v>31.88</v>
      </c>
      <c r="AF49" s="41">
        <f>INDEX('[2]End - Use Prices'!$C$6:$AL$89,MATCH($C49,'[2]End - Use Prices'!$A$6:$A$89,0)+MATCH($D49,'[2]End - Use Prices'!$B$9:$B$11,0)-1,MATCH(AF$1,'[2]End - Use Prices'!$C$7:$AL$7,0))</f>
        <v>31.97</v>
      </c>
      <c r="AG49" s="41">
        <f>INDEX('[2]End - Use Prices'!$C$6:$AL$89,MATCH($C49,'[2]End - Use Prices'!$A$6:$A$89,0)+MATCH($D49,'[2]End - Use Prices'!$B$9:$B$11,0)-1,MATCH(AG$1,'[2]End - Use Prices'!$C$7:$AL$7,0))</f>
        <v>34.450000000000003</v>
      </c>
      <c r="AH49" s="41">
        <f>INDEX('[2]End - Use Prices'!$C$6:$AL$89,MATCH($C49,'[2]End - Use Prices'!$A$6:$A$89,0)+MATCH($D49,'[2]End - Use Prices'!$B$9:$B$11,0)-1,MATCH(AH$1,'[2]End - Use Prices'!$C$7:$AL$7,0))</f>
        <v>27.46</v>
      </c>
      <c r="AI49" s="41">
        <f>INDEX('[2]End - Use Prices'!$C$6:$AL$89,MATCH($C49,'[2]End - Use Prices'!$A$6:$A$89,0)+MATCH($D49,'[2]End - Use Prices'!$B$9:$B$11,0)-1,MATCH(AI$1,'[2]End - Use Prices'!$C$7:$AL$7,0))</f>
        <v>23.92</v>
      </c>
      <c r="AJ49" s="41">
        <f>INDEX('[2]End - Use Prices'!$C$6:$AL$89,MATCH($C49,'[2]End - Use Prices'!$A$6:$A$89,0)+MATCH($D49,'[2]End - Use Prices'!$B$9:$B$11,0)-1,MATCH(AJ$1,'[2]End - Use Prices'!$C$7:$AL$7,0))</f>
        <v>25.38</v>
      </c>
      <c r="AK49" s="41">
        <f>INDEX('[2]End - Use Prices'!$C$6:$AL$89,MATCH($C49,'[2]End - Use Prices'!$A$6:$A$89,0)+MATCH($D49,'[2]End - Use Prices'!$B$9:$B$11,0)-1,MATCH(AK$1,'[2]End - Use Prices'!$C$7:$AL$7,0))</f>
        <v>29.63</v>
      </c>
      <c r="AL49" s="41">
        <f>INDEX('[2]End - Use Prices'!$C$6:$AL$89,MATCH($C49,'[2]End - Use Prices'!$A$6:$A$89,0)+MATCH($D49,'[2]End - Use Prices'!$B$9:$B$11,0)-1,MATCH(AL$1,'[2]End - Use Prices'!$C$7:$AL$7,0))</f>
        <v>32.75</v>
      </c>
      <c r="AM49" s="41">
        <f>INDEX('[2]End - Use Prices'!$C$6:$AL$89,MATCH($C49,'[2]End - Use Prices'!$A$6:$A$89,0)+MATCH($D49,'[2]End - Use Prices'!$B$9:$B$11,0)-1,MATCH(AM$1,'[2]End - Use Prices'!$C$7:$AL$7,0))</f>
        <v>37.450000000000003</v>
      </c>
      <c r="AN49" s="41">
        <f>INDEX('[2]End - Use Prices'!$C$6:$AL$89,MATCH($C49,'[2]End - Use Prices'!$A$6:$A$89,0)+MATCH($D49,'[2]End - Use Prices'!$B$9:$B$11,0)-1,MATCH(AN$1,'[2]End - Use Prices'!$C$7:$AL$7,0))</f>
        <v>35</v>
      </c>
      <c r="AO49" s="41">
        <f>INDEX('[2]End - Use Prices'!$C$6:$AL$89,MATCH($C49,'[2]End - Use Prices'!$A$6:$A$89,0)+MATCH($D49,'[2]End - Use Prices'!$B$9:$B$11,0)-1,MATCH(AO$1,'[2]End - Use Prices'!$C$7:$AL$7,0))</f>
        <v>33.549999999999997</v>
      </c>
      <c r="AP49" s="41">
        <f>INDEX('[2]End - Use Prices'!$C$6:$AL$89,MATCH($C49,'[2]End - Use Prices'!$A$6:$A$89,0)+MATCH($D49,'[2]End - Use Prices'!$B$9:$B$11,0)-1,MATCH(AP$1,'[2]End - Use Prices'!$C$7:$AL$7,0))</f>
        <v>33.72</v>
      </c>
      <c r="AQ49" s="41">
        <f>INDEX('[2]End - Use Prices'!$C$6:$AL$89,MATCH($C49,'[2]End - Use Prices'!$A$6:$A$89,0)+MATCH($D49,'[2]End - Use Prices'!$B$9:$B$11,0)-1,MATCH(AQ$1,'[2]End - Use Prices'!$C$7:$AL$7,0))</f>
        <v>33.450000000000003</v>
      </c>
      <c r="AR49" s="41">
        <f>INDEX('[2]End - Use Prices'!$C$6:$AL$89,MATCH($C49,'[2]End - Use Prices'!$A$6:$A$89,0)+MATCH($D49,'[2]End - Use Prices'!$B$9:$B$11,0)-1,MATCH(AR$1,'[2]End - Use Prices'!$C$7:$AL$7,0))</f>
        <v>33.42</v>
      </c>
      <c r="AS49" s="41">
        <f>INDEX('[2]End - Use Prices'!$C$6:$AL$89,MATCH($C49,'[2]End - Use Prices'!$A$6:$A$89,0)+MATCH($D49,'[2]End - Use Prices'!$B$9:$B$11,0)-1,MATCH(AS$1,'[2]End - Use Prices'!$C$7:$AL$7,0))</f>
        <v>33.340000000000003</v>
      </c>
      <c r="AT49" s="41">
        <f>INDEX('[2]End - Use Prices'!$C$6:$AL$89,MATCH($C49,'[2]End - Use Prices'!$A$6:$A$89,0)+MATCH($D49,'[2]End - Use Prices'!$B$9:$B$11,0)-1,MATCH(AT$1,'[2]End - Use Prices'!$C$7:$AL$7,0))</f>
        <v>33.17</v>
      </c>
      <c r="AU49" s="41">
        <f>INDEX('[2]End - Use Prices'!$C$6:$AL$89,MATCH($C49,'[2]End - Use Prices'!$A$6:$A$89,0)+MATCH($D49,'[2]End - Use Prices'!$B$9:$B$11,0)-1,MATCH(AU$1,'[2]End - Use Prices'!$C$7:$AL$7,0))</f>
        <v>32.96</v>
      </c>
      <c r="AV49" s="41">
        <f>INDEX('[2]End - Use Prices'!$C$6:$AL$89,MATCH($C49,'[2]End - Use Prices'!$A$6:$A$89,0)+MATCH($D49,'[2]End - Use Prices'!$B$9:$B$11,0)-1,MATCH(AV$1,'[2]End - Use Prices'!$C$7:$AL$7,0))</f>
        <v>32.79</v>
      </c>
      <c r="AW49" s="41">
        <f>INDEX('[2]End - Use Prices'!$C$6:$AL$89,MATCH($C49,'[2]End - Use Prices'!$A$6:$A$89,0)+MATCH($D49,'[2]End - Use Prices'!$B$9:$B$11,0)-1,MATCH(AW$1,'[2]End - Use Prices'!$C$7:$AL$7,0))</f>
        <v>32.61</v>
      </c>
      <c r="AX49" s="41">
        <f>INDEX('[2]End - Use Prices'!$C$6:$AL$89,MATCH($C49,'[2]End - Use Prices'!$A$6:$A$89,0)+MATCH($D49,'[2]End - Use Prices'!$B$9:$B$11,0)-1,MATCH(AX$1,'[2]End - Use Prices'!$C$7:$AL$7,0))</f>
        <v>32.51</v>
      </c>
      <c r="AY49" s="41">
        <f>INDEX('[2]End - Use Prices'!$C$6:$AL$89,MATCH($C49,'[2]End - Use Prices'!$A$6:$A$89,0)+MATCH($D49,'[2]End - Use Prices'!$B$9:$B$11,0)-1,MATCH(AY$1,'[2]End - Use Prices'!$C$7:$AL$7,0))</f>
        <v>32.44</v>
      </c>
      <c r="AZ49" s="41">
        <f>INDEX('[2]End - Use Prices'!$C$6:$AL$89,MATCH($C49,'[2]End - Use Prices'!$A$6:$A$89,0)+MATCH($D49,'[2]End - Use Prices'!$B$9:$B$11,0)-1,MATCH(AZ$1,'[2]End - Use Prices'!$C$7:$AL$7,0))</f>
        <v>32.4</v>
      </c>
      <c r="BA49" s="41">
        <f>INDEX('[2]End - Use Prices'!$C$6:$AL$89,MATCH($C49,'[2]End - Use Prices'!$A$6:$A$89,0)+MATCH($D49,'[2]End - Use Prices'!$B$9:$B$11,0)-1,MATCH(BA$1,'[2]End - Use Prices'!$C$7:$AL$7,0))</f>
        <v>32.4</v>
      </c>
      <c r="BB49" s="41">
        <f>INDEX('[2]End - Use Prices'!$C$6:$AL$89,MATCH($C49,'[2]End - Use Prices'!$A$6:$A$89,0)+MATCH($D49,'[2]End - Use Prices'!$B$9:$B$11,0)-1,MATCH(BB$1,'[2]End - Use Prices'!$C$7:$AL$7,0))</f>
        <v>32.369999999999997</v>
      </c>
      <c r="BC49" s="41">
        <f>INDEX('[2]End - Use Prices'!$C$6:$AL$89,MATCH($C49,'[2]End - Use Prices'!$A$6:$A$89,0)+MATCH($D49,'[2]End - Use Prices'!$B$9:$B$11,0)-1,MATCH(BC$1,'[2]End - Use Prices'!$C$7:$AL$7,0))</f>
        <v>32.33</v>
      </c>
      <c r="BD49" s="41">
        <f>INDEX('[2]End - Use Prices'!$C$6:$AL$89,MATCH($C49,'[2]End - Use Prices'!$A$6:$A$89,0)+MATCH($D49,'[2]End - Use Prices'!$B$9:$B$11,0)-1,MATCH(BD$1,'[2]End - Use Prices'!$C$7:$AL$7,0))</f>
        <v>32.28</v>
      </c>
      <c r="BE49" s="41">
        <f>INDEX('[2]End - Use Prices'!$C$6:$AL$89,MATCH($C49,'[2]End - Use Prices'!$A$6:$A$89,0)+MATCH($D49,'[2]End - Use Prices'!$B$9:$B$11,0)-1,MATCH(BE$1,'[2]End - Use Prices'!$C$7:$AL$7,0))</f>
        <v>32.19</v>
      </c>
      <c r="BF49" s="41">
        <f>INDEX('[2]End - Use Prices'!$C$6:$AL$89,MATCH($C49,'[2]End - Use Prices'!$A$6:$A$89,0)+MATCH($D49,'[2]End - Use Prices'!$B$9:$B$11,0)-1,MATCH(BF$1,'[2]End - Use Prices'!$C$7:$AL$7,0))</f>
        <v>32.1</v>
      </c>
      <c r="BG49" s="41">
        <f>INDEX('[2]End - Use Prices'!$C$6:$AL$89,MATCH($C49,'[2]End - Use Prices'!$A$6:$A$89,0)+MATCH($D49,'[2]End - Use Prices'!$B$9:$B$11,0)-1,MATCH(BG$1,'[2]End - Use Prices'!$C$7:$AL$7,0))</f>
        <v>32</v>
      </c>
      <c r="BR49" s="39"/>
      <c r="BS49" s="39"/>
      <c r="BT49" s="39"/>
      <c r="BU49" s="39"/>
      <c r="BV49" s="39"/>
      <c r="BW49" s="39"/>
      <c r="BX49" s="39"/>
      <c r="BY49" s="39"/>
      <c r="BZ49" s="39"/>
      <c r="CA49" s="39"/>
    </row>
    <row r="50" spans="1:79">
      <c r="A50" s="5"/>
      <c r="B50" s="3"/>
      <c r="C50" s="25" t="s">
        <v>87</v>
      </c>
      <c r="D50" s="25" t="s">
        <v>276</v>
      </c>
      <c r="E50" s="25" t="s">
        <v>277</v>
      </c>
      <c r="F50" s="67" t="s">
        <v>275</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INDEX('[2]End - Use Prices'!$C$6:$AL$89,MATCH($C50,'[2]End - Use Prices'!$A$6:$A$89,0)+MATCH($D50,'[2]End - Use Prices'!$B$9:$B$11,0)-1,MATCH(X$1,'[2]End - Use Prices'!$C$7:$AL$7,0))</f>
        <v>27.36</v>
      </c>
      <c r="Y50" s="41">
        <f>INDEX('[2]End - Use Prices'!$C$6:$AL$89,MATCH($C50,'[2]End - Use Prices'!$A$6:$A$89,0)+MATCH($D50,'[2]End - Use Prices'!$B$9:$B$11,0)-1,MATCH(Y$1,'[2]End - Use Prices'!$C$7:$AL$7,0))</f>
        <v>27.14</v>
      </c>
      <c r="Z50" s="41">
        <f>INDEX('[2]End - Use Prices'!$C$6:$AL$89,MATCH($C50,'[2]End - Use Prices'!$A$6:$A$89,0)+MATCH($D50,'[2]End - Use Prices'!$B$9:$B$11,0)-1,MATCH(Z$1,'[2]End - Use Prices'!$C$7:$AL$7,0))</f>
        <v>27.83</v>
      </c>
      <c r="AA50" s="41">
        <f>INDEX('[2]End - Use Prices'!$C$6:$AL$89,MATCH($C50,'[2]End - Use Prices'!$A$6:$A$89,0)+MATCH($D50,'[2]End - Use Prices'!$B$9:$B$11,0)-1,MATCH(AA$1,'[2]End - Use Prices'!$C$7:$AL$7,0))</f>
        <v>34.340000000000003</v>
      </c>
      <c r="AB50" s="41">
        <f>INDEX('[2]End - Use Prices'!$C$6:$AL$89,MATCH($C50,'[2]End - Use Prices'!$A$6:$A$89,0)+MATCH($D50,'[2]End - Use Prices'!$B$9:$B$11,0)-1,MATCH(AB$1,'[2]End - Use Prices'!$C$7:$AL$7,0))</f>
        <v>24.16</v>
      </c>
      <c r="AC50" s="41">
        <f>INDEX('[2]End - Use Prices'!$C$6:$AL$89,MATCH($C50,'[2]End - Use Prices'!$A$6:$A$89,0)+MATCH($D50,'[2]End - Use Prices'!$B$9:$B$11,0)-1,MATCH(AC$1,'[2]End - Use Prices'!$C$7:$AL$7,0))</f>
        <v>27.36</v>
      </c>
      <c r="AD50" s="41">
        <f>INDEX('[2]End - Use Prices'!$C$6:$AL$89,MATCH($C50,'[2]End - Use Prices'!$A$6:$A$89,0)+MATCH($D50,'[2]End - Use Prices'!$B$9:$B$11,0)-1,MATCH(AD$1,'[2]End - Use Prices'!$C$7:$AL$7,0))</f>
        <v>32.19</v>
      </c>
      <c r="AE50" s="41">
        <f>INDEX('[2]End - Use Prices'!$C$6:$AL$89,MATCH($C50,'[2]End - Use Prices'!$A$6:$A$89,0)+MATCH($D50,'[2]End - Use Prices'!$B$9:$B$11,0)-1,MATCH(AE$1,'[2]End - Use Prices'!$C$7:$AL$7,0))</f>
        <v>33.76</v>
      </c>
      <c r="AF50" s="41">
        <f>INDEX('[2]End - Use Prices'!$C$6:$AL$89,MATCH($C50,'[2]End - Use Prices'!$A$6:$A$89,0)+MATCH($D50,'[2]End - Use Prices'!$B$9:$B$11,0)-1,MATCH(AF$1,'[2]End - Use Prices'!$C$7:$AL$7,0))</f>
        <v>32.590000000000003</v>
      </c>
      <c r="AG50" s="41">
        <f>INDEX('[2]End - Use Prices'!$C$6:$AL$89,MATCH($C50,'[2]End - Use Prices'!$A$6:$A$89,0)+MATCH($D50,'[2]End - Use Prices'!$B$9:$B$11,0)-1,MATCH(AG$1,'[2]End - Use Prices'!$C$7:$AL$7,0))</f>
        <v>34.17</v>
      </c>
      <c r="AH50" s="41">
        <f>INDEX('[2]End - Use Prices'!$C$6:$AL$89,MATCH($C50,'[2]End - Use Prices'!$A$6:$A$89,0)+MATCH($D50,'[2]End - Use Prices'!$B$9:$B$11,0)-1,MATCH(AH$1,'[2]End - Use Prices'!$C$7:$AL$7,0))</f>
        <v>28.05</v>
      </c>
      <c r="AI50" s="41">
        <f>INDEX('[2]End - Use Prices'!$C$6:$AL$89,MATCH($C50,'[2]End - Use Prices'!$A$6:$A$89,0)+MATCH($D50,'[2]End - Use Prices'!$B$9:$B$11,0)-1,MATCH(AI$1,'[2]End - Use Prices'!$C$7:$AL$7,0))</f>
        <v>24.4</v>
      </c>
      <c r="AJ50" s="41">
        <f>INDEX('[2]End - Use Prices'!$C$6:$AL$89,MATCH($C50,'[2]End - Use Prices'!$A$6:$A$89,0)+MATCH($D50,'[2]End - Use Prices'!$B$9:$B$11,0)-1,MATCH(AJ$1,'[2]End - Use Prices'!$C$7:$AL$7,0))</f>
        <v>26.95</v>
      </c>
      <c r="AK50" s="41">
        <f>INDEX('[2]End - Use Prices'!$C$6:$AL$89,MATCH($C50,'[2]End - Use Prices'!$A$6:$A$89,0)+MATCH($D50,'[2]End - Use Prices'!$B$9:$B$11,0)-1,MATCH(AK$1,'[2]End - Use Prices'!$C$7:$AL$7,0))</f>
        <v>30.62</v>
      </c>
      <c r="AL50" s="41">
        <f>INDEX('[2]End - Use Prices'!$C$6:$AL$89,MATCH($C50,'[2]End - Use Prices'!$A$6:$A$89,0)+MATCH($D50,'[2]End - Use Prices'!$B$9:$B$11,0)-1,MATCH(AL$1,'[2]End - Use Prices'!$C$7:$AL$7,0))</f>
        <v>34.01</v>
      </c>
      <c r="AM50" s="41">
        <f>INDEX('[2]End - Use Prices'!$C$6:$AL$89,MATCH($C50,'[2]End - Use Prices'!$A$6:$A$89,0)+MATCH($D50,'[2]End - Use Prices'!$B$9:$B$11,0)-1,MATCH(AM$1,'[2]End - Use Prices'!$C$7:$AL$7,0))</f>
        <v>38.97</v>
      </c>
      <c r="AN50" s="41">
        <f>INDEX('[2]End - Use Prices'!$C$6:$AL$89,MATCH($C50,'[2]End - Use Prices'!$A$6:$A$89,0)+MATCH($D50,'[2]End - Use Prices'!$B$9:$B$11,0)-1,MATCH(AN$1,'[2]End - Use Prices'!$C$7:$AL$7,0))</f>
        <v>36.24</v>
      </c>
      <c r="AO50" s="41">
        <f>INDEX('[2]End - Use Prices'!$C$6:$AL$89,MATCH($C50,'[2]End - Use Prices'!$A$6:$A$89,0)+MATCH($D50,'[2]End - Use Prices'!$B$9:$B$11,0)-1,MATCH(AO$1,'[2]End - Use Prices'!$C$7:$AL$7,0))</f>
        <v>34.6</v>
      </c>
      <c r="AP50" s="41">
        <f>INDEX('[2]End - Use Prices'!$C$6:$AL$89,MATCH($C50,'[2]End - Use Prices'!$A$6:$A$89,0)+MATCH($D50,'[2]End - Use Prices'!$B$9:$B$11,0)-1,MATCH(AP$1,'[2]End - Use Prices'!$C$7:$AL$7,0))</f>
        <v>34.72</v>
      </c>
      <c r="AQ50" s="41">
        <f>INDEX('[2]End - Use Prices'!$C$6:$AL$89,MATCH($C50,'[2]End - Use Prices'!$A$6:$A$89,0)+MATCH($D50,'[2]End - Use Prices'!$B$9:$B$11,0)-1,MATCH(AQ$1,'[2]End - Use Prices'!$C$7:$AL$7,0))</f>
        <v>34.450000000000003</v>
      </c>
      <c r="AR50" s="41">
        <f>INDEX('[2]End - Use Prices'!$C$6:$AL$89,MATCH($C50,'[2]End - Use Prices'!$A$6:$A$89,0)+MATCH($D50,'[2]End - Use Prices'!$B$9:$B$11,0)-1,MATCH(AR$1,'[2]End - Use Prices'!$C$7:$AL$7,0))</f>
        <v>34.42</v>
      </c>
      <c r="AS50" s="41">
        <f>INDEX('[2]End - Use Prices'!$C$6:$AL$89,MATCH($C50,'[2]End - Use Prices'!$A$6:$A$89,0)+MATCH($D50,'[2]End - Use Prices'!$B$9:$B$11,0)-1,MATCH(AS$1,'[2]End - Use Prices'!$C$7:$AL$7,0))</f>
        <v>34.35</v>
      </c>
      <c r="AT50" s="41">
        <f>INDEX('[2]End - Use Prices'!$C$6:$AL$89,MATCH($C50,'[2]End - Use Prices'!$A$6:$A$89,0)+MATCH($D50,'[2]End - Use Prices'!$B$9:$B$11,0)-1,MATCH(AT$1,'[2]End - Use Prices'!$C$7:$AL$7,0))</f>
        <v>34.17</v>
      </c>
      <c r="AU50" s="41">
        <f>INDEX('[2]End - Use Prices'!$C$6:$AL$89,MATCH($C50,'[2]End - Use Prices'!$A$6:$A$89,0)+MATCH($D50,'[2]End - Use Prices'!$B$9:$B$11,0)-1,MATCH(AU$1,'[2]End - Use Prices'!$C$7:$AL$7,0))</f>
        <v>33.950000000000003</v>
      </c>
      <c r="AV50" s="41">
        <f>INDEX('[2]End - Use Prices'!$C$6:$AL$89,MATCH($C50,'[2]End - Use Prices'!$A$6:$A$89,0)+MATCH($D50,'[2]End - Use Prices'!$B$9:$B$11,0)-1,MATCH(AV$1,'[2]End - Use Prices'!$C$7:$AL$7,0))</f>
        <v>33.770000000000003</v>
      </c>
      <c r="AW50" s="41">
        <f>INDEX('[2]End - Use Prices'!$C$6:$AL$89,MATCH($C50,'[2]End - Use Prices'!$A$6:$A$89,0)+MATCH($D50,'[2]End - Use Prices'!$B$9:$B$11,0)-1,MATCH(AW$1,'[2]End - Use Prices'!$C$7:$AL$7,0))</f>
        <v>33.590000000000003</v>
      </c>
      <c r="AX50" s="41">
        <f>INDEX('[2]End - Use Prices'!$C$6:$AL$89,MATCH($C50,'[2]End - Use Prices'!$A$6:$A$89,0)+MATCH($D50,'[2]End - Use Prices'!$B$9:$B$11,0)-1,MATCH(AX$1,'[2]End - Use Prices'!$C$7:$AL$7,0))</f>
        <v>33.479999999999997</v>
      </c>
      <c r="AY50" s="41">
        <f>INDEX('[2]End - Use Prices'!$C$6:$AL$89,MATCH($C50,'[2]End - Use Prices'!$A$6:$A$89,0)+MATCH($D50,'[2]End - Use Prices'!$B$9:$B$11,0)-1,MATCH(AY$1,'[2]End - Use Prices'!$C$7:$AL$7,0))</f>
        <v>33.409999999999997</v>
      </c>
      <c r="AZ50" s="41">
        <f>INDEX('[2]End - Use Prices'!$C$6:$AL$89,MATCH($C50,'[2]End - Use Prices'!$A$6:$A$89,0)+MATCH($D50,'[2]End - Use Prices'!$B$9:$B$11,0)-1,MATCH(AZ$1,'[2]End - Use Prices'!$C$7:$AL$7,0))</f>
        <v>33.369999999999997</v>
      </c>
      <c r="BA50" s="41">
        <f>INDEX('[2]End - Use Prices'!$C$6:$AL$89,MATCH($C50,'[2]End - Use Prices'!$A$6:$A$89,0)+MATCH($D50,'[2]End - Use Prices'!$B$9:$B$11,0)-1,MATCH(BA$1,'[2]End - Use Prices'!$C$7:$AL$7,0))</f>
        <v>33.369999999999997</v>
      </c>
      <c r="BB50" s="41">
        <f>INDEX('[2]End - Use Prices'!$C$6:$AL$89,MATCH($C50,'[2]End - Use Prices'!$A$6:$A$89,0)+MATCH($D50,'[2]End - Use Prices'!$B$9:$B$11,0)-1,MATCH(BB$1,'[2]End - Use Prices'!$C$7:$AL$7,0))</f>
        <v>33.35</v>
      </c>
      <c r="BC50" s="41">
        <f>INDEX('[2]End - Use Prices'!$C$6:$AL$89,MATCH($C50,'[2]End - Use Prices'!$A$6:$A$89,0)+MATCH($D50,'[2]End - Use Prices'!$B$9:$B$11,0)-1,MATCH(BC$1,'[2]End - Use Prices'!$C$7:$AL$7,0))</f>
        <v>33.31</v>
      </c>
      <c r="BD50" s="41">
        <f>INDEX('[2]End - Use Prices'!$C$6:$AL$89,MATCH($C50,'[2]End - Use Prices'!$A$6:$A$89,0)+MATCH($D50,'[2]End - Use Prices'!$B$9:$B$11,0)-1,MATCH(BD$1,'[2]End - Use Prices'!$C$7:$AL$7,0))</f>
        <v>33.25</v>
      </c>
      <c r="BE50" s="41">
        <f>INDEX('[2]End - Use Prices'!$C$6:$AL$89,MATCH($C50,'[2]End - Use Prices'!$A$6:$A$89,0)+MATCH($D50,'[2]End - Use Prices'!$B$9:$B$11,0)-1,MATCH(BE$1,'[2]End - Use Prices'!$C$7:$AL$7,0))</f>
        <v>33.159999999999997</v>
      </c>
      <c r="BF50" s="41">
        <f>INDEX('[2]End - Use Prices'!$C$6:$AL$89,MATCH($C50,'[2]End - Use Prices'!$A$6:$A$89,0)+MATCH($D50,'[2]End - Use Prices'!$B$9:$B$11,0)-1,MATCH(BF$1,'[2]End - Use Prices'!$C$7:$AL$7,0))</f>
        <v>33.07</v>
      </c>
      <c r="BG50" s="41">
        <f>INDEX('[2]End - Use Prices'!$C$6:$AL$89,MATCH($C50,'[2]End - Use Prices'!$A$6:$A$89,0)+MATCH($D50,'[2]End - Use Prices'!$B$9:$B$11,0)-1,MATCH(BG$1,'[2]End - Use Prices'!$C$7:$AL$7,0))</f>
        <v>32.97</v>
      </c>
      <c r="BR50" s="39"/>
      <c r="BS50" s="39"/>
      <c r="BT50" s="39"/>
      <c r="BU50" s="39"/>
      <c r="BV50" s="39"/>
      <c r="BW50" s="39"/>
      <c r="BX50" s="39"/>
      <c r="BY50" s="39"/>
      <c r="BZ50" s="39"/>
      <c r="CA50" s="39"/>
    </row>
    <row r="51" spans="1:79">
      <c r="A51" s="5"/>
      <c r="B51" s="3"/>
      <c r="C51" s="25" t="s">
        <v>88</v>
      </c>
      <c r="D51" s="25" t="s">
        <v>276</v>
      </c>
      <c r="E51" s="25" t="s">
        <v>277</v>
      </c>
      <c r="F51" s="67" t="s">
        <v>275</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INDEX('[2]End - Use Prices'!$C$6:$AL$89,MATCH($C51,'[2]End - Use Prices'!$A$6:$A$89,0)+MATCH($D51,'[2]End - Use Prices'!$B$9:$B$11,0)-1,MATCH(X$1,'[2]End - Use Prices'!$C$7:$AL$7,0))</f>
        <v>24.67</v>
      </c>
      <c r="Y51" s="41">
        <f>INDEX('[2]End - Use Prices'!$C$6:$AL$89,MATCH($C51,'[2]End - Use Prices'!$A$6:$A$89,0)+MATCH($D51,'[2]End - Use Prices'!$B$9:$B$11,0)-1,MATCH(Y$1,'[2]End - Use Prices'!$C$7:$AL$7,0))</f>
        <v>25.2</v>
      </c>
      <c r="Z51" s="41">
        <f>INDEX('[2]End - Use Prices'!$C$6:$AL$89,MATCH($C51,'[2]End - Use Prices'!$A$6:$A$89,0)+MATCH($D51,'[2]End - Use Prices'!$B$9:$B$11,0)-1,MATCH(Z$1,'[2]End - Use Prices'!$C$7:$AL$7,0))</f>
        <v>25.43</v>
      </c>
      <c r="AA51" s="41">
        <f>INDEX('[2]End - Use Prices'!$C$6:$AL$89,MATCH($C51,'[2]End - Use Prices'!$A$6:$A$89,0)+MATCH($D51,'[2]End - Use Prices'!$B$9:$B$11,0)-1,MATCH(AA$1,'[2]End - Use Prices'!$C$7:$AL$7,0))</f>
        <v>33.47</v>
      </c>
      <c r="AB51" s="41">
        <f>INDEX('[2]End - Use Prices'!$C$6:$AL$89,MATCH($C51,'[2]End - Use Prices'!$A$6:$A$89,0)+MATCH($D51,'[2]End - Use Prices'!$B$9:$B$11,0)-1,MATCH(AB$1,'[2]End - Use Prices'!$C$7:$AL$7,0))</f>
        <v>23.22</v>
      </c>
      <c r="AC51" s="41">
        <f>INDEX('[2]End - Use Prices'!$C$6:$AL$89,MATCH($C51,'[2]End - Use Prices'!$A$6:$A$89,0)+MATCH($D51,'[2]End - Use Prices'!$B$9:$B$11,0)-1,MATCH(AC$1,'[2]End - Use Prices'!$C$7:$AL$7,0))</f>
        <v>26.1</v>
      </c>
      <c r="AD51" s="41">
        <f>INDEX('[2]End - Use Prices'!$C$6:$AL$89,MATCH($C51,'[2]End - Use Prices'!$A$6:$A$89,0)+MATCH($D51,'[2]End - Use Prices'!$B$9:$B$11,0)-1,MATCH(AD$1,'[2]End - Use Prices'!$C$7:$AL$7,0))</f>
        <v>32.090000000000003</v>
      </c>
      <c r="AE51" s="41">
        <f>INDEX('[2]End - Use Prices'!$C$6:$AL$89,MATCH($C51,'[2]End - Use Prices'!$A$6:$A$89,0)+MATCH($D51,'[2]End - Use Prices'!$B$9:$B$11,0)-1,MATCH(AE$1,'[2]End - Use Prices'!$C$7:$AL$7,0))</f>
        <v>33.770000000000003</v>
      </c>
      <c r="AF51" s="41">
        <f>INDEX('[2]End - Use Prices'!$C$6:$AL$89,MATCH($C51,'[2]End - Use Prices'!$A$6:$A$89,0)+MATCH($D51,'[2]End - Use Prices'!$B$9:$B$11,0)-1,MATCH(AF$1,'[2]End - Use Prices'!$C$7:$AL$7,0))</f>
        <v>33.130000000000003</v>
      </c>
      <c r="AG51" s="41">
        <f>INDEX('[2]End - Use Prices'!$C$6:$AL$89,MATCH($C51,'[2]End - Use Prices'!$A$6:$A$89,0)+MATCH($D51,'[2]End - Use Prices'!$B$9:$B$11,0)-1,MATCH(AG$1,'[2]End - Use Prices'!$C$7:$AL$7,0))</f>
        <v>33.630000000000003</v>
      </c>
      <c r="AH51" s="41">
        <f>INDEX('[2]End - Use Prices'!$C$6:$AL$89,MATCH($C51,'[2]End - Use Prices'!$A$6:$A$89,0)+MATCH($D51,'[2]End - Use Prices'!$B$9:$B$11,0)-1,MATCH(AH$1,'[2]End - Use Prices'!$C$7:$AL$7,0))</f>
        <v>27.54</v>
      </c>
      <c r="AI51" s="41">
        <f>INDEX('[2]End - Use Prices'!$C$6:$AL$89,MATCH($C51,'[2]End - Use Prices'!$A$6:$A$89,0)+MATCH($D51,'[2]End - Use Prices'!$B$9:$B$11,0)-1,MATCH(AI$1,'[2]End - Use Prices'!$C$7:$AL$7,0))</f>
        <v>23.58</v>
      </c>
      <c r="AJ51" s="41">
        <f>INDEX('[2]End - Use Prices'!$C$6:$AL$89,MATCH($C51,'[2]End - Use Prices'!$A$6:$A$89,0)+MATCH($D51,'[2]End - Use Prices'!$B$9:$B$11,0)-1,MATCH(AJ$1,'[2]End - Use Prices'!$C$7:$AL$7,0))</f>
        <v>25.75</v>
      </c>
      <c r="AK51" s="41">
        <f>INDEX('[2]End - Use Prices'!$C$6:$AL$89,MATCH($C51,'[2]End - Use Prices'!$A$6:$A$89,0)+MATCH($D51,'[2]End - Use Prices'!$B$9:$B$11,0)-1,MATCH(AK$1,'[2]End - Use Prices'!$C$7:$AL$7,0))</f>
        <v>30.37</v>
      </c>
      <c r="AL51" s="41">
        <f>INDEX('[2]End - Use Prices'!$C$6:$AL$89,MATCH($C51,'[2]End - Use Prices'!$A$6:$A$89,0)+MATCH($D51,'[2]End - Use Prices'!$B$9:$B$11,0)-1,MATCH(AL$1,'[2]End - Use Prices'!$C$7:$AL$7,0))</f>
        <v>34.700000000000003</v>
      </c>
      <c r="AM51" s="41">
        <f>INDEX('[2]End - Use Prices'!$C$6:$AL$89,MATCH($C51,'[2]End - Use Prices'!$A$6:$A$89,0)+MATCH($D51,'[2]End - Use Prices'!$B$9:$B$11,0)-1,MATCH(AM$1,'[2]End - Use Prices'!$C$7:$AL$7,0))</f>
        <v>38.03</v>
      </c>
      <c r="AN51" s="41">
        <f>INDEX('[2]End - Use Prices'!$C$6:$AL$89,MATCH($C51,'[2]End - Use Prices'!$A$6:$A$89,0)+MATCH($D51,'[2]End - Use Prices'!$B$9:$B$11,0)-1,MATCH(AN$1,'[2]End - Use Prices'!$C$7:$AL$7,0))</f>
        <v>34.799999999999997</v>
      </c>
      <c r="AO51" s="41">
        <f>INDEX('[2]End - Use Prices'!$C$6:$AL$89,MATCH($C51,'[2]End - Use Prices'!$A$6:$A$89,0)+MATCH($D51,'[2]End - Use Prices'!$B$9:$B$11,0)-1,MATCH(AO$1,'[2]End - Use Prices'!$C$7:$AL$7,0))</f>
        <v>32.68</v>
      </c>
      <c r="AP51" s="41">
        <f>INDEX('[2]End - Use Prices'!$C$6:$AL$89,MATCH($C51,'[2]End - Use Prices'!$A$6:$A$89,0)+MATCH($D51,'[2]End - Use Prices'!$B$9:$B$11,0)-1,MATCH(AP$1,'[2]End - Use Prices'!$C$7:$AL$7,0))</f>
        <v>32.369999999999997</v>
      </c>
      <c r="AQ51" s="41">
        <f>INDEX('[2]End - Use Prices'!$C$6:$AL$89,MATCH($C51,'[2]End - Use Prices'!$A$6:$A$89,0)+MATCH($D51,'[2]End - Use Prices'!$B$9:$B$11,0)-1,MATCH(AQ$1,'[2]End - Use Prices'!$C$7:$AL$7,0))</f>
        <v>32.47</v>
      </c>
      <c r="AR51" s="41">
        <f>INDEX('[2]End - Use Prices'!$C$6:$AL$89,MATCH($C51,'[2]End - Use Prices'!$A$6:$A$89,0)+MATCH($D51,'[2]End - Use Prices'!$B$9:$B$11,0)-1,MATCH(AR$1,'[2]End - Use Prices'!$C$7:$AL$7,0))</f>
        <v>32.78</v>
      </c>
      <c r="AS51" s="41">
        <f>INDEX('[2]End - Use Prices'!$C$6:$AL$89,MATCH($C51,'[2]End - Use Prices'!$A$6:$A$89,0)+MATCH($D51,'[2]End - Use Prices'!$B$9:$B$11,0)-1,MATCH(AS$1,'[2]End - Use Prices'!$C$7:$AL$7,0))</f>
        <v>33.03</v>
      </c>
      <c r="AT51" s="41">
        <f>INDEX('[2]End - Use Prices'!$C$6:$AL$89,MATCH($C51,'[2]End - Use Prices'!$A$6:$A$89,0)+MATCH($D51,'[2]End - Use Prices'!$B$9:$B$11,0)-1,MATCH(AT$1,'[2]End - Use Prices'!$C$7:$AL$7,0))</f>
        <v>32.81</v>
      </c>
      <c r="AU51" s="41">
        <f>INDEX('[2]End - Use Prices'!$C$6:$AL$89,MATCH($C51,'[2]End - Use Prices'!$A$6:$A$89,0)+MATCH($D51,'[2]End - Use Prices'!$B$9:$B$11,0)-1,MATCH(AU$1,'[2]End - Use Prices'!$C$7:$AL$7,0))</f>
        <v>32.549999999999997</v>
      </c>
      <c r="AV51" s="41">
        <f>INDEX('[2]End - Use Prices'!$C$6:$AL$89,MATCH($C51,'[2]End - Use Prices'!$A$6:$A$89,0)+MATCH($D51,'[2]End - Use Prices'!$B$9:$B$11,0)-1,MATCH(AV$1,'[2]End - Use Prices'!$C$7:$AL$7,0))</f>
        <v>32.33</v>
      </c>
      <c r="AW51" s="41">
        <f>INDEX('[2]End - Use Prices'!$C$6:$AL$89,MATCH($C51,'[2]End - Use Prices'!$A$6:$A$89,0)+MATCH($D51,'[2]End - Use Prices'!$B$9:$B$11,0)-1,MATCH(AW$1,'[2]End - Use Prices'!$C$7:$AL$7,0))</f>
        <v>32.11</v>
      </c>
      <c r="AX51" s="41">
        <f>INDEX('[2]End - Use Prices'!$C$6:$AL$89,MATCH($C51,'[2]End - Use Prices'!$A$6:$A$89,0)+MATCH($D51,'[2]End - Use Prices'!$B$9:$B$11,0)-1,MATCH(AX$1,'[2]End - Use Prices'!$C$7:$AL$7,0))</f>
        <v>31.96</v>
      </c>
      <c r="AY51" s="41">
        <f>INDEX('[2]End - Use Prices'!$C$6:$AL$89,MATCH($C51,'[2]End - Use Prices'!$A$6:$A$89,0)+MATCH($D51,'[2]End - Use Prices'!$B$9:$B$11,0)-1,MATCH(AY$1,'[2]End - Use Prices'!$C$7:$AL$7,0))</f>
        <v>31.85</v>
      </c>
      <c r="AZ51" s="41">
        <f>INDEX('[2]End - Use Prices'!$C$6:$AL$89,MATCH($C51,'[2]End - Use Prices'!$A$6:$A$89,0)+MATCH($D51,'[2]End - Use Prices'!$B$9:$B$11,0)-1,MATCH(AZ$1,'[2]End - Use Prices'!$C$7:$AL$7,0))</f>
        <v>31.79</v>
      </c>
      <c r="BA51" s="41">
        <f>INDEX('[2]End - Use Prices'!$C$6:$AL$89,MATCH($C51,'[2]End - Use Prices'!$A$6:$A$89,0)+MATCH($D51,'[2]End - Use Prices'!$B$9:$B$11,0)-1,MATCH(BA$1,'[2]End - Use Prices'!$C$7:$AL$7,0))</f>
        <v>31.75</v>
      </c>
      <c r="BB51" s="41">
        <f>INDEX('[2]End - Use Prices'!$C$6:$AL$89,MATCH($C51,'[2]End - Use Prices'!$A$6:$A$89,0)+MATCH($D51,'[2]End - Use Prices'!$B$9:$B$11,0)-1,MATCH(BB$1,'[2]End - Use Prices'!$C$7:$AL$7,0))</f>
        <v>31.7</v>
      </c>
      <c r="BC51" s="41">
        <f>INDEX('[2]End - Use Prices'!$C$6:$AL$89,MATCH($C51,'[2]End - Use Prices'!$A$6:$A$89,0)+MATCH($D51,'[2]End - Use Prices'!$B$9:$B$11,0)-1,MATCH(BC$1,'[2]End - Use Prices'!$C$7:$AL$7,0))</f>
        <v>31.63</v>
      </c>
      <c r="BD51" s="41">
        <f>INDEX('[2]End - Use Prices'!$C$6:$AL$89,MATCH($C51,'[2]End - Use Prices'!$A$6:$A$89,0)+MATCH($D51,'[2]End - Use Prices'!$B$9:$B$11,0)-1,MATCH(BD$1,'[2]End - Use Prices'!$C$7:$AL$7,0))</f>
        <v>31.54</v>
      </c>
      <c r="BE51" s="41">
        <f>INDEX('[2]End - Use Prices'!$C$6:$AL$89,MATCH($C51,'[2]End - Use Prices'!$A$6:$A$89,0)+MATCH($D51,'[2]End - Use Prices'!$B$9:$B$11,0)-1,MATCH(BE$1,'[2]End - Use Prices'!$C$7:$AL$7,0))</f>
        <v>31.42</v>
      </c>
      <c r="BF51" s="41">
        <f>INDEX('[2]End - Use Prices'!$C$6:$AL$89,MATCH($C51,'[2]End - Use Prices'!$A$6:$A$89,0)+MATCH($D51,'[2]End - Use Prices'!$B$9:$B$11,0)-1,MATCH(BF$1,'[2]End - Use Prices'!$C$7:$AL$7,0))</f>
        <v>31.3</v>
      </c>
      <c r="BG51" s="41">
        <f>INDEX('[2]End - Use Prices'!$C$6:$AL$89,MATCH($C51,'[2]End - Use Prices'!$A$6:$A$89,0)+MATCH($D51,'[2]End - Use Prices'!$B$9:$B$11,0)-1,MATCH(BG$1,'[2]End - Use Prices'!$C$7:$AL$7,0))</f>
        <v>31.16</v>
      </c>
      <c r="BR51" s="39"/>
      <c r="BS51" s="39"/>
      <c r="BT51" s="39"/>
      <c r="BU51" s="39"/>
      <c r="BV51" s="39"/>
      <c r="BW51" s="39"/>
      <c r="BX51" s="39"/>
      <c r="BY51" s="39"/>
      <c r="BZ51" s="39"/>
      <c r="CA51" s="39"/>
    </row>
    <row r="52" spans="1:79">
      <c r="A52" s="5"/>
      <c r="B52" s="3"/>
      <c r="C52" s="25" t="s">
        <v>89</v>
      </c>
      <c r="D52" s="25" t="s">
        <v>276</v>
      </c>
      <c r="E52" s="25" t="s">
        <v>277</v>
      </c>
      <c r="F52" s="67" t="s">
        <v>275</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INDEX('[2]End - Use Prices'!$C$6:$AL$89,MATCH($C52,'[2]End - Use Prices'!$A$6:$A$89,0)+MATCH($D52,'[2]End - Use Prices'!$B$9:$B$11,0)-1,MATCH(X$1,'[2]End - Use Prices'!$C$7:$AL$7,0))</f>
        <v>25.66</v>
      </c>
      <c r="Y52" s="41">
        <f>INDEX('[2]End - Use Prices'!$C$6:$AL$89,MATCH($C52,'[2]End - Use Prices'!$A$6:$A$89,0)+MATCH($D52,'[2]End - Use Prices'!$B$9:$B$11,0)-1,MATCH(Y$1,'[2]End - Use Prices'!$C$7:$AL$7,0))</f>
        <v>26.36</v>
      </c>
      <c r="Z52" s="41">
        <f>INDEX('[2]End - Use Prices'!$C$6:$AL$89,MATCH($C52,'[2]End - Use Prices'!$A$6:$A$89,0)+MATCH($D52,'[2]End - Use Prices'!$B$9:$B$11,0)-1,MATCH(Z$1,'[2]End - Use Prices'!$C$7:$AL$7,0))</f>
        <v>27.18</v>
      </c>
      <c r="AA52" s="41">
        <f>INDEX('[2]End - Use Prices'!$C$6:$AL$89,MATCH($C52,'[2]End - Use Prices'!$A$6:$A$89,0)+MATCH($D52,'[2]End - Use Prices'!$B$9:$B$11,0)-1,MATCH(AA$1,'[2]End - Use Prices'!$C$7:$AL$7,0))</f>
        <v>33.630000000000003</v>
      </c>
      <c r="AB52" s="41">
        <f>INDEX('[2]End - Use Prices'!$C$6:$AL$89,MATCH($C52,'[2]End - Use Prices'!$A$6:$A$89,0)+MATCH($D52,'[2]End - Use Prices'!$B$9:$B$11,0)-1,MATCH(AB$1,'[2]End - Use Prices'!$C$7:$AL$7,0))</f>
        <v>25.05</v>
      </c>
      <c r="AC52" s="41">
        <f>INDEX('[2]End - Use Prices'!$C$6:$AL$89,MATCH($C52,'[2]End - Use Prices'!$A$6:$A$89,0)+MATCH($D52,'[2]End - Use Prices'!$B$9:$B$11,0)-1,MATCH(AC$1,'[2]End - Use Prices'!$C$7:$AL$7,0))</f>
        <v>28.54</v>
      </c>
      <c r="AD52" s="41">
        <f>INDEX('[2]End - Use Prices'!$C$6:$AL$89,MATCH($C52,'[2]End - Use Prices'!$A$6:$A$89,0)+MATCH($D52,'[2]End - Use Prices'!$B$9:$B$11,0)-1,MATCH(AD$1,'[2]End - Use Prices'!$C$7:$AL$7,0))</f>
        <v>35.020000000000003</v>
      </c>
      <c r="AE52" s="41">
        <f>INDEX('[2]End - Use Prices'!$C$6:$AL$89,MATCH($C52,'[2]End - Use Prices'!$A$6:$A$89,0)+MATCH($D52,'[2]End - Use Prices'!$B$9:$B$11,0)-1,MATCH(AE$1,'[2]End - Use Prices'!$C$7:$AL$7,0))</f>
        <v>35.61</v>
      </c>
      <c r="AF52" s="41">
        <f>INDEX('[2]End - Use Prices'!$C$6:$AL$89,MATCH($C52,'[2]End - Use Prices'!$A$6:$A$89,0)+MATCH($D52,'[2]End - Use Prices'!$B$9:$B$11,0)-1,MATCH(AF$1,'[2]End - Use Prices'!$C$7:$AL$7,0))</f>
        <v>35.47</v>
      </c>
      <c r="AG52" s="41">
        <f>INDEX('[2]End - Use Prices'!$C$6:$AL$89,MATCH($C52,'[2]End - Use Prices'!$A$6:$A$89,0)+MATCH($D52,'[2]End - Use Prices'!$B$9:$B$11,0)-1,MATCH(AG$1,'[2]End - Use Prices'!$C$7:$AL$7,0))</f>
        <v>36.5</v>
      </c>
      <c r="AH52" s="41">
        <f>INDEX('[2]End - Use Prices'!$C$6:$AL$89,MATCH($C52,'[2]End - Use Prices'!$A$6:$A$89,0)+MATCH($D52,'[2]End - Use Prices'!$B$9:$B$11,0)-1,MATCH(AH$1,'[2]End - Use Prices'!$C$7:$AL$7,0))</f>
        <v>30.91</v>
      </c>
      <c r="AI52" s="41">
        <f>INDEX('[2]End - Use Prices'!$C$6:$AL$89,MATCH($C52,'[2]End - Use Prices'!$A$6:$A$89,0)+MATCH($D52,'[2]End - Use Prices'!$B$9:$B$11,0)-1,MATCH(AI$1,'[2]End - Use Prices'!$C$7:$AL$7,0))</f>
        <v>27.23</v>
      </c>
      <c r="AJ52" s="41">
        <f>INDEX('[2]End - Use Prices'!$C$6:$AL$89,MATCH($C52,'[2]End - Use Prices'!$A$6:$A$89,0)+MATCH($D52,'[2]End - Use Prices'!$B$9:$B$11,0)-1,MATCH(AJ$1,'[2]End - Use Prices'!$C$7:$AL$7,0))</f>
        <v>31.23</v>
      </c>
      <c r="AK52" s="41">
        <f>INDEX('[2]End - Use Prices'!$C$6:$AL$89,MATCH($C52,'[2]End - Use Prices'!$A$6:$A$89,0)+MATCH($D52,'[2]End - Use Prices'!$B$9:$B$11,0)-1,MATCH(AK$1,'[2]End - Use Prices'!$C$7:$AL$7,0))</f>
        <v>35.57</v>
      </c>
      <c r="AL52" s="41">
        <f>INDEX('[2]End - Use Prices'!$C$6:$AL$89,MATCH($C52,'[2]End - Use Prices'!$A$6:$A$89,0)+MATCH($D52,'[2]End - Use Prices'!$B$9:$B$11,0)-1,MATCH(AL$1,'[2]End - Use Prices'!$C$7:$AL$7,0))</f>
        <v>38.32</v>
      </c>
      <c r="AM52" s="41">
        <f>INDEX('[2]End - Use Prices'!$C$6:$AL$89,MATCH($C52,'[2]End - Use Prices'!$A$6:$A$89,0)+MATCH($D52,'[2]End - Use Prices'!$B$9:$B$11,0)-1,MATCH(AM$1,'[2]End - Use Prices'!$C$7:$AL$7,0))</f>
        <v>41.65</v>
      </c>
      <c r="AN52" s="41">
        <f>INDEX('[2]End - Use Prices'!$C$6:$AL$89,MATCH($C52,'[2]End - Use Prices'!$A$6:$A$89,0)+MATCH($D52,'[2]End - Use Prices'!$B$9:$B$11,0)-1,MATCH(AN$1,'[2]End - Use Prices'!$C$7:$AL$7,0))</f>
        <v>38.53</v>
      </c>
      <c r="AO52" s="41">
        <f>INDEX('[2]End - Use Prices'!$C$6:$AL$89,MATCH($C52,'[2]End - Use Prices'!$A$6:$A$89,0)+MATCH($D52,'[2]End - Use Prices'!$B$9:$B$11,0)-1,MATCH(AO$1,'[2]End - Use Prices'!$C$7:$AL$7,0))</f>
        <v>36.51</v>
      </c>
      <c r="AP52" s="41">
        <f>INDEX('[2]End - Use Prices'!$C$6:$AL$89,MATCH($C52,'[2]End - Use Prices'!$A$6:$A$89,0)+MATCH($D52,'[2]End - Use Prices'!$B$9:$B$11,0)-1,MATCH(AP$1,'[2]End - Use Prices'!$C$7:$AL$7,0))</f>
        <v>36.270000000000003</v>
      </c>
      <c r="AQ52" s="41">
        <f>INDEX('[2]End - Use Prices'!$C$6:$AL$89,MATCH($C52,'[2]End - Use Prices'!$A$6:$A$89,0)+MATCH($D52,'[2]End - Use Prices'!$B$9:$B$11,0)-1,MATCH(AQ$1,'[2]End - Use Prices'!$C$7:$AL$7,0))</f>
        <v>36.42</v>
      </c>
      <c r="AR52" s="41">
        <f>INDEX('[2]End - Use Prices'!$C$6:$AL$89,MATCH($C52,'[2]End - Use Prices'!$A$6:$A$89,0)+MATCH($D52,'[2]End - Use Prices'!$B$9:$B$11,0)-1,MATCH(AR$1,'[2]End - Use Prices'!$C$7:$AL$7,0))</f>
        <v>36.79</v>
      </c>
      <c r="AS52" s="41">
        <f>INDEX('[2]End - Use Prices'!$C$6:$AL$89,MATCH($C52,'[2]End - Use Prices'!$A$6:$A$89,0)+MATCH($D52,'[2]End - Use Prices'!$B$9:$B$11,0)-1,MATCH(AS$1,'[2]End - Use Prices'!$C$7:$AL$7,0))</f>
        <v>37.08</v>
      </c>
      <c r="AT52" s="41">
        <f>INDEX('[2]End - Use Prices'!$C$6:$AL$89,MATCH($C52,'[2]End - Use Prices'!$A$6:$A$89,0)+MATCH($D52,'[2]End - Use Prices'!$B$9:$B$11,0)-1,MATCH(AT$1,'[2]End - Use Prices'!$C$7:$AL$7,0))</f>
        <v>36.909999999999997</v>
      </c>
      <c r="AU52" s="41">
        <f>INDEX('[2]End - Use Prices'!$C$6:$AL$89,MATCH($C52,'[2]End - Use Prices'!$A$6:$A$89,0)+MATCH($D52,'[2]End - Use Prices'!$B$9:$B$11,0)-1,MATCH(AU$1,'[2]End - Use Prices'!$C$7:$AL$7,0))</f>
        <v>36.69</v>
      </c>
      <c r="AV52" s="41">
        <f>INDEX('[2]End - Use Prices'!$C$6:$AL$89,MATCH($C52,'[2]End - Use Prices'!$A$6:$A$89,0)+MATCH($D52,'[2]End - Use Prices'!$B$9:$B$11,0)-1,MATCH(AV$1,'[2]End - Use Prices'!$C$7:$AL$7,0))</f>
        <v>36.51</v>
      </c>
      <c r="AW52" s="41">
        <f>INDEX('[2]End - Use Prices'!$C$6:$AL$89,MATCH($C52,'[2]End - Use Prices'!$A$6:$A$89,0)+MATCH($D52,'[2]End - Use Prices'!$B$9:$B$11,0)-1,MATCH(AW$1,'[2]End - Use Prices'!$C$7:$AL$7,0))</f>
        <v>36.32</v>
      </c>
      <c r="AX52" s="41">
        <f>INDEX('[2]End - Use Prices'!$C$6:$AL$89,MATCH($C52,'[2]End - Use Prices'!$A$6:$A$89,0)+MATCH($D52,'[2]End - Use Prices'!$B$9:$B$11,0)-1,MATCH(AX$1,'[2]End - Use Prices'!$C$7:$AL$7,0))</f>
        <v>36.22</v>
      </c>
      <c r="AY52" s="41">
        <f>INDEX('[2]End - Use Prices'!$C$6:$AL$89,MATCH($C52,'[2]End - Use Prices'!$A$6:$A$89,0)+MATCH($D52,'[2]End - Use Prices'!$B$9:$B$11,0)-1,MATCH(AY$1,'[2]End - Use Prices'!$C$7:$AL$7,0))</f>
        <v>36.14</v>
      </c>
      <c r="AZ52" s="41">
        <f>INDEX('[2]End - Use Prices'!$C$6:$AL$89,MATCH($C52,'[2]End - Use Prices'!$A$6:$A$89,0)+MATCH($D52,'[2]End - Use Prices'!$B$9:$B$11,0)-1,MATCH(AZ$1,'[2]End - Use Prices'!$C$7:$AL$7,0))</f>
        <v>36.11</v>
      </c>
      <c r="BA52" s="41">
        <f>INDEX('[2]End - Use Prices'!$C$6:$AL$89,MATCH($C52,'[2]End - Use Prices'!$A$6:$A$89,0)+MATCH($D52,'[2]End - Use Prices'!$B$9:$B$11,0)-1,MATCH(BA$1,'[2]End - Use Prices'!$C$7:$AL$7,0))</f>
        <v>36.11</v>
      </c>
      <c r="BB52" s="41">
        <f>INDEX('[2]End - Use Prices'!$C$6:$AL$89,MATCH($C52,'[2]End - Use Prices'!$A$6:$A$89,0)+MATCH($D52,'[2]End - Use Prices'!$B$9:$B$11,0)-1,MATCH(BB$1,'[2]End - Use Prices'!$C$7:$AL$7,0))</f>
        <v>36.090000000000003</v>
      </c>
      <c r="BC52" s="41">
        <f>INDEX('[2]End - Use Prices'!$C$6:$AL$89,MATCH($C52,'[2]End - Use Prices'!$A$6:$A$89,0)+MATCH($D52,'[2]End - Use Prices'!$B$9:$B$11,0)-1,MATCH(BC$1,'[2]End - Use Prices'!$C$7:$AL$7,0))</f>
        <v>36.049999999999997</v>
      </c>
      <c r="BD52" s="41">
        <f>INDEX('[2]End - Use Prices'!$C$6:$AL$89,MATCH($C52,'[2]End - Use Prices'!$A$6:$A$89,0)+MATCH($D52,'[2]End - Use Prices'!$B$9:$B$11,0)-1,MATCH(BD$1,'[2]End - Use Prices'!$C$7:$AL$7,0))</f>
        <v>35.99</v>
      </c>
      <c r="BE52" s="41">
        <f>INDEX('[2]End - Use Prices'!$C$6:$AL$89,MATCH($C52,'[2]End - Use Prices'!$A$6:$A$89,0)+MATCH($D52,'[2]End - Use Prices'!$B$9:$B$11,0)-1,MATCH(BE$1,'[2]End - Use Prices'!$C$7:$AL$7,0))</f>
        <v>35.9</v>
      </c>
      <c r="BF52" s="41">
        <f>INDEX('[2]End - Use Prices'!$C$6:$AL$89,MATCH($C52,'[2]End - Use Prices'!$A$6:$A$89,0)+MATCH($D52,'[2]End - Use Prices'!$B$9:$B$11,0)-1,MATCH(BF$1,'[2]End - Use Prices'!$C$7:$AL$7,0))</f>
        <v>35.81</v>
      </c>
      <c r="BG52" s="41">
        <f>INDEX('[2]End - Use Prices'!$C$6:$AL$89,MATCH($C52,'[2]End - Use Prices'!$A$6:$A$89,0)+MATCH($D52,'[2]End - Use Prices'!$B$9:$B$11,0)-1,MATCH(BG$1,'[2]End - Use Prices'!$C$7:$AL$7,0))</f>
        <v>35.71</v>
      </c>
      <c r="BR52" s="39"/>
      <c r="BS52" s="39"/>
      <c r="BT52" s="39"/>
      <c r="BU52" s="39"/>
      <c r="BV52" s="39"/>
      <c r="BW52" s="39"/>
      <c r="BX52" s="39"/>
      <c r="BY52" s="39"/>
      <c r="BZ52" s="39"/>
      <c r="CA52" s="39"/>
    </row>
    <row r="53" spans="1:79">
      <c r="A53" s="5"/>
      <c r="B53" s="3"/>
      <c r="C53" s="25" t="s">
        <v>90</v>
      </c>
      <c r="D53" s="25" t="s">
        <v>276</v>
      </c>
      <c r="E53" s="25" t="s">
        <v>277</v>
      </c>
      <c r="F53" s="67" t="s">
        <v>275</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INDEX('[2]End - Use Prices'!$C$6:$AL$89,MATCH($C53,'[2]End - Use Prices'!$A$6:$A$89,0)+MATCH($D53,'[2]End - Use Prices'!$B$9:$B$11,0)-1,MATCH(X$1,'[2]End - Use Prices'!$C$7:$AL$7,0))</f>
        <v>26.86</v>
      </c>
      <c r="Y53" s="41">
        <f>INDEX('[2]End - Use Prices'!$C$6:$AL$89,MATCH($C53,'[2]End - Use Prices'!$A$6:$A$89,0)+MATCH($D53,'[2]End - Use Prices'!$B$9:$B$11,0)-1,MATCH(Y$1,'[2]End - Use Prices'!$C$7:$AL$7,0))</f>
        <v>26.92</v>
      </c>
      <c r="Z53" s="41">
        <f>INDEX('[2]End - Use Prices'!$C$6:$AL$89,MATCH($C53,'[2]End - Use Prices'!$A$6:$A$89,0)+MATCH($D53,'[2]End - Use Prices'!$B$9:$B$11,0)-1,MATCH(Z$1,'[2]End - Use Prices'!$C$7:$AL$7,0))</f>
        <v>28.39</v>
      </c>
      <c r="AA53" s="41">
        <f>INDEX('[2]End - Use Prices'!$C$6:$AL$89,MATCH($C53,'[2]End - Use Prices'!$A$6:$A$89,0)+MATCH($D53,'[2]End - Use Prices'!$B$9:$B$11,0)-1,MATCH(AA$1,'[2]End - Use Prices'!$C$7:$AL$7,0))</f>
        <v>34.549999999999997</v>
      </c>
      <c r="AB53" s="41">
        <f>INDEX('[2]End - Use Prices'!$C$6:$AL$89,MATCH($C53,'[2]End - Use Prices'!$A$6:$A$89,0)+MATCH($D53,'[2]End - Use Prices'!$B$9:$B$11,0)-1,MATCH(AB$1,'[2]End - Use Prices'!$C$7:$AL$7,0))</f>
        <v>25.26</v>
      </c>
      <c r="AC53" s="41">
        <f>INDEX('[2]End - Use Prices'!$C$6:$AL$89,MATCH($C53,'[2]End - Use Prices'!$A$6:$A$89,0)+MATCH($D53,'[2]End - Use Prices'!$B$9:$B$11,0)-1,MATCH(AC$1,'[2]End - Use Prices'!$C$7:$AL$7,0))</f>
        <v>28.11</v>
      </c>
      <c r="AD53" s="41">
        <f>INDEX('[2]End - Use Prices'!$C$6:$AL$89,MATCH($C53,'[2]End - Use Prices'!$A$6:$A$89,0)+MATCH($D53,'[2]End - Use Prices'!$B$9:$B$11,0)-1,MATCH(AD$1,'[2]End - Use Prices'!$C$7:$AL$7,0))</f>
        <v>32.72</v>
      </c>
      <c r="AE53" s="41">
        <f>INDEX('[2]End - Use Prices'!$C$6:$AL$89,MATCH($C53,'[2]End - Use Prices'!$A$6:$A$89,0)+MATCH($D53,'[2]End - Use Prices'!$B$9:$B$11,0)-1,MATCH(AE$1,'[2]End - Use Prices'!$C$7:$AL$7,0))</f>
        <v>32.950000000000003</v>
      </c>
      <c r="AF53" s="41">
        <f>INDEX('[2]End - Use Prices'!$C$6:$AL$89,MATCH($C53,'[2]End - Use Prices'!$A$6:$A$89,0)+MATCH($D53,'[2]End - Use Prices'!$B$9:$B$11,0)-1,MATCH(AF$1,'[2]End - Use Prices'!$C$7:$AL$7,0))</f>
        <v>33.5</v>
      </c>
      <c r="AG53" s="41">
        <f>INDEX('[2]End - Use Prices'!$C$6:$AL$89,MATCH($C53,'[2]End - Use Prices'!$A$6:$A$89,0)+MATCH($D53,'[2]End - Use Prices'!$B$9:$B$11,0)-1,MATCH(AG$1,'[2]End - Use Prices'!$C$7:$AL$7,0))</f>
        <v>34.840000000000003</v>
      </c>
      <c r="AH53" s="41">
        <f>INDEX('[2]End - Use Prices'!$C$6:$AL$89,MATCH($C53,'[2]End - Use Prices'!$A$6:$A$89,0)+MATCH($D53,'[2]End - Use Prices'!$B$9:$B$11,0)-1,MATCH(AH$1,'[2]End - Use Prices'!$C$7:$AL$7,0))</f>
        <v>26.82</v>
      </c>
      <c r="AI53" s="41">
        <f>INDEX('[2]End - Use Prices'!$C$6:$AL$89,MATCH($C53,'[2]End - Use Prices'!$A$6:$A$89,0)+MATCH($D53,'[2]End - Use Prices'!$B$9:$B$11,0)-1,MATCH(AI$1,'[2]End - Use Prices'!$C$7:$AL$7,0))</f>
        <v>24</v>
      </c>
      <c r="AJ53" s="41">
        <f>INDEX('[2]End - Use Prices'!$C$6:$AL$89,MATCH($C53,'[2]End - Use Prices'!$A$6:$A$89,0)+MATCH($D53,'[2]End - Use Prices'!$B$9:$B$11,0)-1,MATCH(AJ$1,'[2]End - Use Prices'!$C$7:$AL$7,0))</f>
        <v>26.23</v>
      </c>
      <c r="AK53" s="41">
        <f>INDEX('[2]End - Use Prices'!$C$6:$AL$89,MATCH($C53,'[2]End - Use Prices'!$A$6:$A$89,0)+MATCH($D53,'[2]End - Use Prices'!$B$9:$B$11,0)-1,MATCH(AK$1,'[2]End - Use Prices'!$C$7:$AL$7,0))</f>
        <v>30.14</v>
      </c>
      <c r="AL53" s="41">
        <f>INDEX('[2]End - Use Prices'!$C$6:$AL$89,MATCH($C53,'[2]End - Use Prices'!$A$6:$A$89,0)+MATCH($D53,'[2]End - Use Prices'!$B$9:$B$11,0)-1,MATCH(AL$1,'[2]End - Use Prices'!$C$7:$AL$7,0))</f>
        <v>33.479999999999997</v>
      </c>
      <c r="AM53" s="41">
        <f>INDEX('[2]End - Use Prices'!$C$6:$AL$89,MATCH($C53,'[2]End - Use Prices'!$A$6:$A$89,0)+MATCH($D53,'[2]End - Use Prices'!$B$9:$B$11,0)-1,MATCH(AM$1,'[2]End - Use Prices'!$C$7:$AL$7,0))</f>
        <v>36.65</v>
      </c>
      <c r="AN53" s="41">
        <f>INDEX('[2]End - Use Prices'!$C$6:$AL$89,MATCH($C53,'[2]End - Use Prices'!$A$6:$A$89,0)+MATCH($D53,'[2]End - Use Prices'!$B$9:$B$11,0)-1,MATCH(AN$1,'[2]End - Use Prices'!$C$7:$AL$7,0))</f>
        <v>33.15</v>
      </c>
      <c r="AO53" s="41">
        <f>INDEX('[2]End - Use Prices'!$C$6:$AL$89,MATCH($C53,'[2]End - Use Prices'!$A$6:$A$89,0)+MATCH($D53,'[2]End - Use Prices'!$B$9:$B$11,0)-1,MATCH(AO$1,'[2]End - Use Prices'!$C$7:$AL$7,0))</f>
        <v>30.77</v>
      </c>
      <c r="AP53" s="41">
        <f>INDEX('[2]End - Use Prices'!$C$6:$AL$89,MATCH($C53,'[2]End - Use Prices'!$A$6:$A$89,0)+MATCH($D53,'[2]End - Use Prices'!$B$9:$B$11,0)-1,MATCH(AP$1,'[2]End - Use Prices'!$C$7:$AL$7,0))</f>
        <v>30.2</v>
      </c>
      <c r="AQ53" s="41">
        <f>INDEX('[2]End - Use Prices'!$C$6:$AL$89,MATCH($C53,'[2]End - Use Prices'!$A$6:$A$89,0)+MATCH($D53,'[2]End - Use Prices'!$B$9:$B$11,0)-1,MATCH(AQ$1,'[2]End - Use Prices'!$C$7:$AL$7,0))</f>
        <v>30.06</v>
      </c>
      <c r="AR53" s="41">
        <f>INDEX('[2]End - Use Prices'!$C$6:$AL$89,MATCH($C53,'[2]End - Use Prices'!$A$6:$A$89,0)+MATCH($D53,'[2]End - Use Prices'!$B$9:$B$11,0)-1,MATCH(AR$1,'[2]End - Use Prices'!$C$7:$AL$7,0))</f>
        <v>30.13</v>
      </c>
      <c r="AS53" s="41">
        <f>INDEX('[2]End - Use Prices'!$C$6:$AL$89,MATCH($C53,'[2]End - Use Prices'!$A$6:$A$89,0)+MATCH($D53,'[2]End - Use Prices'!$B$9:$B$11,0)-1,MATCH(AS$1,'[2]End - Use Prices'!$C$7:$AL$7,0))</f>
        <v>30.14</v>
      </c>
      <c r="AT53" s="41">
        <f>INDEX('[2]End - Use Prices'!$C$6:$AL$89,MATCH($C53,'[2]End - Use Prices'!$A$6:$A$89,0)+MATCH($D53,'[2]End - Use Prices'!$B$9:$B$11,0)-1,MATCH(AT$1,'[2]End - Use Prices'!$C$7:$AL$7,0))</f>
        <v>30.06</v>
      </c>
      <c r="AU53" s="41">
        <f>INDEX('[2]End - Use Prices'!$C$6:$AL$89,MATCH($C53,'[2]End - Use Prices'!$A$6:$A$89,0)+MATCH($D53,'[2]End - Use Prices'!$B$9:$B$11,0)-1,MATCH(AU$1,'[2]End - Use Prices'!$C$7:$AL$7,0))</f>
        <v>29.92</v>
      </c>
      <c r="AV53" s="41">
        <f>INDEX('[2]End - Use Prices'!$C$6:$AL$89,MATCH($C53,'[2]End - Use Prices'!$A$6:$A$89,0)+MATCH($D53,'[2]End - Use Prices'!$B$9:$B$11,0)-1,MATCH(AV$1,'[2]End - Use Prices'!$C$7:$AL$7,0))</f>
        <v>29.81</v>
      </c>
      <c r="AW53" s="41">
        <f>INDEX('[2]End - Use Prices'!$C$6:$AL$89,MATCH($C53,'[2]End - Use Prices'!$A$6:$A$89,0)+MATCH($D53,'[2]End - Use Prices'!$B$9:$B$11,0)-1,MATCH(AW$1,'[2]End - Use Prices'!$C$7:$AL$7,0))</f>
        <v>29.7</v>
      </c>
      <c r="AX53" s="41">
        <f>INDEX('[2]End - Use Prices'!$C$6:$AL$89,MATCH($C53,'[2]End - Use Prices'!$A$6:$A$89,0)+MATCH($D53,'[2]End - Use Prices'!$B$9:$B$11,0)-1,MATCH(AX$1,'[2]End - Use Prices'!$C$7:$AL$7,0))</f>
        <v>29.64</v>
      </c>
      <c r="AY53" s="41">
        <f>INDEX('[2]End - Use Prices'!$C$6:$AL$89,MATCH($C53,'[2]End - Use Prices'!$A$6:$A$89,0)+MATCH($D53,'[2]End - Use Prices'!$B$9:$B$11,0)-1,MATCH(AY$1,'[2]End - Use Prices'!$C$7:$AL$7,0))</f>
        <v>29.62</v>
      </c>
      <c r="AZ53" s="41">
        <f>INDEX('[2]End - Use Prices'!$C$6:$AL$89,MATCH($C53,'[2]End - Use Prices'!$A$6:$A$89,0)+MATCH($D53,'[2]End - Use Prices'!$B$9:$B$11,0)-1,MATCH(AZ$1,'[2]End - Use Prices'!$C$7:$AL$7,0))</f>
        <v>29.64</v>
      </c>
      <c r="BA53" s="41">
        <f>INDEX('[2]End - Use Prices'!$C$6:$AL$89,MATCH($C53,'[2]End - Use Prices'!$A$6:$A$89,0)+MATCH($D53,'[2]End - Use Prices'!$B$9:$B$11,0)-1,MATCH(BA$1,'[2]End - Use Prices'!$C$7:$AL$7,0))</f>
        <v>29.67</v>
      </c>
      <c r="BB53" s="41">
        <f>INDEX('[2]End - Use Prices'!$C$6:$AL$89,MATCH($C53,'[2]End - Use Prices'!$A$6:$A$89,0)+MATCH($D53,'[2]End - Use Prices'!$B$9:$B$11,0)-1,MATCH(BB$1,'[2]End - Use Prices'!$C$7:$AL$7,0))</f>
        <v>29.69</v>
      </c>
      <c r="BC53" s="41">
        <f>INDEX('[2]End - Use Prices'!$C$6:$AL$89,MATCH($C53,'[2]End - Use Prices'!$A$6:$A$89,0)+MATCH($D53,'[2]End - Use Prices'!$B$9:$B$11,0)-1,MATCH(BC$1,'[2]End - Use Prices'!$C$7:$AL$7,0))</f>
        <v>29.7</v>
      </c>
      <c r="BD53" s="41">
        <f>INDEX('[2]End - Use Prices'!$C$6:$AL$89,MATCH($C53,'[2]End - Use Prices'!$A$6:$A$89,0)+MATCH($D53,'[2]End - Use Prices'!$B$9:$B$11,0)-1,MATCH(BD$1,'[2]End - Use Prices'!$C$7:$AL$7,0))</f>
        <v>29.69</v>
      </c>
      <c r="BE53" s="41">
        <f>INDEX('[2]End - Use Prices'!$C$6:$AL$89,MATCH($C53,'[2]End - Use Prices'!$A$6:$A$89,0)+MATCH($D53,'[2]End - Use Prices'!$B$9:$B$11,0)-1,MATCH(BE$1,'[2]End - Use Prices'!$C$7:$AL$7,0))</f>
        <v>29.65</v>
      </c>
      <c r="BF53" s="41">
        <f>INDEX('[2]End - Use Prices'!$C$6:$AL$89,MATCH($C53,'[2]End - Use Prices'!$A$6:$A$89,0)+MATCH($D53,'[2]End - Use Prices'!$B$9:$B$11,0)-1,MATCH(BF$1,'[2]End - Use Prices'!$C$7:$AL$7,0))</f>
        <v>29.61</v>
      </c>
      <c r="BG53" s="41">
        <f>INDEX('[2]End - Use Prices'!$C$6:$AL$89,MATCH($C53,'[2]End - Use Prices'!$A$6:$A$89,0)+MATCH($D53,'[2]End - Use Prices'!$B$9:$B$11,0)-1,MATCH(BG$1,'[2]End - Use Prices'!$C$7:$AL$7,0))</f>
        <v>29.56</v>
      </c>
      <c r="BR53" s="39"/>
      <c r="BS53" s="39"/>
      <c r="BT53" s="39"/>
      <c r="BU53" s="39"/>
      <c r="BV53" s="39"/>
      <c r="BW53" s="39"/>
      <c r="BX53" s="39"/>
      <c r="BY53" s="39"/>
      <c r="BZ53" s="39"/>
      <c r="CA53" s="39"/>
    </row>
    <row r="54" spans="1:79">
      <c r="A54" s="5"/>
      <c r="B54" s="3"/>
      <c r="C54" s="25" t="s">
        <v>91</v>
      </c>
      <c r="D54" s="25" t="s">
        <v>276</v>
      </c>
      <c r="E54" s="25" t="s">
        <v>277</v>
      </c>
      <c r="F54" s="67" t="s">
        <v>275</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INDEX('[2]End - Use Prices'!$C$6:$AL$89,MATCH($C54,'[2]End - Use Prices'!$A$6:$A$89,0)+MATCH($D54,'[2]End - Use Prices'!$B$9:$B$11,0)-1,MATCH(X$1,'[2]End - Use Prices'!$C$7:$AL$7,0))</f>
        <v>26.98</v>
      </c>
      <c r="Y54" s="41">
        <f>INDEX('[2]End - Use Prices'!$C$6:$AL$89,MATCH($C54,'[2]End - Use Prices'!$A$6:$A$89,0)+MATCH($D54,'[2]End - Use Prices'!$B$9:$B$11,0)-1,MATCH(Y$1,'[2]End - Use Prices'!$C$7:$AL$7,0))</f>
        <v>26.48</v>
      </c>
      <c r="Z54" s="41">
        <f>INDEX('[2]End - Use Prices'!$C$6:$AL$89,MATCH($C54,'[2]End - Use Prices'!$A$6:$A$89,0)+MATCH($D54,'[2]End - Use Prices'!$B$9:$B$11,0)-1,MATCH(Z$1,'[2]End - Use Prices'!$C$7:$AL$7,0))</f>
        <v>28.47</v>
      </c>
      <c r="AA54" s="41">
        <f>INDEX('[2]End - Use Prices'!$C$6:$AL$89,MATCH($C54,'[2]End - Use Prices'!$A$6:$A$89,0)+MATCH($D54,'[2]End - Use Prices'!$B$9:$B$11,0)-1,MATCH(AA$1,'[2]End - Use Prices'!$C$7:$AL$7,0))</f>
        <v>34.4</v>
      </c>
      <c r="AB54" s="41">
        <f>INDEX('[2]End - Use Prices'!$C$6:$AL$89,MATCH($C54,'[2]End - Use Prices'!$A$6:$A$89,0)+MATCH($D54,'[2]End - Use Prices'!$B$9:$B$11,0)-1,MATCH(AB$1,'[2]End - Use Prices'!$C$7:$AL$7,0))</f>
        <v>24.36</v>
      </c>
      <c r="AC54" s="41">
        <f>INDEX('[2]End - Use Prices'!$C$6:$AL$89,MATCH($C54,'[2]End - Use Prices'!$A$6:$A$89,0)+MATCH($D54,'[2]End - Use Prices'!$B$9:$B$11,0)-1,MATCH(AC$1,'[2]End - Use Prices'!$C$7:$AL$7,0))</f>
        <v>26.99</v>
      </c>
      <c r="AD54" s="41">
        <f>INDEX('[2]End - Use Prices'!$C$6:$AL$89,MATCH($C54,'[2]End - Use Prices'!$A$6:$A$89,0)+MATCH($D54,'[2]End - Use Prices'!$B$9:$B$11,0)-1,MATCH(AD$1,'[2]End - Use Prices'!$C$7:$AL$7,0))</f>
        <v>32.65</v>
      </c>
      <c r="AE54" s="41">
        <f>INDEX('[2]End - Use Prices'!$C$6:$AL$89,MATCH($C54,'[2]End - Use Prices'!$A$6:$A$89,0)+MATCH($D54,'[2]End - Use Prices'!$B$9:$B$11,0)-1,MATCH(AE$1,'[2]End - Use Prices'!$C$7:$AL$7,0))</f>
        <v>31.57</v>
      </c>
      <c r="AF54" s="41">
        <f>INDEX('[2]End - Use Prices'!$C$6:$AL$89,MATCH($C54,'[2]End - Use Prices'!$A$6:$A$89,0)+MATCH($D54,'[2]End - Use Prices'!$B$9:$B$11,0)-1,MATCH(AF$1,'[2]End - Use Prices'!$C$7:$AL$7,0))</f>
        <v>32.36</v>
      </c>
      <c r="AG54" s="41">
        <f>INDEX('[2]End - Use Prices'!$C$6:$AL$89,MATCH($C54,'[2]End - Use Prices'!$A$6:$A$89,0)+MATCH($D54,'[2]End - Use Prices'!$B$9:$B$11,0)-1,MATCH(AG$1,'[2]End - Use Prices'!$C$7:$AL$7,0))</f>
        <v>35.340000000000003</v>
      </c>
      <c r="AH54" s="41">
        <f>INDEX('[2]End - Use Prices'!$C$6:$AL$89,MATCH($C54,'[2]End - Use Prices'!$A$6:$A$89,0)+MATCH($D54,'[2]End - Use Prices'!$B$9:$B$11,0)-1,MATCH(AH$1,'[2]End - Use Prices'!$C$7:$AL$7,0))</f>
        <v>26.82</v>
      </c>
      <c r="AI54" s="41">
        <f>INDEX('[2]End - Use Prices'!$C$6:$AL$89,MATCH($C54,'[2]End - Use Prices'!$A$6:$A$89,0)+MATCH($D54,'[2]End - Use Prices'!$B$9:$B$11,0)-1,MATCH(AI$1,'[2]End - Use Prices'!$C$7:$AL$7,0))</f>
        <v>24.02</v>
      </c>
      <c r="AJ54" s="41">
        <f>INDEX('[2]End - Use Prices'!$C$6:$AL$89,MATCH($C54,'[2]End - Use Prices'!$A$6:$A$89,0)+MATCH($D54,'[2]End - Use Prices'!$B$9:$B$11,0)-1,MATCH(AJ$1,'[2]End - Use Prices'!$C$7:$AL$7,0))</f>
        <v>26.27</v>
      </c>
      <c r="AK54" s="41">
        <f>INDEX('[2]End - Use Prices'!$C$6:$AL$89,MATCH($C54,'[2]End - Use Prices'!$A$6:$A$89,0)+MATCH($D54,'[2]End - Use Prices'!$B$9:$B$11,0)-1,MATCH(AK$1,'[2]End - Use Prices'!$C$7:$AL$7,0))</f>
        <v>29.87</v>
      </c>
      <c r="AL54" s="41">
        <f>INDEX('[2]End - Use Prices'!$C$6:$AL$89,MATCH($C54,'[2]End - Use Prices'!$A$6:$A$89,0)+MATCH($D54,'[2]End - Use Prices'!$B$9:$B$11,0)-1,MATCH(AL$1,'[2]End - Use Prices'!$C$7:$AL$7,0))</f>
        <v>33.14</v>
      </c>
      <c r="AM54" s="41">
        <f>INDEX('[2]End - Use Prices'!$C$6:$AL$89,MATCH($C54,'[2]End - Use Prices'!$A$6:$A$89,0)+MATCH($D54,'[2]End - Use Prices'!$B$9:$B$11,0)-1,MATCH(AM$1,'[2]End - Use Prices'!$C$7:$AL$7,0))</f>
        <v>37.92</v>
      </c>
      <c r="AN54" s="41">
        <f>INDEX('[2]End - Use Prices'!$C$6:$AL$89,MATCH($C54,'[2]End - Use Prices'!$A$6:$A$89,0)+MATCH($D54,'[2]End - Use Prices'!$B$9:$B$11,0)-1,MATCH(AN$1,'[2]End - Use Prices'!$C$7:$AL$7,0))</f>
        <v>35.28</v>
      </c>
      <c r="AO54" s="41">
        <f>INDEX('[2]End - Use Prices'!$C$6:$AL$89,MATCH($C54,'[2]End - Use Prices'!$A$6:$A$89,0)+MATCH($D54,'[2]End - Use Prices'!$B$9:$B$11,0)-1,MATCH(AO$1,'[2]End - Use Prices'!$C$7:$AL$7,0))</f>
        <v>33.700000000000003</v>
      </c>
      <c r="AP54" s="41">
        <f>INDEX('[2]End - Use Prices'!$C$6:$AL$89,MATCH($C54,'[2]End - Use Prices'!$A$6:$A$89,0)+MATCH($D54,'[2]End - Use Prices'!$B$9:$B$11,0)-1,MATCH(AP$1,'[2]End - Use Prices'!$C$7:$AL$7,0))</f>
        <v>33.82</v>
      </c>
      <c r="AQ54" s="41">
        <f>INDEX('[2]End - Use Prices'!$C$6:$AL$89,MATCH($C54,'[2]End - Use Prices'!$A$6:$A$89,0)+MATCH($D54,'[2]End - Use Prices'!$B$9:$B$11,0)-1,MATCH(AQ$1,'[2]End - Use Prices'!$C$7:$AL$7,0))</f>
        <v>33.549999999999997</v>
      </c>
      <c r="AR54" s="41">
        <f>INDEX('[2]End - Use Prices'!$C$6:$AL$89,MATCH($C54,'[2]End - Use Prices'!$A$6:$A$89,0)+MATCH($D54,'[2]End - Use Prices'!$B$9:$B$11,0)-1,MATCH(AR$1,'[2]End - Use Prices'!$C$7:$AL$7,0))</f>
        <v>33.53</v>
      </c>
      <c r="AS54" s="41">
        <f>INDEX('[2]End - Use Prices'!$C$6:$AL$89,MATCH($C54,'[2]End - Use Prices'!$A$6:$A$89,0)+MATCH($D54,'[2]End - Use Prices'!$B$9:$B$11,0)-1,MATCH(AS$1,'[2]End - Use Prices'!$C$7:$AL$7,0))</f>
        <v>33.46</v>
      </c>
      <c r="AT54" s="41">
        <f>INDEX('[2]End - Use Prices'!$C$6:$AL$89,MATCH($C54,'[2]End - Use Prices'!$A$6:$A$89,0)+MATCH($D54,'[2]End - Use Prices'!$B$9:$B$11,0)-1,MATCH(AT$1,'[2]End - Use Prices'!$C$7:$AL$7,0))</f>
        <v>33.29</v>
      </c>
      <c r="AU54" s="41">
        <f>INDEX('[2]End - Use Prices'!$C$6:$AL$89,MATCH($C54,'[2]End - Use Prices'!$A$6:$A$89,0)+MATCH($D54,'[2]End - Use Prices'!$B$9:$B$11,0)-1,MATCH(AU$1,'[2]End - Use Prices'!$C$7:$AL$7,0))</f>
        <v>33.07</v>
      </c>
      <c r="AV54" s="41">
        <f>INDEX('[2]End - Use Prices'!$C$6:$AL$89,MATCH($C54,'[2]End - Use Prices'!$A$6:$A$89,0)+MATCH($D54,'[2]End - Use Prices'!$B$9:$B$11,0)-1,MATCH(AV$1,'[2]End - Use Prices'!$C$7:$AL$7,0))</f>
        <v>32.9</v>
      </c>
      <c r="AW54" s="41">
        <f>INDEX('[2]End - Use Prices'!$C$6:$AL$89,MATCH($C54,'[2]End - Use Prices'!$A$6:$A$89,0)+MATCH($D54,'[2]End - Use Prices'!$B$9:$B$11,0)-1,MATCH(AW$1,'[2]End - Use Prices'!$C$7:$AL$7,0))</f>
        <v>32.72</v>
      </c>
      <c r="AX54" s="41">
        <f>INDEX('[2]End - Use Prices'!$C$6:$AL$89,MATCH($C54,'[2]End - Use Prices'!$A$6:$A$89,0)+MATCH($D54,'[2]End - Use Prices'!$B$9:$B$11,0)-1,MATCH(AX$1,'[2]End - Use Prices'!$C$7:$AL$7,0))</f>
        <v>32.619999999999997</v>
      </c>
      <c r="AY54" s="41">
        <f>INDEX('[2]End - Use Prices'!$C$6:$AL$89,MATCH($C54,'[2]End - Use Prices'!$A$6:$A$89,0)+MATCH($D54,'[2]End - Use Prices'!$B$9:$B$11,0)-1,MATCH(AY$1,'[2]End - Use Prices'!$C$7:$AL$7,0))</f>
        <v>32.549999999999997</v>
      </c>
      <c r="AZ54" s="41">
        <f>INDEX('[2]End - Use Prices'!$C$6:$AL$89,MATCH($C54,'[2]End - Use Prices'!$A$6:$A$89,0)+MATCH($D54,'[2]End - Use Prices'!$B$9:$B$11,0)-1,MATCH(AZ$1,'[2]End - Use Prices'!$C$7:$AL$7,0))</f>
        <v>32.520000000000003</v>
      </c>
      <c r="BA54" s="41">
        <f>INDEX('[2]End - Use Prices'!$C$6:$AL$89,MATCH($C54,'[2]End - Use Prices'!$A$6:$A$89,0)+MATCH($D54,'[2]End - Use Prices'!$B$9:$B$11,0)-1,MATCH(BA$1,'[2]End - Use Prices'!$C$7:$AL$7,0))</f>
        <v>32.51</v>
      </c>
      <c r="BB54" s="41">
        <f>INDEX('[2]End - Use Prices'!$C$6:$AL$89,MATCH($C54,'[2]End - Use Prices'!$A$6:$A$89,0)+MATCH($D54,'[2]End - Use Prices'!$B$9:$B$11,0)-1,MATCH(BB$1,'[2]End - Use Prices'!$C$7:$AL$7,0))</f>
        <v>32.49</v>
      </c>
      <c r="BC54" s="41">
        <f>INDEX('[2]End - Use Prices'!$C$6:$AL$89,MATCH($C54,'[2]End - Use Prices'!$A$6:$A$89,0)+MATCH($D54,'[2]End - Use Prices'!$B$9:$B$11,0)-1,MATCH(BC$1,'[2]End - Use Prices'!$C$7:$AL$7,0))</f>
        <v>32.450000000000003</v>
      </c>
      <c r="BD54" s="41">
        <f>INDEX('[2]End - Use Prices'!$C$6:$AL$89,MATCH($C54,'[2]End - Use Prices'!$A$6:$A$89,0)+MATCH($D54,'[2]End - Use Prices'!$B$9:$B$11,0)-1,MATCH(BD$1,'[2]End - Use Prices'!$C$7:$AL$7,0))</f>
        <v>32.4</v>
      </c>
      <c r="BE54" s="41">
        <f>INDEX('[2]End - Use Prices'!$C$6:$AL$89,MATCH($C54,'[2]End - Use Prices'!$A$6:$A$89,0)+MATCH($D54,'[2]End - Use Prices'!$B$9:$B$11,0)-1,MATCH(BE$1,'[2]End - Use Prices'!$C$7:$AL$7,0))</f>
        <v>32.31</v>
      </c>
      <c r="BF54" s="41">
        <f>INDEX('[2]End - Use Prices'!$C$6:$AL$89,MATCH($C54,'[2]End - Use Prices'!$A$6:$A$89,0)+MATCH($D54,'[2]End - Use Prices'!$B$9:$B$11,0)-1,MATCH(BF$1,'[2]End - Use Prices'!$C$7:$AL$7,0))</f>
        <v>32.229999999999997</v>
      </c>
      <c r="BG54" s="41">
        <f>INDEX('[2]End - Use Prices'!$C$6:$AL$89,MATCH($C54,'[2]End - Use Prices'!$A$6:$A$89,0)+MATCH($D54,'[2]End - Use Prices'!$B$9:$B$11,0)-1,MATCH(BG$1,'[2]End - Use Prices'!$C$7:$AL$7,0))</f>
        <v>32.130000000000003</v>
      </c>
      <c r="BR54" s="39"/>
      <c r="BS54" s="39"/>
      <c r="BT54" s="39"/>
      <c r="BU54" s="39"/>
      <c r="BV54" s="39"/>
      <c r="BW54" s="39"/>
      <c r="BX54" s="39"/>
      <c r="BY54" s="39"/>
      <c r="BZ54" s="39"/>
      <c r="CA54" s="39"/>
    </row>
    <row r="55" spans="1:79">
      <c r="A55" s="5"/>
      <c r="B55" s="3"/>
      <c r="C55" s="25" t="s">
        <v>5</v>
      </c>
      <c r="D55" s="25" t="s">
        <v>276</v>
      </c>
      <c r="E55" s="25" t="s">
        <v>277</v>
      </c>
      <c r="F55" s="67" t="s">
        <v>275</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INDEX('[2]End - Use Prices'!$C$6:$AL$89,MATCH($C55,'[2]End - Use Prices'!$A$6:$A$89,0)+MATCH($D55,'[2]End - Use Prices'!$B$9:$B$11,0)-1,MATCH(X$1,'[2]End - Use Prices'!$C$7:$AL$7,0))</f>
        <v>24.45</v>
      </c>
      <c r="Y55" s="41">
        <f>INDEX('[2]End - Use Prices'!$C$6:$AL$89,MATCH($C55,'[2]End - Use Prices'!$A$6:$A$89,0)+MATCH($D55,'[2]End - Use Prices'!$B$9:$B$11,0)-1,MATCH(Y$1,'[2]End - Use Prices'!$C$7:$AL$7,0))</f>
        <v>25.51</v>
      </c>
      <c r="Z55" s="41">
        <f>INDEX('[2]End - Use Prices'!$C$6:$AL$89,MATCH($C55,'[2]End - Use Prices'!$A$6:$A$89,0)+MATCH($D55,'[2]End - Use Prices'!$B$9:$B$11,0)-1,MATCH(Z$1,'[2]End - Use Prices'!$C$7:$AL$7,0))</f>
        <v>26.83</v>
      </c>
      <c r="AA55" s="41">
        <f>INDEX('[2]End - Use Prices'!$C$6:$AL$89,MATCH($C55,'[2]End - Use Prices'!$A$6:$A$89,0)+MATCH($D55,'[2]End - Use Prices'!$B$9:$B$11,0)-1,MATCH(AA$1,'[2]End - Use Prices'!$C$7:$AL$7,0))</f>
        <v>31.95</v>
      </c>
      <c r="AB55" s="41">
        <f>INDEX('[2]End - Use Prices'!$C$6:$AL$89,MATCH($C55,'[2]End - Use Prices'!$A$6:$A$89,0)+MATCH($D55,'[2]End - Use Prices'!$B$9:$B$11,0)-1,MATCH(AB$1,'[2]End - Use Prices'!$C$7:$AL$7,0))</f>
        <v>23.37</v>
      </c>
      <c r="AC55" s="41">
        <f>INDEX('[2]End - Use Prices'!$C$6:$AL$89,MATCH($C55,'[2]End - Use Prices'!$A$6:$A$89,0)+MATCH($D55,'[2]End - Use Prices'!$B$9:$B$11,0)-1,MATCH(AC$1,'[2]End - Use Prices'!$C$7:$AL$7,0))</f>
        <v>26.03</v>
      </c>
      <c r="AD55" s="41">
        <f>INDEX('[2]End - Use Prices'!$C$6:$AL$89,MATCH($C55,'[2]End - Use Prices'!$A$6:$A$89,0)+MATCH($D55,'[2]End - Use Prices'!$B$9:$B$11,0)-1,MATCH(AD$1,'[2]End - Use Prices'!$C$7:$AL$7,0))</f>
        <v>27.78</v>
      </c>
      <c r="AE55" s="41">
        <f>INDEX('[2]End - Use Prices'!$C$6:$AL$89,MATCH($C55,'[2]End - Use Prices'!$A$6:$A$89,0)+MATCH($D55,'[2]End - Use Prices'!$B$9:$B$11,0)-1,MATCH(AE$1,'[2]End - Use Prices'!$C$7:$AL$7,0))</f>
        <v>29.65</v>
      </c>
      <c r="AF55" s="41">
        <f>INDEX('[2]End - Use Prices'!$C$6:$AL$89,MATCH($C55,'[2]End - Use Prices'!$A$6:$A$89,0)+MATCH($D55,'[2]End - Use Prices'!$B$9:$B$11,0)-1,MATCH(AF$1,'[2]End - Use Prices'!$C$7:$AL$7,0))</f>
        <v>27.25</v>
      </c>
      <c r="AG55" s="41">
        <f>INDEX('[2]End - Use Prices'!$C$6:$AL$89,MATCH($C55,'[2]End - Use Prices'!$A$6:$A$89,0)+MATCH($D55,'[2]End - Use Prices'!$B$9:$B$11,0)-1,MATCH(AG$1,'[2]End - Use Prices'!$C$7:$AL$7,0))</f>
        <v>32.840000000000003</v>
      </c>
      <c r="AH55" s="41">
        <f>INDEX('[2]End - Use Prices'!$C$6:$AL$89,MATCH($C55,'[2]End - Use Prices'!$A$6:$A$89,0)+MATCH($D55,'[2]End - Use Prices'!$B$9:$B$11,0)-1,MATCH(AH$1,'[2]End - Use Prices'!$C$7:$AL$7,0))</f>
        <v>24.73</v>
      </c>
      <c r="AI55" s="41">
        <f>INDEX('[2]End - Use Prices'!$C$6:$AL$89,MATCH($C55,'[2]End - Use Prices'!$A$6:$A$89,0)+MATCH($D55,'[2]End - Use Prices'!$B$9:$B$11,0)-1,MATCH(AI$1,'[2]End - Use Prices'!$C$7:$AL$7,0))</f>
        <v>22.55</v>
      </c>
      <c r="AJ55" s="41">
        <f>INDEX('[2]End - Use Prices'!$C$6:$AL$89,MATCH($C55,'[2]End - Use Prices'!$A$6:$A$89,0)+MATCH($D55,'[2]End - Use Prices'!$B$9:$B$11,0)-1,MATCH(AJ$1,'[2]End - Use Prices'!$C$7:$AL$7,0))</f>
        <v>24.52</v>
      </c>
      <c r="AK55" s="41">
        <f>INDEX('[2]End - Use Prices'!$C$6:$AL$89,MATCH($C55,'[2]End - Use Prices'!$A$6:$A$89,0)+MATCH($D55,'[2]End - Use Prices'!$B$9:$B$11,0)-1,MATCH(AK$1,'[2]End - Use Prices'!$C$7:$AL$7,0))</f>
        <v>30.35</v>
      </c>
      <c r="AL55" s="41">
        <f>INDEX('[2]End - Use Prices'!$C$6:$AL$89,MATCH($C55,'[2]End - Use Prices'!$A$6:$A$89,0)+MATCH($D55,'[2]End - Use Prices'!$B$9:$B$11,0)-1,MATCH(AL$1,'[2]End - Use Prices'!$C$7:$AL$7,0))</f>
        <v>34.29</v>
      </c>
      <c r="AM55" s="41">
        <f>INDEX('[2]End - Use Prices'!$C$6:$AL$89,MATCH($C55,'[2]End - Use Prices'!$A$6:$A$89,0)+MATCH($D55,'[2]End - Use Prices'!$B$9:$B$11,0)-1,MATCH(AM$1,'[2]End - Use Prices'!$C$7:$AL$7,0))</f>
        <v>37.21</v>
      </c>
      <c r="AN55" s="41">
        <f>INDEX('[2]End - Use Prices'!$C$6:$AL$89,MATCH($C55,'[2]End - Use Prices'!$A$6:$A$89,0)+MATCH($D55,'[2]End - Use Prices'!$B$9:$B$11,0)-1,MATCH(AN$1,'[2]End - Use Prices'!$C$7:$AL$7,0))</f>
        <v>33.880000000000003</v>
      </c>
      <c r="AO55" s="41">
        <f>INDEX('[2]End - Use Prices'!$C$6:$AL$89,MATCH($C55,'[2]End - Use Prices'!$A$6:$A$89,0)+MATCH($D55,'[2]End - Use Prices'!$B$9:$B$11,0)-1,MATCH(AO$1,'[2]End - Use Prices'!$C$7:$AL$7,0))</f>
        <v>32.43</v>
      </c>
      <c r="AP55" s="41">
        <f>INDEX('[2]End - Use Prices'!$C$6:$AL$89,MATCH($C55,'[2]End - Use Prices'!$A$6:$A$89,0)+MATCH($D55,'[2]End - Use Prices'!$B$9:$B$11,0)-1,MATCH(AP$1,'[2]End - Use Prices'!$C$7:$AL$7,0))</f>
        <v>32.590000000000003</v>
      </c>
      <c r="AQ55" s="41">
        <f>INDEX('[2]End - Use Prices'!$C$6:$AL$89,MATCH($C55,'[2]End - Use Prices'!$A$6:$A$89,0)+MATCH($D55,'[2]End - Use Prices'!$B$9:$B$11,0)-1,MATCH(AQ$1,'[2]End - Use Prices'!$C$7:$AL$7,0))</f>
        <v>32.33</v>
      </c>
      <c r="AR55" s="41">
        <f>INDEX('[2]End - Use Prices'!$C$6:$AL$89,MATCH($C55,'[2]End - Use Prices'!$A$6:$A$89,0)+MATCH($D55,'[2]End - Use Prices'!$B$9:$B$11,0)-1,MATCH(AR$1,'[2]End - Use Prices'!$C$7:$AL$7,0))</f>
        <v>32.299999999999997</v>
      </c>
      <c r="AS55" s="41">
        <f>INDEX('[2]End - Use Prices'!$C$6:$AL$89,MATCH($C55,'[2]End - Use Prices'!$A$6:$A$89,0)+MATCH($D55,'[2]End - Use Prices'!$B$9:$B$11,0)-1,MATCH(AS$1,'[2]End - Use Prices'!$C$7:$AL$7,0))</f>
        <v>32.22</v>
      </c>
      <c r="AT55" s="41">
        <f>INDEX('[2]End - Use Prices'!$C$6:$AL$89,MATCH($C55,'[2]End - Use Prices'!$A$6:$A$89,0)+MATCH($D55,'[2]End - Use Prices'!$B$9:$B$11,0)-1,MATCH(AT$1,'[2]End - Use Prices'!$C$7:$AL$7,0))</f>
        <v>32.049999999999997</v>
      </c>
      <c r="AU55" s="41">
        <f>INDEX('[2]End - Use Prices'!$C$6:$AL$89,MATCH($C55,'[2]End - Use Prices'!$A$6:$A$89,0)+MATCH($D55,'[2]End - Use Prices'!$B$9:$B$11,0)-1,MATCH(AU$1,'[2]End - Use Prices'!$C$7:$AL$7,0))</f>
        <v>31.84</v>
      </c>
      <c r="AV55" s="41">
        <f>INDEX('[2]End - Use Prices'!$C$6:$AL$89,MATCH($C55,'[2]End - Use Prices'!$A$6:$A$89,0)+MATCH($D55,'[2]End - Use Prices'!$B$9:$B$11,0)-1,MATCH(AV$1,'[2]End - Use Prices'!$C$7:$AL$7,0))</f>
        <v>31.67</v>
      </c>
      <c r="AW55" s="41">
        <f>INDEX('[2]End - Use Prices'!$C$6:$AL$89,MATCH($C55,'[2]End - Use Prices'!$A$6:$A$89,0)+MATCH($D55,'[2]End - Use Prices'!$B$9:$B$11,0)-1,MATCH(AW$1,'[2]End - Use Prices'!$C$7:$AL$7,0))</f>
        <v>31.49</v>
      </c>
      <c r="AX55" s="41">
        <f>INDEX('[2]End - Use Prices'!$C$6:$AL$89,MATCH($C55,'[2]End - Use Prices'!$A$6:$A$89,0)+MATCH($D55,'[2]End - Use Prices'!$B$9:$B$11,0)-1,MATCH(AX$1,'[2]End - Use Prices'!$C$7:$AL$7,0))</f>
        <v>31.39</v>
      </c>
      <c r="AY55" s="41">
        <f>INDEX('[2]End - Use Prices'!$C$6:$AL$89,MATCH($C55,'[2]End - Use Prices'!$A$6:$A$89,0)+MATCH($D55,'[2]End - Use Prices'!$B$9:$B$11,0)-1,MATCH(AY$1,'[2]End - Use Prices'!$C$7:$AL$7,0))</f>
        <v>31.32</v>
      </c>
      <c r="AZ55" s="41">
        <f>INDEX('[2]End - Use Prices'!$C$6:$AL$89,MATCH($C55,'[2]End - Use Prices'!$A$6:$A$89,0)+MATCH($D55,'[2]End - Use Prices'!$B$9:$B$11,0)-1,MATCH(AZ$1,'[2]End - Use Prices'!$C$7:$AL$7,0))</f>
        <v>31.28</v>
      </c>
      <c r="BA55" s="41">
        <f>INDEX('[2]End - Use Prices'!$C$6:$AL$89,MATCH($C55,'[2]End - Use Prices'!$A$6:$A$89,0)+MATCH($D55,'[2]End - Use Prices'!$B$9:$B$11,0)-1,MATCH(BA$1,'[2]End - Use Prices'!$C$7:$AL$7,0))</f>
        <v>31.27</v>
      </c>
      <c r="BB55" s="41">
        <f>INDEX('[2]End - Use Prices'!$C$6:$AL$89,MATCH($C55,'[2]End - Use Prices'!$A$6:$A$89,0)+MATCH($D55,'[2]End - Use Prices'!$B$9:$B$11,0)-1,MATCH(BB$1,'[2]End - Use Prices'!$C$7:$AL$7,0))</f>
        <v>31.25</v>
      </c>
      <c r="BC55" s="41">
        <f>INDEX('[2]End - Use Prices'!$C$6:$AL$89,MATCH($C55,'[2]End - Use Prices'!$A$6:$A$89,0)+MATCH($D55,'[2]End - Use Prices'!$B$9:$B$11,0)-1,MATCH(BC$1,'[2]End - Use Prices'!$C$7:$AL$7,0))</f>
        <v>31.21</v>
      </c>
      <c r="BD55" s="41">
        <f>INDEX('[2]End - Use Prices'!$C$6:$AL$89,MATCH($C55,'[2]End - Use Prices'!$A$6:$A$89,0)+MATCH($D55,'[2]End - Use Prices'!$B$9:$B$11,0)-1,MATCH(BD$1,'[2]End - Use Prices'!$C$7:$AL$7,0))</f>
        <v>31.15</v>
      </c>
      <c r="BE55" s="41">
        <f>INDEX('[2]End - Use Prices'!$C$6:$AL$89,MATCH($C55,'[2]End - Use Prices'!$A$6:$A$89,0)+MATCH($D55,'[2]End - Use Prices'!$B$9:$B$11,0)-1,MATCH(BE$1,'[2]End - Use Prices'!$C$7:$AL$7,0))</f>
        <v>31.06</v>
      </c>
      <c r="BF55" s="41">
        <f>INDEX('[2]End - Use Prices'!$C$6:$AL$89,MATCH($C55,'[2]End - Use Prices'!$A$6:$A$89,0)+MATCH($D55,'[2]End - Use Prices'!$B$9:$B$11,0)-1,MATCH(BF$1,'[2]End - Use Prices'!$C$7:$AL$7,0))</f>
        <v>30.98</v>
      </c>
      <c r="BG55" s="41">
        <f>INDEX('[2]End - Use Prices'!$C$6:$AL$89,MATCH($C55,'[2]End - Use Prices'!$A$6:$A$89,0)+MATCH($D55,'[2]End - Use Prices'!$B$9:$B$11,0)-1,MATCH(BG$1,'[2]End - Use Prices'!$C$7:$AL$7,0))</f>
        <v>30.88</v>
      </c>
      <c r="BR55" s="39"/>
      <c r="BS55" s="39"/>
      <c r="BT55" s="39"/>
      <c r="BU55" s="39"/>
      <c r="BV55" s="39"/>
      <c r="BW55" s="39"/>
      <c r="BX55" s="39"/>
      <c r="BY55" s="39"/>
      <c r="BZ55" s="39"/>
      <c r="CA55" s="39"/>
    </row>
    <row r="56" spans="1:79">
      <c r="A56" s="5"/>
      <c r="B56" s="3"/>
      <c r="C56" s="25" t="s">
        <v>60</v>
      </c>
      <c r="D56" s="25" t="s">
        <v>276</v>
      </c>
      <c r="E56" s="25" t="s">
        <v>277</v>
      </c>
      <c r="F56" s="67" t="s">
        <v>275</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INDEX('[2]End - Use Prices'!$C$6:$AL$89,MATCH($C56,'[2]End - Use Prices'!$A$6:$A$89,0)+MATCH($D56,'[2]End - Use Prices'!$B$9:$B$11,0)-1,MATCH(X$1,'[2]End - Use Prices'!$C$7:$AL$7,0))</f>
        <v>28.98</v>
      </c>
      <c r="Y56" s="41">
        <f>INDEX('[2]End - Use Prices'!$C$6:$AL$89,MATCH($C56,'[2]End - Use Prices'!$A$6:$A$89,0)+MATCH($D56,'[2]End - Use Prices'!$B$9:$B$11,0)-1,MATCH(Y$1,'[2]End - Use Prices'!$C$7:$AL$7,0))</f>
        <v>28.54</v>
      </c>
      <c r="Z56" s="41">
        <f>INDEX('[2]End - Use Prices'!$C$6:$AL$89,MATCH($C56,'[2]End - Use Prices'!$A$6:$A$89,0)+MATCH($D56,'[2]End - Use Prices'!$B$9:$B$11,0)-1,MATCH(Z$1,'[2]End - Use Prices'!$C$7:$AL$7,0))</f>
        <v>29.02</v>
      </c>
      <c r="AA56" s="41">
        <f>INDEX('[2]End - Use Prices'!$C$6:$AL$89,MATCH($C56,'[2]End - Use Prices'!$A$6:$A$89,0)+MATCH($D56,'[2]End - Use Prices'!$B$9:$B$11,0)-1,MATCH(AA$1,'[2]End - Use Prices'!$C$7:$AL$7,0))</f>
        <v>34.479999999999997</v>
      </c>
      <c r="AB56" s="41">
        <f>INDEX('[2]End - Use Prices'!$C$6:$AL$89,MATCH($C56,'[2]End - Use Prices'!$A$6:$A$89,0)+MATCH($D56,'[2]End - Use Prices'!$B$9:$B$11,0)-1,MATCH(AB$1,'[2]End - Use Prices'!$C$7:$AL$7,0))</f>
        <v>25.41</v>
      </c>
      <c r="AC56" s="41">
        <f>INDEX('[2]End - Use Prices'!$C$6:$AL$89,MATCH($C56,'[2]End - Use Prices'!$A$6:$A$89,0)+MATCH($D56,'[2]End - Use Prices'!$B$9:$B$11,0)-1,MATCH(AC$1,'[2]End - Use Prices'!$C$7:$AL$7,0))</f>
        <v>29.71</v>
      </c>
      <c r="AD56" s="41">
        <f>INDEX('[2]End - Use Prices'!$C$6:$AL$89,MATCH($C56,'[2]End - Use Prices'!$A$6:$A$89,0)+MATCH($D56,'[2]End - Use Prices'!$B$9:$B$11,0)-1,MATCH(AD$1,'[2]End - Use Prices'!$C$7:$AL$7,0))</f>
        <v>34.4</v>
      </c>
      <c r="AE56" s="41">
        <f>INDEX('[2]End - Use Prices'!$C$6:$AL$89,MATCH($C56,'[2]End - Use Prices'!$A$6:$A$89,0)+MATCH($D56,'[2]End - Use Prices'!$B$9:$B$11,0)-1,MATCH(AE$1,'[2]End - Use Prices'!$C$7:$AL$7,0))</f>
        <v>35.71</v>
      </c>
      <c r="AF56" s="41">
        <f>INDEX('[2]End - Use Prices'!$C$6:$AL$89,MATCH($C56,'[2]End - Use Prices'!$A$6:$A$89,0)+MATCH($D56,'[2]End - Use Prices'!$B$9:$B$11,0)-1,MATCH(AF$1,'[2]End - Use Prices'!$C$7:$AL$7,0))</f>
        <v>35.47</v>
      </c>
      <c r="AG56" s="41">
        <f>INDEX('[2]End - Use Prices'!$C$6:$AL$89,MATCH($C56,'[2]End - Use Prices'!$A$6:$A$89,0)+MATCH($D56,'[2]End - Use Prices'!$B$9:$B$11,0)-1,MATCH(AG$1,'[2]End - Use Prices'!$C$7:$AL$7,0))</f>
        <v>35.78</v>
      </c>
      <c r="AH56" s="41">
        <f>INDEX('[2]End - Use Prices'!$C$6:$AL$89,MATCH($C56,'[2]End - Use Prices'!$A$6:$A$89,0)+MATCH($D56,'[2]End - Use Prices'!$B$9:$B$11,0)-1,MATCH(AH$1,'[2]End - Use Prices'!$C$7:$AL$7,0))</f>
        <v>29.49</v>
      </c>
      <c r="AI56" s="41">
        <f>INDEX('[2]End - Use Prices'!$C$6:$AL$89,MATCH($C56,'[2]End - Use Prices'!$A$6:$A$89,0)+MATCH($D56,'[2]End - Use Prices'!$B$9:$B$11,0)-1,MATCH(AI$1,'[2]End - Use Prices'!$C$7:$AL$7,0))</f>
        <v>26.92</v>
      </c>
      <c r="AJ56" s="41">
        <f>INDEX('[2]End - Use Prices'!$C$6:$AL$89,MATCH($C56,'[2]End - Use Prices'!$A$6:$A$89,0)+MATCH($D56,'[2]End - Use Prices'!$B$9:$B$11,0)-1,MATCH(AJ$1,'[2]End - Use Prices'!$C$7:$AL$7,0))</f>
        <v>29.45</v>
      </c>
      <c r="AK56" s="41">
        <f>INDEX('[2]End - Use Prices'!$C$6:$AL$89,MATCH($C56,'[2]End - Use Prices'!$A$6:$A$89,0)+MATCH($D56,'[2]End - Use Prices'!$B$9:$B$11,0)-1,MATCH(AK$1,'[2]End - Use Prices'!$C$7:$AL$7,0))</f>
        <v>33.119999999999997</v>
      </c>
      <c r="AL56" s="41">
        <f>INDEX('[2]End - Use Prices'!$C$6:$AL$89,MATCH($C56,'[2]End - Use Prices'!$A$6:$A$89,0)+MATCH($D56,'[2]End - Use Prices'!$B$9:$B$11,0)-1,MATCH(AL$1,'[2]End - Use Prices'!$C$7:$AL$7,0))</f>
        <v>38.61</v>
      </c>
      <c r="AM56" s="41">
        <f>INDEX('[2]End - Use Prices'!$C$6:$AL$89,MATCH($C56,'[2]End - Use Prices'!$A$6:$A$89,0)+MATCH($D56,'[2]End - Use Prices'!$B$9:$B$11,0)-1,MATCH(AM$1,'[2]End - Use Prices'!$C$7:$AL$7,0))</f>
        <v>41.92</v>
      </c>
      <c r="AN56" s="41">
        <f>INDEX('[2]End - Use Prices'!$C$6:$AL$89,MATCH($C56,'[2]End - Use Prices'!$A$6:$A$89,0)+MATCH($D56,'[2]End - Use Prices'!$B$9:$B$11,0)-1,MATCH(AN$1,'[2]End - Use Prices'!$C$7:$AL$7,0))</f>
        <v>38.94</v>
      </c>
      <c r="AO56" s="41">
        <f>INDEX('[2]End - Use Prices'!$C$6:$AL$89,MATCH($C56,'[2]End - Use Prices'!$A$6:$A$89,0)+MATCH($D56,'[2]End - Use Prices'!$B$9:$B$11,0)-1,MATCH(AO$1,'[2]End - Use Prices'!$C$7:$AL$7,0))</f>
        <v>36.979999999999997</v>
      </c>
      <c r="AP56" s="41">
        <f>INDEX('[2]End - Use Prices'!$C$6:$AL$89,MATCH($C56,'[2]End - Use Prices'!$A$6:$A$89,0)+MATCH($D56,'[2]End - Use Prices'!$B$9:$B$11,0)-1,MATCH(AP$1,'[2]End - Use Prices'!$C$7:$AL$7,0))</f>
        <v>36.39</v>
      </c>
      <c r="AQ56" s="41">
        <f>INDEX('[2]End - Use Prices'!$C$6:$AL$89,MATCH($C56,'[2]End - Use Prices'!$A$6:$A$89,0)+MATCH($D56,'[2]End - Use Prices'!$B$9:$B$11,0)-1,MATCH(AQ$1,'[2]End - Use Prices'!$C$7:$AL$7,0))</f>
        <v>36.08</v>
      </c>
      <c r="AR56" s="41">
        <f>INDEX('[2]End - Use Prices'!$C$6:$AL$89,MATCH($C56,'[2]End - Use Prices'!$A$6:$A$89,0)+MATCH($D56,'[2]End - Use Prices'!$B$9:$B$11,0)-1,MATCH(AR$1,'[2]End - Use Prices'!$C$7:$AL$7,0))</f>
        <v>36</v>
      </c>
      <c r="AS56" s="41">
        <f>INDEX('[2]End - Use Prices'!$C$6:$AL$89,MATCH($C56,'[2]End - Use Prices'!$A$6:$A$89,0)+MATCH($D56,'[2]End - Use Prices'!$B$9:$B$11,0)-1,MATCH(AS$1,'[2]End - Use Prices'!$C$7:$AL$7,0))</f>
        <v>35.89</v>
      </c>
      <c r="AT56" s="41">
        <f>INDEX('[2]End - Use Prices'!$C$6:$AL$89,MATCH($C56,'[2]End - Use Prices'!$A$6:$A$89,0)+MATCH($D56,'[2]End - Use Prices'!$B$9:$B$11,0)-1,MATCH(AT$1,'[2]End - Use Prices'!$C$7:$AL$7,0))</f>
        <v>35.68</v>
      </c>
      <c r="AU56" s="41">
        <f>INDEX('[2]End - Use Prices'!$C$6:$AL$89,MATCH($C56,'[2]End - Use Prices'!$A$6:$A$89,0)+MATCH($D56,'[2]End - Use Prices'!$B$9:$B$11,0)-1,MATCH(AU$1,'[2]End - Use Prices'!$C$7:$AL$7,0))</f>
        <v>35.44</v>
      </c>
      <c r="AV56" s="41">
        <f>INDEX('[2]End - Use Prices'!$C$6:$AL$89,MATCH($C56,'[2]End - Use Prices'!$A$6:$A$89,0)+MATCH($D56,'[2]End - Use Prices'!$B$9:$B$11,0)-1,MATCH(AV$1,'[2]End - Use Prices'!$C$7:$AL$7,0))</f>
        <v>35.229999999999997</v>
      </c>
      <c r="AW56" s="41">
        <f>INDEX('[2]End - Use Prices'!$C$6:$AL$89,MATCH($C56,'[2]End - Use Prices'!$A$6:$A$89,0)+MATCH($D56,'[2]End - Use Prices'!$B$9:$B$11,0)-1,MATCH(AW$1,'[2]End - Use Prices'!$C$7:$AL$7,0))</f>
        <v>35.03</v>
      </c>
      <c r="AX56" s="41">
        <f>INDEX('[2]End - Use Prices'!$C$6:$AL$89,MATCH($C56,'[2]End - Use Prices'!$A$6:$A$89,0)+MATCH($D56,'[2]End - Use Prices'!$B$9:$B$11,0)-1,MATCH(AX$1,'[2]End - Use Prices'!$C$7:$AL$7,0))</f>
        <v>34.89</v>
      </c>
      <c r="AY56" s="41">
        <f>INDEX('[2]End - Use Prices'!$C$6:$AL$89,MATCH($C56,'[2]End - Use Prices'!$A$6:$A$89,0)+MATCH($D56,'[2]End - Use Prices'!$B$9:$B$11,0)-1,MATCH(AY$1,'[2]End - Use Prices'!$C$7:$AL$7,0))</f>
        <v>34.79</v>
      </c>
      <c r="AZ56" s="41">
        <f>INDEX('[2]End - Use Prices'!$C$6:$AL$89,MATCH($C56,'[2]End - Use Prices'!$A$6:$A$89,0)+MATCH($D56,'[2]End - Use Prices'!$B$9:$B$11,0)-1,MATCH(AZ$1,'[2]End - Use Prices'!$C$7:$AL$7,0))</f>
        <v>34.729999999999997</v>
      </c>
      <c r="BA56" s="41">
        <f>INDEX('[2]End - Use Prices'!$C$6:$AL$89,MATCH($C56,'[2]End - Use Prices'!$A$6:$A$89,0)+MATCH($D56,'[2]End - Use Prices'!$B$9:$B$11,0)-1,MATCH(BA$1,'[2]End - Use Prices'!$C$7:$AL$7,0))</f>
        <v>34.69</v>
      </c>
      <c r="BB56" s="41">
        <f>INDEX('[2]End - Use Prices'!$C$6:$AL$89,MATCH($C56,'[2]End - Use Prices'!$A$6:$A$89,0)+MATCH($D56,'[2]End - Use Prices'!$B$9:$B$11,0)-1,MATCH(BB$1,'[2]End - Use Prices'!$C$7:$AL$7,0))</f>
        <v>34.64</v>
      </c>
      <c r="BC56" s="41">
        <f>INDEX('[2]End - Use Prices'!$C$6:$AL$89,MATCH($C56,'[2]End - Use Prices'!$A$6:$A$89,0)+MATCH($D56,'[2]End - Use Prices'!$B$9:$B$11,0)-1,MATCH(BC$1,'[2]End - Use Prices'!$C$7:$AL$7,0))</f>
        <v>34.58</v>
      </c>
      <c r="BD56" s="41">
        <f>INDEX('[2]End - Use Prices'!$C$6:$AL$89,MATCH($C56,'[2]End - Use Prices'!$A$6:$A$89,0)+MATCH($D56,'[2]End - Use Prices'!$B$9:$B$11,0)-1,MATCH(BD$1,'[2]End - Use Prices'!$C$7:$AL$7,0))</f>
        <v>34.49</v>
      </c>
      <c r="BE56" s="41">
        <f>INDEX('[2]End - Use Prices'!$C$6:$AL$89,MATCH($C56,'[2]End - Use Prices'!$A$6:$A$89,0)+MATCH($D56,'[2]End - Use Prices'!$B$9:$B$11,0)-1,MATCH(BE$1,'[2]End - Use Prices'!$C$7:$AL$7,0))</f>
        <v>34.380000000000003</v>
      </c>
      <c r="BF56" s="41">
        <f>INDEX('[2]End - Use Prices'!$C$6:$AL$89,MATCH($C56,'[2]End - Use Prices'!$A$6:$A$89,0)+MATCH($D56,'[2]End - Use Prices'!$B$9:$B$11,0)-1,MATCH(BF$1,'[2]End - Use Prices'!$C$7:$AL$7,0))</f>
        <v>34.270000000000003</v>
      </c>
      <c r="BG56" s="41">
        <f>INDEX('[2]End - Use Prices'!$C$6:$AL$89,MATCH($C56,'[2]End - Use Prices'!$A$6:$A$89,0)+MATCH($D56,'[2]End - Use Prices'!$B$9:$B$11,0)-1,MATCH(BG$1,'[2]End - Use Prices'!$C$7:$AL$7,0))</f>
        <v>34.14</v>
      </c>
      <c r="BR56" s="39"/>
      <c r="BS56" s="39"/>
      <c r="BT56" s="39"/>
      <c r="BU56" s="39"/>
      <c r="BV56" s="39"/>
      <c r="BW56" s="39"/>
      <c r="BX56" s="39"/>
      <c r="BY56" s="39"/>
      <c r="BZ56" s="39"/>
      <c r="CA56" s="39"/>
    </row>
    <row r="57" spans="1:79">
      <c r="A57" s="5"/>
      <c r="B57" s="3"/>
      <c r="C57" s="25" t="s">
        <v>92</v>
      </c>
      <c r="D57" s="25" t="s">
        <v>276</v>
      </c>
      <c r="E57" s="25" t="s">
        <v>277</v>
      </c>
      <c r="F57" s="67" t="s">
        <v>275</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INDEX('[2]End - Use Prices'!$C$6:$AL$89,MATCH($C57,'[2]End - Use Prices'!$A$6:$A$89,0)+MATCH($D57,'[2]End - Use Prices'!$B$9:$B$11,0)-1,MATCH(X$1,'[2]End - Use Prices'!$C$7:$AL$7,0))</f>
        <v>29.08</v>
      </c>
      <c r="Y57" s="41">
        <f>INDEX('[2]End - Use Prices'!$C$6:$AL$89,MATCH($C57,'[2]End - Use Prices'!$A$6:$A$89,0)+MATCH($D57,'[2]End - Use Prices'!$B$9:$B$11,0)-1,MATCH(Y$1,'[2]End - Use Prices'!$C$7:$AL$7,0))</f>
        <v>30.15</v>
      </c>
      <c r="Z57" s="41">
        <f>INDEX('[2]End - Use Prices'!$C$6:$AL$89,MATCH($C57,'[2]End - Use Prices'!$A$6:$A$89,0)+MATCH($D57,'[2]End - Use Prices'!$B$9:$B$11,0)-1,MATCH(Z$1,'[2]End - Use Prices'!$C$7:$AL$7,0))</f>
        <v>31.73</v>
      </c>
      <c r="AA57" s="41">
        <f>INDEX('[2]End - Use Prices'!$C$6:$AL$89,MATCH($C57,'[2]End - Use Prices'!$A$6:$A$89,0)+MATCH($D57,'[2]End - Use Prices'!$B$9:$B$11,0)-1,MATCH(AA$1,'[2]End - Use Prices'!$C$7:$AL$7,0))</f>
        <v>37.46</v>
      </c>
      <c r="AB57" s="41">
        <f>INDEX('[2]End - Use Prices'!$C$6:$AL$89,MATCH($C57,'[2]End - Use Prices'!$A$6:$A$89,0)+MATCH($D57,'[2]End - Use Prices'!$B$9:$B$11,0)-1,MATCH(AB$1,'[2]End - Use Prices'!$C$7:$AL$7,0))</f>
        <v>28.89</v>
      </c>
      <c r="AC57" s="41">
        <f>INDEX('[2]End - Use Prices'!$C$6:$AL$89,MATCH($C57,'[2]End - Use Prices'!$A$6:$A$89,0)+MATCH($D57,'[2]End - Use Prices'!$B$9:$B$11,0)-1,MATCH(AC$1,'[2]End - Use Prices'!$C$7:$AL$7,0))</f>
        <v>31.56</v>
      </c>
      <c r="AD57" s="41">
        <f>INDEX('[2]End - Use Prices'!$C$6:$AL$89,MATCH($C57,'[2]End - Use Prices'!$A$6:$A$89,0)+MATCH($D57,'[2]End - Use Prices'!$B$9:$B$11,0)-1,MATCH(AD$1,'[2]End - Use Prices'!$C$7:$AL$7,0))</f>
        <v>36.9</v>
      </c>
      <c r="AE57" s="41">
        <f>INDEX('[2]End - Use Prices'!$C$6:$AL$89,MATCH($C57,'[2]End - Use Prices'!$A$6:$A$89,0)+MATCH($D57,'[2]End - Use Prices'!$B$9:$B$11,0)-1,MATCH(AE$1,'[2]End - Use Prices'!$C$7:$AL$7,0))</f>
        <v>38.08</v>
      </c>
      <c r="AF57" s="41">
        <f>INDEX('[2]End - Use Prices'!$C$6:$AL$89,MATCH($C57,'[2]End - Use Prices'!$A$6:$A$89,0)+MATCH($D57,'[2]End - Use Prices'!$B$9:$B$11,0)-1,MATCH(AF$1,'[2]End - Use Prices'!$C$7:$AL$7,0))</f>
        <v>36.86</v>
      </c>
      <c r="AG57" s="41">
        <f>INDEX('[2]End - Use Prices'!$C$6:$AL$89,MATCH($C57,'[2]End - Use Prices'!$A$6:$A$89,0)+MATCH($D57,'[2]End - Use Prices'!$B$9:$B$11,0)-1,MATCH(AG$1,'[2]End - Use Prices'!$C$7:$AL$7,0))</f>
        <v>37.01</v>
      </c>
      <c r="AH57" s="41">
        <f>INDEX('[2]End - Use Prices'!$C$6:$AL$89,MATCH($C57,'[2]End - Use Prices'!$A$6:$A$89,0)+MATCH($D57,'[2]End - Use Prices'!$B$9:$B$11,0)-1,MATCH(AH$1,'[2]End - Use Prices'!$C$7:$AL$7,0))</f>
        <v>29.89</v>
      </c>
      <c r="AI57" s="41">
        <f>INDEX('[2]End - Use Prices'!$C$6:$AL$89,MATCH($C57,'[2]End - Use Prices'!$A$6:$A$89,0)+MATCH($D57,'[2]End - Use Prices'!$B$9:$B$11,0)-1,MATCH(AI$1,'[2]End - Use Prices'!$C$7:$AL$7,0))</f>
        <v>25.86</v>
      </c>
      <c r="AJ57" s="41">
        <f>INDEX('[2]End - Use Prices'!$C$6:$AL$89,MATCH($C57,'[2]End - Use Prices'!$A$6:$A$89,0)+MATCH($D57,'[2]End - Use Prices'!$B$9:$B$11,0)-1,MATCH(AJ$1,'[2]End - Use Prices'!$C$7:$AL$7,0))</f>
        <v>27.9</v>
      </c>
      <c r="AK57" s="41">
        <f>INDEX('[2]End - Use Prices'!$C$6:$AL$89,MATCH($C57,'[2]End - Use Prices'!$A$6:$A$89,0)+MATCH($D57,'[2]End - Use Prices'!$B$9:$B$11,0)-1,MATCH(AK$1,'[2]End - Use Prices'!$C$7:$AL$7,0))</f>
        <v>31.56</v>
      </c>
      <c r="AL57" s="41">
        <f>INDEX('[2]End - Use Prices'!$C$6:$AL$89,MATCH($C57,'[2]End - Use Prices'!$A$6:$A$89,0)+MATCH($D57,'[2]End - Use Prices'!$B$9:$B$11,0)-1,MATCH(AL$1,'[2]End - Use Prices'!$C$7:$AL$7,0))</f>
        <v>33.29</v>
      </c>
      <c r="AM57" s="41">
        <f>INDEX('[2]End - Use Prices'!$C$6:$AL$89,MATCH($C57,'[2]End - Use Prices'!$A$6:$A$89,0)+MATCH($D57,'[2]End - Use Prices'!$B$9:$B$11,0)-1,MATCH(AM$1,'[2]End - Use Prices'!$C$7:$AL$7,0))</f>
        <v>37.340000000000003</v>
      </c>
      <c r="AN57" s="41">
        <f>INDEX('[2]End - Use Prices'!$C$6:$AL$89,MATCH($C57,'[2]End - Use Prices'!$A$6:$A$89,0)+MATCH($D57,'[2]End - Use Prices'!$B$9:$B$11,0)-1,MATCH(AN$1,'[2]End - Use Prices'!$C$7:$AL$7,0))</f>
        <v>34.270000000000003</v>
      </c>
      <c r="AO57" s="41">
        <f>INDEX('[2]End - Use Prices'!$C$6:$AL$89,MATCH($C57,'[2]End - Use Prices'!$A$6:$A$89,0)+MATCH($D57,'[2]End - Use Prices'!$B$9:$B$11,0)-1,MATCH(AO$1,'[2]End - Use Prices'!$C$7:$AL$7,0))</f>
        <v>32.229999999999997</v>
      </c>
      <c r="AP57" s="41">
        <f>INDEX('[2]End - Use Prices'!$C$6:$AL$89,MATCH($C57,'[2]End - Use Prices'!$A$6:$A$89,0)+MATCH($D57,'[2]End - Use Prices'!$B$9:$B$11,0)-1,MATCH(AP$1,'[2]End - Use Prices'!$C$7:$AL$7,0))</f>
        <v>32.729999999999997</v>
      </c>
      <c r="AQ57" s="41">
        <f>INDEX('[2]End - Use Prices'!$C$6:$AL$89,MATCH($C57,'[2]End - Use Prices'!$A$6:$A$89,0)+MATCH($D57,'[2]End - Use Prices'!$B$9:$B$11,0)-1,MATCH(AQ$1,'[2]End - Use Prices'!$C$7:$AL$7,0))</f>
        <v>32.54</v>
      </c>
      <c r="AR57" s="41">
        <f>INDEX('[2]End - Use Prices'!$C$6:$AL$89,MATCH($C57,'[2]End - Use Prices'!$A$6:$A$89,0)+MATCH($D57,'[2]End - Use Prices'!$B$9:$B$11,0)-1,MATCH(AR$1,'[2]End - Use Prices'!$C$7:$AL$7,0))</f>
        <v>32.57</v>
      </c>
      <c r="AS57" s="41">
        <f>INDEX('[2]End - Use Prices'!$C$6:$AL$89,MATCH($C57,'[2]End - Use Prices'!$A$6:$A$89,0)+MATCH($D57,'[2]End - Use Prices'!$B$9:$B$11,0)-1,MATCH(AS$1,'[2]End - Use Prices'!$C$7:$AL$7,0))</f>
        <v>32.56</v>
      </c>
      <c r="AT57" s="41">
        <f>INDEX('[2]End - Use Prices'!$C$6:$AL$89,MATCH($C57,'[2]End - Use Prices'!$A$6:$A$89,0)+MATCH($D57,'[2]End - Use Prices'!$B$9:$B$11,0)-1,MATCH(AT$1,'[2]End - Use Prices'!$C$7:$AL$7,0))</f>
        <v>32.44</v>
      </c>
      <c r="AU57" s="41">
        <f>INDEX('[2]End - Use Prices'!$C$6:$AL$89,MATCH($C57,'[2]End - Use Prices'!$A$6:$A$89,0)+MATCH($D57,'[2]End - Use Prices'!$B$9:$B$11,0)-1,MATCH(AU$1,'[2]End - Use Prices'!$C$7:$AL$7,0))</f>
        <v>32.29</v>
      </c>
      <c r="AV57" s="41">
        <f>INDEX('[2]End - Use Prices'!$C$6:$AL$89,MATCH($C57,'[2]End - Use Prices'!$A$6:$A$89,0)+MATCH($D57,'[2]End - Use Prices'!$B$9:$B$11,0)-1,MATCH(AV$1,'[2]End - Use Prices'!$C$7:$AL$7,0))</f>
        <v>32.17</v>
      </c>
      <c r="AW57" s="41">
        <f>INDEX('[2]End - Use Prices'!$C$6:$AL$89,MATCH($C57,'[2]End - Use Prices'!$A$6:$A$89,0)+MATCH($D57,'[2]End - Use Prices'!$B$9:$B$11,0)-1,MATCH(AW$1,'[2]End - Use Prices'!$C$7:$AL$7,0))</f>
        <v>32.04</v>
      </c>
      <c r="AX57" s="41">
        <f>INDEX('[2]End - Use Prices'!$C$6:$AL$89,MATCH($C57,'[2]End - Use Prices'!$A$6:$A$89,0)+MATCH($D57,'[2]End - Use Prices'!$B$9:$B$11,0)-1,MATCH(AX$1,'[2]End - Use Prices'!$C$7:$AL$7,0))</f>
        <v>31.98</v>
      </c>
      <c r="AY57" s="41">
        <f>INDEX('[2]End - Use Prices'!$C$6:$AL$89,MATCH($C57,'[2]End - Use Prices'!$A$6:$A$89,0)+MATCH($D57,'[2]End - Use Prices'!$B$9:$B$11,0)-1,MATCH(AY$1,'[2]End - Use Prices'!$C$7:$AL$7,0))</f>
        <v>31.96</v>
      </c>
      <c r="AZ57" s="41">
        <f>INDEX('[2]End - Use Prices'!$C$6:$AL$89,MATCH($C57,'[2]End - Use Prices'!$A$6:$A$89,0)+MATCH($D57,'[2]End - Use Prices'!$B$9:$B$11,0)-1,MATCH(AZ$1,'[2]End - Use Prices'!$C$7:$AL$7,0))</f>
        <v>31.97</v>
      </c>
      <c r="BA57" s="41">
        <f>INDEX('[2]End - Use Prices'!$C$6:$AL$89,MATCH($C57,'[2]End - Use Prices'!$A$6:$A$89,0)+MATCH($D57,'[2]End - Use Prices'!$B$9:$B$11,0)-1,MATCH(BA$1,'[2]End - Use Prices'!$C$7:$AL$7,0))</f>
        <v>32.01</v>
      </c>
      <c r="BB57" s="41">
        <f>INDEX('[2]End - Use Prices'!$C$6:$AL$89,MATCH($C57,'[2]End - Use Prices'!$A$6:$A$89,0)+MATCH($D57,'[2]End - Use Prices'!$B$9:$B$11,0)-1,MATCH(BB$1,'[2]End - Use Prices'!$C$7:$AL$7,0))</f>
        <v>32.03</v>
      </c>
      <c r="BC57" s="41">
        <f>INDEX('[2]End - Use Prices'!$C$6:$AL$89,MATCH($C57,'[2]End - Use Prices'!$A$6:$A$89,0)+MATCH($D57,'[2]End - Use Prices'!$B$9:$B$11,0)-1,MATCH(BC$1,'[2]End - Use Prices'!$C$7:$AL$7,0))</f>
        <v>32.03</v>
      </c>
      <c r="BD57" s="41">
        <f>INDEX('[2]End - Use Prices'!$C$6:$AL$89,MATCH($C57,'[2]End - Use Prices'!$A$6:$A$89,0)+MATCH($D57,'[2]End - Use Prices'!$B$9:$B$11,0)-1,MATCH(BD$1,'[2]End - Use Prices'!$C$7:$AL$7,0))</f>
        <v>32.020000000000003</v>
      </c>
      <c r="BE57" s="41">
        <f>INDEX('[2]End - Use Prices'!$C$6:$AL$89,MATCH($C57,'[2]End - Use Prices'!$A$6:$A$89,0)+MATCH($D57,'[2]End - Use Prices'!$B$9:$B$11,0)-1,MATCH(BE$1,'[2]End - Use Prices'!$C$7:$AL$7,0))</f>
        <v>31.97</v>
      </c>
      <c r="BF57" s="41">
        <f>INDEX('[2]End - Use Prices'!$C$6:$AL$89,MATCH($C57,'[2]End - Use Prices'!$A$6:$A$89,0)+MATCH($D57,'[2]End - Use Prices'!$B$9:$B$11,0)-1,MATCH(BF$1,'[2]End - Use Prices'!$C$7:$AL$7,0))</f>
        <v>31.93</v>
      </c>
      <c r="BG57" s="41">
        <f>INDEX('[2]End - Use Prices'!$C$6:$AL$89,MATCH($C57,'[2]End - Use Prices'!$A$6:$A$89,0)+MATCH($D57,'[2]End - Use Prices'!$B$9:$B$11,0)-1,MATCH(BG$1,'[2]End - Use Prices'!$C$7:$AL$7,0))</f>
        <v>31.87</v>
      </c>
      <c r="BR57" s="39"/>
      <c r="BS57" s="39"/>
      <c r="BT57" s="39"/>
      <c r="BU57" s="39"/>
      <c r="BV57" s="39"/>
      <c r="BW57" s="39"/>
      <c r="BX57" s="39"/>
      <c r="BY57" s="39"/>
      <c r="BZ57" s="39"/>
      <c r="CA57" s="39"/>
    </row>
    <row r="58" spans="1:79">
      <c r="A58" s="5"/>
      <c r="B58" s="3"/>
      <c r="C58" s="25" t="s">
        <v>94</v>
      </c>
      <c r="D58" s="25" t="s">
        <v>276</v>
      </c>
      <c r="E58" s="25" t="s">
        <v>277</v>
      </c>
      <c r="F58" s="67" t="s">
        <v>275</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INDEX('[2]End - Use Prices'!$C$6:$AL$89,MATCH($C58,'[2]End - Use Prices'!$A$6:$A$89,0)+MATCH($D58,'[2]End - Use Prices'!$B$9:$B$11,0)-1,MATCH(X$1,'[2]End - Use Prices'!$C$7:$AL$7,0))</f>
        <v>26.74</v>
      </c>
      <c r="Y58" s="41">
        <f>INDEX('[2]End - Use Prices'!$C$6:$AL$89,MATCH($C58,'[2]End - Use Prices'!$A$6:$A$89,0)+MATCH($D58,'[2]End - Use Prices'!$B$9:$B$11,0)-1,MATCH(Y$1,'[2]End - Use Prices'!$C$7:$AL$7,0))</f>
        <v>27.19</v>
      </c>
      <c r="Z58" s="41">
        <f>INDEX('[2]End - Use Prices'!$C$6:$AL$89,MATCH($C58,'[2]End - Use Prices'!$A$6:$A$89,0)+MATCH($D58,'[2]End - Use Prices'!$B$9:$B$11,0)-1,MATCH(Z$1,'[2]End - Use Prices'!$C$7:$AL$7,0))</f>
        <v>29.89</v>
      </c>
      <c r="AA58" s="41">
        <f>INDEX('[2]End - Use Prices'!$C$6:$AL$89,MATCH($C58,'[2]End - Use Prices'!$A$6:$A$89,0)+MATCH($D58,'[2]End - Use Prices'!$B$9:$B$11,0)-1,MATCH(AA$1,'[2]End - Use Prices'!$C$7:$AL$7,0))</f>
        <v>36.56</v>
      </c>
      <c r="AB58" s="41">
        <f>INDEX('[2]End - Use Prices'!$C$6:$AL$89,MATCH($C58,'[2]End - Use Prices'!$A$6:$A$89,0)+MATCH($D58,'[2]End - Use Prices'!$B$9:$B$11,0)-1,MATCH(AB$1,'[2]End - Use Prices'!$C$7:$AL$7,0))</f>
        <v>26.59</v>
      </c>
      <c r="AC58" s="41">
        <f>INDEX('[2]End - Use Prices'!$C$6:$AL$89,MATCH($C58,'[2]End - Use Prices'!$A$6:$A$89,0)+MATCH($D58,'[2]End - Use Prices'!$B$9:$B$11,0)-1,MATCH(AC$1,'[2]End - Use Prices'!$C$7:$AL$7,0))</f>
        <v>28.81</v>
      </c>
      <c r="AD58" s="41">
        <f>INDEX('[2]End - Use Prices'!$C$6:$AL$89,MATCH($C58,'[2]End - Use Prices'!$A$6:$A$89,0)+MATCH($D58,'[2]End - Use Prices'!$B$9:$B$11,0)-1,MATCH(AD$1,'[2]End - Use Prices'!$C$7:$AL$7,0))</f>
        <v>34.630000000000003</v>
      </c>
      <c r="AE58" s="41">
        <f>INDEX('[2]End - Use Prices'!$C$6:$AL$89,MATCH($C58,'[2]End - Use Prices'!$A$6:$A$89,0)+MATCH($D58,'[2]End - Use Prices'!$B$9:$B$11,0)-1,MATCH(AE$1,'[2]End - Use Prices'!$C$7:$AL$7,0))</f>
        <v>34.79</v>
      </c>
      <c r="AF58" s="41">
        <f>INDEX('[2]End - Use Prices'!$C$6:$AL$89,MATCH($C58,'[2]End - Use Prices'!$A$6:$A$89,0)+MATCH($D58,'[2]End - Use Prices'!$B$9:$B$11,0)-1,MATCH(AF$1,'[2]End - Use Prices'!$C$7:$AL$7,0))</f>
        <v>33.89</v>
      </c>
      <c r="AG58" s="41">
        <f>INDEX('[2]End - Use Prices'!$C$6:$AL$89,MATCH($C58,'[2]End - Use Prices'!$A$6:$A$89,0)+MATCH($D58,'[2]End - Use Prices'!$B$9:$B$11,0)-1,MATCH(AG$1,'[2]End - Use Prices'!$C$7:$AL$7,0))</f>
        <v>36.409999999999997</v>
      </c>
      <c r="AH58" s="41">
        <f>INDEX('[2]End - Use Prices'!$C$6:$AL$89,MATCH($C58,'[2]End - Use Prices'!$A$6:$A$89,0)+MATCH($D58,'[2]End - Use Prices'!$B$9:$B$11,0)-1,MATCH(AH$1,'[2]End - Use Prices'!$C$7:$AL$7,0))</f>
        <v>28.29</v>
      </c>
      <c r="AI58" s="41">
        <f>INDEX('[2]End - Use Prices'!$C$6:$AL$89,MATCH($C58,'[2]End - Use Prices'!$A$6:$A$89,0)+MATCH($D58,'[2]End - Use Prices'!$B$9:$B$11,0)-1,MATCH(AI$1,'[2]End - Use Prices'!$C$7:$AL$7,0))</f>
        <v>24.92</v>
      </c>
      <c r="AJ58" s="41">
        <f>INDEX('[2]End - Use Prices'!$C$6:$AL$89,MATCH($C58,'[2]End - Use Prices'!$A$6:$A$89,0)+MATCH($D58,'[2]End - Use Prices'!$B$9:$B$11,0)-1,MATCH(AJ$1,'[2]End - Use Prices'!$C$7:$AL$7,0))</f>
        <v>27.54</v>
      </c>
      <c r="AK58" s="41">
        <f>INDEX('[2]End - Use Prices'!$C$6:$AL$89,MATCH($C58,'[2]End - Use Prices'!$A$6:$A$89,0)+MATCH($D58,'[2]End - Use Prices'!$B$9:$B$11,0)-1,MATCH(AK$1,'[2]End - Use Prices'!$C$7:$AL$7,0))</f>
        <v>30.62</v>
      </c>
      <c r="AL58" s="41">
        <f>INDEX('[2]End - Use Prices'!$C$6:$AL$89,MATCH($C58,'[2]End - Use Prices'!$A$6:$A$89,0)+MATCH($D58,'[2]End - Use Prices'!$B$9:$B$11,0)-1,MATCH(AL$1,'[2]End - Use Prices'!$C$7:$AL$7,0))</f>
        <v>32.35</v>
      </c>
      <c r="AM58" s="41">
        <f>INDEX('[2]End - Use Prices'!$C$6:$AL$89,MATCH($C58,'[2]End - Use Prices'!$A$6:$A$89,0)+MATCH($D58,'[2]End - Use Prices'!$B$9:$B$11,0)-1,MATCH(AM$1,'[2]End - Use Prices'!$C$7:$AL$7,0))</f>
        <v>36.4</v>
      </c>
      <c r="AN58" s="41">
        <f>INDEX('[2]End - Use Prices'!$C$6:$AL$89,MATCH($C58,'[2]End - Use Prices'!$A$6:$A$89,0)+MATCH($D58,'[2]End - Use Prices'!$B$9:$B$11,0)-1,MATCH(AN$1,'[2]End - Use Prices'!$C$7:$AL$7,0))</f>
        <v>33.33</v>
      </c>
      <c r="AO58" s="41">
        <f>INDEX('[2]End - Use Prices'!$C$6:$AL$89,MATCH($C58,'[2]End - Use Prices'!$A$6:$A$89,0)+MATCH($D58,'[2]End - Use Prices'!$B$9:$B$11,0)-1,MATCH(AO$1,'[2]End - Use Prices'!$C$7:$AL$7,0))</f>
        <v>31.29</v>
      </c>
      <c r="AP58" s="41">
        <f>INDEX('[2]End - Use Prices'!$C$6:$AL$89,MATCH($C58,'[2]End - Use Prices'!$A$6:$A$89,0)+MATCH($D58,'[2]End - Use Prices'!$B$9:$B$11,0)-1,MATCH(AP$1,'[2]End - Use Prices'!$C$7:$AL$7,0))</f>
        <v>31.79</v>
      </c>
      <c r="AQ58" s="41">
        <f>INDEX('[2]End - Use Prices'!$C$6:$AL$89,MATCH($C58,'[2]End - Use Prices'!$A$6:$A$89,0)+MATCH($D58,'[2]End - Use Prices'!$B$9:$B$11,0)-1,MATCH(AQ$1,'[2]End - Use Prices'!$C$7:$AL$7,0))</f>
        <v>31.61</v>
      </c>
      <c r="AR58" s="41">
        <f>INDEX('[2]End - Use Prices'!$C$6:$AL$89,MATCH($C58,'[2]End - Use Prices'!$A$6:$A$89,0)+MATCH($D58,'[2]End - Use Prices'!$B$9:$B$11,0)-1,MATCH(AR$1,'[2]End - Use Prices'!$C$7:$AL$7,0))</f>
        <v>31.63</v>
      </c>
      <c r="AS58" s="41">
        <f>INDEX('[2]End - Use Prices'!$C$6:$AL$89,MATCH($C58,'[2]End - Use Prices'!$A$6:$A$89,0)+MATCH($D58,'[2]End - Use Prices'!$B$9:$B$11,0)-1,MATCH(AS$1,'[2]End - Use Prices'!$C$7:$AL$7,0))</f>
        <v>31.62</v>
      </c>
      <c r="AT58" s="41">
        <f>INDEX('[2]End - Use Prices'!$C$6:$AL$89,MATCH($C58,'[2]End - Use Prices'!$A$6:$A$89,0)+MATCH($D58,'[2]End - Use Prices'!$B$9:$B$11,0)-1,MATCH(AT$1,'[2]End - Use Prices'!$C$7:$AL$7,0))</f>
        <v>31.5</v>
      </c>
      <c r="AU58" s="41">
        <f>INDEX('[2]End - Use Prices'!$C$6:$AL$89,MATCH($C58,'[2]End - Use Prices'!$A$6:$A$89,0)+MATCH($D58,'[2]End - Use Prices'!$B$9:$B$11,0)-1,MATCH(AU$1,'[2]End - Use Prices'!$C$7:$AL$7,0))</f>
        <v>31.35</v>
      </c>
      <c r="AV58" s="41">
        <f>INDEX('[2]End - Use Prices'!$C$6:$AL$89,MATCH($C58,'[2]End - Use Prices'!$A$6:$A$89,0)+MATCH($D58,'[2]End - Use Prices'!$B$9:$B$11,0)-1,MATCH(AV$1,'[2]End - Use Prices'!$C$7:$AL$7,0))</f>
        <v>31.23</v>
      </c>
      <c r="AW58" s="41">
        <f>INDEX('[2]End - Use Prices'!$C$6:$AL$89,MATCH($C58,'[2]End - Use Prices'!$A$6:$A$89,0)+MATCH($D58,'[2]End - Use Prices'!$B$9:$B$11,0)-1,MATCH(AW$1,'[2]End - Use Prices'!$C$7:$AL$7,0))</f>
        <v>31.1</v>
      </c>
      <c r="AX58" s="41">
        <f>INDEX('[2]End - Use Prices'!$C$6:$AL$89,MATCH($C58,'[2]End - Use Prices'!$A$6:$A$89,0)+MATCH($D58,'[2]End - Use Prices'!$B$9:$B$11,0)-1,MATCH(AX$1,'[2]End - Use Prices'!$C$7:$AL$7,0))</f>
        <v>31.05</v>
      </c>
      <c r="AY58" s="41">
        <f>INDEX('[2]End - Use Prices'!$C$6:$AL$89,MATCH($C58,'[2]End - Use Prices'!$A$6:$A$89,0)+MATCH($D58,'[2]End - Use Prices'!$B$9:$B$11,0)-1,MATCH(AY$1,'[2]End - Use Prices'!$C$7:$AL$7,0))</f>
        <v>31.02</v>
      </c>
      <c r="AZ58" s="41">
        <f>INDEX('[2]End - Use Prices'!$C$6:$AL$89,MATCH($C58,'[2]End - Use Prices'!$A$6:$A$89,0)+MATCH($D58,'[2]End - Use Prices'!$B$9:$B$11,0)-1,MATCH(AZ$1,'[2]End - Use Prices'!$C$7:$AL$7,0))</f>
        <v>31.03</v>
      </c>
      <c r="BA58" s="41">
        <f>INDEX('[2]End - Use Prices'!$C$6:$AL$89,MATCH($C58,'[2]End - Use Prices'!$A$6:$A$89,0)+MATCH($D58,'[2]End - Use Prices'!$B$9:$B$11,0)-1,MATCH(BA$1,'[2]End - Use Prices'!$C$7:$AL$7,0))</f>
        <v>31.07</v>
      </c>
      <c r="BB58" s="41">
        <f>INDEX('[2]End - Use Prices'!$C$6:$AL$89,MATCH($C58,'[2]End - Use Prices'!$A$6:$A$89,0)+MATCH($D58,'[2]End - Use Prices'!$B$9:$B$11,0)-1,MATCH(BB$1,'[2]End - Use Prices'!$C$7:$AL$7,0))</f>
        <v>31.09</v>
      </c>
      <c r="BC58" s="41">
        <f>INDEX('[2]End - Use Prices'!$C$6:$AL$89,MATCH($C58,'[2]End - Use Prices'!$A$6:$A$89,0)+MATCH($D58,'[2]End - Use Prices'!$B$9:$B$11,0)-1,MATCH(BC$1,'[2]End - Use Prices'!$C$7:$AL$7,0))</f>
        <v>31.09</v>
      </c>
      <c r="BD58" s="41">
        <f>INDEX('[2]End - Use Prices'!$C$6:$AL$89,MATCH($C58,'[2]End - Use Prices'!$A$6:$A$89,0)+MATCH($D58,'[2]End - Use Prices'!$B$9:$B$11,0)-1,MATCH(BD$1,'[2]End - Use Prices'!$C$7:$AL$7,0))</f>
        <v>31.08</v>
      </c>
      <c r="BE58" s="41">
        <f>INDEX('[2]End - Use Prices'!$C$6:$AL$89,MATCH($C58,'[2]End - Use Prices'!$A$6:$A$89,0)+MATCH($D58,'[2]End - Use Prices'!$B$9:$B$11,0)-1,MATCH(BE$1,'[2]End - Use Prices'!$C$7:$AL$7,0))</f>
        <v>31.03</v>
      </c>
      <c r="BF58" s="41">
        <f>INDEX('[2]End - Use Prices'!$C$6:$AL$89,MATCH($C58,'[2]End - Use Prices'!$A$6:$A$89,0)+MATCH($D58,'[2]End - Use Prices'!$B$9:$B$11,0)-1,MATCH(BF$1,'[2]End - Use Prices'!$C$7:$AL$7,0))</f>
        <v>30.99</v>
      </c>
      <c r="BG58" s="41">
        <f>INDEX('[2]End - Use Prices'!$C$6:$AL$89,MATCH($C58,'[2]End - Use Prices'!$A$6:$A$89,0)+MATCH($D58,'[2]End - Use Prices'!$B$9:$B$11,0)-1,MATCH(BG$1,'[2]End - Use Prices'!$C$7:$AL$7,0))</f>
        <v>30.93</v>
      </c>
      <c r="BR58" s="39"/>
      <c r="BS58" s="39"/>
      <c r="BT58" s="39"/>
      <c r="BU58" s="39"/>
      <c r="BV58" s="39"/>
      <c r="BW58" s="39"/>
      <c r="BX58" s="39"/>
      <c r="BY58" s="39"/>
      <c r="BZ58" s="39"/>
      <c r="CA58" s="39"/>
    </row>
    <row r="59" spans="1:79">
      <c r="A59" s="5"/>
      <c r="B59" s="3"/>
      <c r="C59" s="25" t="s">
        <v>93</v>
      </c>
      <c r="D59" s="25" t="s">
        <v>276</v>
      </c>
      <c r="E59" s="25" t="s">
        <v>277</v>
      </c>
      <c r="F59" s="67" t="s">
        <v>275</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INDEX('[2]End - Use Prices'!$C$6:$AL$89,MATCH($C59,'[2]End - Use Prices'!$A$6:$A$89,0)+MATCH($D59,'[2]End - Use Prices'!$B$9:$B$11,0)-1,MATCH(X$1,'[2]End - Use Prices'!$C$7:$AL$7,0))</f>
        <v>26.74</v>
      </c>
      <c r="Y59" s="41">
        <f>INDEX('[2]End - Use Prices'!$C$6:$AL$89,MATCH($C59,'[2]End - Use Prices'!$A$6:$A$89,0)+MATCH($D59,'[2]End - Use Prices'!$B$9:$B$11,0)-1,MATCH(Y$1,'[2]End - Use Prices'!$C$7:$AL$7,0))</f>
        <v>27.19</v>
      </c>
      <c r="Z59" s="41">
        <f>INDEX('[2]End - Use Prices'!$C$6:$AL$89,MATCH($C59,'[2]End - Use Prices'!$A$6:$A$89,0)+MATCH($D59,'[2]End - Use Prices'!$B$9:$B$11,0)-1,MATCH(Z$1,'[2]End - Use Prices'!$C$7:$AL$7,0))</f>
        <v>29.89</v>
      </c>
      <c r="AA59" s="41">
        <f>INDEX('[2]End - Use Prices'!$C$6:$AL$89,MATCH($C59,'[2]End - Use Prices'!$A$6:$A$89,0)+MATCH($D59,'[2]End - Use Prices'!$B$9:$B$11,0)-1,MATCH(AA$1,'[2]End - Use Prices'!$C$7:$AL$7,0))</f>
        <v>36.56</v>
      </c>
      <c r="AB59" s="41">
        <f>INDEX('[2]End - Use Prices'!$C$6:$AL$89,MATCH($C59,'[2]End - Use Prices'!$A$6:$A$89,0)+MATCH($D59,'[2]End - Use Prices'!$B$9:$B$11,0)-1,MATCH(AB$1,'[2]End - Use Prices'!$C$7:$AL$7,0))</f>
        <v>26.59</v>
      </c>
      <c r="AC59" s="41">
        <f>INDEX('[2]End - Use Prices'!$C$6:$AL$89,MATCH($C59,'[2]End - Use Prices'!$A$6:$A$89,0)+MATCH($D59,'[2]End - Use Prices'!$B$9:$B$11,0)-1,MATCH(AC$1,'[2]End - Use Prices'!$C$7:$AL$7,0))</f>
        <v>28.81</v>
      </c>
      <c r="AD59" s="41">
        <f>INDEX('[2]End - Use Prices'!$C$6:$AL$89,MATCH($C59,'[2]End - Use Prices'!$A$6:$A$89,0)+MATCH($D59,'[2]End - Use Prices'!$B$9:$B$11,0)-1,MATCH(AD$1,'[2]End - Use Prices'!$C$7:$AL$7,0))</f>
        <v>34.630000000000003</v>
      </c>
      <c r="AE59" s="41">
        <f>INDEX('[2]End - Use Prices'!$C$6:$AL$89,MATCH($C59,'[2]End - Use Prices'!$A$6:$A$89,0)+MATCH($D59,'[2]End - Use Prices'!$B$9:$B$11,0)-1,MATCH(AE$1,'[2]End - Use Prices'!$C$7:$AL$7,0))</f>
        <v>34.79</v>
      </c>
      <c r="AF59" s="41">
        <f>INDEX('[2]End - Use Prices'!$C$6:$AL$89,MATCH($C59,'[2]End - Use Prices'!$A$6:$A$89,0)+MATCH($D59,'[2]End - Use Prices'!$B$9:$B$11,0)-1,MATCH(AF$1,'[2]End - Use Prices'!$C$7:$AL$7,0))</f>
        <v>33.89</v>
      </c>
      <c r="AG59" s="41">
        <f>INDEX('[2]End - Use Prices'!$C$6:$AL$89,MATCH($C59,'[2]End - Use Prices'!$A$6:$A$89,0)+MATCH($D59,'[2]End - Use Prices'!$B$9:$B$11,0)-1,MATCH(AG$1,'[2]End - Use Prices'!$C$7:$AL$7,0))</f>
        <v>36.409999999999997</v>
      </c>
      <c r="AH59" s="41">
        <f>INDEX('[2]End - Use Prices'!$C$6:$AL$89,MATCH($C59,'[2]End - Use Prices'!$A$6:$A$89,0)+MATCH($D59,'[2]End - Use Prices'!$B$9:$B$11,0)-1,MATCH(AH$1,'[2]End - Use Prices'!$C$7:$AL$7,0))</f>
        <v>28.29</v>
      </c>
      <c r="AI59" s="41">
        <f>INDEX('[2]End - Use Prices'!$C$6:$AL$89,MATCH($C59,'[2]End - Use Prices'!$A$6:$A$89,0)+MATCH($D59,'[2]End - Use Prices'!$B$9:$B$11,0)-1,MATCH(AI$1,'[2]End - Use Prices'!$C$7:$AL$7,0))</f>
        <v>24.92</v>
      </c>
      <c r="AJ59" s="41">
        <f>INDEX('[2]End - Use Prices'!$C$6:$AL$89,MATCH($C59,'[2]End - Use Prices'!$A$6:$A$89,0)+MATCH($D59,'[2]End - Use Prices'!$B$9:$B$11,0)-1,MATCH(AJ$1,'[2]End - Use Prices'!$C$7:$AL$7,0))</f>
        <v>27.54</v>
      </c>
      <c r="AK59" s="41">
        <f>INDEX('[2]End - Use Prices'!$C$6:$AL$89,MATCH($C59,'[2]End - Use Prices'!$A$6:$A$89,0)+MATCH($D59,'[2]End - Use Prices'!$B$9:$B$11,0)-1,MATCH(AK$1,'[2]End - Use Prices'!$C$7:$AL$7,0))</f>
        <v>30.62</v>
      </c>
      <c r="AL59" s="41">
        <f>INDEX('[2]End - Use Prices'!$C$6:$AL$89,MATCH($C59,'[2]End - Use Prices'!$A$6:$A$89,0)+MATCH($D59,'[2]End - Use Prices'!$B$9:$B$11,0)-1,MATCH(AL$1,'[2]End - Use Prices'!$C$7:$AL$7,0))</f>
        <v>32.35</v>
      </c>
      <c r="AM59" s="41">
        <f>INDEX('[2]End - Use Prices'!$C$6:$AL$89,MATCH($C59,'[2]End - Use Prices'!$A$6:$A$89,0)+MATCH($D59,'[2]End - Use Prices'!$B$9:$B$11,0)-1,MATCH(AM$1,'[2]End - Use Prices'!$C$7:$AL$7,0))</f>
        <v>36.33</v>
      </c>
      <c r="AN59" s="41">
        <f>INDEX('[2]End - Use Prices'!$C$6:$AL$89,MATCH($C59,'[2]End - Use Prices'!$A$6:$A$89,0)+MATCH($D59,'[2]End - Use Prices'!$B$9:$B$11,0)-1,MATCH(AN$1,'[2]End - Use Prices'!$C$7:$AL$7,0))</f>
        <v>33.229999999999997</v>
      </c>
      <c r="AO59" s="41">
        <f>INDEX('[2]End - Use Prices'!$C$6:$AL$89,MATCH($C59,'[2]End - Use Prices'!$A$6:$A$89,0)+MATCH($D59,'[2]End - Use Prices'!$B$9:$B$11,0)-1,MATCH(AO$1,'[2]End - Use Prices'!$C$7:$AL$7,0))</f>
        <v>31.15</v>
      </c>
      <c r="AP59" s="41">
        <f>INDEX('[2]End - Use Prices'!$C$6:$AL$89,MATCH($C59,'[2]End - Use Prices'!$A$6:$A$89,0)+MATCH($D59,'[2]End - Use Prices'!$B$9:$B$11,0)-1,MATCH(AP$1,'[2]End - Use Prices'!$C$7:$AL$7,0))</f>
        <v>31.62</v>
      </c>
      <c r="AQ59" s="41">
        <f>INDEX('[2]End - Use Prices'!$C$6:$AL$89,MATCH($C59,'[2]End - Use Prices'!$A$6:$A$89,0)+MATCH($D59,'[2]End - Use Prices'!$B$9:$B$11,0)-1,MATCH(AQ$1,'[2]End - Use Prices'!$C$7:$AL$7,0))</f>
        <v>31.44</v>
      </c>
      <c r="AR59" s="41">
        <f>INDEX('[2]End - Use Prices'!$C$6:$AL$89,MATCH($C59,'[2]End - Use Prices'!$A$6:$A$89,0)+MATCH($D59,'[2]End - Use Prices'!$B$9:$B$11,0)-1,MATCH(AR$1,'[2]End - Use Prices'!$C$7:$AL$7,0))</f>
        <v>31.48</v>
      </c>
      <c r="AS59" s="41">
        <f>INDEX('[2]End - Use Prices'!$C$6:$AL$89,MATCH($C59,'[2]End - Use Prices'!$A$6:$A$89,0)+MATCH($D59,'[2]End - Use Prices'!$B$9:$B$11,0)-1,MATCH(AS$1,'[2]End - Use Prices'!$C$7:$AL$7,0))</f>
        <v>31.46</v>
      </c>
      <c r="AT59" s="41">
        <f>INDEX('[2]End - Use Prices'!$C$6:$AL$89,MATCH($C59,'[2]End - Use Prices'!$A$6:$A$89,0)+MATCH($D59,'[2]End - Use Prices'!$B$9:$B$11,0)-1,MATCH(AT$1,'[2]End - Use Prices'!$C$7:$AL$7,0))</f>
        <v>31.36</v>
      </c>
      <c r="AU59" s="41">
        <f>INDEX('[2]End - Use Prices'!$C$6:$AL$89,MATCH($C59,'[2]End - Use Prices'!$A$6:$A$89,0)+MATCH($D59,'[2]End - Use Prices'!$B$9:$B$11,0)-1,MATCH(AU$1,'[2]End - Use Prices'!$C$7:$AL$7,0))</f>
        <v>31.2</v>
      </c>
      <c r="AV59" s="41">
        <f>INDEX('[2]End - Use Prices'!$C$6:$AL$89,MATCH($C59,'[2]End - Use Prices'!$A$6:$A$89,0)+MATCH($D59,'[2]End - Use Prices'!$B$9:$B$11,0)-1,MATCH(AV$1,'[2]End - Use Prices'!$C$7:$AL$7,0))</f>
        <v>31.09</v>
      </c>
      <c r="AW59" s="41">
        <f>INDEX('[2]End - Use Prices'!$C$6:$AL$89,MATCH($C59,'[2]End - Use Prices'!$A$6:$A$89,0)+MATCH($D59,'[2]End - Use Prices'!$B$9:$B$11,0)-1,MATCH(AW$1,'[2]End - Use Prices'!$C$7:$AL$7,0))</f>
        <v>30.97</v>
      </c>
      <c r="AX59" s="41">
        <f>INDEX('[2]End - Use Prices'!$C$6:$AL$89,MATCH($C59,'[2]End - Use Prices'!$A$6:$A$89,0)+MATCH($D59,'[2]End - Use Prices'!$B$9:$B$11,0)-1,MATCH(AX$1,'[2]End - Use Prices'!$C$7:$AL$7,0))</f>
        <v>30.91</v>
      </c>
      <c r="AY59" s="41">
        <f>INDEX('[2]End - Use Prices'!$C$6:$AL$89,MATCH($C59,'[2]End - Use Prices'!$A$6:$A$89,0)+MATCH($D59,'[2]End - Use Prices'!$B$9:$B$11,0)-1,MATCH(AY$1,'[2]End - Use Prices'!$C$7:$AL$7,0))</f>
        <v>30.89</v>
      </c>
      <c r="AZ59" s="41">
        <f>INDEX('[2]End - Use Prices'!$C$6:$AL$89,MATCH($C59,'[2]End - Use Prices'!$A$6:$A$89,0)+MATCH($D59,'[2]End - Use Prices'!$B$9:$B$11,0)-1,MATCH(AZ$1,'[2]End - Use Prices'!$C$7:$AL$7,0))</f>
        <v>30.9</v>
      </c>
      <c r="BA59" s="41">
        <f>INDEX('[2]End - Use Prices'!$C$6:$AL$89,MATCH($C59,'[2]End - Use Prices'!$A$6:$A$89,0)+MATCH($D59,'[2]End - Use Prices'!$B$9:$B$11,0)-1,MATCH(BA$1,'[2]End - Use Prices'!$C$7:$AL$7,0))</f>
        <v>30.94</v>
      </c>
      <c r="BB59" s="41">
        <f>INDEX('[2]End - Use Prices'!$C$6:$AL$89,MATCH($C59,'[2]End - Use Prices'!$A$6:$A$89,0)+MATCH($D59,'[2]End - Use Prices'!$B$9:$B$11,0)-1,MATCH(BB$1,'[2]End - Use Prices'!$C$7:$AL$7,0))</f>
        <v>30.96</v>
      </c>
      <c r="BC59" s="41">
        <f>INDEX('[2]End - Use Prices'!$C$6:$AL$89,MATCH($C59,'[2]End - Use Prices'!$A$6:$A$89,0)+MATCH($D59,'[2]End - Use Prices'!$B$9:$B$11,0)-1,MATCH(BC$1,'[2]End - Use Prices'!$C$7:$AL$7,0))</f>
        <v>30.97</v>
      </c>
      <c r="BD59" s="41">
        <f>INDEX('[2]End - Use Prices'!$C$6:$AL$89,MATCH($C59,'[2]End - Use Prices'!$A$6:$A$89,0)+MATCH($D59,'[2]End - Use Prices'!$B$9:$B$11,0)-1,MATCH(BD$1,'[2]End - Use Prices'!$C$7:$AL$7,0))</f>
        <v>30.96</v>
      </c>
      <c r="BE59" s="41">
        <f>INDEX('[2]End - Use Prices'!$C$6:$AL$89,MATCH($C59,'[2]End - Use Prices'!$A$6:$A$89,0)+MATCH($D59,'[2]End - Use Prices'!$B$9:$B$11,0)-1,MATCH(BE$1,'[2]End - Use Prices'!$C$7:$AL$7,0))</f>
        <v>30.91</v>
      </c>
      <c r="BF59" s="41">
        <f>INDEX('[2]End - Use Prices'!$C$6:$AL$89,MATCH($C59,'[2]End - Use Prices'!$A$6:$A$89,0)+MATCH($D59,'[2]End - Use Prices'!$B$9:$B$11,0)-1,MATCH(BF$1,'[2]End - Use Prices'!$C$7:$AL$7,0))</f>
        <v>30.87</v>
      </c>
      <c r="BG59" s="41">
        <f>INDEX('[2]End - Use Prices'!$C$6:$AL$89,MATCH($C59,'[2]End - Use Prices'!$A$6:$A$89,0)+MATCH($D59,'[2]End - Use Prices'!$B$9:$B$11,0)-1,MATCH(BG$1,'[2]End - Use Prices'!$C$7:$AL$7,0))</f>
        <v>30.82</v>
      </c>
      <c r="BR59" s="39"/>
      <c r="BS59" s="39"/>
      <c r="BT59" s="39"/>
      <c r="BU59" s="39"/>
      <c r="BV59" s="39"/>
      <c r="BW59" s="39"/>
      <c r="BX59" s="39"/>
      <c r="BY59" s="39"/>
      <c r="BZ59" s="39"/>
      <c r="CA59" s="39"/>
    </row>
    <row r="60" spans="1:79" s="39" customFormat="1">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c r="A62" s="5"/>
      <c r="B62" s="64" t="s">
        <v>57</v>
      </c>
      <c r="C62" s="25" t="s">
        <v>47</v>
      </c>
      <c r="D62" s="25" t="s">
        <v>2</v>
      </c>
      <c r="E62" s="25" t="s">
        <v>277</v>
      </c>
      <c r="F62" s="67" t="s">
        <v>275</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INDEX('[2]End - Use Prices'!$C$6:$AL$89,MATCH($C62,'[2]End - Use Prices'!$A$6:$A$89,0)+MATCH($D62,'[2]End - Use Prices'!$B$9:$B$11,0)-1,MATCH(X$1,'[2]End - Use Prices'!$C$7:$AL$7,0))</f>
        <v>28.95</v>
      </c>
      <c r="Y62" s="41">
        <f>INDEX('[2]End - Use Prices'!$C$6:$AL$89,MATCH($C62,'[2]End - Use Prices'!$A$6:$A$89,0)+MATCH($D62,'[2]End - Use Prices'!$B$9:$B$11,0)-1,MATCH(Y$1,'[2]End - Use Prices'!$C$7:$AL$7,0))</f>
        <v>32.35</v>
      </c>
      <c r="Z62" s="41">
        <f>INDEX('[2]End - Use Prices'!$C$6:$AL$89,MATCH($C62,'[2]End - Use Prices'!$A$6:$A$89,0)+MATCH($D62,'[2]End - Use Prices'!$B$9:$B$11,0)-1,MATCH(Z$1,'[2]End - Use Prices'!$C$7:$AL$7,0))</f>
        <v>31.56</v>
      </c>
      <c r="AA62" s="41">
        <f>INDEX('[2]End - Use Prices'!$C$6:$AL$89,MATCH($C62,'[2]End - Use Prices'!$A$6:$A$89,0)+MATCH($D62,'[2]End - Use Prices'!$B$9:$B$11,0)-1,MATCH(AA$1,'[2]End - Use Prices'!$C$7:$AL$7,0))</f>
        <v>30.57</v>
      </c>
      <c r="AB62" s="41">
        <f>INDEX('[2]End - Use Prices'!$C$6:$AL$89,MATCH($C62,'[2]End - Use Prices'!$A$6:$A$89,0)+MATCH($D62,'[2]End - Use Prices'!$B$9:$B$11,0)-1,MATCH(AB$1,'[2]End - Use Prices'!$C$7:$AL$7,0))</f>
        <v>31.64</v>
      </c>
      <c r="AC62" s="41">
        <f>INDEX('[2]End - Use Prices'!$C$6:$AL$89,MATCH($C62,'[2]End - Use Prices'!$A$6:$A$89,0)+MATCH($D62,'[2]End - Use Prices'!$B$9:$B$11,0)-1,MATCH(AC$1,'[2]End - Use Prices'!$C$7:$AL$7,0))</f>
        <v>31.32</v>
      </c>
      <c r="AD62" s="41">
        <f>INDEX('[2]End - Use Prices'!$C$6:$AL$89,MATCH($C62,'[2]End - Use Prices'!$A$6:$A$89,0)+MATCH($D62,'[2]End - Use Prices'!$B$9:$B$11,0)-1,MATCH(AD$1,'[2]End - Use Prices'!$C$7:$AL$7,0))</f>
        <v>32.659999999999997</v>
      </c>
      <c r="AE62" s="41">
        <f>INDEX('[2]End - Use Prices'!$C$6:$AL$89,MATCH($C62,'[2]End - Use Prices'!$A$6:$A$89,0)+MATCH($D62,'[2]End - Use Prices'!$B$9:$B$11,0)-1,MATCH(AE$1,'[2]End - Use Prices'!$C$7:$AL$7,0))</f>
        <v>32.83</v>
      </c>
      <c r="AF62" s="41">
        <f>INDEX('[2]End - Use Prices'!$C$6:$AL$89,MATCH($C62,'[2]End - Use Prices'!$A$6:$A$89,0)+MATCH($D62,'[2]End - Use Prices'!$B$9:$B$11,0)-1,MATCH(AF$1,'[2]End - Use Prices'!$C$7:$AL$7,0))</f>
        <v>32.92</v>
      </c>
      <c r="AG62" s="41">
        <f>INDEX('[2]End - Use Prices'!$C$6:$AL$89,MATCH($C62,'[2]End - Use Prices'!$A$6:$A$89,0)+MATCH($D62,'[2]End - Use Prices'!$B$9:$B$11,0)-1,MATCH(AG$1,'[2]End - Use Prices'!$C$7:$AL$7,0))</f>
        <v>33.6</v>
      </c>
      <c r="AH62" s="41">
        <f>INDEX('[2]End - Use Prices'!$C$6:$AL$89,MATCH($C62,'[2]End - Use Prices'!$A$6:$A$89,0)+MATCH($D62,'[2]End - Use Prices'!$B$9:$B$11,0)-1,MATCH(AH$1,'[2]End - Use Prices'!$C$7:$AL$7,0))</f>
        <v>34.979999999999997</v>
      </c>
      <c r="AI62" s="41">
        <f>INDEX('[2]End - Use Prices'!$C$6:$AL$89,MATCH($C62,'[2]End - Use Prices'!$A$6:$A$89,0)+MATCH($D62,'[2]End - Use Prices'!$B$9:$B$11,0)-1,MATCH(AI$1,'[2]End - Use Prices'!$C$7:$AL$7,0))</f>
        <v>37.61</v>
      </c>
      <c r="AJ62" s="41">
        <f>INDEX('[2]End - Use Prices'!$C$6:$AL$89,MATCH($C62,'[2]End - Use Prices'!$A$6:$A$89,0)+MATCH($D62,'[2]End - Use Prices'!$B$9:$B$11,0)-1,MATCH(AJ$1,'[2]End - Use Prices'!$C$7:$AL$7,0))</f>
        <v>37.65</v>
      </c>
      <c r="AK62" s="41">
        <f>INDEX('[2]End - Use Prices'!$C$6:$AL$89,MATCH($C62,'[2]End - Use Prices'!$A$6:$A$89,0)+MATCH($D62,'[2]End - Use Prices'!$B$9:$B$11,0)-1,MATCH(AK$1,'[2]End - Use Prices'!$C$7:$AL$7,0))</f>
        <v>38.03</v>
      </c>
      <c r="AL62" s="41">
        <f>INDEX('[2]End - Use Prices'!$C$6:$AL$89,MATCH($C62,'[2]End - Use Prices'!$A$6:$A$89,0)+MATCH($D62,'[2]End - Use Prices'!$B$9:$B$11,0)-1,MATCH(AL$1,'[2]End - Use Prices'!$C$7:$AL$7,0))</f>
        <v>38.380000000000003</v>
      </c>
      <c r="AM62" s="41">
        <f>INDEX('[2]End - Use Prices'!$C$6:$AL$89,MATCH($C62,'[2]End - Use Prices'!$A$6:$A$89,0)+MATCH($D62,'[2]End - Use Prices'!$B$9:$B$11,0)-1,MATCH(AM$1,'[2]End - Use Prices'!$C$7:$AL$7,0))</f>
        <v>38.72</v>
      </c>
      <c r="AN62" s="41">
        <f>INDEX('[2]End - Use Prices'!$C$6:$AL$89,MATCH($C62,'[2]End - Use Prices'!$A$6:$A$89,0)+MATCH($D62,'[2]End - Use Prices'!$B$9:$B$11,0)-1,MATCH(AN$1,'[2]End - Use Prices'!$C$7:$AL$7,0))</f>
        <v>39.04</v>
      </c>
      <c r="AO62" s="41">
        <f>INDEX('[2]End - Use Prices'!$C$6:$AL$89,MATCH($C62,'[2]End - Use Prices'!$A$6:$A$89,0)+MATCH($D62,'[2]End - Use Prices'!$B$9:$B$11,0)-1,MATCH(AO$1,'[2]End - Use Prices'!$C$7:$AL$7,0))</f>
        <v>39.36</v>
      </c>
      <c r="AP62" s="41">
        <f>INDEX('[2]End - Use Prices'!$C$6:$AL$89,MATCH($C62,'[2]End - Use Prices'!$A$6:$A$89,0)+MATCH($D62,'[2]End - Use Prices'!$B$9:$B$11,0)-1,MATCH(AP$1,'[2]End - Use Prices'!$C$7:$AL$7,0))</f>
        <v>39.69</v>
      </c>
      <c r="AQ62" s="41">
        <f>INDEX('[2]End - Use Prices'!$C$6:$AL$89,MATCH($C62,'[2]End - Use Prices'!$A$6:$A$89,0)+MATCH($D62,'[2]End - Use Prices'!$B$9:$B$11,0)-1,MATCH(AQ$1,'[2]End - Use Prices'!$C$7:$AL$7,0))</f>
        <v>40.020000000000003</v>
      </c>
      <c r="AR62" s="41">
        <f>INDEX('[2]End - Use Prices'!$C$6:$AL$89,MATCH($C62,'[2]End - Use Prices'!$A$6:$A$89,0)+MATCH($D62,'[2]End - Use Prices'!$B$9:$B$11,0)-1,MATCH(AR$1,'[2]End - Use Prices'!$C$7:$AL$7,0))</f>
        <v>40.39</v>
      </c>
      <c r="AS62" s="41">
        <f>INDEX('[2]End - Use Prices'!$C$6:$AL$89,MATCH($C62,'[2]End - Use Prices'!$A$6:$A$89,0)+MATCH($D62,'[2]End - Use Prices'!$B$9:$B$11,0)-1,MATCH(AS$1,'[2]End - Use Prices'!$C$7:$AL$7,0))</f>
        <v>40.74</v>
      </c>
      <c r="AT62" s="41">
        <f>INDEX('[2]End - Use Prices'!$C$6:$AL$89,MATCH($C62,'[2]End - Use Prices'!$A$6:$A$89,0)+MATCH($D62,'[2]End - Use Prices'!$B$9:$B$11,0)-1,MATCH(AT$1,'[2]End - Use Prices'!$C$7:$AL$7,0))</f>
        <v>41.1</v>
      </c>
      <c r="AU62" s="41">
        <f>INDEX('[2]End - Use Prices'!$C$6:$AL$89,MATCH($C62,'[2]End - Use Prices'!$A$6:$A$89,0)+MATCH($D62,'[2]End - Use Prices'!$B$9:$B$11,0)-1,MATCH(AU$1,'[2]End - Use Prices'!$C$7:$AL$7,0))</f>
        <v>41.49</v>
      </c>
      <c r="AV62" s="41">
        <f>INDEX('[2]End - Use Prices'!$C$6:$AL$89,MATCH($C62,'[2]End - Use Prices'!$A$6:$A$89,0)+MATCH($D62,'[2]End - Use Prices'!$B$9:$B$11,0)-1,MATCH(AV$1,'[2]End - Use Prices'!$C$7:$AL$7,0))</f>
        <v>41.88</v>
      </c>
      <c r="AW62" s="41">
        <f>INDEX('[2]End - Use Prices'!$C$6:$AL$89,MATCH($C62,'[2]End - Use Prices'!$A$6:$A$89,0)+MATCH($D62,'[2]End - Use Prices'!$B$9:$B$11,0)-1,MATCH(AW$1,'[2]End - Use Prices'!$C$7:$AL$7,0))</f>
        <v>42.26</v>
      </c>
      <c r="AX62" s="41">
        <f>INDEX('[2]End - Use Prices'!$C$6:$AL$89,MATCH($C62,'[2]End - Use Prices'!$A$6:$A$89,0)+MATCH($D62,'[2]End - Use Prices'!$B$9:$B$11,0)-1,MATCH(AX$1,'[2]End - Use Prices'!$C$7:$AL$7,0))</f>
        <v>42.62</v>
      </c>
      <c r="AY62" s="41">
        <f>INDEX('[2]End - Use Prices'!$C$6:$AL$89,MATCH($C62,'[2]End - Use Prices'!$A$6:$A$89,0)+MATCH($D62,'[2]End - Use Prices'!$B$9:$B$11,0)-1,MATCH(AY$1,'[2]End - Use Prices'!$C$7:$AL$7,0))</f>
        <v>42.97</v>
      </c>
      <c r="AZ62" s="41">
        <f>INDEX('[2]End - Use Prices'!$C$6:$AL$89,MATCH($C62,'[2]End - Use Prices'!$A$6:$A$89,0)+MATCH($D62,'[2]End - Use Prices'!$B$9:$B$11,0)-1,MATCH(AZ$1,'[2]End - Use Prices'!$C$7:$AL$7,0))</f>
        <v>43.31</v>
      </c>
      <c r="BA62" s="41">
        <f>INDEX('[2]End - Use Prices'!$C$6:$AL$89,MATCH($C62,'[2]End - Use Prices'!$A$6:$A$89,0)+MATCH($D62,'[2]End - Use Prices'!$B$9:$B$11,0)-1,MATCH(BA$1,'[2]End - Use Prices'!$C$7:$AL$7,0))</f>
        <v>43.65</v>
      </c>
      <c r="BB62" s="41">
        <f>INDEX('[2]End - Use Prices'!$C$6:$AL$89,MATCH($C62,'[2]End - Use Prices'!$A$6:$A$89,0)+MATCH($D62,'[2]End - Use Prices'!$B$9:$B$11,0)-1,MATCH(BB$1,'[2]End - Use Prices'!$C$7:$AL$7,0))</f>
        <v>43.98</v>
      </c>
      <c r="BC62" s="41">
        <f>INDEX('[2]End - Use Prices'!$C$6:$AL$89,MATCH($C62,'[2]End - Use Prices'!$A$6:$A$89,0)+MATCH($D62,'[2]End - Use Prices'!$B$9:$B$11,0)-1,MATCH(BC$1,'[2]End - Use Prices'!$C$7:$AL$7,0))</f>
        <v>44.31</v>
      </c>
      <c r="BD62" s="41">
        <f>INDEX('[2]End - Use Prices'!$C$6:$AL$89,MATCH($C62,'[2]End - Use Prices'!$A$6:$A$89,0)+MATCH($D62,'[2]End - Use Prices'!$B$9:$B$11,0)-1,MATCH(BD$1,'[2]End - Use Prices'!$C$7:$AL$7,0))</f>
        <v>44.63</v>
      </c>
      <c r="BE62" s="41">
        <f>INDEX('[2]End - Use Prices'!$C$6:$AL$89,MATCH($C62,'[2]End - Use Prices'!$A$6:$A$89,0)+MATCH($D62,'[2]End - Use Prices'!$B$9:$B$11,0)-1,MATCH(BE$1,'[2]End - Use Prices'!$C$7:$AL$7,0))</f>
        <v>44.95</v>
      </c>
      <c r="BF62" s="41">
        <f>INDEX('[2]End - Use Prices'!$C$6:$AL$89,MATCH($C62,'[2]End - Use Prices'!$A$6:$A$89,0)+MATCH($D62,'[2]End - Use Prices'!$B$9:$B$11,0)-1,MATCH(BF$1,'[2]End - Use Prices'!$C$7:$AL$7,0))</f>
        <v>45.27</v>
      </c>
      <c r="BG62" s="41">
        <f>INDEX('[2]End - Use Prices'!$C$6:$AL$89,MATCH($C62,'[2]End - Use Prices'!$A$6:$A$89,0)+MATCH($D62,'[2]End - Use Prices'!$B$9:$B$11,0)-1,MATCH(BG$1,'[2]End - Use Prices'!$C$7:$AL$7,0))</f>
        <v>45.58</v>
      </c>
      <c r="BR62" s="39"/>
      <c r="BS62" s="39"/>
      <c r="BT62" s="39"/>
      <c r="BU62" s="39"/>
      <c r="BV62" s="39"/>
      <c r="BW62" s="39"/>
      <c r="BX62" s="39"/>
      <c r="BY62" s="39"/>
      <c r="BZ62" s="39"/>
      <c r="CA62" s="39"/>
    </row>
    <row r="63" spans="1:79">
      <c r="A63" s="5"/>
      <c r="B63" s="3"/>
      <c r="C63" s="25" t="s">
        <v>84</v>
      </c>
      <c r="D63" s="25" t="s">
        <v>2</v>
      </c>
      <c r="E63" s="25" t="s">
        <v>277</v>
      </c>
      <c r="F63" s="67" t="s">
        <v>275</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INDEX('[2]End - Use Prices'!$C$6:$AL$89,MATCH($C63,'[2]End - Use Prices'!$A$6:$A$89,0)+MATCH($D63,'[2]End - Use Prices'!$B$9:$B$11,0)-1,MATCH(X$1,'[2]End - Use Prices'!$C$7:$AL$7,0))</f>
        <v>34.03</v>
      </c>
      <c r="Y63" s="41">
        <f>INDEX('[2]End - Use Prices'!$C$6:$AL$89,MATCH($C63,'[2]End - Use Prices'!$A$6:$A$89,0)+MATCH($D63,'[2]End - Use Prices'!$B$9:$B$11,0)-1,MATCH(Y$1,'[2]End - Use Prices'!$C$7:$AL$7,0))</f>
        <v>39.85</v>
      </c>
      <c r="Z63" s="41">
        <f>INDEX('[2]End - Use Prices'!$C$6:$AL$89,MATCH($C63,'[2]End - Use Prices'!$A$6:$A$89,0)+MATCH($D63,'[2]End - Use Prices'!$B$9:$B$11,0)-1,MATCH(Z$1,'[2]End - Use Prices'!$C$7:$AL$7,0))</f>
        <v>39.83</v>
      </c>
      <c r="AA63" s="41">
        <f>INDEX('[2]End - Use Prices'!$C$6:$AL$89,MATCH($C63,'[2]End - Use Prices'!$A$6:$A$89,0)+MATCH($D63,'[2]End - Use Prices'!$B$9:$B$11,0)-1,MATCH(AA$1,'[2]End - Use Prices'!$C$7:$AL$7,0))</f>
        <v>37.99</v>
      </c>
      <c r="AB63" s="41">
        <f>INDEX('[2]End - Use Prices'!$C$6:$AL$89,MATCH($C63,'[2]End - Use Prices'!$A$6:$A$89,0)+MATCH($D63,'[2]End - Use Prices'!$B$9:$B$11,0)-1,MATCH(AB$1,'[2]End - Use Prices'!$C$7:$AL$7,0))</f>
        <v>41.07</v>
      </c>
      <c r="AC63" s="41">
        <f>INDEX('[2]End - Use Prices'!$C$6:$AL$89,MATCH($C63,'[2]End - Use Prices'!$A$6:$A$89,0)+MATCH($D63,'[2]End - Use Prices'!$B$9:$B$11,0)-1,MATCH(AC$1,'[2]End - Use Prices'!$C$7:$AL$7,0))</f>
        <v>38.9</v>
      </c>
      <c r="AD63" s="41">
        <f>INDEX('[2]End - Use Prices'!$C$6:$AL$89,MATCH($C63,'[2]End - Use Prices'!$A$6:$A$89,0)+MATCH($D63,'[2]End - Use Prices'!$B$9:$B$11,0)-1,MATCH(AD$1,'[2]End - Use Prices'!$C$7:$AL$7,0))</f>
        <v>38.54</v>
      </c>
      <c r="AE63" s="41">
        <f>INDEX('[2]End - Use Prices'!$C$6:$AL$89,MATCH($C63,'[2]End - Use Prices'!$A$6:$A$89,0)+MATCH($D63,'[2]End - Use Prices'!$B$9:$B$11,0)-1,MATCH(AE$1,'[2]End - Use Prices'!$C$7:$AL$7,0))</f>
        <v>40.909999999999997</v>
      </c>
      <c r="AF63" s="41">
        <f>INDEX('[2]End - Use Prices'!$C$6:$AL$89,MATCH($C63,'[2]End - Use Prices'!$A$6:$A$89,0)+MATCH($D63,'[2]End - Use Prices'!$B$9:$B$11,0)-1,MATCH(AF$1,'[2]End - Use Prices'!$C$7:$AL$7,0))</f>
        <v>39.76</v>
      </c>
      <c r="AG63" s="41">
        <f>INDEX('[2]End - Use Prices'!$C$6:$AL$89,MATCH($C63,'[2]End - Use Prices'!$A$6:$A$89,0)+MATCH($D63,'[2]End - Use Prices'!$B$9:$B$11,0)-1,MATCH(AG$1,'[2]End - Use Prices'!$C$7:$AL$7,0))</f>
        <v>38.340000000000003</v>
      </c>
      <c r="AH63" s="41">
        <f>INDEX('[2]End - Use Prices'!$C$6:$AL$89,MATCH($C63,'[2]End - Use Prices'!$A$6:$A$89,0)+MATCH($D63,'[2]End - Use Prices'!$B$9:$B$11,0)-1,MATCH(AH$1,'[2]End - Use Prices'!$C$7:$AL$7,0))</f>
        <v>39.4</v>
      </c>
      <c r="AI63" s="41">
        <f>INDEX('[2]End - Use Prices'!$C$6:$AL$89,MATCH($C63,'[2]End - Use Prices'!$A$6:$A$89,0)+MATCH($D63,'[2]End - Use Prices'!$B$9:$B$11,0)-1,MATCH(AI$1,'[2]End - Use Prices'!$C$7:$AL$7,0))</f>
        <v>40.49</v>
      </c>
      <c r="AJ63" s="41">
        <f>INDEX('[2]End - Use Prices'!$C$6:$AL$89,MATCH($C63,'[2]End - Use Prices'!$A$6:$A$89,0)+MATCH($D63,'[2]End - Use Prices'!$B$9:$B$11,0)-1,MATCH(AJ$1,'[2]End - Use Prices'!$C$7:$AL$7,0))</f>
        <v>42.88</v>
      </c>
      <c r="AK63" s="41">
        <f>INDEX('[2]End - Use Prices'!$C$6:$AL$89,MATCH($C63,'[2]End - Use Prices'!$A$6:$A$89,0)+MATCH($D63,'[2]End - Use Prices'!$B$9:$B$11,0)-1,MATCH(AK$1,'[2]End - Use Prices'!$C$7:$AL$7,0))</f>
        <v>43.74</v>
      </c>
      <c r="AL63" s="41">
        <f>INDEX('[2]End - Use Prices'!$C$6:$AL$89,MATCH($C63,'[2]End - Use Prices'!$A$6:$A$89,0)+MATCH($D63,'[2]End - Use Prices'!$B$9:$B$11,0)-1,MATCH(AL$1,'[2]End - Use Prices'!$C$7:$AL$7,0))</f>
        <v>44.52</v>
      </c>
      <c r="AM63" s="41">
        <f>INDEX('[2]End - Use Prices'!$C$6:$AL$89,MATCH($C63,'[2]End - Use Prices'!$A$6:$A$89,0)+MATCH($D63,'[2]End - Use Prices'!$B$9:$B$11,0)-1,MATCH(AM$1,'[2]End - Use Prices'!$C$7:$AL$7,0))</f>
        <v>45.24</v>
      </c>
      <c r="AN63" s="41">
        <f>INDEX('[2]End - Use Prices'!$C$6:$AL$89,MATCH($C63,'[2]End - Use Prices'!$A$6:$A$89,0)+MATCH($D63,'[2]End - Use Prices'!$B$9:$B$11,0)-1,MATCH(AN$1,'[2]End - Use Prices'!$C$7:$AL$7,0))</f>
        <v>45.89</v>
      </c>
      <c r="AO63" s="41">
        <f>INDEX('[2]End - Use Prices'!$C$6:$AL$89,MATCH($C63,'[2]End - Use Prices'!$A$6:$A$89,0)+MATCH($D63,'[2]End - Use Prices'!$B$9:$B$11,0)-1,MATCH(AO$1,'[2]End - Use Prices'!$C$7:$AL$7,0))</f>
        <v>46.48</v>
      </c>
      <c r="AP63" s="41">
        <f>INDEX('[2]End - Use Prices'!$C$6:$AL$89,MATCH($C63,'[2]End - Use Prices'!$A$6:$A$89,0)+MATCH($D63,'[2]End - Use Prices'!$B$9:$B$11,0)-1,MATCH(AP$1,'[2]End - Use Prices'!$C$7:$AL$7,0))</f>
        <v>47.03</v>
      </c>
      <c r="AQ63" s="41">
        <f>INDEX('[2]End - Use Prices'!$C$6:$AL$89,MATCH($C63,'[2]End - Use Prices'!$A$6:$A$89,0)+MATCH($D63,'[2]End - Use Prices'!$B$9:$B$11,0)-1,MATCH(AQ$1,'[2]End - Use Prices'!$C$7:$AL$7,0))</f>
        <v>47.53</v>
      </c>
      <c r="AR63" s="41">
        <f>INDEX('[2]End - Use Prices'!$C$6:$AL$89,MATCH($C63,'[2]End - Use Prices'!$A$6:$A$89,0)+MATCH($D63,'[2]End - Use Prices'!$B$9:$B$11,0)-1,MATCH(AR$1,'[2]End - Use Prices'!$C$7:$AL$7,0))</f>
        <v>48</v>
      </c>
      <c r="AS63" s="41">
        <f>INDEX('[2]End - Use Prices'!$C$6:$AL$89,MATCH($C63,'[2]End - Use Prices'!$A$6:$A$89,0)+MATCH($D63,'[2]End - Use Prices'!$B$9:$B$11,0)-1,MATCH(AS$1,'[2]End - Use Prices'!$C$7:$AL$7,0))</f>
        <v>48.44</v>
      </c>
      <c r="AT63" s="41">
        <f>INDEX('[2]End - Use Prices'!$C$6:$AL$89,MATCH($C63,'[2]End - Use Prices'!$A$6:$A$89,0)+MATCH($D63,'[2]End - Use Prices'!$B$9:$B$11,0)-1,MATCH(AT$1,'[2]End - Use Prices'!$C$7:$AL$7,0))</f>
        <v>48.85</v>
      </c>
      <c r="AU63" s="41">
        <f>INDEX('[2]End - Use Prices'!$C$6:$AL$89,MATCH($C63,'[2]End - Use Prices'!$A$6:$A$89,0)+MATCH($D63,'[2]End - Use Prices'!$B$9:$B$11,0)-1,MATCH(AU$1,'[2]End - Use Prices'!$C$7:$AL$7,0))</f>
        <v>49.25</v>
      </c>
      <c r="AV63" s="41">
        <f>INDEX('[2]End - Use Prices'!$C$6:$AL$89,MATCH($C63,'[2]End - Use Prices'!$A$6:$A$89,0)+MATCH($D63,'[2]End - Use Prices'!$B$9:$B$11,0)-1,MATCH(AV$1,'[2]End - Use Prices'!$C$7:$AL$7,0))</f>
        <v>49.64</v>
      </c>
      <c r="AW63" s="41">
        <f>INDEX('[2]End - Use Prices'!$C$6:$AL$89,MATCH($C63,'[2]End - Use Prices'!$A$6:$A$89,0)+MATCH($D63,'[2]End - Use Prices'!$B$9:$B$11,0)-1,MATCH(AW$1,'[2]End - Use Prices'!$C$7:$AL$7,0))</f>
        <v>50.03</v>
      </c>
      <c r="AX63" s="41">
        <f>INDEX('[2]End - Use Prices'!$C$6:$AL$89,MATCH($C63,'[2]End - Use Prices'!$A$6:$A$89,0)+MATCH($D63,'[2]End - Use Prices'!$B$9:$B$11,0)-1,MATCH(AX$1,'[2]End - Use Prices'!$C$7:$AL$7,0))</f>
        <v>50.42</v>
      </c>
      <c r="AY63" s="41">
        <f>INDEX('[2]End - Use Prices'!$C$6:$AL$89,MATCH($C63,'[2]End - Use Prices'!$A$6:$A$89,0)+MATCH($D63,'[2]End - Use Prices'!$B$9:$B$11,0)-1,MATCH(AY$1,'[2]End - Use Prices'!$C$7:$AL$7,0))</f>
        <v>50.82</v>
      </c>
      <c r="AZ63" s="41">
        <f>INDEX('[2]End - Use Prices'!$C$6:$AL$89,MATCH($C63,'[2]End - Use Prices'!$A$6:$A$89,0)+MATCH($D63,'[2]End - Use Prices'!$B$9:$B$11,0)-1,MATCH(AZ$1,'[2]End - Use Prices'!$C$7:$AL$7,0))</f>
        <v>51.23</v>
      </c>
      <c r="BA63" s="41">
        <f>INDEX('[2]End - Use Prices'!$C$6:$AL$89,MATCH($C63,'[2]End - Use Prices'!$A$6:$A$89,0)+MATCH($D63,'[2]End - Use Prices'!$B$9:$B$11,0)-1,MATCH(BA$1,'[2]End - Use Prices'!$C$7:$AL$7,0))</f>
        <v>51.67</v>
      </c>
      <c r="BB63" s="41">
        <f>INDEX('[2]End - Use Prices'!$C$6:$AL$89,MATCH($C63,'[2]End - Use Prices'!$A$6:$A$89,0)+MATCH($D63,'[2]End - Use Prices'!$B$9:$B$11,0)-1,MATCH(BB$1,'[2]End - Use Prices'!$C$7:$AL$7,0))</f>
        <v>52.14</v>
      </c>
      <c r="BC63" s="41">
        <f>INDEX('[2]End - Use Prices'!$C$6:$AL$89,MATCH($C63,'[2]End - Use Prices'!$A$6:$A$89,0)+MATCH($D63,'[2]End - Use Prices'!$B$9:$B$11,0)-1,MATCH(BC$1,'[2]End - Use Prices'!$C$7:$AL$7,0))</f>
        <v>52.65</v>
      </c>
      <c r="BD63" s="41">
        <f>INDEX('[2]End - Use Prices'!$C$6:$AL$89,MATCH($C63,'[2]End - Use Prices'!$A$6:$A$89,0)+MATCH($D63,'[2]End - Use Prices'!$B$9:$B$11,0)-1,MATCH(BD$1,'[2]End - Use Prices'!$C$7:$AL$7,0))</f>
        <v>53.2</v>
      </c>
      <c r="BE63" s="41">
        <f>INDEX('[2]End - Use Prices'!$C$6:$AL$89,MATCH($C63,'[2]End - Use Prices'!$A$6:$A$89,0)+MATCH($D63,'[2]End - Use Prices'!$B$9:$B$11,0)-1,MATCH(BE$1,'[2]End - Use Prices'!$C$7:$AL$7,0))</f>
        <v>53.8</v>
      </c>
      <c r="BF63" s="41">
        <f>INDEX('[2]End - Use Prices'!$C$6:$AL$89,MATCH($C63,'[2]End - Use Prices'!$A$6:$A$89,0)+MATCH($D63,'[2]End - Use Prices'!$B$9:$B$11,0)-1,MATCH(BF$1,'[2]End - Use Prices'!$C$7:$AL$7,0))</f>
        <v>54.45</v>
      </c>
      <c r="BG63" s="41">
        <f>INDEX('[2]End - Use Prices'!$C$6:$AL$89,MATCH($C63,'[2]End - Use Prices'!$A$6:$A$89,0)+MATCH($D63,'[2]End - Use Prices'!$B$9:$B$11,0)-1,MATCH(BG$1,'[2]End - Use Prices'!$C$7:$AL$7,0))</f>
        <v>55.17</v>
      </c>
      <c r="BR63" s="39"/>
      <c r="BS63" s="39"/>
      <c r="BT63" s="39"/>
      <c r="BU63" s="39"/>
      <c r="BV63" s="39"/>
      <c r="BW63" s="39"/>
      <c r="BX63" s="39"/>
      <c r="BY63" s="39"/>
      <c r="BZ63" s="39"/>
      <c r="CA63" s="39"/>
    </row>
    <row r="64" spans="1:79">
      <c r="A64" s="5"/>
      <c r="B64" s="3"/>
      <c r="C64" s="25" t="s">
        <v>85</v>
      </c>
      <c r="D64" s="25" t="s">
        <v>2</v>
      </c>
      <c r="E64" s="25" t="s">
        <v>277</v>
      </c>
      <c r="F64" s="67" t="s">
        <v>275</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INDEX('[2]End - Use Prices'!$C$6:$AL$89,MATCH($C64,'[2]End - Use Prices'!$A$6:$A$89,0)+MATCH($D64,'[2]End - Use Prices'!$B$9:$B$11,0)-1,MATCH(X$1,'[2]End - Use Prices'!$C$7:$AL$7,0))</f>
        <v>41.51</v>
      </c>
      <c r="Y64" s="41">
        <f>INDEX('[2]End - Use Prices'!$C$6:$AL$89,MATCH($C64,'[2]End - Use Prices'!$A$6:$A$89,0)+MATCH($D64,'[2]End - Use Prices'!$B$9:$B$11,0)-1,MATCH(Y$1,'[2]End - Use Prices'!$C$7:$AL$7,0))</f>
        <v>42.42</v>
      </c>
      <c r="Z64" s="41">
        <f>INDEX('[2]End - Use Prices'!$C$6:$AL$89,MATCH($C64,'[2]End - Use Prices'!$A$6:$A$89,0)+MATCH($D64,'[2]End - Use Prices'!$B$9:$B$11,0)-1,MATCH(Z$1,'[2]End - Use Prices'!$C$7:$AL$7,0))</f>
        <v>44.58</v>
      </c>
      <c r="AA64" s="41">
        <f>INDEX('[2]End - Use Prices'!$C$6:$AL$89,MATCH($C64,'[2]End - Use Prices'!$A$6:$A$89,0)+MATCH($D64,'[2]End - Use Prices'!$B$9:$B$11,0)-1,MATCH(AA$1,'[2]End - Use Prices'!$C$7:$AL$7,0))</f>
        <v>46.56</v>
      </c>
      <c r="AB64" s="41">
        <f>INDEX('[2]End - Use Prices'!$C$6:$AL$89,MATCH($C64,'[2]End - Use Prices'!$A$6:$A$89,0)+MATCH($D64,'[2]End - Use Prices'!$B$9:$B$11,0)-1,MATCH(AB$1,'[2]End - Use Prices'!$C$7:$AL$7,0))</f>
        <v>55.63</v>
      </c>
      <c r="AC64" s="41">
        <f>INDEX('[2]End - Use Prices'!$C$6:$AL$89,MATCH($C64,'[2]End - Use Prices'!$A$6:$A$89,0)+MATCH($D64,'[2]End - Use Prices'!$B$9:$B$11,0)-1,MATCH(AC$1,'[2]End - Use Prices'!$C$7:$AL$7,0))</f>
        <v>50.51</v>
      </c>
      <c r="AD64" s="41">
        <f>INDEX('[2]End - Use Prices'!$C$6:$AL$89,MATCH($C64,'[2]End - Use Prices'!$A$6:$A$89,0)+MATCH($D64,'[2]End - Use Prices'!$B$9:$B$11,0)-1,MATCH(AD$1,'[2]End - Use Prices'!$C$7:$AL$7,0))</f>
        <v>43.95</v>
      </c>
      <c r="AE64" s="41">
        <f>INDEX('[2]End - Use Prices'!$C$6:$AL$89,MATCH($C64,'[2]End - Use Prices'!$A$6:$A$89,0)+MATCH($D64,'[2]End - Use Prices'!$B$9:$B$11,0)-1,MATCH(AE$1,'[2]End - Use Prices'!$C$7:$AL$7,0))</f>
        <v>43.43</v>
      </c>
      <c r="AF64" s="41">
        <f>INDEX('[2]End - Use Prices'!$C$6:$AL$89,MATCH($C64,'[2]End - Use Prices'!$A$6:$A$89,0)+MATCH($D64,'[2]End - Use Prices'!$B$9:$B$11,0)-1,MATCH(AF$1,'[2]End - Use Prices'!$C$7:$AL$7,0))</f>
        <v>50.61</v>
      </c>
      <c r="AG64" s="41">
        <f>INDEX('[2]End - Use Prices'!$C$6:$AL$89,MATCH($C64,'[2]End - Use Prices'!$A$6:$A$89,0)+MATCH($D64,'[2]End - Use Prices'!$B$9:$B$11,0)-1,MATCH(AG$1,'[2]End - Use Prices'!$C$7:$AL$7,0))</f>
        <v>51.93</v>
      </c>
      <c r="AH64" s="41">
        <f>INDEX('[2]End - Use Prices'!$C$6:$AL$89,MATCH($C64,'[2]End - Use Prices'!$A$6:$A$89,0)+MATCH($D64,'[2]End - Use Prices'!$B$9:$B$11,0)-1,MATCH(AH$1,'[2]End - Use Prices'!$C$7:$AL$7,0))</f>
        <v>53.64</v>
      </c>
      <c r="AI64" s="41">
        <f>INDEX('[2]End - Use Prices'!$C$6:$AL$89,MATCH($C64,'[2]End - Use Prices'!$A$6:$A$89,0)+MATCH($D64,'[2]End - Use Prices'!$B$9:$B$11,0)-1,MATCH(AI$1,'[2]End - Use Prices'!$C$7:$AL$7,0))</f>
        <v>54.8</v>
      </c>
      <c r="AJ64" s="41">
        <f>INDEX('[2]End - Use Prices'!$C$6:$AL$89,MATCH($C64,'[2]End - Use Prices'!$A$6:$A$89,0)+MATCH($D64,'[2]End - Use Prices'!$B$9:$B$11,0)-1,MATCH(AJ$1,'[2]End - Use Prices'!$C$7:$AL$7,0))</f>
        <v>54.98</v>
      </c>
      <c r="AK64" s="41">
        <f>INDEX('[2]End - Use Prices'!$C$6:$AL$89,MATCH($C64,'[2]End - Use Prices'!$A$6:$A$89,0)+MATCH($D64,'[2]End - Use Prices'!$B$9:$B$11,0)-1,MATCH(AK$1,'[2]End - Use Prices'!$C$7:$AL$7,0))</f>
        <v>55.16</v>
      </c>
      <c r="AL64" s="41">
        <f>INDEX('[2]End - Use Prices'!$C$6:$AL$89,MATCH($C64,'[2]End - Use Prices'!$A$6:$A$89,0)+MATCH($D64,'[2]End - Use Prices'!$B$9:$B$11,0)-1,MATCH(AL$1,'[2]End - Use Prices'!$C$7:$AL$7,0))</f>
        <v>55.34</v>
      </c>
      <c r="AM64" s="41">
        <f>INDEX('[2]End - Use Prices'!$C$6:$AL$89,MATCH($C64,'[2]End - Use Prices'!$A$6:$A$89,0)+MATCH($D64,'[2]End - Use Prices'!$B$9:$B$11,0)-1,MATCH(AM$1,'[2]End - Use Prices'!$C$7:$AL$7,0))</f>
        <v>55.52</v>
      </c>
      <c r="AN64" s="41">
        <f>INDEX('[2]End - Use Prices'!$C$6:$AL$89,MATCH($C64,'[2]End - Use Prices'!$A$6:$A$89,0)+MATCH($D64,'[2]End - Use Prices'!$B$9:$B$11,0)-1,MATCH(AN$1,'[2]End - Use Prices'!$C$7:$AL$7,0))</f>
        <v>55.7</v>
      </c>
      <c r="AO64" s="41">
        <f>INDEX('[2]End - Use Prices'!$C$6:$AL$89,MATCH($C64,'[2]End - Use Prices'!$A$6:$A$89,0)+MATCH($D64,'[2]End - Use Prices'!$B$9:$B$11,0)-1,MATCH(AO$1,'[2]End - Use Prices'!$C$7:$AL$7,0))</f>
        <v>55.88</v>
      </c>
      <c r="AP64" s="41">
        <f>INDEX('[2]End - Use Prices'!$C$6:$AL$89,MATCH($C64,'[2]End - Use Prices'!$A$6:$A$89,0)+MATCH($D64,'[2]End - Use Prices'!$B$9:$B$11,0)-1,MATCH(AP$1,'[2]End - Use Prices'!$C$7:$AL$7,0))</f>
        <v>56.06</v>
      </c>
      <c r="AQ64" s="41">
        <f>INDEX('[2]End - Use Prices'!$C$6:$AL$89,MATCH($C64,'[2]End - Use Prices'!$A$6:$A$89,0)+MATCH($D64,'[2]End - Use Prices'!$B$9:$B$11,0)-1,MATCH(AQ$1,'[2]End - Use Prices'!$C$7:$AL$7,0))</f>
        <v>56.24</v>
      </c>
      <c r="AR64" s="41">
        <f>INDEX('[2]End - Use Prices'!$C$6:$AL$89,MATCH($C64,'[2]End - Use Prices'!$A$6:$A$89,0)+MATCH($D64,'[2]End - Use Prices'!$B$9:$B$11,0)-1,MATCH(AR$1,'[2]End - Use Prices'!$C$7:$AL$7,0))</f>
        <v>56.42</v>
      </c>
      <c r="AS64" s="41">
        <f>INDEX('[2]End - Use Prices'!$C$6:$AL$89,MATCH($C64,'[2]End - Use Prices'!$A$6:$A$89,0)+MATCH($D64,'[2]End - Use Prices'!$B$9:$B$11,0)-1,MATCH(AS$1,'[2]End - Use Prices'!$C$7:$AL$7,0))</f>
        <v>56.61</v>
      </c>
      <c r="AT64" s="41">
        <f>INDEX('[2]End - Use Prices'!$C$6:$AL$89,MATCH($C64,'[2]End - Use Prices'!$A$6:$A$89,0)+MATCH($D64,'[2]End - Use Prices'!$B$9:$B$11,0)-1,MATCH(AT$1,'[2]End - Use Prices'!$C$7:$AL$7,0))</f>
        <v>56.79</v>
      </c>
      <c r="AU64" s="41">
        <f>INDEX('[2]End - Use Prices'!$C$6:$AL$89,MATCH($C64,'[2]End - Use Prices'!$A$6:$A$89,0)+MATCH($D64,'[2]End - Use Prices'!$B$9:$B$11,0)-1,MATCH(AU$1,'[2]End - Use Prices'!$C$7:$AL$7,0))</f>
        <v>56.97</v>
      </c>
      <c r="AV64" s="41">
        <f>INDEX('[2]End - Use Prices'!$C$6:$AL$89,MATCH($C64,'[2]End - Use Prices'!$A$6:$A$89,0)+MATCH($D64,'[2]End - Use Prices'!$B$9:$B$11,0)-1,MATCH(AV$1,'[2]End - Use Prices'!$C$7:$AL$7,0))</f>
        <v>57.16</v>
      </c>
      <c r="AW64" s="41">
        <f>INDEX('[2]End - Use Prices'!$C$6:$AL$89,MATCH($C64,'[2]End - Use Prices'!$A$6:$A$89,0)+MATCH($D64,'[2]End - Use Prices'!$B$9:$B$11,0)-1,MATCH(AW$1,'[2]End - Use Prices'!$C$7:$AL$7,0))</f>
        <v>57.35</v>
      </c>
      <c r="AX64" s="41">
        <f>INDEX('[2]End - Use Prices'!$C$6:$AL$89,MATCH($C64,'[2]End - Use Prices'!$A$6:$A$89,0)+MATCH($D64,'[2]End - Use Prices'!$B$9:$B$11,0)-1,MATCH(AX$1,'[2]End - Use Prices'!$C$7:$AL$7,0))</f>
        <v>57.53</v>
      </c>
      <c r="AY64" s="41">
        <f>INDEX('[2]End - Use Prices'!$C$6:$AL$89,MATCH($C64,'[2]End - Use Prices'!$A$6:$A$89,0)+MATCH($D64,'[2]End - Use Prices'!$B$9:$B$11,0)-1,MATCH(AY$1,'[2]End - Use Prices'!$C$7:$AL$7,0))</f>
        <v>57.72</v>
      </c>
      <c r="AZ64" s="41">
        <f>INDEX('[2]End - Use Prices'!$C$6:$AL$89,MATCH($C64,'[2]End - Use Prices'!$A$6:$A$89,0)+MATCH($D64,'[2]End - Use Prices'!$B$9:$B$11,0)-1,MATCH(AZ$1,'[2]End - Use Prices'!$C$7:$AL$7,0))</f>
        <v>57.91</v>
      </c>
      <c r="BA64" s="41">
        <f>INDEX('[2]End - Use Prices'!$C$6:$AL$89,MATCH($C64,'[2]End - Use Prices'!$A$6:$A$89,0)+MATCH($D64,'[2]End - Use Prices'!$B$9:$B$11,0)-1,MATCH(BA$1,'[2]End - Use Prices'!$C$7:$AL$7,0))</f>
        <v>58.09</v>
      </c>
      <c r="BB64" s="41">
        <f>INDEX('[2]End - Use Prices'!$C$6:$AL$89,MATCH($C64,'[2]End - Use Prices'!$A$6:$A$89,0)+MATCH($D64,'[2]End - Use Prices'!$B$9:$B$11,0)-1,MATCH(BB$1,'[2]End - Use Prices'!$C$7:$AL$7,0))</f>
        <v>58.28</v>
      </c>
      <c r="BC64" s="41">
        <f>INDEX('[2]End - Use Prices'!$C$6:$AL$89,MATCH($C64,'[2]End - Use Prices'!$A$6:$A$89,0)+MATCH($D64,'[2]End - Use Prices'!$B$9:$B$11,0)-1,MATCH(BC$1,'[2]End - Use Prices'!$C$7:$AL$7,0))</f>
        <v>58.47</v>
      </c>
      <c r="BD64" s="41">
        <f>INDEX('[2]End - Use Prices'!$C$6:$AL$89,MATCH($C64,'[2]End - Use Prices'!$A$6:$A$89,0)+MATCH($D64,'[2]End - Use Prices'!$B$9:$B$11,0)-1,MATCH(BD$1,'[2]End - Use Prices'!$C$7:$AL$7,0))</f>
        <v>58.66</v>
      </c>
      <c r="BE64" s="41">
        <f>INDEX('[2]End - Use Prices'!$C$6:$AL$89,MATCH($C64,'[2]End - Use Prices'!$A$6:$A$89,0)+MATCH($D64,'[2]End - Use Prices'!$B$9:$B$11,0)-1,MATCH(BE$1,'[2]End - Use Prices'!$C$7:$AL$7,0))</f>
        <v>58.85</v>
      </c>
      <c r="BF64" s="41">
        <f>INDEX('[2]End - Use Prices'!$C$6:$AL$89,MATCH($C64,'[2]End - Use Prices'!$A$6:$A$89,0)+MATCH($D64,'[2]End - Use Prices'!$B$9:$B$11,0)-1,MATCH(BF$1,'[2]End - Use Prices'!$C$7:$AL$7,0))</f>
        <v>59.04</v>
      </c>
      <c r="BG64" s="41">
        <f>INDEX('[2]End - Use Prices'!$C$6:$AL$89,MATCH($C64,'[2]End - Use Prices'!$A$6:$A$89,0)+MATCH($D64,'[2]End - Use Prices'!$B$9:$B$11,0)-1,MATCH(BG$1,'[2]End - Use Prices'!$C$7:$AL$7,0))</f>
        <v>59.23</v>
      </c>
      <c r="BR64" s="39"/>
      <c r="BS64" s="39"/>
      <c r="BT64" s="39"/>
      <c r="BU64" s="39"/>
      <c r="BV64" s="39"/>
      <c r="BW64" s="39"/>
      <c r="BX64" s="39"/>
      <c r="BY64" s="39"/>
      <c r="BZ64" s="39"/>
      <c r="CA64" s="39"/>
    </row>
    <row r="65" spans="1:79">
      <c r="A65" s="5"/>
      <c r="B65" s="3"/>
      <c r="C65" s="25" t="s">
        <v>86</v>
      </c>
      <c r="D65" s="25" t="s">
        <v>2</v>
      </c>
      <c r="E65" s="25" t="s">
        <v>277</v>
      </c>
      <c r="F65" s="67" t="s">
        <v>275</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INDEX('[2]End - Use Prices'!$C$6:$AL$89,MATCH($C65,'[2]End - Use Prices'!$A$6:$A$89,0)+MATCH($D65,'[2]End - Use Prices'!$B$9:$B$11,0)-1,MATCH(X$1,'[2]End - Use Prices'!$C$7:$AL$7,0))</f>
        <v>37.270000000000003</v>
      </c>
      <c r="Y65" s="41">
        <f>INDEX('[2]End - Use Prices'!$C$6:$AL$89,MATCH($C65,'[2]End - Use Prices'!$A$6:$A$89,0)+MATCH($D65,'[2]End - Use Prices'!$B$9:$B$11,0)-1,MATCH(Y$1,'[2]End - Use Prices'!$C$7:$AL$7,0))</f>
        <v>41.5</v>
      </c>
      <c r="Z65" s="41">
        <f>INDEX('[2]End - Use Prices'!$C$6:$AL$89,MATCH($C65,'[2]End - Use Prices'!$A$6:$A$89,0)+MATCH($D65,'[2]End - Use Prices'!$B$9:$B$11,0)-1,MATCH(Z$1,'[2]End - Use Prices'!$C$7:$AL$7,0))</f>
        <v>38.799999999999997</v>
      </c>
      <c r="AA65" s="41">
        <f>INDEX('[2]End - Use Prices'!$C$6:$AL$89,MATCH($C65,'[2]End - Use Prices'!$A$6:$A$89,0)+MATCH($D65,'[2]End - Use Prices'!$B$9:$B$11,0)-1,MATCH(AA$1,'[2]End - Use Prices'!$C$7:$AL$7,0))</f>
        <v>36.950000000000003</v>
      </c>
      <c r="AB65" s="41">
        <f>INDEX('[2]End - Use Prices'!$C$6:$AL$89,MATCH($C65,'[2]End - Use Prices'!$A$6:$A$89,0)+MATCH($D65,'[2]End - Use Prices'!$B$9:$B$11,0)-1,MATCH(AB$1,'[2]End - Use Prices'!$C$7:$AL$7,0))</f>
        <v>44.6</v>
      </c>
      <c r="AC65" s="41">
        <f>INDEX('[2]End - Use Prices'!$C$6:$AL$89,MATCH($C65,'[2]End - Use Prices'!$A$6:$A$89,0)+MATCH($D65,'[2]End - Use Prices'!$B$9:$B$11,0)-1,MATCH(AC$1,'[2]End - Use Prices'!$C$7:$AL$7,0))</f>
        <v>40.32</v>
      </c>
      <c r="AD65" s="41">
        <f>INDEX('[2]End - Use Prices'!$C$6:$AL$89,MATCH($C65,'[2]End - Use Prices'!$A$6:$A$89,0)+MATCH($D65,'[2]End - Use Prices'!$B$9:$B$11,0)-1,MATCH(AD$1,'[2]End - Use Prices'!$C$7:$AL$7,0))</f>
        <v>41.27</v>
      </c>
      <c r="AE65" s="41">
        <f>INDEX('[2]End - Use Prices'!$C$6:$AL$89,MATCH($C65,'[2]End - Use Prices'!$A$6:$A$89,0)+MATCH($D65,'[2]End - Use Prices'!$B$9:$B$11,0)-1,MATCH(AE$1,'[2]End - Use Prices'!$C$7:$AL$7,0))</f>
        <v>44.94</v>
      </c>
      <c r="AF65" s="41">
        <f>INDEX('[2]End - Use Prices'!$C$6:$AL$89,MATCH($C65,'[2]End - Use Prices'!$A$6:$A$89,0)+MATCH($D65,'[2]End - Use Prices'!$B$9:$B$11,0)-1,MATCH(AF$1,'[2]End - Use Prices'!$C$7:$AL$7,0))</f>
        <v>45.5</v>
      </c>
      <c r="AG65" s="41">
        <f>INDEX('[2]End - Use Prices'!$C$6:$AL$89,MATCH($C65,'[2]End - Use Prices'!$A$6:$A$89,0)+MATCH($D65,'[2]End - Use Prices'!$B$9:$B$11,0)-1,MATCH(AG$1,'[2]End - Use Prices'!$C$7:$AL$7,0))</f>
        <v>46.34</v>
      </c>
      <c r="AH65" s="41">
        <f>INDEX('[2]End - Use Prices'!$C$6:$AL$89,MATCH($C65,'[2]End - Use Prices'!$A$6:$A$89,0)+MATCH($D65,'[2]End - Use Prices'!$B$9:$B$11,0)-1,MATCH(AH$1,'[2]End - Use Prices'!$C$7:$AL$7,0))</f>
        <v>46.71</v>
      </c>
      <c r="AI65" s="41">
        <f>INDEX('[2]End - Use Prices'!$C$6:$AL$89,MATCH($C65,'[2]End - Use Prices'!$A$6:$A$89,0)+MATCH($D65,'[2]End - Use Prices'!$B$9:$B$11,0)-1,MATCH(AI$1,'[2]End - Use Prices'!$C$7:$AL$7,0))</f>
        <v>46.01</v>
      </c>
      <c r="AJ65" s="41">
        <f>INDEX('[2]End - Use Prices'!$C$6:$AL$89,MATCH($C65,'[2]End - Use Prices'!$A$6:$A$89,0)+MATCH($D65,'[2]End - Use Prices'!$B$9:$B$11,0)-1,MATCH(AJ$1,'[2]End - Use Prices'!$C$7:$AL$7,0))</f>
        <v>46.61</v>
      </c>
      <c r="AK65" s="41">
        <f>INDEX('[2]End - Use Prices'!$C$6:$AL$89,MATCH($C65,'[2]End - Use Prices'!$A$6:$A$89,0)+MATCH($D65,'[2]End - Use Prices'!$B$9:$B$11,0)-1,MATCH(AK$1,'[2]End - Use Prices'!$C$7:$AL$7,0))</f>
        <v>47.54</v>
      </c>
      <c r="AL65" s="41">
        <f>INDEX('[2]End - Use Prices'!$C$6:$AL$89,MATCH($C65,'[2]End - Use Prices'!$A$6:$A$89,0)+MATCH($D65,'[2]End - Use Prices'!$B$9:$B$11,0)-1,MATCH(AL$1,'[2]End - Use Prices'!$C$7:$AL$7,0))</f>
        <v>48.44</v>
      </c>
      <c r="AM65" s="41">
        <f>INDEX('[2]End - Use Prices'!$C$6:$AL$89,MATCH($C65,'[2]End - Use Prices'!$A$6:$A$89,0)+MATCH($D65,'[2]End - Use Prices'!$B$9:$B$11,0)-1,MATCH(AM$1,'[2]End - Use Prices'!$C$7:$AL$7,0))</f>
        <v>49.31</v>
      </c>
      <c r="AN65" s="41">
        <f>INDEX('[2]End - Use Prices'!$C$6:$AL$89,MATCH($C65,'[2]End - Use Prices'!$A$6:$A$89,0)+MATCH($D65,'[2]End - Use Prices'!$B$9:$B$11,0)-1,MATCH(AN$1,'[2]End - Use Prices'!$C$7:$AL$7,0))</f>
        <v>50.14</v>
      </c>
      <c r="AO65" s="41">
        <f>INDEX('[2]End - Use Prices'!$C$6:$AL$89,MATCH($C65,'[2]End - Use Prices'!$A$6:$A$89,0)+MATCH($D65,'[2]End - Use Prices'!$B$9:$B$11,0)-1,MATCH(AO$1,'[2]End - Use Prices'!$C$7:$AL$7,0))</f>
        <v>50.94</v>
      </c>
      <c r="AP65" s="41">
        <f>INDEX('[2]End - Use Prices'!$C$6:$AL$89,MATCH($C65,'[2]End - Use Prices'!$A$6:$A$89,0)+MATCH($D65,'[2]End - Use Prices'!$B$9:$B$11,0)-1,MATCH(AP$1,'[2]End - Use Prices'!$C$7:$AL$7,0))</f>
        <v>51.71</v>
      </c>
      <c r="AQ65" s="41">
        <f>INDEX('[2]End - Use Prices'!$C$6:$AL$89,MATCH($C65,'[2]End - Use Prices'!$A$6:$A$89,0)+MATCH($D65,'[2]End - Use Prices'!$B$9:$B$11,0)-1,MATCH(AQ$1,'[2]End - Use Prices'!$C$7:$AL$7,0))</f>
        <v>52.45</v>
      </c>
      <c r="AR65" s="41">
        <f>INDEX('[2]End - Use Prices'!$C$6:$AL$89,MATCH($C65,'[2]End - Use Prices'!$A$6:$A$89,0)+MATCH($D65,'[2]End - Use Prices'!$B$9:$B$11,0)-1,MATCH(AR$1,'[2]End - Use Prices'!$C$7:$AL$7,0))</f>
        <v>53.15</v>
      </c>
      <c r="AS65" s="41">
        <f>INDEX('[2]End - Use Prices'!$C$6:$AL$89,MATCH($C65,'[2]End - Use Prices'!$A$6:$A$89,0)+MATCH($D65,'[2]End - Use Prices'!$B$9:$B$11,0)-1,MATCH(AS$1,'[2]End - Use Prices'!$C$7:$AL$7,0))</f>
        <v>53.81</v>
      </c>
      <c r="AT65" s="41">
        <f>INDEX('[2]End - Use Prices'!$C$6:$AL$89,MATCH($C65,'[2]End - Use Prices'!$A$6:$A$89,0)+MATCH($D65,'[2]End - Use Prices'!$B$9:$B$11,0)-1,MATCH(AT$1,'[2]End - Use Prices'!$C$7:$AL$7,0))</f>
        <v>54.43</v>
      </c>
      <c r="AU65" s="41">
        <f>INDEX('[2]End - Use Prices'!$C$6:$AL$89,MATCH($C65,'[2]End - Use Prices'!$A$6:$A$89,0)+MATCH($D65,'[2]End - Use Prices'!$B$9:$B$11,0)-1,MATCH(AU$1,'[2]End - Use Prices'!$C$7:$AL$7,0))</f>
        <v>55.02</v>
      </c>
      <c r="AV65" s="41">
        <f>INDEX('[2]End - Use Prices'!$C$6:$AL$89,MATCH($C65,'[2]End - Use Prices'!$A$6:$A$89,0)+MATCH($D65,'[2]End - Use Prices'!$B$9:$B$11,0)-1,MATCH(AV$1,'[2]End - Use Prices'!$C$7:$AL$7,0))</f>
        <v>55.56</v>
      </c>
      <c r="AW65" s="41">
        <f>INDEX('[2]End - Use Prices'!$C$6:$AL$89,MATCH($C65,'[2]End - Use Prices'!$A$6:$A$89,0)+MATCH($D65,'[2]End - Use Prices'!$B$9:$B$11,0)-1,MATCH(AW$1,'[2]End - Use Prices'!$C$7:$AL$7,0))</f>
        <v>56.07</v>
      </c>
      <c r="AX65" s="41">
        <f>INDEX('[2]End - Use Prices'!$C$6:$AL$89,MATCH($C65,'[2]End - Use Prices'!$A$6:$A$89,0)+MATCH($D65,'[2]End - Use Prices'!$B$9:$B$11,0)-1,MATCH(AX$1,'[2]End - Use Prices'!$C$7:$AL$7,0))</f>
        <v>56.53</v>
      </c>
      <c r="AY65" s="41">
        <f>INDEX('[2]End - Use Prices'!$C$6:$AL$89,MATCH($C65,'[2]End - Use Prices'!$A$6:$A$89,0)+MATCH($D65,'[2]End - Use Prices'!$B$9:$B$11,0)-1,MATCH(AY$1,'[2]End - Use Prices'!$C$7:$AL$7,0))</f>
        <v>56.95</v>
      </c>
      <c r="AZ65" s="41">
        <f>INDEX('[2]End - Use Prices'!$C$6:$AL$89,MATCH($C65,'[2]End - Use Prices'!$A$6:$A$89,0)+MATCH($D65,'[2]End - Use Prices'!$B$9:$B$11,0)-1,MATCH(AZ$1,'[2]End - Use Prices'!$C$7:$AL$7,0))</f>
        <v>57.32</v>
      </c>
      <c r="BA65" s="41">
        <f>INDEX('[2]End - Use Prices'!$C$6:$AL$89,MATCH($C65,'[2]End - Use Prices'!$A$6:$A$89,0)+MATCH($D65,'[2]End - Use Prices'!$B$9:$B$11,0)-1,MATCH(BA$1,'[2]End - Use Prices'!$C$7:$AL$7,0))</f>
        <v>57.65</v>
      </c>
      <c r="BB65" s="41">
        <f>INDEX('[2]End - Use Prices'!$C$6:$AL$89,MATCH($C65,'[2]End - Use Prices'!$A$6:$A$89,0)+MATCH($D65,'[2]End - Use Prices'!$B$9:$B$11,0)-1,MATCH(BB$1,'[2]End - Use Prices'!$C$7:$AL$7,0))</f>
        <v>57.94</v>
      </c>
      <c r="BC65" s="41">
        <f>INDEX('[2]End - Use Prices'!$C$6:$AL$89,MATCH($C65,'[2]End - Use Prices'!$A$6:$A$89,0)+MATCH($D65,'[2]End - Use Prices'!$B$9:$B$11,0)-1,MATCH(BC$1,'[2]End - Use Prices'!$C$7:$AL$7,0))</f>
        <v>58.17</v>
      </c>
      <c r="BD65" s="41">
        <f>INDEX('[2]End - Use Prices'!$C$6:$AL$89,MATCH($C65,'[2]End - Use Prices'!$A$6:$A$89,0)+MATCH($D65,'[2]End - Use Prices'!$B$9:$B$11,0)-1,MATCH(BD$1,'[2]End - Use Prices'!$C$7:$AL$7,0))</f>
        <v>58.36</v>
      </c>
      <c r="BE65" s="41">
        <f>INDEX('[2]End - Use Prices'!$C$6:$AL$89,MATCH($C65,'[2]End - Use Prices'!$A$6:$A$89,0)+MATCH($D65,'[2]End - Use Prices'!$B$9:$B$11,0)-1,MATCH(BE$1,'[2]End - Use Prices'!$C$7:$AL$7,0))</f>
        <v>58.5</v>
      </c>
      <c r="BF65" s="41">
        <f>INDEX('[2]End - Use Prices'!$C$6:$AL$89,MATCH($C65,'[2]End - Use Prices'!$A$6:$A$89,0)+MATCH($D65,'[2]End - Use Prices'!$B$9:$B$11,0)-1,MATCH(BF$1,'[2]End - Use Prices'!$C$7:$AL$7,0))</f>
        <v>58.59</v>
      </c>
      <c r="BG65" s="41">
        <f>INDEX('[2]End - Use Prices'!$C$6:$AL$89,MATCH($C65,'[2]End - Use Prices'!$A$6:$A$89,0)+MATCH($D65,'[2]End - Use Prices'!$B$9:$B$11,0)-1,MATCH(BG$1,'[2]End - Use Prices'!$C$7:$AL$7,0))</f>
        <v>58.62</v>
      </c>
      <c r="BR65" s="39"/>
      <c r="BS65" s="39"/>
      <c r="BT65" s="39"/>
      <c r="BU65" s="39"/>
      <c r="BV65" s="39"/>
      <c r="BW65" s="39"/>
      <c r="BX65" s="39"/>
      <c r="BY65" s="39"/>
      <c r="BZ65" s="39"/>
      <c r="CA65" s="39"/>
    </row>
    <row r="66" spans="1:79">
      <c r="A66" s="5"/>
      <c r="B66" s="3"/>
      <c r="C66" s="25" t="s">
        <v>87</v>
      </c>
      <c r="D66" s="25" t="s">
        <v>2</v>
      </c>
      <c r="E66" s="25" t="s">
        <v>277</v>
      </c>
      <c r="F66" s="67" t="s">
        <v>275</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INDEX('[2]End - Use Prices'!$C$6:$AL$89,MATCH($C66,'[2]End - Use Prices'!$A$6:$A$89,0)+MATCH($D66,'[2]End - Use Prices'!$B$9:$B$11,0)-1,MATCH(X$1,'[2]End - Use Prices'!$C$7:$AL$7,0))</f>
        <v>35.630000000000003</v>
      </c>
      <c r="Y66" s="41">
        <f>INDEX('[2]End - Use Prices'!$C$6:$AL$89,MATCH($C66,'[2]End - Use Prices'!$A$6:$A$89,0)+MATCH($D66,'[2]End - Use Prices'!$B$9:$B$11,0)-1,MATCH(Y$1,'[2]End - Use Prices'!$C$7:$AL$7,0))</f>
        <v>40.94</v>
      </c>
      <c r="Z66" s="41">
        <f>INDEX('[2]End - Use Prices'!$C$6:$AL$89,MATCH($C66,'[2]End - Use Prices'!$A$6:$A$89,0)+MATCH($D66,'[2]End - Use Prices'!$B$9:$B$11,0)-1,MATCH(Z$1,'[2]End - Use Prices'!$C$7:$AL$7,0))</f>
        <v>42.23</v>
      </c>
      <c r="AA66" s="41">
        <f>INDEX('[2]End - Use Prices'!$C$6:$AL$89,MATCH($C66,'[2]End - Use Prices'!$A$6:$A$89,0)+MATCH($D66,'[2]End - Use Prices'!$B$9:$B$11,0)-1,MATCH(AA$1,'[2]End - Use Prices'!$C$7:$AL$7,0))</f>
        <v>41.92</v>
      </c>
      <c r="AB66" s="41">
        <f>INDEX('[2]End - Use Prices'!$C$6:$AL$89,MATCH($C66,'[2]End - Use Prices'!$A$6:$A$89,0)+MATCH($D66,'[2]End - Use Prices'!$B$9:$B$11,0)-1,MATCH(AB$1,'[2]End - Use Prices'!$C$7:$AL$7,0))</f>
        <v>43.47</v>
      </c>
      <c r="AC66" s="41">
        <f>INDEX('[2]End - Use Prices'!$C$6:$AL$89,MATCH($C66,'[2]End - Use Prices'!$A$6:$A$89,0)+MATCH($D66,'[2]End - Use Prices'!$B$9:$B$11,0)-1,MATCH(AC$1,'[2]End - Use Prices'!$C$7:$AL$7,0))</f>
        <v>42.27</v>
      </c>
      <c r="AD66" s="41">
        <f>INDEX('[2]End - Use Prices'!$C$6:$AL$89,MATCH($C66,'[2]End - Use Prices'!$A$6:$A$89,0)+MATCH($D66,'[2]End - Use Prices'!$B$9:$B$11,0)-1,MATCH(AD$1,'[2]End - Use Prices'!$C$7:$AL$7,0))</f>
        <v>41.5</v>
      </c>
      <c r="AE66" s="41">
        <f>INDEX('[2]End - Use Prices'!$C$6:$AL$89,MATCH($C66,'[2]End - Use Prices'!$A$6:$A$89,0)+MATCH($D66,'[2]End - Use Prices'!$B$9:$B$11,0)-1,MATCH(AE$1,'[2]End - Use Prices'!$C$7:$AL$7,0))</f>
        <v>41</v>
      </c>
      <c r="AF66" s="41">
        <f>INDEX('[2]End - Use Prices'!$C$6:$AL$89,MATCH($C66,'[2]End - Use Prices'!$A$6:$A$89,0)+MATCH($D66,'[2]End - Use Prices'!$B$9:$B$11,0)-1,MATCH(AF$1,'[2]End - Use Prices'!$C$7:$AL$7,0))</f>
        <v>40.340000000000003</v>
      </c>
      <c r="AG66" s="41">
        <f>INDEX('[2]End - Use Prices'!$C$6:$AL$89,MATCH($C66,'[2]End - Use Prices'!$A$6:$A$89,0)+MATCH($D66,'[2]End - Use Prices'!$B$9:$B$11,0)-1,MATCH(AG$1,'[2]End - Use Prices'!$C$7:$AL$7,0))</f>
        <v>40.39</v>
      </c>
      <c r="AH66" s="41">
        <f>INDEX('[2]End - Use Prices'!$C$6:$AL$89,MATCH($C66,'[2]End - Use Prices'!$A$6:$A$89,0)+MATCH($D66,'[2]End - Use Prices'!$B$9:$B$11,0)-1,MATCH(AH$1,'[2]End - Use Prices'!$C$7:$AL$7,0))</f>
        <v>41.52</v>
      </c>
      <c r="AI66" s="41">
        <f>INDEX('[2]End - Use Prices'!$C$6:$AL$89,MATCH($C66,'[2]End - Use Prices'!$A$6:$A$89,0)+MATCH($D66,'[2]End - Use Prices'!$B$9:$B$11,0)-1,MATCH(AI$1,'[2]End - Use Prices'!$C$7:$AL$7,0))</f>
        <v>42.28</v>
      </c>
      <c r="AJ66" s="41">
        <f>INDEX('[2]End - Use Prices'!$C$6:$AL$89,MATCH($C66,'[2]End - Use Prices'!$A$6:$A$89,0)+MATCH($D66,'[2]End - Use Prices'!$B$9:$B$11,0)-1,MATCH(AJ$1,'[2]End - Use Prices'!$C$7:$AL$7,0))</f>
        <v>42.82</v>
      </c>
      <c r="AK66" s="41">
        <f>INDEX('[2]End - Use Prices'!$C$6:$AL$89,MATCH($C66,'[2]End - Use Prices'!$A$6:$A$89,0)+MATCH($D66,'[2]End - Use Prices'!$B$9:$B$11,0)-1,MATCH(AK$1,'[2]End - Use Prices'!$C$7:$AL$7,0))</f>
        <v>43.37</v>
      </c>
      <c r="AL66" s="41">
        <f>INDEX('[2]End - Use Prices'!$C$6:$AL$89,MATCH($C66,'[2]End - Use Prices'!$A$6:$A$89,0)+MATCH($D66,'[2]End - Use Prices'!$B$9:$B$11,0)-1,MATCH(AL$1,'[2]End - Use Prices'!$C$7:$AL$7,0))</f>
        <v>43.92</v>
      </c>
      <c r="AM66" s="41">
        <f>INDEX('[2]End - Use Prices'!$C$6:$AL$89,MATCH($C66,'[2]End - Use Prices'!$A$6:$A$89,0)+MATCH($D66,'[2]End - Use Prices'!$B$9:$B$11,0)-1,MATCH(AM$1,'[2]End - Use Prices'!$C$7:$AL$7,0))</f>
        <v>44.47</v>
      </c>
      <c r="AN66" s="41">
        <f>INDEX('[2]End - Use Prices'!$C$6:$AL$89,MATCH($C66,'[2]End - Use Prices'!$A$6:$A$89,0)+MATCH($D66,'[2]End - Use Prices'!$B$9:$B$11,0)-1,MATCH(AN$1,'[2]End - Use Prices'!$C$7:$AL$7,0))</f>
        <v>45.04</v>
      </c>
      <c r="AO66" s="41">
        <f>INDEX('[2]End - Use Prices'!$C$6:$AL$89,MATCH($C66,'[2]End - Use Prices'!$A$6:$A$89,0)+MATCH($D66,'[2]End - Use Prices'!$B$9:$B$11,0)-1,MATCH(AO$1,'[2]End - Use Prices'!$C$7:$AL$7,0))</f>
        <v>45.61</v>
      </c>
      <c r="AP66" s="41">
        <f>INDEX('[2]End - Use Prices'!$C$6:$AL$89,MATCH($C66,'[2]End - Use Prices'!$A$6:$A$89,0)+MATCH($D66,'[2]End - Use Prices'!$B$9:$B$11,0)-1,MATCH(AP$1,'[2]End - Use Prices'!$C$7:$AL$7,0))</f>
        <v>46.19</v>
      </c>
      <c r="AQ66" s="41">
        <f>INDEX('[2]End - Use Prices'!$C$6:$AL$89,MATCH($C66,'[2]End - Use Prices'!$A$6:$A$89,0)+MATCH($D66,'[2]End - Use Prices'!$B$9:$B$11,0)-1,MATCH(AQ$1,'[2]End - Use Prices'!$C$7:$AL$7,0))</f>
        <v>46.78</v>
      </c>
      <c r="AR66" s="41">
        <f>INDEX('[2]End - Use Prices'!$C$6:$AL$89,MATCH($C66,'[2]End - Use Prices'!$A$6:$A$89,0)+MATCH($D66,'[2]End - Use Prices'!$B$9:$B$11,0)-1,MATCH(AR$1,'[2]End - Use Prices'!$C$7:$AL$7,0))</f>
        <v>47.37</v>
      </c>
      <c r="AS66" s="41">
        <f>INDEX('[2]End - Use Prices'!$C$6:$AL$89,MATCH($C66,'[2]End - Use Prices'!$A$6:$A$89,0)+MATCH($D66,'[2]End - Use Prices'!$B$9:$B$11,0)-1,MATCH(AS$1,'[2]End - Use Prices'!$C$7:$AL$7,0))</f>
        <v>47.97</v>
      </c>
      <c r="AT66" s="41">
        <f>INDEX('[2]End - Use Prices'!$C$6:$AL$89,MATCH($C66,'[2]End - Use Prices'!$A$6:$A$89,0)+MATCH($D66,'[2]End - Use Prices'!$B$9:$B$11,0)-1,MATCH(AT$1,'[2]End - Use Prices'!$C$7:$AL$7,0))</f>
        <v>48.58</v>
      </c>
      <c r="AU66" s="41">
        <f>INDEX('[2]End - Use Prices'!$C$6:$AL$89,MATCH($C66,'[2]End - Use Prices'!$A$6:$A$89,0)+MATCH($D66,'[2]End - Use Prices'!$B$9:$B$11,0)-1,MATCH(AU$1,'[2]End - Use Prices'!$C$7:$AL$7,0))</f>
        <v>49.2</v>
      </c>
      <c r="AV66" s="41">
        <f>INDEX('[2]End - Use Prices'!$C$6:$AL$89,MATCH($C66,'[2]End - Use Prices'!$A$6:$A$89,0)+MATCH($D66,'[2]End - Use Prices'!$B$9:$B$11,0)-1,MATCH(AV$1,'[2]End - Use Prices'!$C$7:$AL$7,0))</f>
        <v>49.82</v>
      </c>
      <c r="AW66" s="41">
        <f>INDEX('[2]End - Use Prices'!$C$6:$AL$89,MATCH($C66,'[2]End - Use Prices'!$A$6:$A$89,0)+MATCH($D66,'[2]End - Use Prices'!$B$9:$B$11,0)-1,MATCH(AW$1,'[2]End - Use Prices'!$C$7:$AL$7,0))</f>
        <v>50.45</v>
      </c>
      <c r="AX66" s="41">
        <f>INDEX('[2]End - Use Prices'!$C$6:$AL$89,MATCH($C66,'[2]End - Use Prices'!$A$6:$A$89,0)+MATCH($D66,'[2]End - Use Prices'!$B$9:$B$11,0)-1,MATCH(AX$1,'[2]End - Use Prices'!$C$7:$AL$7,0))</f>
        <v>51.09</v>
      </c>
      <c r="AY66" s="41">
        <f>INDEX('[2]End - Use Prices'!$C$6:$AL$89,MATCH($C66,'[2]End - Use Prices'!$A$6:$A$89,0)+MATCH($D66,'[2]End - Use Prices'!$B$9:$B$11,0)-1,MATCH(AY$1,'[2]End - Use Prices'!$C$7:$AL$7,0))</f>
        <v>51.74</v>
      </c>
      <c r="AZ66" s="41">
        <f>INDEX('[2]End - Use Prices'!$C$6:$AL$89,MATCH($C66,'[2]End - Use Prices'!$A$6:$A$89,0)+MATCH($D66,'[2]End - Use Prices'!$B$9:$B$11,0)-1,MATCH(AZ$1,'[2]End - Use Prices'!$C$7:$AL$7,0))</f>
        <v>52.4</v>
      </c>
      <c r="BA66" s="41">
        <f>INDEX('[2]End - Use Prices'!$C$6:$AL$89,MATCH($C66,'[2]End - Use Prices'!$A$6:$A$89,0)+MATCH($D66,'[2]End - Use Prices'!$B$9:$B$11,0)-1,MATCH(BA$1,'[2]End - Use Prices'!$C$7:$AL$7,0))</f>
        <v>53.07</v>
      </c>
      <c r="BB66" s="41">
        <f>INDEX('[2]End - Use Prices'!$C$6:$AL$89,MATCH($C66,'[2]End - Use Prices'!$A$6:$A$89,0)+MATCH($D66,'[2]End - Use Prices'!$B$9:$B$11,0)-1,MATCH(BB$1,'[2]End - Use Prices'!$C$7:$AL$7,0))</f>
        <v>53.74</v>
      </c>
      <c r="BC66" s="41">
        <f>INDEX('[2]End - Use Prices'!$C$6:$AL$89,MATCH($C66,'[2]End - Use Prices'!$A$6:$A$89,0)+MATCH($D66,'[2]End - Use Prices'!$B$9:$B$11,0)-1,MATCH(BC$1,'[2]End - Use Prices'!$C$7:$AL$7,0))</f>
        <v>54.42</v>
      </c>
      <c r="BD66" s="41">
        <f>INDEX('[2]End - Use Prices'!$C$6:$AL$89,MATCH($C66,'[2]End - Use Prices'!$A$6:$A$89,0)+MATCH($D66,'[2]End - Use Prices'!$B$9:$B$11,0)-1,MATCH(BD$1,'[2]End - Use Prices'!$C$7:$AL$7,0))</f>
        <v>55.11</v>
      </c>
      <c r="BE66" s="41">
        <f>INDEX('[2]End - Use Prices'!$C$6:$AL$89,MATCH($C66,'[2]End - Use Prices'!$A$6:$A$89,0)+MATCH($D66,'[2]End - Use Prices'!$B$9:$B$11,0)-1,MATCH(BE$1,'[2]End - Use Prices'!$C$7:$AL$7,0))</f>
        <v>55.81</v>
      </c>
      <c r="BF66" s="41">
        <f>INDEX('[2]End - Use Prices'!$C$6:$AL$89,MATCH($C66,'[2]End - Use Prices'!$A$6:$A$89,0)+MATCH($D66,'[2]End - Use Prices'!$B$9:$B$11,0)-1,MATCH(BF$1,'[2]End - Use Prices'!$C$7:$AL$7,0))</f>
        <v>56.52</v>
      </c>
      <c r="BG66" s="41">
        <f>INDEX('[2]End - Use Prices'!$C$6:$AL$89,MATCH($C66,'[2]End - Use Prices'!$A$6:$A$89,0)+MATCH($D66,'[2]End - Use Prices'!$B$9:$B$11,0)-1,MATCH(BG$1,'[2]End - Use Prices'!$C$7:$AL$7,0))</f>
        <v>57.24</v>
      </c>
      <c r="BR66" s="39"/>
      <c r="BS66" s="39"/>
      <c r="BT66" s="39"/>
      <c r="BU66" s="39"/>
      <c r="BV66" s="39"/>
      <c r="BW66" s="39"/>
      <c r="BX66" s="39"/>
      <c r="BY66" s="39"/>
      <c r="BZ66" s="39"/>
      <c r="CA66" s="39"/>
    </row>
    <row r="67" spans="1:79">
      <c r="A67" s="5"/>
      <c r="B67" s="3"/>
      <c r="C67" s="25" t="s">
        <v>88</v>
      </c>
      <c r="D67" s="25" t="s">
        <v>2</v>
      </c>
      <c r="E67" s="25" t="s">
        <v>277</v>
      </c>
      <c r="F67" s="67" t="s">
        <v>275</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INDEX('[2]End - Use Prices'!$C$6:$AL$89,MATCH($C67,'[2]End - Use Prices'!$A$6:$A$89,0)+MATCH($D67,'[2]End - Use Prices'!$B$9:$B$11,0)-1,MATCH(X$1,'[2]End - Use Prices'!$C$7:$AL$7,0))</f>
        <v>23.05</v>
      </c>
      <c r="Y67" s="41">
        <f>INDEX('[2]End - Use Prices'!$C$6:$AL$89,MATCH($C67,'[2]End - Use Prices'!$A$6:$A$89,0)+MATCH($D67,'[2]End - Use Prices'!$B$9:$B$11,0)-1,MATCH(Y$1,'[2]End - Use Prices'!$C$7:$AL$7,0))</f>
        <v>26.62</v>
      </c>
      <c r="Z67" s="41">
        <f>INDEX('[2]End - Use Prices'!$C$6:$AL$89,MATCH($C67,'[2]End - Use Prices'!$A$6:$A$89,0)+MATCH($D67,'[2]End - Use Prices'!$B$9:$B$11,0)-1,MATCH(Z$1,'[2]End - Use Prices'!$C$7:$AL$7,0))</f>
        <v>25.75</v>
      </c>
      <c r="AA67" s="41">
        <f>INDEX('[2]End - Use Prices'!$C$6:$AL$89,MATCH($C67,'[2]End - Use Prices'!$A$6:$A$89,0)+MATCH($D67,'[2]End - Use Prices'!$B$9:$B$11,0)-1,MATCH(AA$1,'[2]End - Use Prices'!$C$7:$AL$7,0))</f>
        <v>24.75</v>
      </c>
      <c r="AB67" s="41">
        <f>INDEX('[2]End - Use Prices'!$C$6:$AL$89,MATCH($C67,'[2]End - Use Prices'!$A$6:$A$89,0)+MATCH($D67,'[2]End - Use Prices'!$B$9:$B$11,0)-1,MATCH(AB$1,'[2]End - Use Prices'!$C$7:$AL$7,0))</f>
        <v>25.57</v>
      </c>
      <c r="AC67" s="41">
        <f>INDEX('[2]End - Use Prices'!$C$6:$AL$89,MATCH($C67,'[2]End - Use Prices'!$A$6:$A$89,0)+MATCH($D67,'[2]End - Use Prices'!$B$9:$B$11,0)-1,MATCH(AC$1,'[2]End - Use Prices'!$C$7:$AL$7,0))</f>
        <v>24.86</v>
      </c>
      <c r="AD67" s="41">
        <f>INDEX('[2]End - Use Prices'!$C$6:$AL$89,MATCH($C67,'[2]End - Use Prices'!$A$6:$A$89,0)+MATCH($D67,'[2]End - Use Prices'!$B$9:$B$11,0)-1,MATCH(AD$1,'[2]End - Use Prices'!$C$7:$AL$7,0))</f>
        <v>24.33</v>
      </c>
      <c r="AE67" s="41">
        <f>INDEX('[2]End - Use Prices'!$C$6:$AL$89,MATCH($C67,'[2]End - Use Prices'!$A$6:$A$89,0)+MATCH($D67,'[2]End - Use Prices'!$B$9:$B$11,0)-1,MATCH(AE$1,'[2]End - Use Prices'!$C$7:$AL$7,0))</f>
        <v>24.26</v>
      </c>
      <c r="AF67" s="41">
        <f>INDEX('[2]End - Use Prices'!$C$6:$AL$89,MATCH($C67,'[2]End - Use Prices'!$A$6:$A$89,0)+MATCH($D67,'[2]End - Use Prices'!$B$9:$B$11,0)-1,MATCH(AF$1,'[2]End - Use Prices'!$C$7:$AL$7,0))</f>
        <v>24.24</v>
      </c>
      <c r="AG67" s="41">
        <f>INDEX('[2]End - Use Prices'!$C$6:$AL$89,MATCH($C67,'[2]End - Use Prices'!$A$6:$A$89,0)+MATCH($D67,'[2]End - Use Prices'!$B$9:$B$11,0)-1,MATCH(AG$1,'[2]End - Use Prices'!$C$7:$AL$7,0))</f>
        <v>24.48</v>
      </c>
      <c r="AH67" s="41">
        <f>INDEX('[2]End - Use Prices'!$C$6:$AL$89,MATCH($C67,'[2]End - Use Prices'!$A$6:$A$89,0)+MATCH($D67,'[2]End - Use Prices'!$B$9:$B$11,0)-1,MATCH(AH$1,'[2]End - Use Prices'!$C$7:$AL$7,0))</f>
        <v>25.13</v>
      </c>
      <c r="AI67" s="41">
        <f>INDEX('[2]End - Use Prices'!$C$6:$AL$89,MATCH($C67,'[2]End - Use Prices'!$A$6:$A$89,0)+MATCH($D67,'[2]End - Use Prices'!$B$9:$B$11,0)-1,MATCH(AI$1,'[2]End - Use Prices'!$C$7:$AL$7,0))</f>
        <v>25.1</v>
      </c>
      <c r="AJ67" s="41">
        <f>INDEX('[2]End - Use Prices'!$C$6:$AL$89,MATCH($C67,'[2]End - Use Prices'!$A$6:$A$89,0)+MATCH($D67,'[2]End - Use Prices'!$B$9:$B$11,0)-1,MATCH(AJ$1,'[2]End - Use Prices'!$C$7:$AL$7,0))</f>
        <v>25.35</v>
      </c>
      <c r="AK67" s="41">
        <f>INDEX('[2]End - Use Prices'!$C$6:$AL$89,MATCH($C67,'[2]End - Use Prices'!$A$6:$A$89,0)+MATCH($D67,'[2]End - Use Prices'!$B$9:$B$11,0)-1,MATCH(AK$1,'[2]End - Use Prices'!$C$7:$AL$7,0))</f>
        <v>25.6</v>
      </c>
      <c r="AL67" s="41">
        <f>INDEX('[2]End - Use Prices'!$C$6:$AL$89,MATCH($C67,'[2]End - Use Prices'!$A$6:$A$89,0)+MATCH($D67,'[2]End - Use Prices'!$B$9:$B$11,0)-1,MATCH(AL$1,'[2]End - Use Prices'!$C$7:$AL$7,0))</f>
        <v>25.86</v>
      </c>
      <c r="AM67" s="41">
        <f>INDEX('[2]End - Use Prices'!$C$6:$AL$89,MATCH($C67,'[2]End - Use Prices'!$A$6:$A$89,0)+MATCH($D67,'[2]End - Use Prices'!$B$9:$B$11,0)-1,MATCH(AM$1,'[2]End - Use Prices'!$C$7:$AL$7,0))</f>
        <v>26.11</v>
      </c>
      <c r="AN67" s="41">
        <f>INDEX('[2]End - Use Prices'!$C$6:$AL$89,MATCH($C67,'[2]End - Use Prices'!$A$6:$A$89,0)+MATCH($D67,'[2]End - Use Prices'!$B$9:$B$11,0)-1,MATCH(AN$1,'[2]End - Use Prices'!$C$7:$AL$7,0))</f>
        <v>26.37</v>
      </c>
      <c r="AO67" s="41">
        <f>INDEX('[2]End - Use Prices'!$C$6:$AL$89,MATCH($C67,'[2]End - Use Prices'!$A$6:$A$89,0)+MATCH($D67,'[2]End - Use Prices'!$B$9:$B$11,0)-1,MATCH(AO$1,'[2]End - Use Prices'!$C$7:$AL$7,0))</f>
        <v>26.64</v>
      </c>
      <c r="AP67" s="41">
        <f>INDEX('[2]End - Use Prices'!$C$6:$AL$89,MATCH($C67,'[2]End - Use Prices'!$A$6:$A$89,0)+MATCH($D67,'[2]End - Use Prices'!$B$9:$B$11,0)-1,MATCH(AP$1,'[2]End - Use Prices'!$C$7:$AL$7,0))</f>
        <v>26.9</v>
      </c>
      <c r="AQ67" s="41">
        <f>INDEX('[2]End - Use Prices'!$C$6:$AL$89,MATCH($C67,'[2]End - Use Prices'!$A$6:$A$89,0)+MATCH($D67,'[2]End - Use Prices'!$B$9:$B$11,0)-1,MATCH(AQ$1,'[2]End - Use Prices'!$C$7:$AL$7,0))</f>
        <v>27.17</v>
      </c>
      <c r="AR67" s="41">
        <f>INDEX('[2]End - Use Prices'!$C$6:$AL$89,MATCH($C67,'[2]End - Use Prices'!$A$6:$A$89,0)+MATCH($D67,'[2]End - Use Prices'!$B$9:$B$11,0)-1,MATCH(AR$1,'[2]End - Use Prices'!$C$7:$AL$7,0))</f>
        <v>27.44</v>
      </c>
      <c r="AS67" s="41">
        <f>INDEX('[2]End - Use Prices'!$C$6:$AL$89,MATCH($C67,'[2]End - Use Prices'!$A$6:$A$89,0)+MATCH($D67,'[2]End - Use Prices'!$B$9:$B$11,0)-1,MATCH(AS$1,'[2]End - Use Prices'!$C$7:$AL$7,0))</f>
        <v>27.72</v>
      </c>
      <c r="AT67" s="41">
        <f>INDEX('[2]End - Use Prices'!$C$6:$AL$89,MATCH($C67,'[2]End - Use Prices'!$A$6:$A$89,0)+MATCH($D67,'[2]End - Use Prices'!$B$9:$B$11,0)-1,MATCH(AT$1,'[2]End - Use Prices'!$C$7:$AL$7,0))</f>
        <v>27.99</v>
      </c>
      <c r="AU67" s="41">
        <f>INDEX('[2]End - Use Prices'!$C$6:$AL$89,MATCH($C67,'[2]End - Use Prices'!$A$6:$A$89,0)+MATCH($D67,'[2]End - Use Prices'!$B$9:$B$11,0)-1,MATCH(AU$1,'[2]End - Use Prices'!$C$7:$AL$7,0))</f>
        <v>28.27</v>
      </c>
      <c r="AV67" s="41">
        <f>INDEX('[2]End - Use Prices'!$C$6:$AL$89,MATCH($C67,'[2]End - Use Prices'!$A$6:$A$89,0)+MATCH($D67,'[2]End - Use Prices'!$B$9:$B$11,0)-1,MATCH(AV$1,'[2]End - Use Prices'!$C$7:$AL$7,0))</f>
        <v>28.55</v>
      </c>
      <c r="AW67" s="41">
        <f>INDEX('[2]End - Use Prices'!$C$6:$AL$89,MATCH($C67,'[2]End - Use Prices'!$A$6:$A$89,0)+MATCH($D67,'[2]End - Use Prices'!$B$9:$B$11,0)-1,MATCH(AW$1,'[2]End - Use Prices'!$C$7:$AL$7,0))</f>
        <v>28.84</v>
      </c>
      <c r="AX67" s="41">
        <f>INDEX('[2]End - Use Prices'!$C$6:$AL$89,MATCH($C67,'[2]End - Use Prices'!$A$6:$A$89,0)+MATCH($D67,'[2]End - Use Prices'!$B$9:$B$11,0)-1,MATCH(AX$1,'[2]End - Use Prices'!$C$7:$AL$7,0))</f>
        <v>29.12</v>
      </c>
      <c r="AY67" s="41">
        <f>INDEX('[2]End - Use Prices'!$C$6:$AL$89,MATCH($C67,'[2]End - Use Prices'!$A$6:$A$89,0)+MATCH($D67,'[2]End - Use Prices'!$B$9:$B$11,0)-1,MATCH(AY$1,'[2]End - Use Prices'!$C$7:$AL$7,0))</f>
        <v>29.41</v>
      </c>
      <c r="AZ67" s="41">
        <f>INDEX('[2]End - Use Prices'!$C$6:$AL$89,MATCH($C67,'[2]End - Use Prices'!$A$6:$A$89,0)+MATCH($D67,'[2]End - Use Prices'!$B$9:$B$11,0)-1,MATCH(AZ$1,'[2]End - Use Prices'!$C$7:$AL$7,0))</f>
        <v>29.71</v>
      </c>
      <c r="BA67" s="41">
        <f>INDEX('[2]End - Use Prices'!$C$6:$AL$89,MATCH($C67,'[2]End - Use Prices'!$A$6:$A$89,0)+MATCH($D67,'[2]End - Use Prices'!$B$9:$B$11,0)-1,MATCH(BA$1,'[2]End - Use Prices'!$C$7:$AL$7,0))</f>
        <v>30</v>
      </c>
      <c r="BB67" s="41">
        <f>INDEX('[2]End - Use Prices'!$C$6:$AL$89,MATCH($C67,'[2]End - Use Prices'!$A$6:$A$89,0)+MATCH($D67,'[2]End - Use Prices'!$B$9:$B$11,0)-1,MATCH(BB$1,'[2]End - Use Prices'!$C$7:$AL$7,0))</f>
        <v>30.3</v>
      </c>
      <c r="BC67" s="41">
        <f>INDEX('[2]End - Use Prices'!$C$6:$AL$89,MATCH($C67,'[2]End - Use Prices'!$A$6:$A$89,0)+MATCH($D67,'[2]End - Use Prices'!$B$9:$B$11,0)-1,MATCH(BC$1,'[2]End - Use Prices'!$C$7:$AL$7,0))</f>
        <v>30.6</v>
      </c>
      <c r="BD67" s="41">
        <f>INDEX('[2]End - Use Prices'!$C$6:$AL$89,MATCH($C67,'[2]End - Use Prices'!$A$6:$A$89,0)+MATCH($D67,'[2]End - Use Prices'!$B$9:$B$11,0)-1,MATCH(BD$1,'[2]End - Use Prices'!$C$7:$AL$7,0))</f>
        <v>30.91</v>
      </c>
      <c r="BE67" s="41">
        <f>INDEX('[2]End - Use Prices'!$C$6:$AL$89,MATCH($C67,'[2]End - Use Prices'!$A$6:$A$89,0)+MATCH($D67,'[2]End - Use Prices'!$B$9:$B$11,0)-1,MATCH(BE$1,'[2]End - Use Prices'!$C$7:$AL$7,0))</f>
        <v>31.22</v>
      </c>
      <c r="BF67" s="41">
        <f>INDEX('[2]End - Use Prices'!$C$6:$AL$89,MATCH($C67,'[2]End - Use Prices'!$A$6:$A$89,0)+MATCH($D67,'[2]End - Use Prices'!$B$9:$B$11,0)-1,MATCH(BF$1,'[2]End - Use Prices'!$C$7:$AL$7,0))</f>
        <v>31.53</v>
      </c>
      <c r="BG67" s="41">
        <f>INDEX('[2]End - Use Prices'!$C$6:$AL$89,MATCH($C67,'[2]End - Use Prices'!$A$6:$A$89,0)+MATCH($D67,'[2]End - Use Prices'!$B$9:$B$11,0)-1,MATCH(BG$1,'[2]End - Use Prices'!$C$7:$AL$7,0))</f>
        <v>31.84</v>
      </c>
      <c r="BR67" s="39"/>
      <c r="BS67" s="39"/>
      <c r="BT67" s="39"/>
      <c r="BU67" s="39"/>
      <c r="BV67" s="39"/>
      <c r="BW67" s="39"/>
      <c r="BX67" s="39"/>
      <c r="BY67" s="39"/>
      <c r="BZ67" s="39"/>
      <c r="CA67" s="39"/>
    </row>
    <row r="68" spans="1:79">
      <c r="A68" s="5"/>
      <c r="B68" s="3"/>
      <c r="C68" s="25" t="s">
        <v>89</v>
      </c>
      <c r="D68" s="25" t="s">
        <v>2</v>
      </c>
      <c r="E68" s="25" t="s">
        <v>277</v>
      </c>
      <c r="F68" s="67" t="s">
        <v>275</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INDEX('[2]End - Use Prices'!$C$6:$AL$89,MATCH($C68,'[2]End - Use Prices'!$A$6:$A$89,0)+MATCH($D68,'[2]End - Use Prices'!$B$9:$B$11,0)-1,MATCH(X$1,'[2]End - Use Prices'!$C$7:$AL$7,0))</f>
        <v>36.92</v>
      </c>
      <c r="Y68" s="41">
        <f>INDEX('[2]End - Use Prices'!$C$6:$AL$89,MATCH($C68,'[2]End - Use Prices'!$A$6:$A$89,0)+MATCH($D68,'[2]End - Use Prices'!$B$9:$B$11,0)-1,MATCH(Y$1,'[2]End - Use Prices'!$C$7:$AL$7,0))</f>
        <v>40.86</v>
      </c>
      <c r="Z68" s="41">
        <f>INDEX('[2]End - Use Prices'!$C$6:$AL$89,MATCH($C68,'[2]End - Use Prices'!$A$6:$A$89,0)+MATCH($D68,'[2]End - Use Prices'!$B$9:$B$11,0)-1,MATCH(Z$1,'[2]End - Use Prices'!$C$7:$AL$7,0))</f>
        <v>40.64</v>
      </c>
      <c r="AA68" s="41">
        <f>INDEX('[2]End - Use Prices'!$C$6:$AL$89,MATCH($C68,'[2]End - Use Prices'!$A$6:$A$89,0)+MATCH($D68,'[2]End - Use Prices'!$B$9:$B$11,0)-1,MATCH(AA$1,'[2]End - Use Prices'!$C$7:$AL$7,0))</f>
        <v>37.31</v>
      </c>
      <c r="AB68" s="41">
        <f>INDEX('[2]End - Use Prices'!$C$6:$AL$89,MATCH($C68,'[2]End - Use Prices'!$A$6:$A$89,0)+MATCH($D68,'[2]End - Use Prices'!$B$9:$B$11,0)-1,MATCH(AB$1,'[2]End - Use Prices'!$C$7:$AL$7,0))</f>
        <v>39.53</v>
      </c>
      <c r="AC68" s="41">
        <f>INDEX('[2]End - Use Prices'!$C$6:$AL$89,MATCH($C68,'[2]End - Use Prices'!$A$6:$A$89,0)+MATCH($D68,'[2]End - Use Prices'!$B$9:$B$11,0)-1,MATCH(AC$1,'[2]End - Use Prices'!$C$7:$AL$7,0))</f>
        <v>39.14</v>
      </c>
      <c r="AD68" s="41">
        <f>INDEX('[2]End - Use Prices'!$C$6:$AL$89,MATCH($C68,'[2]End - Use Prices'!$A$6:$A$89,0)+MATCH($D68,'[2]End - Use Prices'!$B$9:$B$11,0)-1,MATCH(AD$1,'[2]End - Use Prices'!$C$7:$AL$7,0))</f>
        <v>40.4</v>
      </c>
      <c r="AE68" s="41">
        <f>INDEX('[2]End - Use Prices'!$C$6:$AL$89,MATCH($C68,'[2]End - Use Prices'!$A$6:$A$89,0)+MATCH($D68,'[2]End - Use Prices'!$B$9:$B$11,0)-1,MATCH(AE$1,'[2]End - Use Prices'!$C$7:$AL$7,0))</f>
        <v>42.06</v>
      </c>
      <c r="AF68" s="41">
        <f>INDEX('[2]End - Use Prices'!$C$6:$AL$89,MATCH($C68,'[2]End - Use Prices'!$A$6:$A$89,0)+MATCH($D68,'[2]End - Use Prices'!$B$9:$B$11,0)-1,MATCH(AF$1,'[2]End - Use Prices'!$C$7:$AL$7,0))</f>
        <v>42.96</v>
      </c>
      <c r="AG68" s="41">
        <f>INDEX('[2]End - Use Prices'!$C$6:$AL$89,MATCH($C68,'[2]End - Use Prices'!$A$6:$A$89,0)+MATCH($D68,'[2]End - Use Prices'!$B$9:$B$11,0)-1,MATCH(AG$1,'[2]End - Use Prices'!$C$7:$AL$7,0))</f>
        <v>46.39</v>
      </c>
      <c r="AH68" s="41">
        <f>INDEX('[2]End - Use Prices'!$C$6:$AL$89,MATCH($C68,'[2]End - Use Prices'!$A$6:$A$89,0)+MATCH($D68,'[2]End - Use Prices'!$B$9:$B$11,0)-1,MATCH(AH$1,'[2]End - Use Prices'!$C$7:$AL$7,0))</f>
        <v>48.73</v>
      </c>
      <c r="AI68" s="41">
        <f>INDEX('[2]End - Use Prices'!$C$6:$AL$89,MATCH($C68,'[2]End - Use Prices'!$A$6:$A$89,0)+MATCH($D68,'[2]End - Use Prices'!$B$9:$B$11,0)-1,MATCH(AI$1,'[2]End - Use Prices'!$C$7:$AL$7,0))</f>
        <v>58.38</v>
      </c>
      <c r="AJ68" s="41">
        <f>INDEX('[2]End - Use Prices'!$C$6:$AL$89,MATCH($C68,'[2]End - Use Prices'!$A$6:$A$89,0)+MATCH($D68,'[2]End - Use Prices'!$B$9:$B$11,0)-1,MATCH(AJ$1,'[2]End - Use Prices'!$C$7:$AL$7,0))</f>
        <v>58.96</v>
      </c>
      <c r="AK68" s="41">
        <f>INDEX('[2]End - Use Prices'!$C$6:$AL$89,MATCH($C68,'[2]End - Use Prices'!$A$6:$A$89,0)+MATCH($D68,'[2]End - Use Prices'!$B$9:$B$11,0)-1,MATCH(AK$1,'[2]End - Use Prices'!$C$7:$AL$7,0))</f>
        <v>59.62</v>
      </c>
      <c r="AL68" s="41">
        <f>INDEX('[2]End - Use Prices'!$C$6:$AL$89,MATCH($C68,'[2]End - Use Prices'!$A$6:$A$89,0)+MATCH($D68,'[2]End - Use Prices'!$B$9:$B$11,0)-1,MATCH(AL$1,'[2]End - Use Prices'!$C$7:$AL$7,0))</f>
        <v>60.27</v>
      </c>
      <c r="AM68" s="41">
        <f>INDEX('[2]End - Use Prices'!$C$6:$AL$89,MATCH($C68,'[2]End - Use Prices'!$A$6:$A$89,0)+MATCH($D68,'[2]End - Use Prices'!$B$9:$B$11,0)-1,MATCH(AM$1,'[2]End - Use Prices'!$C$7:$AL$7,0))</f>
        <v>60.89</v>
      </c>
      <c r="AN68" s="41">
        <f>INDEX('[2]End - Use Prices'!$C$6:$AL$89,MATCH($C68,'[2]End - Use Prices'!$A$6:$A$89,0)+MATCH($D68,'[2]End - Use Prices'!$B$9:$B$11,0)-1,MATCH(AN$1,'[2]End - Use Prices'!$C$7:$AL$7,0))</f>
        <v>61.51</v>
      </c>
      <c r="AO68" s="41">
        <f>INDEX('[2]End - Use Prices'!$C$6:$AL$89,MATCH($C68,'[2]End - Use Prices'!$A$6:$A$89,0)+MATCH($D68,'[2]End - Use Prices'!$B$9:$B$11,0)-1,MATCH(AO$1,'[2]End - Use Prices'!$C$7:$AL$7,0))</f>
        <v>62.1</v>
      </c>
      <c r="AP68" s="41">
        <f>INDEX('[2]End - Use Prices'!$C$6:$AL$89,MATCH($C68,'[2]End - Use Prices'!$A$6:$A$89,0)+MATCH($D68,'[2]End - Use Prices'!$B$9:$B$11,0)-1,MATCH(AP$1,'[2]End - Use Prices'!$C$7:$AL$7,0))</f>
        <v>62.68</v>
      </c>
      <c r="AQ68" s="41">
        <f>INDEX('[2]End - Use Prices'!$C$6:$AL$89,MATCH($C68,'[2]End - Use Prices'!$A$6:$A$89,0)+MATCH($D68,'[2]End - Use Prices'!$B$9:$B$11,0)-1,MATCH(AQ$1,'[2]End - Use Prices'!$C$7:$AL$7,0))</f>
        <v>63.25</v>
      </c>
      <c r="AR68" s="41">
        <f>INDEX('[2]End - Use Prices'!$C$6:$AL$89,MATCH($C68,'[2]End - Use Prices'!$A$6:$A$89,0)+MATCH($D68,'[2]End - Use Prices'!$B$9:$B$11,0)-1,MATCH(AR$1,'[2]End - Use Prices'!$C$7:$AL$7,0))</f>
        <v>63.81</v>
      </c>
      <c r="AS68" s="41">
        <f>INDEX('[2]End - Use Prices'!$C$6:$AL$89,MATCH($C68,'[2]End - Use Prices'!$A$6:$A$89,0)+MATCH($D68,'[2]End - Use Prices'!$B$9:$B$11,0)-1,MATCH(AS$1,'[2]End - Use Prices'!$C$7:$AL$7,0))</f>
        <v>64.36</v>
      </c>
      <c r="AT68" s="41">
        <f>INDEX('[2]End - Use Prices'!$C$6:$AL$89,MATCH($C68,'[2]End - Use Prices'!$A$6:$A$89,0)+MATCH($D68,'[2]End - Use Prices'!$B$9:$B$11,0)-1,MATCH(AT$1,'[2]End - Use Prices'!$C$7:$AL$7,0))</f>
        <v>64.900000000000006</v>
      </c>
      <c r="AU68" s="41">
        <f>INDEX('[2]End - Use Prices'!$C$6:$AL$89,MATCH($C68,'[2]End - Use Prices'!$A$6:$A$89,0)+MATCH($D68,'[2]End - Use Prices'!$B$9:$B$11,0)-1,MATCH(AU$1,'[2]End - Use Prices'!$C$7:$AL$7,0))</f>
        <v>65.430000000000007</v>
      </c>
      <c r="AV68" s="41">
        <f>INDEX('[2]End - Use Prices'!$C$6:$AL$89,MATCH($C68,'[2]End - Use Prices'!$A$6:$A$89,0)+MATCH($D68,'[2]End - Use Prices'!$B$9:$B$11,0)-1,MATCH(AV$1,'[2]End - Use Prices'!$C$7:$AL$7,0))</f>
        <v>65.95</v>
      </c>
      <c r="AW68" s="41">
        <f>INDEX('[2]End - Use Prices'!$C$6:$AL$89,MATCH($C68,'[2]End - Use Prices'!$A$6:$A$89,0)+MATCH($D68,'[2]End - Use Prices'!$B$9:$B$11,0)-1,MATCH(AW$1,'[2]End - Use Prices'!$C$7:$AL$7,0))</f>
        <v>66.47</v>
      </c>
      <c r="AX68" s="41">
        <f>INDEX('[2]End - Use Prices'!$C$6:$AL$89,MATCH($C68,'[2]End - Use Prices'!$A$6:$A$89,0)+MATCH($D68,'[2]End - Use Prices'!$B$9:$B$11,0)-1,MATCH(AX$1,'[2]End - Use Prices'!$C$7:$AL$7,0))</f>
        <v>66.989999999999995</v>
      </c>
      <c r="AY68" s="41">
        <f>INDEX('[2]End - Use Prices'!$C$6:$AL$89,MATCH($C68,'[2]End - Use Prices'!$A$6:$A$89,0)+MATCH($D68,'[2]End - Use Prices'!$B$9:$B$11,0)-1,MATCH(AY$1,'[2]End - Use Prices'!$C$7:$AL$7,0))</f>
        <v>67.510000000000005</v>
      </c>
      <c r="AZ68" s="41">
        <f>INDEX('[2]End - Use Prices'!$C$6:$AL$89,MATCH($C68,'[2]End - Use Prices'!$A$6:$A$89,0)+MATCH($D68,'[2]End - Use Prices'!$B$9:$B$11,0)-1,MATCH(AZ$1,'[2]End - Use Prices'!$C$7:$AL$7,0))</f>
        <v>68.02</v>
      </c>
      <c r="BA68" s="41">
        <f>INDEX('[2]End - Use Prices'!$C$6:$AL$89,MATCH($C68,'[2]End - Use Prices'!$A$6:$A$89,0)+MATCH($D68,'[2]End - Use Prices'!$B$9:$B$11,0)-1,MATCH(BA$1,'[2]End - Use Prices'!$C$7:$AL$7,0))</f>
        <v>68.53</v>
      </c>
      <c r="BB68" s="41">
        <f>INDEX('[2]End - Use Prices'!$C$6:$AL$89,MATCH($C68,'[2]End - Use Prices'!$A$6:$A$89,0)+MATCH($D68,'[2]End - Use Prices'!$B$9:$B$11,0)-1,MATCH(BB$1,'[2]End - Use Prices'!$C$7:$AL$7,0))</f>
        <v>69.05</v>
      </c>
      <c r="BC68" s="41">
        <f>INDEX('[2]End - Use Prices'!$C$6:$AL$89,MATCH($C68,'[2]End - Use Prices'!$A$6:$A$89,0)+MATCH($D68,'[2]End - Use Prices'!$B$9:$B$11,0)-1,MATCH(BC$1,'[2]End - Use Prices'!$C$7:$AL$7,0))</f>
        <v>69.569999999999993</v>
      </c>
      <c r="BD68" s="41">
        <f>INDEX('[2]End - Use Prices'!$C$6:$AL$89,MATCH($C68,'[2]End - Use Prices'!$A$6:$A$89,0)+MATCH($D68,'[2]End - Use Prices'!$B$9:$B$11,0)-1,MATCH(BD$1,'[2]End - Use Prices'!$C$7:$AL$7,0))</f>
        <v>70.09</v>
      </c>
      <c r="BE68" s="41">
        <f>INDEX('[2]End - Use Prices'!$C$6:$AL$89,MATCH($C68,'[2]End - Use Prices'!$A$6:$A$89,0)+MATCH($D68,'[2]End - Use Prices'!$B$9:$B$11,0)-1,MATCH(BE$1,'[2]End - Use Prices'!$C$7:$AL$7,0))</f>
        <v>70.62</v>
      </c>
      <c r="BF68" s="41">
        <f>INDEX('[2]End - Use Prices'!$C$6:$AL$89,MATCH($C68,'[2]End - Use Prices'!$A$6:$A$89,0)+MATCH($D68,'[2]End - Use Prices'!$B$9:$B$11,0)-1,MATCH(BF$1,'[2]End - Use Prices'!$C$7:$AL$7,0))</f>
        <v>71.150000000000006</v>
      </c>
      <c r="BG68" s="41">
        <f>INDEX('[2]End - Use Prices'!$C$6:$AL$89,MATCH($C68,'[2]End - Use Prices'!$A$6:$A$89,0)+MATCH($D68,'[2]End - Use Prices'!$B$9:$B$11,0)-1,MATCH(BG$1,'[2]End - Use Prices'!$C$7:$AL$7,0))</f>
        <v>71.69</v>
      </c>
      <c r="BR68" s="39"/>
      <c r="BS68" s="39"/>
      <c r="BT68" s="39"/>
      <c r="BU68" s="39"/>
      <c r="BV68" s="39"/>
      <c r="BW68" s="39"/>
      <c r="BX68" s="39"/>
      <c r="BY68" s="39"/>
      <c r="BZ68" s="39"/>
      <c r="CA68" s="39"/>
    </row>
    <row r="69" spans="1:79">
      <c r="A69" s="5"/>
      <c r="B69" s="3"/>
      <c r="C69" s="25" t="s">
        <v>90</v>
      </c>
      <c r="D69" s="25" t="s">
        <v>2</v>
      </c>
      <c r="E69" s="25" t="s">
        <v>277</v>
      </c>
      <c r="F69" s="67" t="s">
        <v>275</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INDEX('[2]End - Use Prices'!$C$6:$AL$89,MATCH($C69,'[2]End - Use Prices'!$A$6:$A$89,0)+MATCH($D69,'[2]End - Use Prices'!$B$9:$B$11,0)-1,MATCH(X$1,'[2]End - Use Prices'!$C$7:$AL$7,0))</f>
        <v>23.08</v>
      </c>
      <c r="Y69" s="41">
        <f>INDEX('[2]End - Use Prices'!$C$6:$AL$89,MATCH($C69,'[2]End - Use Prices'!$A$6:$A$89,0)+MATCH($D69,'[2]End - Use Prices'!$B$9:$B$11,0)-1,MATCH(Y$1,'[2]End - Use Prices'!$C$7:$AL$7,0))</f>
        <v>23.95</v>
      </c>
      <c r="Z69" s="41">
        <f>INDEX('[2]End - Use Prices'!$C$6:$AL$89,MATCH($C69,'[2]End - Use Prices'!$A$6:$A$89,0)+MATCH($D69,'[2]End - Use Prices'!$B$9:$B$11,0)-1,MATCH(Z$1,'[2]End - Use Prices'!$C$7:$AL$7,0))</f>
        <v>23.39</v>
      </c>
      <c r="AA69" s="41">
        <f>INDEX('[2]End - Use Prices'!$C$6:$AL$89,MATCH($C69,'[2]End - Use Prices'!$A$6:$A$89,0)+MATCH($D69,'[2]End - Use Prices'!$B$9:$B$11,0)-1,MATCH(AA$1,'[2]End - Use Prices'!$C$7:$AL$7,0))</f>
        <v>22.1</v>
      </c>
      <c r="AB69" s="41">
        <f>INDEX('[2]End - Use Prices'!$C$6:$AL$89,MATCH($C69,'[2]End - Use Prices'!$A$6:$A$89,0)+MATCH($D69,'[2]End - Use Prices'!$B$9:$B$11,0)-1,MATCH(AB$1,'[2]End - Use Prices'!$C$7:$AL$7,0))</f>
        <v>24.37</v>
      </c>
      <c r="AC69" s="41">
        <f>INDEX('[2]End - Use Prices'!$C$6:$AL$89,MATCH($C69,'[2]End - Use Prices'!$A$6:$A$89,0)+MATCH($D69,'[2]End - Use Prices'!$B$9:$B$11,0)-1,MATCH(AC$1,'[2]End - Use Prices'!$C$7:$AL$7,0))</f>
        <v>24.17</v>
      </c>
      <c r="AD69" s="41">
        <f>INDEX('[2]End - Use Prices'!$C$6:$AL$89,MATCH($C69,'[2]End - Use Prices'!$A$6:$A$89,0)+MATCH($D69,'[2]End - Use Prices'!$B$9:$B$11,0)-1,MATCH(AD$1,'[2]End - Use Prices'!$C$7:$AL$7,0))</f>
        <v>24.13</v>
      </c>
      <c r="AE69" s="41">
        <f>INDEX('[2]End - Use Prices'!$C$6:$AL$89,MATCH($C69,'[2]End - Use Prices'!$A$6:$A$89,0)+MATCH($D69,'[2]End - Use Prices'!$B$9:$B$11,0)-1,MATCH(AE$1,'[2]End - Use Prices'!$C$7:$AL$7,0))</f>
        <v>24.35</v>
      </c>
      <c r="AF69" s="41">
        <f>INDEX('[2]End - Use Prices'!$C$6:$AL$89,MATCH($C69,'[2]End - Use Prices'!$A$6:$A$89,0)+MATCH($D69,'[2]End - Use Prices'!$B$9:$B$11,0)-1,MATCH(AF$1,'[2]End - Use Prices'!$C$7:$AL$7,0))</f>
        <v>24.49</v>
      </c>
      <c r="AG69" s="41">
        <f>INDEX('[2]End - Use Prices'!$C$6:$AL$89,MATCH($C69,'[2]End - Use Prices'!$A$6:$A$89,0)+MATCH($D69,'[2]End - Use Prices'!$B$9:$B$11,0)-1,MATCH(AG$1,'[2]End - Use Prices'!$C$7:$AL$7,0))</f>
        <v>25.11</v>
      </c>
      <c r="AH69" s="41">
        <f>INDEX('[2]End - Use Prices'!$C$6:$AL$89,MATCH($C69,'[2]End - Use Prices'!$A$6:$A$89,0)+MATCH($D69,'[2]End - Use Prices'!$B$9:$B$11,0)-1,MATCH(AH$1,'[2]End - Use Prices'!$C$7:$AL$7,0))</f>
        <v>26.03</v>
      </c>
      <c r="AI69" s="41">
        <f>INDEX('[2]End - Use Prices'!$C$6:$AL$89,MATCH($C69,'[2]End - Use Prices'!$A$6:$A$89,0)+MATCH($D69,'[2]End - Use Prices'!$B$9:$B$11,0)-1,MATCH(AI$1,'[2]End - Use Prices'!$C$7:$AL$7,0))</f>
        <v>26.89</v>
      </c>
      <c r="AJ69" s="41">
        <f>INDEX('[2]End - Use Prices'!$C$6:$AL$89,MATCH($C69,'[2]End - Use Prices'!$A$6:$A$89,0)+MATCH($D69,'[2]End - Use Prices'!$B$9:$B$11,0)-1,MATCH(AJ$1,'[2]End - Use Prices'!$C$7:$AL$7,0))</f>
        <v>27.19</v>
      </c>
      <c r="AK69" s="41">
        <f>INDEX('[2]End - Use Prices'!$C$6:$AL$89,MATCH($C69,'[2]End - Use Prices'!$A$6:$A$89,0)+MATCH($D69,'[2]End - Use Prices'!$B$9:$B$11,0)-1,MATCH(AK$1,'[2]End - Use Prices'!$C$7:$AL$7,0))</f>
        <v>27.53</v>
      </c>
      <c r="AL69" s="41">
        <f>INDEX('[2]End - Use Prices'!$C$6:$AL$89,MATCH($C69,'[2]End - Use Prices'!$A$6:$A$89,0)+MATCH($D69,'[2]End - Use Prices'!$B$9:$B$11,0)-1,MATCH(AL$1,'[2]End - Use Prices'!$C$7:$AL$7,0))</f>
        <v>27.88</v>
      </c>
      <c r="AM69" s="41">
        <f>INDEX('[2]End - Use Prices'!$C$6:$AL$89,MATCH($C69,'[2]End - Use Prices'!$A$6:$A$89,0)+MATCH($D69,'[2]End - Use Prices'!$B$9:$B$11,0)-1,MATCH(AM$1,'[2]End - Use Prices'!$C$7:$AL$7,0))</f>
        <v>28.24</v>
      </c>
      <c r="AN69" s="41">
        <f>INDEX('[2]End - Use Prices'!$C$6:$AL$89,MATCH($C69,'[2]End - Use Prices'!$A$6:$A$89,0)+MATCH($D69,'[2]End - Use Prices'!$B$9:$B$11,0)-1,MATCH(AN$1,'[2]End - Use Prices'!$C$7:$AL$7,0))</f>
        <v>28.59</v>
      </c>
      <c r="AO69" s="41">
        <f>INDEX('[2]End - Use Prices'!$C$6:$AL$89,MATCH($C69,'[2]End - Use Prices'!$A$6:$A$89,0)+MATCH($D69,'[2]End - Use Prices'!$B$9:$B$11,0)-1,MATCH(AO$1,'[2]End - Use Prices'!$C$7:$AL$7,0))</f>
        <v>28.94</v>
      </c>
      <c r="AP69" s="41">
        <f>INDEX('[2]End - Use Prices'!$C$6:$AL$89,MATCH($C69,'[2]End - Use Prices'!$A$6:$A$89,0)+MATCH($D69,'[2]End - Use Prices'!$B$9:$B$11,0)-1,MATCH(AP$1,'[2]End - Use Prices'!$C$7:$AL$7,0))</f>
        <v>29.29</v>
      </c>
      <c r="AQ69" s="41">
        <f>INDEX('[2]End - Use Prices'!$C$6:$AL$89,MATCH($C69,'[2]End - Use Prices'!$A$6:$A$89,0)+MATCH($D69,'[2]End - Use Prices'!$B$9:$B$11,0)-1,MATCH(AQ$1,'[2]End - Use Prices'!$C$7:$AL$7,0))</f>
        <v>29.64</v>
      </c>
      <c r="AR69" s="41">
        <f>INDEX('[2]End - Use Prices'!$C$6:$AL$89,MATCH($C69,'[2]End - Use Prices'!$A$6:$A$89,0)+MATCH($D69,'[2]End - Use Prices'!$B$9:$B$11,0)-1,MATCH(AR$1,'[2]End - Use Prices'!$C$7:$AL$7,0))</f>
        <v>29.99</v>
      </c>
      <c r="AS69" s="41">
        <f>INDEX('[2]End - Use Prices'!$C$6:$AL$89,MATCH($C69,'[2]End - Use Prices'!$A$6:$A$89,0)+MATCH($D69,'[2]End - Use Prices'!$B$9:$B$11,0)-1,MATCH(AS$1,'[2]End - Use Prices'!$C$7:$AL$7,0))</f>
        <v>30.32</v>
      </c>
      <c r="AT69" s="41">
        <f>INDEX('[2]End - Use Prices'!$C$6:$AL$89,MATCH($C69,'[2]End - Use Prices'!$A$6:$A$89,0)+MATCH($D69,'[2]End - Use Prices'!$B$9:$B$11,0)-1,MATCH(AT$1,'[2]End - Use Prices'!$C$7:$AL$7,0))</f>
        <v>30.65</v>
      </c>
      <c r="AU69" s="41">
        <f>INDEX('[2]End - Use Prices'!$C$6:$AL$89,MATCH($C69,'[2]End - Use Prices'!$A$6:$A$89,0)+MATCH($D69,'[2]End - Use Prices'!$B$9:$B$11,0)-1,MATCH(AU$1,'[2]End - Use Prices'!$C$7:$AL$7,0))</f>
        <v>30.97</v>
      </c>
      <c r="AV69" s="41">
        <f>INDEX('[2]End - Use Prices'!$C$6:$AL$89,MATCH($C69,'[2]End - Use Prices'!$A$6:$A$89,0)+MATCH($D69,'[2]End - Use Prices'!$B$9:$B$11,0)-1,MATCH(AV$1,'[2]End - Use Prices'!$C$7:$AL$7,0))</f>
        <v>31.28</v>
      </c>
      <c r="AW69" s="41">
        <f>INDEX('[2]End - Use Prices'!$C$6:$AL$89,MATCH($C69,'[2]End - Use Prices'!$A$6:$A$89,0)+MATCH($D69,'[2]End - Use Prices'!$B$9:$B$11,0)-1,MATCH(AW$1,'[2]End - Use Prices'!$C$7:$AL$7,0))</f>
        <v>31.58</v>
      </c>
      <c r="AX69" s="41">
        <f>INDEX('[2]End - Use Prices'!$C$6:$AL$89,MATCH($C69,'[2]End - Use Prices'!$A$6:$A$89,0)+MATCH($D69,'[2]End - Use Prices'!$B$9:$B$11,0)-1,MATCH(AX$1,'[2]End - Use Prices'!$C$7:$AL$7,0))</f>
        <v>31.86</v>
      </c>
      <c r="AY69" s="41">
        <f>INDEX('[2]End - Use Prices'!$C$6:$AL$89,MATCH($C69,'[2]End - Use Prices'!$A$6:$A$89,0)+MATCH($D69,'[2]End - Use Prices'!$B$9:$B$11,0)-1,MATCH(AY$1,'[2]End - Use Prices'!$C$7:$AL$7,0))</f>
        <v>32.130000000000003</v>
      </c>
      <c r="AZ69" s="41">
        <f>INDEX('[2]End - Use Prices'!$C$6:$AL$89,MATCH($C69,'[2]End - Use Prices'!$A$6:$A$89,0)+MATCH($D69,'[2]End - Use Prices'!$B$9:$B$11,0)-1,MATCH(AZ$1,'[2]End - Use Prices'!$C$7:$AL$7,0))</f>
        <v>32.380000000000003</v>
      </c>
      <c r="BA69" s="41">
        <f>INDEX('[2]End - Use Prices'!$C$6:$AL$89,MATCH($C69,'[2]End - Use Prices'!$A$6:$A$89,0)+MATCH($D69,'[2]End - Use Prices'!$B$9:$B$11,0)-1,MATCH(BA$1,'[2]End - Use Prices'!$C$7:$AL$7,0))</f>
        <v>32.61</v>
      </c>
      <c r="BB69" s="41">
        <f>INDEX('[2]End - Use Prices'!$C$6:$AL$89,MATCH($C69,'[2]End - Use Prices'!$A$6:$A$89,0)+MATCH($D69,'[2]End - Use Prices'!$B$9:$B$11,0)-1,MATCH(BB$1,'[2]End - Use Prices'!$C$7:$AL$7,0))</f>
        <v>32.82</v>
      </c>
      <c r="BC69" s="41">
        <f>INDEX('[2]End - Use Prices'!$C$6:$AL$89,MATCH($C69,'[2]End - Use Prices'!$A$6:$A$89,0)+MATCH($D69,'[2]End - Use Prices'!$B$9:$B$11,0)-1,MATCH(BC$1,'[2]End - Use Prices'!$C$7:$AL$7,0))</f>
        <v>33.01</v>
      </c>
      <c r="BD69" s="41">
        <f>INDEX('[2]End - Use Prices'!$C$6:$AL$89,MATCH($C69,'[2]End - Use Prices'!$A$6:$A$89,0)+MATCH($D69,'[2]End - Use Prices'!$B$9:$B$11,0)-1,MATCH(BD$1,'[2]End - Use Prices'!$C$7:$AL$7,0))</f>
        <v>33.17</v>
      </c>
      <c r="BE69" s="41">
        <f>INDEX('[2]End - Use Prices'!$C$6:$AL$89,MATCH($C69,'[2]End - Use Prices'!$A$6:$A$89,0)+MATCH($D69,'[2]End - Use Prices'!$B$9:$B$11,0)-1,MATCH(BE$1,'[2]End - Use Prices'!$C$7:$AL$7,0))</f>
        <v>33.31</v>
      </c>
      <c r="BF69" s="41">
        <f>INDEX('[2]End - Use Prices'!$C$6:$AL$89,MATCH($C69,'[2]End - Use Prices'!$A$6:$A$89,0)+MATCH($D69,'[2]End - Use Prices'!$B$9:$B$11,0)-1,MATCH(BF$1,'[2]End - Use Prices'!$C$7:$AL$7,0))</f>
        <v>33.43</v>
      </c>
      <c r="BG69" s="41">
        <f>INDEX('[2]End - Use Prices'!$C$6:$AL$89,MATCH($C69,'[2]End - Use Prices'!$A$6:$A$89,0)+MATCH($D69,'[2]End - Use Prices'!$B$9:$B$11,0)-1,MATCH(BG$1,'[2]End - Use Prices'!$C$7:$AL$7,0))</f>
        <v>33.51</v>
      </c>
      <c r="BR69" s="39"/>
      <c r="BS69" s="39"/>
      <c r="BT69" s="39"/>
      <c r="BU69" s="39"/>
      <c r="BV69" s="39"/>
      <c r="BW69" s="39"/>
      <c r="BX69" s="39"/>
      <c r="BY69" s="39"/>
      <c r="BZ69" s="39"/>
      <c r="CA69" s="39"/>
    </row>
    <row r="70" spans="1:79">
      <c r="A70" s="5"/>
      <c r="B70" s="3"/>
      <c r="C70" s="25" t="s">
        <v>91</v>
      </c>
      <c r="D70" s="25" t="s">
        <v>2</v>
      </c>
      <c r="E70" s="25" t="s">
        <v>277</v>
      </c>
      <c r="F70" s="67" t="s">
        <v>275</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INDEX('[2]End - Use Prices'!$C$6:$AL$89,MATCH($C70,'[2]End - Use Prices'!$A$6:$A$89,0)+MATCH($D70,'[2]End - Use Prices'!$B$9:$B$11,0)-1,MATCH(X$1,'[2]End - Use Prices'!$C$7:$AL$7,0))</f>
        <v>36.07</v>
      </c>
      <c r="Y70" s="41">
        <f>INDEX('[2]End - Use Prices'!$C$6:$AL$89,MATCH($C70,'[2]End - Use Prices'!$A$6:$A$89,0)+MATCH($D70,'[2]End - Use Prices'!$B$9:$B$11,0)-1,MATCH(Y$1,'[2]End - Use Prices'!$C$7:$AL$7,0))</f>
        <v>42.3</v>
      </c>
      <c r="Z70" s="41">
        <f>INDEX('[2]End - Use Prices'!$C$6:$AL$89,MATCH($C70,'[2]End - Use Prices'!$A$6:$A$89,0)+MATCH($D70,'[2]End - Use Prices'!$B$9:$B$11,0)-1,MATCH(Z$1,'[2]End - Use Prices'!$C$7:$AL$7,0))</f>
        <v>41.68</v>
      </c>
      <c r="AA70" s="41">
        <f>INDEX('[2]End - Use Prices'!$C$6:$AL$89,MATCH($C70,'[2]End - Use Prices'!$A$6:$A$89,0)+MATCH($D70,'[2]End - Use Prices'!$B$9:$B$11,0)-1,MATCH(AA$1,'[2]End - Use Prices'!$C$7:$AL$7,0))</f>
        <v>39.369999999999997</v>
      </c>
      <c r="AB70" s="41">
        <f>INDEX('[2]End - Use Prices'!$C$6:$AL$89,MATCH($C70,'[2]End - Use Prices'!$A$6:$A$89,0)+MATCH($D70,'[2]End - Use Prices'!$B$9:$B$11,0)-1,MATCH(AB$1,'[2]End - Use Prices'!$C$7:$AL$7,0))</f>
        <v>40.299999999999997</v>
      </c>
      <c r="AC70" s="41">
        <f>INDEX('[2]End - Use Prices'!$C$6:$AL$89,MATCH($C70,'[2]End - Use Prices'!$A$6:$A$89,0)+MATCH($D70,'[2]End - Use Prices'!$B$9:$B$11,0)-1,MATCH(AC$1,'[2]End - Use Prices'!$C$7:$AL$7,0))</f>
        <v>42.93</v>
      </c>
      <c r="AD70" s="41">
        <f>INDEX('[2]End - Use Prices'!$C$6:$AL$89,MATCH($C70,'[2]End - Use Prices'!$A$6:$A$89,0)+MATCH($D70,'[2]End - Use Prices'!$B$9:$B$11,0)-1,MATCH(AD$1,'[2]End - Use Prices'!$C$7:$AL$7,0))</f>
        <v>43.6</v>
      </c>
      <c r="AE70" s="41">
        <f>INDEX('[2]End - Use Prices'!$C$6:$AL$89,MATCH($C70,'[2]End - Use Prices'!$A$6:$A$89,0)+MATCH($D70,'[2]End - Use Prices'!$B$9:$B$11,0)-1,MATCH(AE$1,'[2]End - Use Prices'!$C$7:$AL$7,0))</f>
        <v>43.08</v>
      </c>
      <c r="AF70" s="41">
        <f>INDEX('[2]End - Use Prices'!$C$6:$AL$89,MATCH($C70,'[2]End - Use Prices'!$A$6:$A$89,0)+MATCH($D70,'[2]End - Use Prices'!$B$9:$B$11,0)-1,MATCH(AF$1,'[2]End - Use Prices'!$C$7:$AL$7,0))</f>
        <v>44.44</v>
      </c>
      <c r="AG70" s="41">
        <f>INDEX('[2]End - Use Prices'!$C$6:$AL$89,MATCH($C70,'[2]End - Use Prices'!$A$6:$A$89,0)+MATCH($D70,'[2]End - Use Prices'!$B$9:$B$11,0)-1,MATCH(AG$1,'[2]End - Use Prices'!$C$7:$AL$7,0))</f>
        <v>46.3</v>
      </c>
      <c r="AH70" s="41">
        <f>INDEX('[2]End - Use Prices'!$C$6:$AL$89,MATCH($C70,'[2]End - Use Prices'!$A$6:$A$89,0)+MATCH($D70,'[2]End - Use Prices'!$B$9:$B$11,0)-1,MATCH(AH$1,'[2]End - Use Prices'!$C$7:$AL$7,0))</f>
        <v>48.06</v>
      </c>
      <c r="AI70" s="41">
        <f>INDEX('[2]End - Use Prices'!$C$6:$AL$89,MATCH($C70,'[2]End - Use Prices'!$A$6:$A$89,0)+MATCH($D70,'[2]End - Use Prices'!$B$9:$B$11,0)-1,MATCH(AI$1,'[2]End - Use Prices'!$C$7:$AL$7,0))</f>
        <v>48.66</v>
      </c>
      <c r="AJ70" s="41">
        <f>INDEX('[2]End - Use Prices'!$C$6:$AL$89,MATCH($C70,'[2]End - Use Prices'!$A$6:$A$89,0)+MATCH($D70,'[2]End - Use Prices'!$B$9:$B$11,0)-1,MATCH(AJ$1,'[2]End - Use Prices'!$C$7:$AL$7,0))</f>
        <v>49.42</v>
      </c>
      <c r="AK70" s="41">
        <f>INDEX('[2]End - Use Prices'!$C$6:$AL$89,MATCH($C70,'[2]End - Use Prices'!$A$6:$A$89,0)+MATCH($D70,'[2]End - Use Prices'!$B$9:$B$11,0)-1,MATCH(AK$1,'[2]End - Use Prices'!$C$7:$AL$7,0))</f>
        <v>50.31</v>
      </c>
      <c r="AL70" s="41">
        <f>INDEX('[2]End - Use Prices'!$C$6:$AL$89,MATCH($C70,'[2]End - Use Prices'!$A$6:$A$89,0)+MATCH($D70,'[2]End - Use Prices'!$B$9:$B$11,0)-1,MATCH(AL$1,'[2]End - Use Prices'!$C$7:$AL$7,0))</f>
        <v>51.11</v>
      </c>
      <c r="AM70" s="41">
        <f>INDEX('[2]End - Use Prices'!$C$6:$AL$89,MATCH($C70,'[2]End - Use Prices'!$A$6:$A$89,0)+MATCH($D70,'[2]End - Use Prices'!$B$9:$B$11,0)-1,MATCH(AM$1,'[2]End - Use Prices'!$C$7:$AL$7,0))</f>
        <v>51.84</v>
      </c>
      <c r="AN70" s="41">
        <f>INDEX('[2]End - Use Prices'!$C$6:$AL$89,MATCH($C70,'[2]End - Use Prices'!$A$6:$A$89,0)+MATCH($D70,'[2]End - Use Prices'!$B$9:$B$11,0)-1,MATCH(AN$1,'[2]End - Use Prices'!$C$7:$AL$7,0))</f>
        <v>52.5</v>
      </c>
      <c r="AO70" s="41">
        <f>INDEX('[2]End - Use Prices'!$C$6:$AL$89,MATCH($C70,'[2]End - Use Prices'!$A$6:$A$89,0)+MATCH($D70,'[2]End - Use Prices'!$B$9:$B$11,0)-1,MATCH(AO$1,'[2]End - Use Prices'!$C$7:$AL$7,0))</f>
        <v>53.11</v>
      </c>
      <c r="AP70" s="41">
        <f>INDEX('[2]End - Use Prices'!$C$6:$AL$89,MATCH($C70,'[2]End - Use Prices'!$A$6:$A$89,0)+MATCH($D70,'[2]End - Use Prices'!$B$9:$B$11,0)-1,MATCH(AP$1,'[2]End - Use Prices'!$C$7:$AL$7,0))</f>
        <v>53.65</v>
      </c>
      <c r="AQ70" s="41">
        <f>INDEX('[2]End - Use Prices'!$C$6:$AL$89,MATCH($C70,'[2]End - Use Prices'!$A$6:$A$89,0)+MATCH($D70,'[2]End - Use Prices'!$B$9:$B$11,0)-1,MATCH(AQ$1,'[2]End - Use Prices'!$C$7:$AL$7,0))</f>
        <v>54.15</v>
      </c>
      <c r="AR70" s="41">
        <f>INDEX('[2]End - Use Prices'!$C$6:$AL$89,MATCH($C70,'[2]End - Use Prices'!$A$6:$A$89,0)+MATCH($D70,'[2]End - Use Prices'!$B$9:$B$11,0)-1,MATCH(AR$1,'[2]End - Use Prices'!$C$7:$AL$7,0))</f>
        <v>54.59</v>
      </c>
      <c r="AS70" s="41">
        <f>INDEX('[2]End - Use Prices'!$C$6:$AL$89,MATCH($C70,'[2]End - Use Prices'!$A$6:$A$89,0)+MATCH($D70,'[2]End - Use Prices'!$B$9:$B$11,0)-1,MATCH(AS$1,'[2]End - Use Prices'!$C$7:$AL$7,0))</f>
        <v>55</v>
      </c>
      <c r="AT70" s="41">
        <f>INDEX('[2]End - Use Prices'!$C$6:$AL$89,MATCH($C70,'[2]End - Use Prices'!$A$6:$A$89,0)+MATCH($D70,'[2]End - Use Prices'!$B$9:$B$11,0)-1,MATCH(AT$1,'[2]End - Use Prices'!$C$7:$AL$7,0))</f>
        <v>55.38</v>
      </c>
      <c r="AU70" s="41">
        <f>INDEX('[2]End - Use Prices'!$C$6:$AL$89,MATCH($C70,'[2]End - Use Prices'!$A$6:$A$89,0)+MATCH($D70,'[2]End - Use Prices'!$B$9:$B$11,0)-1,MATCH(AU$1,'[2]End - Use Prices'!$C$7:$AL$7,0))</f>
        <v>55.73</v>
      </c>
      <c r="AV70" s="41">
        <f>INDEX('[2]End - Use Prices'!$C$6:$AL$89,MATCH($C70,'[2]End - Use Prices'!$A$6:$A$89,0)+MATCH($D70,'[2]End - Use Prices'!$B$9:$B$11,0)-1,MATCH(AV$1,'[2]End - Use Prices'!$C$7:$AL$7,0))</f>
        <v>56.05</v>
      </c>
      <c r="AW70" s="41">
        <f>INDEX('[2]End - Use Prices'!$C$6:$AL$89,MATCH($C70,'[2]End - Use Prices'!$A$6:$A$89,0)+MATCH($D70,'[2]End - Use Prices'!$B$9:$B$11,0)-1,MATCH(AW$1,'[2]End - Use Prices'!$C$7:$AL$7,0))</f>
        <v>56.35</v>
      </c>
      <c r="AX70" s="41">
        <f>INDEX('[2]End - Use Prices'!$C$6:$AL$89,MATCH($C70,'[2]End - Use Prices'!$A$6:$A$89,0)+MATCH($D70,'[2]End - Use Prices'!$B$9:$B$11,0)-1,MATCH(AX$1,'[2]End - Use Prices'!$C$7:$AL$7,0))</f>
        <v>56.65</v>
      </c>
      <c r="AY70" s="41">
        <f>INDEX('[2]End - Use Prices'!$C$6:$AL$89,MATCH($C70,'[2]End - Use Prices'!$A$6:$A$89,0)+MATCH($D70,'[2]End - Use Prices'!$B$9:$B$11,0)-1,MATCH(AY$1,'[2]End - Use Prices'!$C$7:$AL$7,0))</f>
        <v>56.93</v>
      </c>
      <c r="AZ70" s="41">
        <f>INDEX('[2]End - Use Prices'!$C$6:$AL$89,MATCH($C70,'[2]End - Use Prices'!$A$6:$A$89,0)+MATCH($D70,'[2]End - Use Prices'!$B$9:$B$11,0)-1,MATCH(AZ$1,'[2]End - Use Prices'!$C$7:$AL$7,0))</f>
        <v>57.22</v>
      </c>
      <c r="BA70" s="41">
        <f>INDEX('[2]End - Use Prices'!$C$6:$AL$89,MATCH($C70,'[2]End - Use Prices'!$A$6:$A$89,0)+MATCH($D70,'[2]End - Use Prices'!$B$9:$B$11,0)-1,MATCH(BA$1,'[2]End - Use Prices'!$C$7:$AL$7,0))</f>
        <v>57.51</v>
      </c>
      <c r="BB70" s="41">
        <f>INDEX('[2]End - Use Prices'!$C$6:$AL$89,MATCH($C70,'[2]End - Use Prices'!$A$6:$A$89,0)+MATCH($D70,'[2]End - Use Prices'!$B$9:$B$11,0)-1,MATCH(BB$1,'[2]End - Use Prices'!$C$7:$AL$7,0))</f>
        <v>57.81</v>
      </c>
      <c r="BC70" s="41">
        <f>INDEX('[2]End - Use Prices'!$C$6:$AL$89,MATCH($C70,'[2]End - Use Prices'!$A$6:$A$89,0)+MATCH($D70,'[2]End - Use Prices'!$B$9:$B$11,0)-1,MATCH(BC$1,'[2]End - Use Prices'!$C$7:$AL$7,0))</f>
        <v>58.13</v>
      </c>
      <c r="BD70" s="41">
        <f>INDEX('[2]End - Use Prices'!$C$6:$AL$89,MATCH($C70,'[2]End - Use Prices'!$A$6:$A$89,0)+MATCH($D70,'[2]End - Use Prices'!$B$9:$B$11,0)-1,MATCH(BD$1,'[2]End - Use Prices'!$C$7:$AL$7,0))</f>
        <v>58.47</v>
      </c>
      <c r="BE70" s="41">
        <f>INDEX('[2]End - Use Prices'!$C$6:$AL$89,MATCH($C70,'[2]End - Use Prices'!$A$6:$A$89,0)+MATCH($D70,'[2]End - Use Prices'!$B$9:$B$11,0)-1,MATCH(BE$1,'[2]End - Use Prices'!$C$7:$AL$7,0))</f>
        <v>58.83</v>
      </c>
      <c r="BF70" s="41">
        <f>INDEX('[2]End - Use Prices'!$C$6:$AL$89,MATCH($C70,'[2]End - Use Prices'!$A$6:$A$89,0)+MATCH($D70,'[2]End - Use Prices'!$B$9:$B$11,0)-1,MATCH(BF$1,'[2]End - Use Prices'!$C$7:$AL$7,0))</f>
        <v>59.23</v>
      </c>
      <c r="BG70" s="41">
        <f>INDEX('[2]End - Use Prices'!$C$6:$AL$89,MATCH($C70,'[2]End - Use Prices'!$A$6:$A$89,0)+MATCH($D70,'[2]End - Use Prices'!$B$9:$B$11,0)-1,MATCH(BG$1,'[2]End - Use Prices'!$C$7:$AL$7,0))</f>
        <v>59.66</v>
      </c>
      <c r="BR70" s="39"/>
      <c r="BS70" s="39"/>
      <c r="BT70" s="39"/>
      <c r="BU70" s="39"/>
      <c r="BV70" s="39"/>
      <c r="BW70" s="39"/>
      <c r="BX70" s="39"/>
      <c r="BY70" s="39"/>
      <c r="BZ70" s="39"/>
      <c r="CA70" s="39"/>
    </row>
    <row r="71" spans="1:79">
      <c r="A71" s="5"/>
      <c r="B71" s="3"/>
      <c r="C71" s="25" t="s">
        <v>5</v>
      </c>
      <c r="D71" s="25" t="s">
        <v>2</v>
      </c>
      <c r="E71" s="25" t="s">
        <v>277</v>
      </c>
      <c r="F71" s="67" t="s">
        <v>275</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INDEX('[2]End - Use Prices'!$C$6:$AL$89,MATCH($C71,'[2]End - Use Prices'!$A$6:$A$89,0)+MATCH($D71,'[2]End - Use Prices'!$B$9:$B$11,0)-1,MATCH(X$1,'[2]End - Use Prices'!$C$7:$AL$7,0))</f>
        <v>30.07</v>
      </c>
      <c r="Y71" s="41">
        <f>INDEX('[2]End - Use Prices'!$C$6:$AL$89,MATCH($C71,'[2]End - Use Prices'!$A$6:$A$89,0)+MATCH($D71,'[2]End - Use Prices'!$B$9:$B$11,0)-1,MATCH(Y$1,'[2]End - Use Prices'!$C$7:$AL$7,0))</f>
        <v>35.659999999999997</v>
      </c>
      <c r="Z71" s="41">
        <f>INDEX('[2]End - Use Prices'!$C$6:$AL$89,MATCH($C71,'[2]End - Use Prices'!$A$6:$A$89,0)+MATCH($D71,'[2]End - Use Prices'!$B$9:$B$11,0)-1,MATCH(Z$1,'[2]End - Use Prices'!$C$7:$AL$7,0))</f>
        <v>38.57</v>
      </c>
      <c r="AA71" s="41">
        <f>INDEX('[2]End - Use Prices'!$C$6:$AL$89,MATCH($C71,'[2]End - Use Prices'!$A$6:$A$89,0)+MATCH($D71,'[2]End - Use Prices'!$B$9:$B$11,0)-1,MATCH(AA$1,'[2]End - Use Prices'!$C$7:$AL$7,0))</f>
        <v>42.28</v>
      </c>
      <c r="AB71" s="41">
        <f>INDEX('[2]End - Use Prices'!$C$6:$AL$89,MATCH($C71,'[2]End - Use Prices'!$A$6:$A$89,0)+MATCH($D71,'[2]End - Use Prices'!$B$9:$B$11,0)-1,MATCH(AB$1,'[2]End - Use Prices'!$C$7:$AL$7,0))</f>
        <v>36.1</v>
      </c>
      <c r="AC71" s="41">
        <f>INDEX('[2]End - Use Prices'!$C$6:$AL$89,MATCH($C71,'[2]End - Use Prices'!$A$6:$A$89,0)+MATCH($D71,'[2]End - Use Prices'!$B$9:$B$11,0)-1,MATCH(AC$1,'[2]End - Use Prices'!$C$7:$AL$7,0))</f>
        <v>31.25</v>
      </c>
      <c r="AD71" s="41">
        <f>INDEX('[2]End - Use Prices'!$C$6:$AL$89,MATCH($C71,'[2]End - Use Prices'!$A$6:$A$89,0)+MATCH($D71,'[2]End - Use Prices'!$B$9:$B$11,0)-1,MATCH(AD$1,'[2]End - Use Prices'!$C$7:$AL$7,0))</f>
        <v>51.38</v>
      </c>
      <c r="AE71" s="41">
        <f>INDEX('[2]End - Use Prices'!$C$6:$AL$89,MATCH($C71,'[2]End - Use Prices'!$A$6:$A$89,0)+MATCH($D71,'[2]End - Use Prices'!$B$9:$B$11,0)-1,MATCH(AE$1,'[2]End - Use Prices'!$C$7:$AL$7,0))</f>
        <v>40.17</v>
      </c>
      <c r="AF71" s="41">
        <f>INDEX('[2]End - Use Prices'!$C$6:$AL$89,MATCH($C71,'[2]End - Use Prices'!$A$6:$A$89,0)+MATCH($D71,'[2]End - Use Prices'!$B$9:$B$11,0)-1,MATCH(AF$1,'[2]End - Use Prices'!$C$7:$AL$7,0))</f>
        <v>42.35</v>
      </c>
      <c r="AG71" s="41">
        <f>INDEX('[2]End - Use Prices'!$C$6:$AL$89,MATCH($C71,'[2]End - Use Prices'!$A$6:$A$89,0)+MATCH($D71,'[2]End - Use Prices'!$B$9:$B$11,0)-1,MATCH(AG$1,'[2]End - Use Prices'!$C$7:$AL$7,0))</f>
        <v>36.65</v>
      </c>
      <c r="AH71" s="41">
        <f>INDEX('[2]End - Use Prices'!$C$6:$AL$89,MATCH($C71,'[2]End - Use Prices'!$A$6:$A$89,0)+MATCH($D71,'[2]End - Use Prices'!$B$9:$B$11,0)-1,MATCH(AH$1,'[2]End - Use Prices'!$C$7:$AL$7,0))</f>
        <v>33.81</v>
      </c>
      <c r="AI71" s="41">
        <f>INDEX('[2]End - Use Prices'!$C$6:$AL$89,MATCH($C71,'[2]End - Use Prices'!$A$6:$A$89,0)+MATCH($D71,'[2]End - Use Prices'!$B$9:$B$11,0)-1,MATCH(AI$1,'[2]End - Use Prices'!$C$7:$AL$7,0))</f>
        <v>30.08</v>
      </c>
      <c r="AJ71" s="41">
        <f>INDEX('[2]End - Use Prices'!$C$6:$AL$89,MATCH($C71,'[2]End - Use Prices'!$A$6:$A$89,0)+MATCH($D71,'[2]End - Use Prices'!$B$9:$B$11,0)-1,MATCH(AJ$1,'[2]End - Use Prices'!$C$7:$AL$7,0))</f>
        <v>30.5</v>
      </c>
      <c r="AK71" s="41">
        <f>INDEX('[2]End - Use Prices'!$C$6:$AL$89,MATCH($C71,'[2]End - Use Prices'!$A$6:$A$89,0)+MATCH($D71,'[2]End - Use Prices'!$B$9:$B$11,0)-1,MATCH(AK$1,'[2]End - Use Prices'!$C$7:$AL$7,0))</f>
        <v>31.18</v>
      </c>
      <c r="AL71" s="41">
        <f>INDEX('[2]End - Use Prices'!$C$6:$AL$89,MATCH($C71,'[2]End - Use Prices'!$A$6:$A$89,0)+MATCH($D71,'[2]End - Use Prices'!$B$9:$B$11,0)-1,MATCH(AL$1,'[2]End - Use Prices'!$C$7:$AL$7,0))</f>
        <v>31.86</v>
      </c>
      <c r="AM71" s="41">
        <f>INDEX('[2]End - Use Prices'!$C$6:$AL$89,MATCH($C71,'[2]End - Use Prices'!$A$6:$A$89,0)+MATCH($D71,'[2]End - Use Prices'!$B$9:$B$11,0)-1,MATCH(AM$1,'[2]End - Use Prices'!$C$7:$AL$7,0))</f>
        <v>32.520000000000003</v>
      </c>
      <c r="AN71" s="41">
        <f>INDEX('[2]End - Use Prices'!$C$6:$AL$89,MATCH($C71,'[2]End - Use Prices'!$A$6:$A$89,0)+MATCH($D71,'[2]End - Use Prices'!$B$9:$B$11,0)-1,MATCH(AN$1,'[2]End - Use Prices'!$C$7:$AL$7,0))</f>
        <v>33.159999999999997</v>
      </c>
      <c r="AO71" s="41">
        <f>INDEX('[2]End - Use Prices'!$C$6:$AL$89,MATCH($C71,'[2]End - Use Prices'!$A$6:$A$89,0)+MATCH($D71,'[2]End - Use Prices'!$B$9:$B$11,0)-1,MATCH(AO$1,'[2]End - Use Prices'!$C$7:$AL$7,0))</f>
        <v>33.78</v>
      </c>
      <c r="AP71" s="41">
        <f>INDEX('[2]End - Use Prices'!$C$6:$AL$89,MATCH($C71,'[2]End - Use Prices'!$A$6:$A$89,0)+MATCH($D71,'[2]End - Use Prices'!$B$9:$B$11,0)-1,MATCH(AP$1,'[2]End - Use Prices'!$C$7:$AL$7,0))</f>
        <v>34.369999999999997</v>
      </c>
      <c r="AQ71" s="41">
        <f>INDEX('[2]End - Use Prices'!$C$6:$AL$89,MATCH($C71,'[2]End - Use Prices'!$A$6:$A$89,0)+MATCH($D71,'[2]End - Use Prices'!$B$9:$B$11,0)-1,MATCH(AQ$1,'[2]End - Use Prices'!$C$7:$AL$7,0))</f>
        <v>34.94</v>
      </c>
      <c r="AR71" s="41">
        <f>INDEX('[2]End - Use Prices'!$C$6:$AL$89,MATCH($C71,'[2]End - Use Prices'!$A$6:$A$89,0)+MATCH($D71,'[2]End - Use Prices'!$B$9:$B$11,0)-1,MATCH(AR$1,'[2]End - Use Prices'!$C$7:$AL$7,0))</f>
        <v>35.47</v>
      </c>
      <c r="AS71" s="41">
        <f>INDEX('[2]End - Use Prices'!$C$6:$AL$89,MATCH($C71,'[2]End - Use Prices'!$A$6:$A$89,0)+MATCH($D71,'[2]End - Use Prices'!$B$9:$B$11,0)-1,MATCH(AS$1,'[2]End - Use Prices'!$C$7:$AL$7,0))</f>
        <v>35.97</v>
      </c>
      <c r="AT71" s="41">
        <f>INDEX('[2]End - Use Prices'!$C$6:$AL$89,MATCH($C71,'[2]End - Use Prices'!$A$6:$A$89,0)+MATCH($D71,'[2]End - Use Prices'!$B$9:$B$11,0)-1,MATCH(AT$1,'[2]End - Use Prices'!$C$7:$AL$7,0))</f>
        <v>36.44</v>
      </c>
      <c r="AU71" s="41">
        <f>INDEX('[2]End - Use Prices'!$C$6:$AL$89,MATCH($C71,'[2]End - Use Prices'!$A$6:$A$89,0)+MATCH($D71,'[2]End - Use Prices'!$B$9:$B$11,0)-1,MATCH(AU$1,'[2]End - Use Prices'!$C$7:$AL$7,0))</f>
        <v>36.86</v>
      </c>
      <c r="AV71" s="41">
        <f>INDEX('[2]End - Use Prices'!$C$6:$AL$89,MATCH($C71,'[2]End - Use Prices'!$A$6:$A$89,0)+MATCH($D71,'[2]End - Use Prices'!$B$9:$B$11,0)-1,MATCH(AV$1,'[2]End - Use Prices'!$C$7:$AL$7,0))</f>
        <v>37.24</v>
      </c>
      <c r="AW71" s="41">
        <f>INDEX('[2]End - Use Prices'!$C$6:$AL$89,MATCH($C71,'[2]End - Use Prices'!$A$6:$A$89,0)+MATCH($D71,'[2]End - Use Prices'!$B$9:$B$11,0)-1,MATCH(AW$1,'[2]End - Use Prices'!$C$7:$AL$7,0))</f>
        <v>37.57</v>
      </c>
      <c r="AX71" s="41">
        <f>INDEX('[2]End - Use Prices'!$C$6:$AL$89,MATCH($C71,'[2]End - Use Prices'!$A$6:$A$89,0)+MATCH($D71,'[2]End - Use Prices'!$B$9:$B$11,0)-1,MATCH(AX$1,'[2]End - Use Prices'!$C$7:$AL$7,0))</f>
        <v>37.85</v>
      </c>
      <c r="AY71" s="41">
        <f>INDEX('[2]End - Use Prices'!$C$6:$AL$89,MATCH($C71,'[2]End - Use Prices'!$A$6:$A$89,0)+MATCH($D71,'[2]End - Use Prices'!$B$9:$B$11,0)-1,MATCH(AY$1,'[2]End - Use Prices'!$C$7:$AL$7,0))</f>
        <v>38.07</v>
      </c>
      <c r="AZ71" s="41">
        <f>INDEX('[2]End - Use Prices'!$C$6:$AL$89,MATCH($C71,'[2]End - Use Prices'!$A$6:$A$89,0)+MATCH($D71,'[2]End - Use Prices'!$B$9:$B$11,0)-1,MATCH(AZ$1,'[2]End - Use Prices'!$C$7:$AL$7,0))</f>
        <v>38.24</v>
      </c>
      <c r="BA71" s="41">
        <f>INDEX('[2]End - Use Prices'!$C$6:$AL$89,MATCH($C71,'[2]End - Use Prices'!$A$6:$A$89,0)+MATCH($D71,'[2]End - Use Prices'!$B$9:$B$11,0)-1,MATCH(BA$1,'[2]End - Use Prices'!$C$7:$AL$7,0))</f>
        <v>38.35</v>
      </c>
      <c r="BB71" s="41">
        <f>INDEX('[2]End - Use Prices'!$C$6:$AL$89,MATCH($C71,'[2]End - Use Prices'!$A$6:$A$89,0)+MATCH($D71,'[2]End - Use Prices'!$B$9:$B$11,0)-1,MATCH(BB$1,'[2]End - Use Prices'!$C$7:$AL$7,0))</f>
        <v>38.39</v>
      </c>
      <c r="BC71" s="41">
        <f>INDEX('[2]End - Use Prices'!$C$6:$AL$89,MATCH($C71,'[2]End - Use Prices'!$A$6:$A$89,0)+MATCH($D71,'[2]End - Use Prices'!$B$9:$B$11,0)-1,MATCH(BC$1,'[2]End - Use Prices'!$C$7:$AL$7,0))</f>
        <v>38.369999999999997</v>
      </c>
      <c r="BD71" s="41">
        <f>INDEX('[2]End - Use Prices'!$C$6:$AL$89,MATCH($C71,'[2]End - Use Prices'!$A$6:$A$89,0)+MATCH($D71,'[2]End - Use Prices'!$B$9:$B$11,0)-1,MATCH(BD$1,'[2]End - Use Prices'!$C$7:$AL$7,0))</f>
        <v>38.270000000000003</v>
      </c>
      <c r="BE71" s="41">
        <f>INDEX('[2]End - Use Prices'!$C$6:$AL$89,MATCH($C71,'[2]End - Use Prices'!$A$6:$A$89,0)+MATCH($D71,'[2]End - Use Prices'!$B$9:$B$11,0)-1,MATCH(BE$1,'[2]End - Use Prices'!$C$7:$AL$7,0))</f>
        <v>38.11</v>
      </c>
      <c r="BF71" s="41">
        <f>INDEX('[2]End - Use Prices'!$C$6:$AL$89,MATCH($C71,'[2]End - Use Prices'!$A$6:$A$89,0)+MATCH($D71,'[2]End - Use Prices'!$B$9:$B$11,0)-1,MATCH(BF$1,'[2]End - Use Prices'!$C$7:$AL$7,0))</f>
        <v>37.86</v>
      </c>
      <c r="BG71" s="41">
        <f>INDEX('[2]End - Use Prices'!$C$6:$AL$89,MATCH($C71,'[2]End - Use Prices'!$A$6:$A$89,0)+MATCH($D71,'[2]End - Use Prices'!$B$9:$B$11,0)-1,MATCH(BG$1,'[2]End - Use Prices'!$C$7:$AL$7,0))</f>
        <v>37.54</v>
      </c>
      <c r="BR71" s="39"/>
      <c r="BS71" s="39"/>
      <c r="BT71" s="39"/>
      <c r="BU71" s="39"/>
      <c r="BV71" s="39"/>
      <c r="BW71" s="39"/>
      <c r="BX71" s="39"/>
      <c r="BY71" s="39"/>
      <c r="BZ71" s="39"/>
      <c r="CA71" s="39"/>
    </row>
    <row r="72" spans="1:79">
      <c r="A72" s="5"/>
      <c r="B72" s="3"/>
      <c r="C72" s="25" t="s">
        <v>60</v>
      </c>
      <c r="D72" s="25" t="s">
        <v>2</v>
      </c>
      <c r="E72" s="25" t="s">
        <v>277</v>
      </c>
      <c r="F72" s="67" t="s">
        <v>275</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INDEX('[2]End - Use Prices'!$C$6:$AL$89,MATCH($C72,'[2]End - Use Prices'!$A$6:$A$89,0)+MATCH($D72,'[2]End - Use Prices'!$B$9:$B$11,0)-1,MATCH(X$1,'[2]End - Use Prices'!$C$7:$AL$7,0))</f>
        <v>22.24</v>
      </c>
      <c r="Y72" s="41">
        <f>INDEX('[2]End - Use Prices'!$C$6:$AL$89,MATCH($C72,'[2]End - Use Prices'!$A$6:$A$89,0)+MATCH($D72,'[2]End - Use Prices'!$B$9:$B$11,0)-1,MATCH(Y$1,'[2]End - Use Prices'!$C$7:$AL$7,0))</f>
        <v>23.07</v>
      </c>
      <c r="Z72" s="41">
        <f>INDEX('[2]End - Use Prices'!$C$6:$AL$89,MATCH($C72,'[2]End - Use Prices'!$A$6:$A$89,0)+MATCH($D72,'[2]End - Use Prices'!$B$9:$B$11,0)-1,MATCH(Z$1,'[2]End - Use Prices'!$C$7:$AL$7,0))</f>
        <v>22.79</v>
      </c>
      <c r="AA72" s="41">
        <f>INDEX('[2]End - Use Prices'!$C$6:$AL$89,MATCH($C72,'[2]End - Use Prices'!$A$6:$A$89,0)+MATCH($D72,'[2]End - Use Prices'!$B$9:$B$11,0)-1,MATCH(AA$1,'[2]End - Use Prices'!$C$7:$AL$7,0))</f>
        <v>22.61</v>
      </c>
      <c r="AB72" s="41">
        <f>INDEX('[2]End - Use Prices'!$C$6:$AL$89,MATCH($C72,'[2]End - Use Prices'!$A$6:$A$89,0)+MATCH($D72,'[2]End - Use Prices'!$B$9:$B$11,0)-1,MATCH(AB$1,'[2]End - Use Prices'!$C$7:$AL$7,0))</f>
        <v>23.66</v>
      </c>
      <c r="AC72" s="41">
        <f>INDEX('[2]End - Use Prices'!$C$6:$AL$89,MATCH($C72,'[2]End - Use Prices'!$A$6:$A$89,0)+MATCH($D72,'[2]End - Use Prices'!$B$9:$B$11,0)-1,MATCH(AC$1,'[2]End - Use Prices'!$C$7:$AL$7,0))</f>
        <v>25.9</v>
      </c>
      <c r="AD72" s="41">
        <f>INDEX('[2]End - Use Prices'!$C$6:$AL$89,MATCH($C72,'[2]End - Use Prices'!$A$6:$A$89,0)+MATCH($D72,'[2]End - Use Prices'!$B$9:$B$11,0)-1,MATCH(AD$1,'[2]End - Use Prices'!$C$7:$AL$7,0))</f>
        <v>25.46</v>
      </c>
      <c r="AE72" s="41">
        <f>INDEX('[2]End - Use Prices'!$C$6:$AL$89,MATCH($C72,'[2]End - Use Prices'!$A$6:$A$89,0)+MATCH($D72,'[2]End - Use Prices'!$B$9:$B$11,0)-1,MATCH(AE$1,'[2]End - Use Prices'!$C$7:$AL$7,0))</f>
        <v>28.65</v>
      </c>
      <c r="AF72" s="41">
        <f>INDEX('[2]End - Use Prices'!$C$6:$AL$89,MATCH($C72,'[2]End - Use Prices'!$A$6:$A$89,0)+MATCH($D72,'[2]End - Use Prices'!$B$9:$B$11,0)-1,MATCH(AF$1,'[2]End - Use Prices'!$C$7:$AL$7,0))</f>
        <v>27.24</v>
      </c>
      <c r="AG72" s="41">
        <f>INDEX('[2]End - Use Prices'!$C$6:$AL$89,MATCH($C72,'[2]End - Use Prices'!$A$6:$A$89,0)+MATCH($D72,'[2]End - Use Prices'!$B$9:$B$11,0)-1,MATCH(AG$1,'[2]End - Use Prices'!$C$7:$AL$7,0))</f>
        <v>28.61</v>
      </c>
      <c r="AH72" s="41">
        <f>INDEX('[2]End - Use Prices'!$C$6:$AL$89,MATCH($C72,'[2]End - Use Prices'!$A$6:$A$89,0)+MATCH($D72,'[2]End - Use Prices'!$B$9:$B$11,0)-1,MATCH(AH$1,'[2]End - Use Prices'!$C$7:$AL$7,0))</f>
        <v>30.53</v>
      </c>
      <c r="AI72" s="41">
        <f>INDEX('[2]End - Use Prices'!$C$6:$AL$89,MATCH($C72,'[2]End - Use Prices'!$A$6:$A$89,0)+MATCH($D72,'[2]End - Use Prices'!$B$9:$B$11,0)-1,MATCH(AI$1,'[2]End - Use Prices'!$C$7:$AL$7,0))</f>
        <v>31.55</v>
      </c>
      <c r="AJ72" s="41">
        <f>INDEX('[2]End - Use Prices'!$C$6:$AL$89,MATCH($C72,'[2]End - Use Prices'!$A$6:$A$89,0)+MATCH($D72,'[2]End - Use Prices'!$B$9:$B$11,0)-1,MATCH(AJ$1,'[2]End - Use Prices'!$C$7:$AL$7,0))</f>
        <v>31.68</v>
      </c>
      <c r="AK72" s="41">
        <f>INDEX('[2]End - Use Prices'!$C$6:$AL$89,MATCH($C72,'[2]End - Use Prices'!$A$6:$A$89,0)+MATCH($D72,'[2]End - Use Prices'!$B$9:$B$11,0)-1,MATCH(AK$1,'[2]End - Use Prices'!$C$7:$AL$7,0))</f>
        <v>31.78</v>
      </c>
      <c r="AL72" s="41">
        <f>INDEX('[2]End - Use Prices'!$C$6:$AL$89,MATCH($C72,'[2]End - Use Prices'!$A$6:$A$89,0)+MATCH($D72,'[2]End - Use Prices'!$B$9:$B$11,0)-1,MATCH(AL$1,'[2]End - Use Prices'!$C$7:$AL$7,0))</f>
        <v>31.88</v>
      </c>
      <c r="AM72" s="41">
        <f>INDEX('[2]End - Use Prices'!$C$6:$AL$89,MATCH($C72,'[2]End - Use Prices'!$A$6:$A$89,0)+MATCH($D72,'[2]End - Use Prices'!$B$9:$B$11,0)-1,MATCH(AM$1,'[2]End - Use Prices'!$C$7:$AL$7,0))</f>
        <v>31.99</v>
      </c>
      <c r="AN72" s="41">
        <f>INDEX('[2]End - Use Prices'!$C$6:$AL$89,MATCH($C72,'[2]End - Use Prices'!$A$6:$A$89,0)+MATCH($D72,'[2]End - Use Prices'!$B$9:$B$11,0)-1,MATCH(AN$1,'[2]End - Use Prices'!$C$7:$AL$7,0))</f>
        <v>32.1</v>
      </c>
      <c r="AO72" s="41">
        <f>INDEX('[2]End - Use Prices'!$C$6:$AL$89,MATCH($C72,'[2]End - Use Prices'!$A$6:$A$89,0)+MATCH($D72,'[2]End - Use Prices'!$B$9:$B$11,0)-1,MATCH(AO$1,'[2]End - Use Prices'!$C$7:$AL$7,0))</f>
        <v>32.229999999999997</v>
      </c>
      <c r="AP72" s="41">
        <f>INDEX('[2]End - Use Prices'!$C$6:$AL$89,MATCH($C72,'[2]End - Use Prices'!$A$6:$A$89,0)+MATCH($D72,'[2]End - Use Prices'!$B$9:$B$11,0)-1,MATCH(AP$1,'[2]End - Use Prices'!$C$7:$AL$7,0))</f>
        <v>32.35</v>
      </c>
      <c r="AQ72" s="41">
        <f>INDEX('[2]End - Use Prices'!$C$6:$AL$89,MATCH($C72,'[2]End - Use Prices'!$A$6:$A$89,0)+MATCH($D72,'[2]End - Use Prices'!$B$9:$B$11,0)-1,MATCH(AQ$1,'[2]End - Use Prices'!$C$7:$AL$7,0))</f>
        <v>32.479999999999997</v>
      </c>
      <c r="AR72" s="41">
        <f>INDEX('[2]End - Use Prices'!$C$6:$AL$89,MATCH($C72,'[2]End - Use Prices'!$A$6:$A$89,0)+MATCH($D72,'[2]End - Use Prices'!$B$9:$B$11,0)-1,MATCH(AR$1,'[2]End - Use Prices'!$C$7:$AL$7,0))</f>
        <v>32.61</v>
      </c>
      <c r="AS72" s="41">
        <f>INDEX('[2]End - Use Prices'!$C$6:$AL$89,MATCH($C72,'[2]End - Use Prices'!$A$6:$A$89,0)+MATCH($D72,'[2]End - Use Prices'!$B$9:$B$11,0)-1,MATCH(AS$1,'[2]End - Use Prices'!$C$7:$AL$7,0))</f>
        <v>32.74</v>
      </c>
      <c r="AT72" s="41">
        <f>INDEX('[2]End - Use Prices'!$C$6:$AL$89,MATCH($C72,'[2]End - Use Prices'!$A$6:$A$89,0)+MATCH($D72,'[2]End - Use Prices'!$B$9:$B$11,0)-1,MATCH(AT$1,'[2]End - Use Prices'!$C$7:$AL$7,0))</f>
        <v>32.869999999999997</v>
      </c>
      <c r="AU72" s="41">
        <f>INDEX('[2]End - Use Prices'!$C$6:$AL$89,MATCH($C72,'[2]End - Use Prices'!$A$6:$A$89,0)+MATCH($D72,'[2]End - Use Prices'!$B$9:$B$11,0)-1,MATCH(AU$1,'[2]End - Use Prices'!$C$7:$AL$7,0))</f>
        <v>33</v>
      </c>
      <c r="AV72" s="41">
        <f>INDEX('[2]End - Use Prices'!$C$6:$AL$89,MATCH($C72,'[2]End - Use Prices'!$A$6:$A$89,0)+MATCH($D72,'[2]End - Use Prices'!$B$9:$B$11,0)-1,MATCH(AV$1,'[2]End - Use Prices'!$C$7:$AL$7,0))</f>
        <v>33.130000000000003</v>
      </c>
      <c r="AW72" s="41">
        <f>INDEX('[2]End - Use Prices'!$C$6:$AL$89,MATCH($C72,'[2]End - Use Prices'!$A$6:$A$89,0)+MATCH($D72,'[2]End - Use Prices'!$B$9:$B$11,0)-1,MATCH(AW$1,'[2]End - Use Prices'!$C$7:$AL$7,0))</f>
        <v>33.25</v>
      </c>
      <c r="AX72" s="41">
        <f>INDEX('[2]End - Use Prices'!$C$6:$AL$89,MATCH($C72,'[2]End - Use Prices'!$A$6:$A$89,0)+MATCH($D72,'[2]End - Use Prices'!$B$9:$B$11,0)-1,MATCH(AX$1,'[2]End - Use Prices'!$C$7:$AL$7,0))</f>
        <v>33.369999999999997</v>
      </c>
      <c r="AY72" s="41">
        <f>INDEX('[2]End - Use Prices'!$C$6:$AL$89,MATCH($C72,'[2]End - Use Prices'!$A$6:$A$89,0)+MATCH($D72,'[2]End - Use Prices'!$B$9:$B$11,0)-1,MATCH(AY$1,'[2]End - Use Prices'!$C$7:$AL$7,0))</f>
        <v>33.479999999999997</v>
      </c>
      <c r="AZ72" s="41">
        <f>INDEX('[2]End - Use Prices'!$C$6:$AL$89,MATCH($C72,'[2]End - Use Prices'!$A$6:$A$89,0)+MATCH($D72,'[2]End - Use Prices'!$B$9:$B$11,0)-1,MATCH(AZ$1,'[2]End - Use Prices'!$C$7:$AL$7,0))</f>
        <v>33.58</v>
      </c>
      <c r="BA72" s="41">
        <f>INDEX('[2]End - Use Prices'!$C$6:$AL$89,MATCH($C72,'[2]End - Use Prices'!$A$6:$A$89,0)+MATCH($D72,'[2]End - Use Prices'!$B$9:$B$11,0)-1,MATCH(BA$1,'[2]End - Use Prices'!$C$7:$AL$7,0))</f>
        <v>33.68</v>
      </c>
      <c r="BB72" s="41">
        <f>INDEX('[2]End - Use Prices'!$C$6:$AL$89,MATCH($C72,'[2]End - Use Prices'!$A$6:$A$89,0)+MATCH($D72,'[2]End - Use Prices'!$B$9:$B$11,0)-1,MATCH(BB$1,'[2]End - Use Prices'!$C$7:$AL$7,0))</f>
        <v>33.76</v>
      </c>
      <c r="BC72" s="41">
        <f>INDEX('[2]End - Use Prices'!$C$6:$AL$89,MATCH($C72,'[2]End - Use Prices'!$A$6:$A$89,0)+MATCH($D72,'[2]End - Use Prices'!$B$9:$B$11,0)-1,MATCH(BC$1,'[2]End - Use Prices'!$C$7:$AL$7,0))</f>
        <v>33.840000000000003</v>
      </c>
      <c r="BD72" s="41">
        <f>INDEX('[2]End - Use Prices'!$C$6:$AL$89,MATCH($C72,'[2]End - Use Prices'!$A$6:$A$89,0)+MATCH($D72,'[2]End - Use Prices'!$B$9:$B$11,0)-1,MATCH(BD$1,'[2]End - Use Prices'!$C$7:$AL$7,0))</f>
        <v>33.9</v>
      </c>
      <c r="BE72" s="41">
        <f>INDEX('[2]End - Use Prices'!$C$6:$AL$89,MATCH($C72,'[2]End - Use Prices'!$A$6:$A$89,0)+MATCH($D72,'[2]End - Use Prices'!$B$9:$B$11,0)-1,MATCH(BE$1,'[2]End - Use Prices'!$C$7:$AL$7,0))</f>
        <v>33.950000000000003</v>
      </c>
      <c r="BF72" s="41">
        <f>INDEX('[2]End - Use Prices'!$C$6:$AL$89,MATCH($C72,'[2]End - Use Prices'!$A$6:$A$89,0)+MATCH($D72,'[2]End - Use Prices'!$B$9:$B$11,0)-1,MATCH(BF$1,'[2]End - Use Prices'!$C$7:$AL$7,0))</f>
        <v>33.979999999999997</v>
      </c>
      <c r="BG72" s="41">
        <f>INDEX('[2]End - Use Prices'!$C$6:$AL$89,MATCH($C72,'[2]End - Use Prices'!$A$6:$A$89,0)+MATCH($D72,'[2]End - Use Prices'!$B$9:$B$11,0)-1,MATCH(BG$1,'[2]End - Use Prices'!$C$7:$AL$7,0))</f>
        <v>34</v>
      </c>
      <c r="BR72" s="39"/>
      <c r="BS72" s="39"/>
      <c r="BT72" s="39"/>
      <c r="BU72" s="39"/>
      <c r="BV72" s="39"/>
      <c r="BW72" s="39"/>
      <c r="BX72" s="39"/>
      <c r="BY72" s="39"/>
      <c r="BZ72" s="39"/>
      <c r="CA72" s="39"/>
    </row>
    <row r="73" spans="1:79">
      <c r="A73" s="5"/>
      <c r="B73" s="3"/>
      <c r="C73" s="25" t="s">
        <v>92</v>
      </c>
      <c r="D73" s="25" t="s">
        <v>2</v>
      </c>
      <c r="E73" s="25" t="s">
        <v>277</v>
      </c>
      <c r="F73" s="67" t="s">
        <v>275</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INDEX('[2]End - Use Prices'!$C$6:$AL$89,MATCH($C73,'[2]End - Use Prices'!$A$6:$A$89,0)+MATCH($D73,'[2]End - Use Prices'!$B$9:$B$11,0)-1,MATCH(X$1,'[2]End - Use Prices'!$C$7:$AL$7,0))</f>
        <v>33.479999999999997</v>
      </c>
      <c r="Y73" s="41">
        <f>INDEX('[2]End - Use Prices'!$C$6:$AL$89,MATCH($C73,'[2]End - Use Prices'!$A$6:$A$89,0)+MATCH($D73,'[2]End - Use Prices'!$B$9:$B$11,0)-1,MATCH(Y$1,'[2]End - Use Prices'!$C$7:$AL$7,0))</f>
        <v>34.72</v>
      </c>
      <c r="Z73" s="41">
        <f>INDEX('[2]End - Use Prices'!$C$6:$AL$89,MATCH($C73,'[2]End - Use Prices'!$A$6:$A$89,0)+MATCH($D73,'[2]End - Use Prices'!$B$9:$B$11,0)-1,MATCH(Z$1,'[2]End - Use Prices'!$C$7:$AL$7,0))</f>
        <v>34.299999999999997</v>
      </c>
      <c r="AA73" s="41">
        <f>INDEX('[2]End - Use Prices'!$C$6:$AL$89,MATCH($C73,'[2]End - Use Prices'!$A$6:$A$89,0)+MATCH($D73,'[2]End - Use Prices'!$B$9:$B$11,0)-1,MATCH(AA$1,'[2]End - Use Prices'!$C$7:$AL$7,0))</f>
        <v>34</v>
      </c>
      <c r="AB73" s="41">
        <f>INDEX('[2]End - Use Prices'!$C$6:$AL$89,MATCH($C73,'[2]End - Use Prices'!$A$6:$A$89,0)+MATCH($D73,'[2]End - Use Prices'!$B$9:$B$11,0)-1,MATCH(AB$1,'[2]End - Use Prices'!$C$7:$AL$7,0))</f>
        <v>35.590000000000003</v>
      </c>
      <c r="AC73" s="41">
        <f>INDEX('[2]End - Use Prices'!$C$6:$AL$89,MATCH($C73,'[2]End - Use Prices'!$A$6:$A$89,0)+MATCH($D73,'[2]End - Use Prices'!$B$9:$B$11,0)-1,MATCH(AC$1,'[2]End - Use Prices'!$C$7:$AL$7,0))</f>
        <v>37.69</v>
      </c>
      <c r="AD73" s="41">
        <f>INDEX('[2]End - Use Prices'!$C$6:$AL$89,MATCH($C73,'[2]End - Use Prices'!$A$6:$A$89,0)+MATCH($D73,'[2]End - Use Prices'!$B$9:$B$11,0)-1,MATCH(AD$1,'[2]End - Use Prices'!$C$7:$AL$7,0))</f>
        <v>35.89</v>
      </c>
      <c r="AE73" s="41">
        <f>INDEX('[2]End - Use Prices'!$C$6:$AL$89,MATCH($C73,'[2]End - Use Prices'!$A$6:$A$89,0)+MATCH($D73,'[2]End - Use Prices'!$B$9:$B$11,0)-1,MATCH(AE$1,'[2]End - Use Prices'!$C$7:$AL$7,0))</f>
        <v>40.39</v>
      </c>
      <c r="AF73" s="41">
        <f>INDEX('[2]End - Use Prices'!$C$6:$AL$89,MATCH($C73,'[2]End - Use Prices'!$A$6:$A$89,0)+MATCH($D73,'[2]End - Use Prices'!$B$9:$B$11,0)-1,MATCH(AF$1,'[2]End - Use Prices'!$C$7:$AL$7,0))</f>
        <v>40.28</v>
      </c>
      <c r="AG73" s="41">
        <f>INDEX('[2]End - Use Prices'!$C$6:$AL$89,MATCH($C73,'[2]End - Use Prices'!$A$6:$A$89,0)+MATCH($D73,'[2]End - Use Prices'!$B$9:$B$11,0)-1,MATCH(AG$1,'[2]End - Use Prices'!$C$7:$AL$7,0))</f>
        <v>47.35</v>
      </c>
      <c r="AH73" s="41">
        <f>INDEX('[2]End - Use Prices'!$C$6:$AL$89,MATCH($C73,'[2]End - Use Prices'!$A$6:$A$89,0)+MATCH($D73,'[2]End - Use Prices'!$B$9:$B$11,0)-1,MATCH(AH$1,'[2]End - Use Prices'!$C$7:$AL$7,0))</f>
        <v>47.73</v>
      </c>
      <c r="AI73" s="41">
        <f>INDEX('[2]End - Use Prices'!$C$6:$AL$89,MATCH($C73,'[2]End - Use Prices'!$A$6:$A$89,0)+MATCH($D73,'[2]End - Use Prices'!$B$9:$B$11,0)-1,MATCH(AI$1,'[2]End - Use Prices'!$C$7:$AL$7,0))</f>
        <v>47.43</v>
      </c>
      <c r="AJ73" s="41">
        <f>INDEX('[2]End - Use Prices'!$C$6:$AL$89,MATCH($C73,'[2]End - Use Prices'!$A$6:$A$89,0)+MATCH($D73,'[2]End - Use Prices'!$B$9:$B$11,0)-1,MATCH(AJ$1,'[2]End - Use Prices'!$C$7:$AL$7,0))</f>
        <v>47.71</v>
      </c>
      <c r="AK73" s="41">
        <f>INDEX('[2]End - Use Prices'!$C$6:$AL$89,MATCH($C73,'[2]End - Use Prices'!$A$6:$A$89,0)+MATCH($D73,'[2]End - Use Prices'!$B$9:$B$11,0)-1,MATCH(AK$1,'[2]End - Use Prices'!$C$7:$AL$7,0))</f>
        <v>47.86</v>
      </c>
      <c r="AL73" s="41">
        <f>INDEX('[2]End - Use Prices'!$C$6:$AL$89,MATCH($C73,'[2]End - Use Prices'!$A$6:$A$89,0)+MATCH($D73,'[2]End - Use Prices'!$B$9:$B$11,0)-1,MATCH(AL$1,'[2]End - Use Prices'!$C$7:$AL$7,0))</f>
        <v>48.02</v>
      </c>
      <c r="AM73" s="41">
        <f>INDEX('[2]End - Use Prices'!$C$6:$AL$89,MATCH($C73,'[2]End - Use Prices'!$A$6:$A$89,0)+MATCH($D73,'[2]End - Use Prices'!$B$9:$B$11,0)-1,MATCH(AM$1,'[2]End - Use Prices'!$C$7:$AL$7,0))</f>
        <v>48.18</v>
      </c>
      <c r="AN73" s="41">
        <f>INDEX('[2]End - Use Prices'!$C$6:$AL$89,MATCH($C73,'[2]End - Use Prices'!$A$6:$A$89,0)+MATCH($D73,'[2]End - Use Prices'!$B$9:$B$11,0)-1,MATCH(AN$1,'[2]End - Use Prices'!$C$7:$AL$7,0))</f>
        <v>48.35</v>
      </c>
      <c r="AO73" s="41">
        <f>INDEX('[2]End - Use Prices'!$C$6:$AL$89,MATCH($C73,'[2]End - Use Prices'!$A$6:$A$89,0)+MATCH($D73,'[2]End - Use Prices'!$B$9:$B$11,0)-1,MATCH(AO$1,'[2]End - Use Prices'!$C$7:$AL$7,0))</f>
        <v>48.52</v>
      </c>
      <c r="AP73" s="41">
        <f>INDEX('[2]End - Use Prices'!$C$6:$AL$89,MATCH($C73,'[2]End - Use Prices'!$A$6:$A$89,0)+MATCH($D73,'[2]End - Use Prices'!$B$9:$B$11,0)-1,MATCH(AP$1,'[2]End - Use Prices'!$C$7:$AL$7,0))</f>
        <v>48.69</v>
      </c>
      <c r="AQ73" s="41">
        <f>INDEX('[2]End - Use Prices'!$C$6:$AL$89,MATCH($C73,'[2]End - Use Prices'!$A$6:$A$89,0)+MATCH($D73,'[2]End - Use Prices'!$B$9:$B$11,0)-1,MATCH(AQ$1,'[2]End - Use Prices'!$C$7:$AL$7,0))</f>
        <v>48.86</v>
      </c>
      <c r="AR73" s="41">
        <f>INDEX('[2]End - Use Prices'!$C$6:$AL$89,MATCH($C73,'[2]End - Use Prices'!$A$6:$A$89,0)+MATCH($D73,'[2]End - Use Prices'!$B$9:$B$11,0)-1,MATCH(AR$1,'[2]End - Use Prices'!$C$7:$AL$7,0))</f>
        <v>49.04</v>
      </c>
      <c r="AS73" s="41">
        <f>INDEX('[2]End - Use Prices'!$C$6:$AL$89,MATCH($C73,'[2]End - Use Prices'!$A$6:$A$89,0)+MATCH($D73,'[2]End - Use Prices'!$B$9:$B$11,0)-1,MATCH(AS$1,'[2]End - Use Prices'!$C$7:$AL$7,0))</f>
        <v>49.22</v>
      </c>
      <c r="AT73" s="41">
        <f>INDEX('[2]End - Use Prices'!$C$6:$AL$89,MATCH($C73,'[2]End - Use Prices'!$A$6:$A$89,0)+MATCH($D73,'[2]End - Use Prices'!$B$9:$B$11,0)-1,MATCH(AT$1,'[2]End - Use Prices'!$C$7:$AL$7,0))</f>
        <v>49.41</v>
      </c>
      <c r="AU73" s="41">
        <f>INDEX('[2]End - Use Prices'!$C$6:$AL$89,MATCH($C73,'[2]End - Use Prices'!$A$6:$A$89,0)+MATCH($D73,'[2]End - Use Prices'!$B$9:$B$11,0)-1,MATCH(AU$1,'[2]End - Use Prices'!$C$7:$AL$7,0))</f>
        <v>49.59</v>
      </c>
      <c r="AV73" s="41">
        <f>INDEX('[2]End - Use Prices'!$C$6:$AL$89,MATCH($C73,'[2]End - Use Prices'!$A$6:$A$89,0)+MATCH($D73,'[2]End - Use Prices'!$B$9:$B$11,0)-1,MATCH(AV$1,'[2]End - Use Prices'!$C$7:$AL$7,0))</f>
        <v>49.78</v>
      </c>
      <c r="AW73" s="41">
        <f>INDEX('[2]End - Use Prices'!$C$6:$AL$89,MATCH($C73,'[2]End - Use Prices'!$A$6:$A$89,0)+MATCH($D73,'[2]End - Use Prices'!$B$9:$B$11,0)-1,MATCH(AW$1,'[2]End - Use Prices'!$C$7:$AL$7,0))</f>
        <v>49.97</v>
      </c>
      <c r="AX73" s="41">
        <f>INDEX('[2]End - Use Prices'!$C$6:$AL$89,MATCH($C73,'[2]End - Use Prices'!$A$6:$A$89,0)+MATCH($D73,'[2]End - Use Prices'!$B$9:$B$11,0)-1,MATCH(AX$1,'[2]End - Use Prices'!$C$7:$AL$7,0))</f>
        <v>50.16</v>
      </c>
      <c r="AY73" s="41">
        <f>INDEX('[2]End - Use Prices'!$C$6:$AL$89,MATCH($C73,'[2]End - Use Prices'!$A$6:$A$89,0)+MATCH($D73,'[2]End - Use Prices'!$B$9:$B$11,0)-1,MATCH(AY$1,'[2]End - Use Prices'!$C$7:$AL$7,0))</f>
        <v>50.35</v>
      </c>
      <c r="AZ73" s="41">
        <f>INDEX('[2]End - Use Prices'!$C$6:$AL$89,MATCH($C73,'[2]End - Use Prices'!$A$6:$A$89,0)+MATCH($D73,'[2]End - Use Prices'!$B$9:$B$11,0)-1,MATCH(AZ$1,'[2]End - Use Prices'!$C$7:$AL$7,0))</f>
        <v>50.54</v>
      </c>
      <c r="BA73" s="41">
        <f>INDEX('[2]End - Use Prices'!$C$6:$AL$89,MATCH($C73,'[2]End - Use Prices'!$A$6:$A$89,0)+MATCH($D73,'[2]End - Use Prices'!$B$9:$B$11,0)-1,MATCH(BA$1,'[2]End - Use Prices'!$C$7:$AL$7,0))</f>
        <v>50.73</v>
      </c>
      <c r="BB73" s="41">
        <f>INDEX('[2]End - Use Prices'!$C$6:$AL$89,MATCH($C73,'[2]End - Use Prices'!$A$6:$A$89,0)+MATCH($D73,'[2]End - Use Prices'!$B$9:$B$11,0)-1,MATCH(BB$1,'[2]End - Use Prices'!$C$7:$AL$7,0))</f>
        <v>50.92</v>
      </c>
      <c r="BC73" s="41">
        <f>INDEX('[2]End - Use Prices'!$C$6:$AL$89,MATCH($C73,'[2]End - Use Prices'!$A$6:$A$89,0)+MATCH($D73,'[2]End - Use Prices'!$B$9:$B$11,0)-1,MATCH(BC$1,'[2]End - Use Prices'!$C$7:$AL$7,0))</f>
        <v>51.11</v>
      </c>
      <c r="BD73" s="41">
        <f>INDEX('[2]End - Use Prices'!$C$6:$AL$89,MATCH($C73,'[2]End - Use Prices'!$A$6:$A$89,0)+MATCH($D73,'[2]End - Use Prices'!$B$9:$B$11,0)-1,MATCH(BD$1,'[2]End - Use Prices'!$C$7:$AL$7,0))</f>
        <v>51.3</v>
      </c>
      <c r="BE73" s="41">
        <f>INDEX('[2]End - Use Prices'!$C$6:$AL$89,MATCH($C73,'[2]End - Use Prices'!$A$6:$A$89,0)+MATCH($D73,'[2]End - Use Prices'!$B$9:$B$11,0)-1,MATCH(BE$1,'[2]End - Use Prices'!$C$7:$AL$7,0))</f>
        <v>51.48</v>
      </c>
      <c r="BF73" s="41">
        <f>INDEX('[2]End - Use Prices'!$C$6:$AL$89,MATCH($C73,'[2]End - Use Prices'!$A$6:$A$89,0)+MATCH($D73,'[2]End - Use Prices'!$B$9:$B$11,0)-1,MATCH(BF$1,'[2]End - Use Prices'!$C$7:$AL$7,0))</f>
        <v>51.67</v>
      </c>
      <c r="BG73" s="41">
        <f>INDEX('[2]End - Use Prices'!$C$6:$AL$89,MATCH($C73,'[2]End - Use Prices'!$A$6:$A$89,0)+MATCH($D73,'[2]End - Use Prices'!$B$9:$B$11,0)-1,MATCH(BG$1,'[2]End - Use Prices'!$C$7:$AL$7,0))</f>
        <v>51.85</v>
      </c>
      <c r="BR73" s="39"/>
      <c r="BS73" s="39"/>
      <c r="BT73" s="39"/>
      <c r="BU73" s="39"/>
      <c r="BV73" s="39"/>
      <c r="BW73" s="39"/>
      <c r="BX73" s="39"/>
      <c r="BY73" s="39"/>
      <c r="BZ73" s="39"/>
      <c r="CA73" s="39"/>
    </row>
    <row r="74" spans="1:79">
      <c r="A74" s="5"/>
      <c r="B74" s="3"/>
      <c r="C74" s="25" t="s">
        <v>94</v>
      </c>
      <c r="D74" s="25" t="s">
        <v>2</v>
      </c>
      <c r="E74" s="25" t="s">
        <v>277</v>
      </c>
      <c r="F74" s="67" t="s">
        <v>275</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INDEX('[2]End - Use Prices'!$C$6:$AL$89,MATCH($C74,'[2]End - Use Prices'!$A$6:$A$89,0)+MATCH($D74,'[2]End - Use Prices'!$B$9:$B$11,0)-1,MATCH(X$1,'[2]End - Use Prices'!$C$7:$AL$7,0))</f>
        <v>80.930000000000007</v>
      </c>
      <c r="Y74" s="41">
        <f>INDEX('[2]End - Use Prices'!$C$6:$AL$89,MATCH($C74,'[2]End - Use Prices'!$A$6:$A$89,0)+MATCH($D74,'[2]End - Use Prices'!$B$9:$B$11,0)-1,MATCH(Y$1,'[2]End - Use Prices'!$C$7:$AL$7,0))</f>
        <v>83.41</v>
      </c>
      <c r="Z74" s="41">
        <f>INDEX('[2]End - Use Prices'!$C$6:$AL$89,MATCH($C74,'[2]End - Use Prices'!$A$6:$A$89,0)+MATCH($D74,'[2]End - Use Prices'!$B$9:$B$11,0)-1,MATCH(Z$1,'[2]End - Use Prices'!$C$7:$AL$7,0))</f>
        <v>82.56</v>
      </c>
      <c r="AA74" s="41">
        <f>INDEX('[2]End - Use Prices'!$C$6:$AL$89,MATCH($C74,'[2]End - Use Prices'!$A$6:$A$89,0)+MATCH($D74,'[2]End - Use Prices'!$B$9:$B$11,0)-1,MATCH(AA$1,'[2]End - Use Prices'!$C$7:$AL$7,0))</f>
        <v>81.98</v>
      </c>
      <c r="AB74" s="41">
        <f>INDEX('[2]End - Use Prices'!$C$6:$AL$89,MATCH($C74,'[2]End - Use Prices'!$A$6:$A$89,0)+MATCH($D74,'[2]End - Use Prices'!$B$9:$B$11,0)-1,MATCH(AB$1,'[2]End - Use Prices'!$C$7:$AL$7,0))</f>
        <v>85.14</v>
      </c>
      <c r="AC74" s="41">
        <f>INDEX('[2]End - Use Prices'!$C$6:$AL$89,MATCH($C74,'[2]End - Use Prices'!$A$6:$A$89,0)+MATCH($D74,'[2]End - Use Prices'!$B$9:$B$11,0)-1,MATCH(AC$1,'[2]End - Use Prices'!$C$7:$AL$7,0))</f>
        <v>89.34</v>
      </c>
      <c r="AD74" s="41">
        <f>INDEX('[2]End - Use Prices'!$C$6:$AL$89,MATCH($C74,'[2]End - Use Prices'!$A$6:$A$89,0)+MATCH($D74,'[2]End - Use Prices'!$B$9:$B$11,0)-1,MATCH(AD$1,'[2]End - Use Prices'!$C$7:$AL$7,0))</f>
        <v>85.75</v>
      </c>
      <c r="AE74" s="41">
        <f>INDEX('[2]End - Use Prices'!$C$6:$AL$89,MATCH($C74,'[2]End - Use Prices'!$A$6:$A$89,0)+MATCH($D74,'[2]End - Use Prices'!$B$9:$B$11,0)-1,MATCH(AE$1,'[2]End - Use Prices'!$C$7:$AL$7,0))</f>
        <v>94.73</v>
      </c>
      <c r="AF74" s="41">
        <f>INDEX('[2]End - Use Prices'!$C$6:$AL$89,MATCH($C74,'[2]End - Use Prices'!$A$6:$A$89,0)+MATCH($D74,'[2]End - Use Prices'!$B$9:$B$11,0)-1,MATCH(AF$1,'[2]End - Use Prices'!$C$7:$AL$7,0))</f>
        <v>94.52</v>
      </c>
      <c r="AG74" s="41">
        <f>INDEX('[2]End - Use Prices'!$C$6:$AL$89,MATCH($C74,'[2]End - Use Prices'!$A$6:$A$89,0)+MATCH($D74,'[2]End - Use Prices'!$B$9:$B$11,0)-1,MATCH(AG$1,'[2]End - Use Prices'!$C$7:$AL$7,0))</f>
        <v>94.52</v>
      </c>
      <c r="AH74" s="41">
        <f>INDEX('[2]End - Use Prices'!$C$6:$AL$89,MATCH($C74,'[2]End - Use Prices'!$A$6:$A$89,0)+MATCH($D74,'[2]End - Use Prices'!$B$9:$B$11,0)-1,MATCH(AH$1,'[2]End - Use Prices'!$C$7:$AL$7,0))</f>
        <v>95.28</v>
      </c>
      <c r="AI74" s="41">
        <f>INDEX('[2]End - Use Prices'!$C$6:$AL$89,MATCH($C74,'[2]End - Use Prices'!$A$6:$A$89,0)+MATCH($D74,'[2]End - Use Prices'!$B$9:$B$11,0)-1,MATCH(AI$1,'[2]End - Use Prices'!$C$7:$AL$7,0))</f>
        <v>94.69</v>
      </c>
      <c r="AJ74" s="41">
        <f>INDEX('[2]End - Use Prices'!$C$6:$AL$89,MATCH($C74,'[2]End - Use Prices'!$A$6:$A$89,0)+MATCH($D74,'[2]End - Use Prices'!$B$9:$B$11,0)-1,MATCH(AJ$1,'[2]End - Use Prices'!$C$7:$AL$7,0))</f>
        <v>95.56</v>
      </c>
      <c r="AK74" s="41">
        <f>INDEX('[2]End - Use Prices'!$C$6:$AL$89,MATCH($C74,'[2]End - Use Prices'!$A$6:$A$89,0)+MATCH($D74,'[2]End - Use Prices'!$B$9:$B$11,0)-1,MATCH(AK$1,'[2]End - Use Prices'!$C$7:$AL$7,0))</f>
        <v>96.01</v>
      </c>
      <c r="AL74" s="41">
        <f>INDEX('[2]End - Use Prices'!$C$6:$AL$89,MATCH($C74,'[2]End - Use Prices'!$A$6:$A$89,0)+MATCH($D74,'[2]End - Use Prices'!$B$9:$B$11,0)-1,MATCH(AL$1,'[2]End - Use Prices'!$C$7:$AL$7,0))</f>
        <v>96.45</v>
      </c>
      <c r="AM74" s="41">
        <f>INDEX('[2]End - Use Prices'!$C$6:$AL$89,MATCH($C74,'[2]End - Use Prices'!$A$6:$A$89,0)+MATCH($D74,'[2]End - Use Prices'!$B$9:$B$11,0)-1,MATCH(AM$1,'[2]End - Use Prices'!$C$7:$AL$7,0))</f>
        <v>96.87</v>
      </c>
      <c r="AN74" s="41">
        <f>INDEX('[2]End - Use Prices'!$C$6:$AL$89,MATCH($C74,'[2]End - Use Prices'!$A$6:$A$89,0)+MATCH($D74,'[2]End - Use Prices'!$B$9:$B$11,0)-1,MATCH(AN$1,'[2]End - Use Prices'!$C$7:$AL$7,0))</f>
        <v>97.29</v>
      </c>
      <c r="AO74" s="41">
        <f>INDEX('[2]End - Use Prices'!$C$6:$AL$89,MATCH($C74,'[2]End - Use Prices'!$A$6:$A$89,0)+MATCH($D74,'[2]End - Use Prices'!$B$9:$B$11,0)-1,MATCH(AO$1,'[2]End - Use Prices'!$C$7:$AL$7,0))</f>
        <v>97.69</v>
      </c>
      <c r="AP74" s="41">
        <f>INDEX('[2]End - Use Prices'!$C$6:$AL$89,MATCH($C74,'[2]End - Use Prices'!$A$6:$A$89,0)+MATCH($D74,'[2]End - Use Prices'!$B$9:$B$11,0)-1,MATCH(AP$1,'[2]End - Use Prices'!$C$7:$AL$7,0))</f>
        <v>98.09</v>
      </c>
      <c r="AQ74" s="41">
        <f>INDEX('[2]End - Use Prices'!$C$6:$AL$89,MATCH($C74,'[2]End - Use Prices'!$A$6:$A$89,0)+MATCH($D74,'[2]End - Use Prices'!$B$9:$B$11,0)-1,MATCH(AQ$1,'[2]End - Use Prices'!$C$7:$AL$7,0))</f>
        <v>98.48</v>
      </c>
      <c r="AR74" s="41">
        <f>INDEX('[2]End - Use Prices'!$C$6:$AL$89,MATCH($C74,'[2]End - Use Prices'!$A$6:$A$89,0)+MATCH($D74,'[2]End - Use Prices'!$B$9:$B$11,0)-1,MATCH(AR$1,'[2]End - Use Prices'!$C$7:$AL$7,0))</f>
        <v>98.86</v>
      </c>
      <c r="AS74" s="41">
        <f>INDEX('[2]End - Use Prices'!$C$6:$AL$89,MATCH($C74,'[2]End - Use Prices'!$A$6:$A$89,0)+MATCH($D74,'[2]End - Use Prices'!$B$9:$B$11,0)-1,MATCH(AS$1,'[2]End - Use Prices'!$C$7:$AL$7,0))</f>
        <v>99.23</v>
      </c>
      <c r="AT74" s="41">
        <f>INDEX('[2]End - Use Prices'!$C$6:$AL$89,MATCH($C74,'[2]End - Use Prices'!$A$6:$A$89,0)+MATCH($D74,'[2]End - Use Prices'!$B$9:$B$11,0)-1,MATCH(AT$1,'[2]End - Use Prices'!$C$7:$AL$7,0))</f>
        <v>99.6</v>
      </c>
      <c r="AU74" s="41">
        <f>INDEX('[2]End - Use Prices'!$C$6:$AL$89,MATCH($C74,'[2]End - Use Prices'!$A$6:$A$89,0)+MATCH($D74,'[2]End - Use Prices'!$B$9:$B$11,0)-1,MATCH(AU$1,'[2]End - Use Prices'!$C$7:$AL$7,0))</f>
        <v>99.97</v>
      </c>
      <c r="AV74" s="41">
        <f>INDEX('[2]End - Use Prices'!$C$6:$AL$89,MATCH($C74,'[2]End - Use Prices'!$A$6:$A$89,0)+MATCH($D74,'[2]End - Use Prices'!$B$9:$B$11,0)-1,MATCH(AV$1,'[2]End - Use Prices'!$C$7:$AL$7,0))</f>
        <v>100.34</v>
      </c>
      <c r="AW74" s="41">
        <f>INDEX('[2]End - Use Prices'!$C$6:$AL$89,MATCH($C74,'[2]End - Use Prices'!$A$6:$A$89,0)+MATCH($D74,'[2]End - Use Prices'!$B$9:$B$11,0)-1,MATCH(AW$1,'[2]End - Use Prices'!$C$7:$AL$7,0))</f>
        <v>100.71</v>
      </c>
      <c r="AX74" s="41">
        <f>INDEX('[2]End - Use Prices'!$C$6:$AL$89,MATCH($C74,'[2]End - Use Prices'!$A$6:$A$89,0)+MATCH($D74,'[2]End - Use Prices'!$B$9:$B$11,0)-1,MATCH(AX$1,'[2]End - Use Prices'!$C$7:$AL$7,0))</f>
        <v>101.08</v>
      </c>
      <c r="AY74" s="41">
        <f>INDEX('[2]End - Use Prices'!$C$6:$AL$89,MATCH($C74,'[2]End - Use Prices'!$A$6:$A$89,0)+MATCH($D74,'[2]End - Use Prices'!$B$9:$B$11,0)-1,MATCH(AY$1,'[2]End - Use Prices'!$C$7:$AL$7,0))</f>
        <v>101.45</v>
      </c>
      <c r="AZ74" s="41">
        <f>INDEX('[2]End - Use Prices'!$C$6:$AL$89,MATCH($C74,'[2]End - Use Prices'!$A$6:$A$89,0)+MATCH($D74,'[2]End - Use Prices'!$B$9:$B$11,0)-1,MATCH(AZ$1,'[2]End - Use Prices'!$C$7:$AL$7,0))</f>
        <v>101.83</v>
      </c>
      <c r="BA74" s="41">
        <f>INDEX('[2]End - Use Prices'!$C$6:$AL$89,MATCH($C74,'[2]End - Use Prices'!$A$6:$A$89,0)+MATCH($D74,'[2]End - Use Prices'!$B$9:$B$11,0)-1,MATCH(BA$1,'[2]End - Use Prices'!$C$7:$AL$7,0))</f>
        <v>102.21</v>
      </c>
      <c r="BB74" s="41">
        <f>INDEX('[2]End - Use Prices'!$C$6:$AL$89,MATCH($C74,'[2]End - Use Prices'!$A$6:$A$89,0)+MATCH($D74,'[2]End - Use Prices'!$B$9:$B$11,0)-1,MATCH(BB$1,'[2]End - Use Prices'!$C$7:$AL$7,0))</f>
        <v>102.6</v>
      </c>
      <c r="BC74" s="41">
        <f>INDEX('[2]End - Use Prices'!$C$6:$AL$89,MATCH($C74,'[2]End - Use Prices'!$A$6:$A$89,0)+MATCH($D74,'[2]End - Use Prices'!$B$9:$B$11,0)-1,MATCH(BC$1,'[2]End - Use Prices'!$C$7:$AL$7,0))</f>
        <v>103</v>
      </c>
      <c r="BD74" s="41">
        <f>INDEX('[2]End - Use Prices'!$C$6:$AL$89,MATCH($C74,'[2]End - Use Prices'!$A$6:$A$89,0)+MATCH($D74,'[2]End - Use Prices'!$B$9:$B$11,0)-1,MATCH(BD$1,'[2]End - Use Prices'!$C$7:$AL$7,0))</f>
        <v>103.4</v>
      </c>
      <c r="BE74" s="41">
        <f>INDEX('[2]End - Use Prices'!$C$6:$AL$89,MATCH($C74,'[2]End - Use Prices'!$A$6:$A$89,0)+MATCH($D74,'[2]End - Use Prices'!$B$9:$B$11,0)-1,MATCH(BE$1,'[2]End - Use Prices'!$C$7:$AL$7,0))</f>
        <v>103.82</v>
      </c>
      <c r="BF74" s="41">
        <f>INDEX('[2]End - Use Prices'!$C$6:$AL$89,MATCH($C74,'[2]End - Use Prices'!$A$6:$A$89,0)+MATCH($D74,'[2]End - Use Prices'!$B$9:$B$11,0)-1,MATCH(BF$1,'[2]End - Use Prices'!$C$7:$AL$7,0))</f>
        <v>104.25</v>
      </c>
      <c r="BG74" s="41">
        <f>INDEX('[2]End - Use Prices'!$C$6:$AL$89,MATCH($C74,'[2]End - Use Prices'!$A$6:$A$89,0)+MATCH($D74,'[2]End - Use Prices'!$B$9:$B$11,0)-1,MATCH(BG$1,'[2]End - Use Prices'!$C$7:$AL$7,0))</f>
        <v>104.69</v>
      </c>
      <c r="BR74" s="39"/>
      <c r="BS74" s="39"/>
      <c r="BT74" s="39"/>
      <c r="BU74" s="39"/>
      <c r="BV74" s="39"/>
      <c r="BW74" s="39"/>
      <c r="BX74" s="39"/>
      <c r="BY74" s="39"/>
      <c r="BZ74" s="39"/>
      <c r="CA74" s="39"/>
    </row>
    <row r="75" spans="1:79">
      <c r="A75" s="5"/>
      <c r="B75" s="3"/>
      <c r="C75" s="25" t="s">
        <v>93</v>
      </c>
      <c r="D75" s="25" t="s">
        <v>2</v>
      </c>
      <c r="E75" s="25" t="s">
        <v>277</v>
      </c>
      <c r="F75" s="67" t="s">
        <v>275</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INDEX('[2]End - Use Prices'!$C$6:$AL$89,MATCH($C75,'[2]End - Use Prices'!$A$6:$A$89,0)+MATCH($D75,'[2]End - Use Prices'!$B$9:$B$11,0)-1,MATCH(X$1,'[2]End - Use Prices'!$C$7:$AL$7,0))</f>
        <v>83.79</v>
      </c>
      <c r="Y75" s="41">
        <f>INDEX('[2]End - Use Prices'!$C$6:$AL$89,MATCH($C75,'[2]End - Use Prices'!$A$6:$A$89,0)+MATCH($D75,'[2]End - Use Prices'!$B$9:$B$11,0)-1,MATCH(Y$1,'[2]End - Use Prices'!$C$7:$AL$7,0))</f>
        <v>86.36</v>
      </c>
      <c r="Z75" s="41">
        <f>INDEX('[2]End - Use Prices'!$C$6:$AL$89,MATCH($C75,'[2]End - Use Prices'!$A$6:$A$89,0)+MATCH($D75,'[2]End - Use Prices'!$B$9:$B$11,0)-1,MATCH(Z$1,'[2]End - Use Prices'!$C$7:$AL$7,0))</f>
        <v>85.49</v>
      </c>
      <c r="AA75" s="41">
        <f>INDEX('[2]End - Use Prices'!$C$6:$AL$89,MATCH($C75,'[2]End - Use Prices'!$A$6:$A$89,0)+MATCH($D75,'[2]End - Use Prices'!$B$9:$B$11,0)-1,MATCH(AA$1,'[2]End - Use Prices'!$C$7:$AL$7,0))</f>
        <v>84.88</v>
      </c>
      <c r="AB75" s="41">
        <f>INDEX('[2]End - Use Prices'!$C$6:$AL$89,MATCH($C75,'[2]End - Use Prices'!$A$6:$A$89,0)+MATCH($D75,'[2]End - Use Prices'!$B$9:$B$11,0)-1,MATCH(AB$1,'[2]End - Use Prices'!$C$7:$AL$7,0))</f>
        <v>88.16</v>
      </c>
      <c r="AC75" s="41">
        <f>INDEX('[2]End - Use Prices'!$C$6:$AL$89,MATCH($C75,'[2]End - Use Prices'!$A$6:$A$89,0)+MATCH($D75,'[2]End - Use Prices'!$B$9:$B$11,0)-1,MATCH(AC$1,'[2]End - Use Prices'!$C$7:$AL$7,0))</f>
        <v>92.5</v>
      </c>
      <c r="AD75" s="41">
        <f>INDEX('[2]End - Use Prices'!$C$6:$AL$89,MATCH($C75,'[2]End - Use Prices'!$A$6:$A$89,0)+MATCH($D75,'[2]End - Use Prices'!$B$9:$B$11,0)-1,MATCH(AD$1,'[2]End - Use Prices'!$C$7:$AL$7,0))</f>
        <v>88.79</v>
      </c>
      <c r="AE75" s="41">
        <f>INDEX('[2]End - Use Prices'!$C$6:$AL$89,MATCH($C75,'[2]End - Use Prices'!$A$6:$A$89,0)+MATCH($D75,'[2]End - Use Prices'!$B$9:$B$11,0)-1,MATCH(AE$1,'[2]End - Use Prices'!$C$7:$AL$7,0))</f>
        <v>98.09</v>
      </c>
      <c r="AF75" s="41">
        <f>INDEX('[2]End - Use Prices'!$C$6:$AL$89,MATCH($C75,'[2]End - Use Prices'!$A$6:$A$89,0)+MATCH($D75,'[2]End - Use Prices'!$B$9:$B$11,0)-1,MATCH(AF$1,'[2]End - Use Prices'!$C$7:$AL$7,0))</f>
        <v>97.87</v>
      </c>
      <c r="AG75" s="41">
        <f>INDEX('[2]End - Use Prices'!$C$6:$AL$89,MATCH($C75,'[2]End - Use Prices'!$A$6:$A$89,0)+MATCH($D75,'[2]End - Use Prices'!$B$9:$B$11,0)-1,MATCH(AG$1,'[2]End - Use Prices'!$C$7:$AL$7,0))</f>
        <v>97.87</v>
      </c>
      <c r="AH75" s="41">
        <f>INDEX('[2]End - Use Prices'!$C$6:$AL$89,MATCH($C75,'[2]End - Use Prices'!$A$6:$A$89,0)+MATCH($D75,'[2]End - Use Prices'!$B$9:$B$11,0)-1,MATCH(AH$1,'[2]End - Use Prices'!$C$7:$AL$7,0))</f>
        <v>98.65</v>
      </c>
      <c r="AI75" s="41">
        <f>INDEX('[2]End - Use Prices'!$C$6:$AL$89,MATCH($C75,'[2]End - Use Prices'!$A$6:$A$89,0)+MATCH($D75,'[2]End - Use Prices'!$B$9:$B$11,0)-1,MATCH(AI$1,'[2]End - Use Prices'!$C$7:$AL$7,0))</f>
        <v>98.04</v>
      </c>
      <c r="AJ75" s="41">
        <f>INDEX('[2]End - Use Prices'!$C$6:$AL$89,MATCH($C75,'[2]End - Use Prices'!$A$6:$A$89,0)+MATCH($D75,'[2]End - Use Prices'!$B$9:$B$11,0)-1,MATCH(AJ$1,'[2]End - Use Prices'!$C$7:$AL$7,0))</f>
        <v>98.81</v>
      </c>
      <c r="AK75" s="41">
        <f>INDEX('[2]End - Use Prices'!$C$6:$AL$89,MATCH($C75,'[2]End - Use Prices'!$A$6:$A$89,0)+MATCH($D75,'[2]End - Use Prices'!$B$9:$B$11,0)-1,MATCH(AK$1,'[2]End - Use Prices'!$C$7:$AL$7,0))</f>
        <v>98.94</v>
      </c>
      <c r="AL75" s="41">
        <f>INDEX('[2]End - Use Prices'!$C$6:$AL$89,MATCH($C75,'[2]End - Use Prices'!$A$6:$A$89,0)+MATCH($D75,'[2]End - Use Prices'!$B$9:$B$11,0)-1,MATCH(AL$1,'[2]End - Use Prices'!$C$7:$AL$7,0))</f>
        <v>99.05</v>
      </c>
      <c r="AM75" s="41">
        <f>INDEX('[2]End - Use Prices'!$C$6:$AL$89,MATCH($C75,'[2]End - Use Prices'!$A$6:$A$89,0)+MATCH($D75,'[2]End - Use Prices'!$B$9:$B$11,0)-1,MATCH(AM$1,'[2]End - Use Prices'!$C$7:$AL$7,0))</f>
        <v>99.14</v>
      </c>
      <c r="AN75" s="41">
        <f>INDEX('[2]End - Use Prices'!$C$6:$AL$89,MATCH($C75,'[2]End - Use Prices'!$A$6:$A$89,0)+MATCH($D75,'[2]End - Use Prices'!$B$9:$B$11,0)-1,MATCH(AN$1,'[2]End - Use Prices'!$C$7:$AL$7,0))</f>
        <v>99.2</v>
      </c>
      <c r="AO75" s="41">
        <f>INDEX('[2]End - Use Prices'!$C$6:$AL$89,MATCH($C75,'[2]End - Use Prices'!$A$6:$A$89,0)+MATCH($D75,'[2]End - Use Prices'!$B$9:$B$11,0)-1,MATCH(AO$1,'[2]End - Use Prices'!$C$7:$AL$7,0))</f>
        <v>99.25</v>
      </c>
      <c r="AP75" s="41">
        <f>INDEX('[2]End - Use Prices'!$C$6:$AL$89,MATCH($C75,'[2]End - Use Prices'!$A$6:$A$89,0)+MATCH($D75,'[2]End - Use Prices'!$B$9:$B$11,0)-1,MATCH(AP$1,'[2]End - Use Prices'!$C$7:$AL$7,0))</f>
        <v>99.28</v>
      </c>
      <c r="AQ75" s="41">
        <f>INDEX('[2]End - Use Prices'!$C$6:$AL$89,MATCH($C75,'[2]End - Use Prices'!$A$6:$A$89,0)+MATCH($D75,'[2]End - Use Prices'!$B$9:$B$11,0)-1,MATCH(AQ$1,'[2]End - Use Prices'!$C$7:$AL$7,0))</f>
        <v>99.3</v>
      </c>
      <c r="AR75" s="41">
        <f>INDEX('[2]End - Use Prices'!$C$6:$AL$89,MATCH($C75,'[2]End - Use Prices'!$A$6:$A$89,0)+MATCH($D75,'[2]End - Use Prices'!$B$9:$B$11,0)-1,MATCH(AR$1,'[2]End - Use Prices'!$C$7:$AL$7,0))</f>
        <v>99.31</v>
      </c>
      <c r="AS75" s="41">
        <f>INDEX('[2]End - Use Prices'!$C$6:$AL$89,MATCH($C75,'[2]End - Use Prices'!$A$6:$A$89,0)+MATCH($D75,'[2]End - Use Prices'!$B$9:$B$11,0)-1,MATCH(AS$1,'[2]End - Use Prices'!$C$7:$AL$7,0))</f>
        <v>99.3</v>
      </c>
      <c r="AT75" s="41">
        <f>INDEX('[2]End - Use Prices'!$C$6:$AL$89,MATCH($C75,'[2]End - Use Prices'!$A$6:$A$89,0)+MATCH($D75,'[2]End - Use Prices'!$B$9:$B$11,0)-1,MATCH(AT$1,'[2]End - Use Prices'!$C$7:$AL$7,0))</f>
        <v>99.29</v>
      </c>
      <c r="AU75" s="41">
        <f>INDEX('[2]End - Use Prices'!$C$6:$AL$89,MATCH($C75,'[2]End - Use Prices'!$A$6:$A$89,0)+MATCH($D75,'[2]End - Use Prices'!$B$9:$B$11,0)-1,MATCH(AU$1,'[2]End - Use Prices'!$C$7:$AL$7,0))</f>
        <v>99.27</v>
      </c>
      <c r="AV75" s="41">
        <f>INDEX('[2]End - Use Prices'!$C$6:$AL$89,MATCH($C75,'[2]End - Use Prices'!$A$6:$A$89,0)+MATCH($D75,'[2]End - Use Prices'!$B$9:$B$11,0)-1,MATCH(AV$1,'[2]End - Use Prices'!$C$7:$AL$7,0))</f>
        <v>99.25</v>
      </c>
      <c r="AW75" s="41">
        <f>INDEX('[2]End - Use Prices'!$C$6:$AL$89,MATCH($C75,'[2]End - Use Prices'!$A$6:$A$89,0)+MATCH($D75,'[2]End - Use Prices'!$B$9:$B$11,0)-1,MATCH(AW$1,'[2]End - Use Prices'!$C$7:$AL$7,0))</f>
        <v>99.23</v>
      </c>
      <c r="AX75" s="41">
        <f>INDEX('[2]End - Use Prices'!$C$6:$AL$89,MATCH($C75,'[2]End - Use Prices'!$A$6:$A$89,0)+MATCH($D75,'[2]End - Use Prices'!$B$9:$B$11,0)-1,MATCH(AX$1,'[2]End - Use Prices'!$C$7:$AL$7,0))</f>
        <v>99.2</v>
      </c>
      <c r="AY75" s="41">
        <f>INDEX('[2]End - Use Prices'!$C$6:$AL$89,MATCH($C75,'[2]End - Use Prices'!$A$6:$A$89,0)+MATCH($D75,'[2]End - Use Prices'!$B$9:$B$11,0)-1,MATCH(AY$1,'[2]End - Use Prices'!$C$7:$AL$7,0))</f>
        <v>99.18</v>
      </c>
      <c r="AZ75" s="41">
        <f>INDEX('[2]End - Use Prices'!$C$6:$AL$89,MATCH($C75,'[2]End - Use Prices'!$A$6:$A$89,0)+MATCH($D75,'[2]End - Use Prices'!$B$9:$B$11,0)-1,MATCH(AZ$1,'[2]End - Use Prices'!$C$7:$AL$7,0))</f>
        <v>99.16</v>
      </c>
      <c r="BA75" s="41">
        <f>INDEX('[2]End - Use Prices'!$C$6:$AL$89,MATCH($C75,'[2]End - Use Prices'!$A$6:$A$89,0)+MATCH($D75,'[2]End - Use Prices'!$B$9:$B$11,0)-1,MATCH(BA$1,'[2]End - Use Prices'!$C$7:$AL$7,0))</f>
        <v>99.15</v>
      </c>
      <c r="BB75" s="41">
        <f>INDEX('[2]End - Use Prices'!$C$6:$AL$89,MATCH($C75,'[2]End - Use Prices'!$A$6:$A$89,0)+MATCH($D75,'[2]End - Use Prices'!$B$9:$B$11,0)-1,MATCH(BB$1,'[2]End - Use Prices'!$C$7:$AL$7,0))</f>
        <v>99.15</v>
      </c>
      <c r="BC75" s="41">
        <f>INDEX('[2]End - Use Prices'!$C$6:$AL$89,MATCH($C75,'[2]End - Use Prices'!$A$6:$A$89,0)+MATCH($D75,'[2]End - Use Prices'!$B$9:$B$11,0)-1,MATCH(BC$1,'[2]End - Use Prices'!$C$7:$AL$7,0))</f>
        <v>99.15</v>
      </c>
      <c r="BD75" s="41">
        <f>INDEX('[2]End - Use Prices'!$C$6:$AL$89,MATCH($C75,'[2]End - Use Prices'!$A$6:$A$89,0)+MATCH($D75,'[2]End - Use Prices'!$B$9:$B$11,0)-1,MATCH(BD$1,'[2]End - Use Prices'!$C$7:$AL$7,0))</f>
        <v>99.17</v>
      </c>
      <c r="BE75" s="41">
        <f>INDEX('[2]End - Use Prices'!$C$6:$AL$89,MATCH($C75,'[2]End - Use Prices'!$A$6:$A$89,0)+MATCH($D75,'[2]End - Use Prices'!$B$9:$B$11,0)-1,MATCH(BE$1,'[2]End - Use Prices'!$C$7:$AL$7,0))</f>
        <v>99.2</v>
      </c>
      <c r="BF75" s="41">
        <f>INDEX('[2]End - Use Prices'!$C$6:$AL$89,MATCH($C75,'[2]End - Use Prices'!$A$6:$A$89,0)+MATCH($D75,'[2]End - Use Prices'!$B$9:$B$11,0)-1,MATCH(BF$1,'[2]End - Use Prices'!$C$7:$AL$7,0))</f>
        <v>99.25</v>
      </c>
      <c r="BG75" s="41">
        <f>INDEX('[2]End - Use Prices'!$C$6:$AL$89,MATCH($C75,'[2]End - Use Prices'!$A$6:$A$89,0)+MATCH($D75,'[2]End - Use Prices'!$B$9:$B$11,0)-1,MATCH(BG$1,'[2]End - Use Prices'!$C$7:$AL$7,0))</f>
        <v>99.32</v>
      </c>
      <c r="BR75" s="39"/>
      <c r="BS75" s="39"/>
      <c r="BT75" s="39"/>
      <c r="BU75" s="39"/>
      <c r="BV75" s="39"/>
      <c r="BW75" s="39"/>
      <c r="BX75" s="39"/>
      <c r="BY75" s="39"/>
      <c r="BZ75" s="39"/>
      <c r="CA75" s="39"/>
    </row>
    <row r="76" spans="1:79">
      <c r="A76" s="5"/>
      <c r="B76" s="3"/>
      <c r="C76" s="25" t="s">
        <v>47</v>
      </c>
      <c r="D76" s="25" t="s">
        <v>13</v>
      </c>
      <c r="E76" s="25" t="s">
        <v>277</v>
      </c>
      <c r="F76" s="67" t="s">
        <v>275</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INDEX('[2]End - Use Prices'!$C$6:$AL$89,MATCH($C76,'[2]End - Use Prices'!$A$6:$A$89,0)+MATCH($D76,'[2]End - Use Prices'!$B$9:$B$11,0)-1,MATCH(X$1,'[2]End - Use Prices'!$C$7:$AL$7,0))</f>
        <v>15.81</v>
      </c>
      <c r="Y76" s="41">
        <f>INDEX('[2]End - Use Prices'!$C$6:$AL$89,MATCH($C76,'[2]End - Use Prices'!$A$6:$A$89,0)+MATCH($D76,'[2]End - Use Prices'!$B$9:$B$11,0)-1,MATCH(Y$1,'[2]End - Use Prices'!$C$7:$AL$7,0))</f>
        <v>16.04</v>
      </c>
      <c r="Z76" s="41">
        <f>INDEX('[2]End - Use Prices'!$C$6:$AL$89,MATCH($C76,'[2]End - Use Prices'!$A$6:$A$89,0)+MATCH($D76,'[2]End - Use Prices'!$B$9:$B$11,0)-1,MATCH(Z$1,'[2]End - Use Prices'!$C$7:$AL$7,0))</f>
        <v>14.76</v>
      </c>
      <c r="AA76" s="41">
        <f>INDEX('[2]End - Use Prices'!$C$6:$AL$89,MATCH($C76,'[2]End - Use Prices'!$A$6:$A$89,0)+MATCH($D76,'[2]End - Use Prices'!$B$9:$B$11,0)-1,MATCH(AA$1,'[2]End - Use Prices'!$C$7:$AL$7,0))</f>
        <v>14.82</v>
      </c>
      <c r="AB76" s="41">
        <f>INDEX('[2]End - Use Prices'!$C$6:$AL$89,MATCH($C76,'[2]End - Use Prices'!$A$6:$A$89,0)+MATCH($D76,'[2]End - Use Prices'!$B$9:$B$11,0)-1,MATCH(AB$1,'[2]End - Use Prices'!$C$7:$AL$7,0))</f>
        <v>12.89</v>
      </c>
      <c r="AC76" s="41">
        <f>INDEX('[2]End - Use Prices'!$C$6:$AL$89,MATCH($C76,'[2]End - Use Prices'!$A$6:$A$89,0)+MATCH($D76,'[2]End - Use Prices'!$B$9:$B$11,0)-1,MATCH(AC$1,'[2]End - Use Prices'!$C$7:$AL$7,0))</f>
        <v>12.69</v>
      </c>
      <c r="AD76" s="41">
        <f>INDEX('[2]End - Use Prices'!$C$6:$AL$89,MATCH($C76,'[2]End - Use Prices'!$A$6:$A$89,0)+MATCH($D76,'[2]End - Use Prices'!$B$9:$B$11,0)-1,MATCH(AD$1,'[2]End - Use Prices'!$C$7:$AL$7,0))</f>
        <v>11.75</v>
      </c>
      <c r="AE76" s="41">
        <f>INDEX('[2]End - Use Prices'!$C$6:$AL$89,MATCH($C76,'[2]End - Use Prices'!$A$6:$A$89,0)+MATCH($D76,'[2]End - Use Prices'!$B$9:$B$11,0)-1,MATCH(AE$1,'[2]End - Use Prices'!$C$7:$AL$7,0))</f>
        <v>10.82</v>
      </c>
      <c r="AF76" s="41">
        <f>INDEX('[2]End - Use Prices'!$C$6:$AL$89,MATCH($C76,'[2]End - Use Prices'!$A$6:$A$89,0)+MATCH($D76,'[2]End - Use Prices'!$B$9:$B$11,0)-1,MATCH(AF$1,'[2]End - Use Prices'!$C$7:$AL$7,0))</f>
        <v>10.77</v>
      </c>
      <c r="AG76" s="41">
        <f>INDEX('[2]End - Use Prices'!$C$6:$AL$89,MATCH($C76,'[2]End - Use Prices'!$A$6:$A$89,0)+MATCH($D76,'[2]End - Use Prices'!$B$9:$B$11,0)-1,MATCH(AG$1,'[2]End - Use Prices'!$C$7:$AL$7,0))</f>
        <v>11.71</v>
      </c>
      <c r="AH76" s="41">
        <f>INDEX('[2]End - Use Prices'!$C$6:$AL$89,MATCH($C76,'[2]End - Use Prices'!$A$6:$A$89,0)+MATCH($D76,'[2]End - Use Prices'!$B$9:$B$11,0)-1,MATCH(AH$1,'[2]End - Use Prices'!$C$7:$AL$7,0))</f>
        <v>10.65</v>
      </c>
      <c r="AI76" s="41">
        <f>INDEX('[2]End - Use Prices'!$C$6:$AL$89,MATCH($C76,'[2]End - Use Prices'!$A$6:$A$89,0)+MATCH($D76,'[2]End - Use Prices'!$B$9:$B$11,0)-1,MATCH(AI$1,'[2]End - Use Prices'!$C$7:$AL$7,0))</f>
        <v>8.93</v>
      </c>
      <c r="AJ76" s="41">
        <f>INDEX('[2]End - Use Prices'!$C$6:$AL$89,MATCH($C76,'[2]End - Use Prices'!$A$6:$A$89,0)+MATCH($D76,'[2]End - Use Prices'!$B$9:$B$11,0)-1,MATCH(AJ$1,'[2]End - Use Prices'!$C$7:$AL$7,0))</f>
        <v>10.82</v>
      </c>
      <c r="AK76" s="41">
        <f>INDEX('[2]End - Use Prices'!$C$6:$AL$89,MATCH($C76,'[2]End - Use Prices'!$A$6:$A$89,0)+MATCH($D76,'[2]End - Use Prices'!$B$9:$B$11,0)-1,MATCH(AK$1,'[2]End - Use Prices'!$C$7:$AL$7,0))</f>
        <v>9.86</v>
      </c>
      <c r="AL76" s="41">
        <f>INDEX('[2]End - Use Prices'!$C$6:$AL$89,MATCH($C76,'[2]End - Use Prices'!$A$6:$A$89,0)+MATCH($D76,'[2]End - Use Prices'!$B$9:$B$11,0)-1,MATCH(AL$1,'[2]End - Use Prices'!$C$7:$AL$7,0))</f>
        <v>9.5299999999999994</v>
      </c>
      <c r="AM76" s="41">
        <f>INDEX('[2]End - Use Prices'!$C$6:$AL$89,MATCH($C76,'[2]End - Use Prices'!$A$6:$A$89,0)+MATCH($D76,'[2]End - Use Prices'!$B$9:$B$11,0)-1,MATCH(AM$1,'[2]End - Use Prices'!$C$7:$AL$7,0))</f>
        <v>9.67</v>
      </c>
      <c r="AN76" s="41">
        <f>INDEX('[2]End - Use Prices'!$C$6:$AL$89,MATCH($C76,'[2]End - Use Prices'!$A$6:$A$89,0)+MATCH($D76,'[2]End - Use Prices'!$B$9:$B$11,0)-1,MATCH(AN$1,'[2]End - Use Prices'!$C$7:$AL$7,0))</f>
        <v>9.8699999999999992</v>
      </c>
      <c r="AO76" s="41">
        <f>INDEX('[2]End - Use Prices'!$C$6:$AL$89,MATCH($C76,'[2]End - Use Prices'!$A$6:$A$89,0)+MATCH($D76,'[2]End - Use Prices'!$B$9:$B$11,0)-1,MATCH(AO$1,'[2]End - Use Prices'!$C$7:$AL$7,0))</f>
        <v>10.19</v>
      </c>
      <c r="AP76" s="41">
        <f>INDEX('[2]End - Use Prices'!$C$6:$AL$89,MATCH($C76,'[2]End - Use Prices'!$A$6:$A$89,0)+MATCH($D76,'[2]End - Use Prices'!$B$9:$B$11,0)-1,MATCH(AP$1,'[2]End - Use Prices'!$C$7:$AL$7,0))</f>
        <v>10.44</v>
      </c>
      <c r="AQ76" s="41">
        <f>INDEX('[2]End - Use Prices'!$C$6:$AL$89,MATCH($C76,'[2]End - Use Prices'!$A$6:$A$89,0)+MATCH($D76,'[2]End - Use Prices'!$B$9:$B$11,0)-1,MATCH(AQ$1,'[2]End - Use Prices'!$C$7:$AL$7,0))</f>
        <v>10.53</v>
      </c>
      <c r="AR76" s="41">
        <f>INDEX('[2]End - Use Prices'!$C$6:$AL$89,MATCH($C76,'[2]End - Use Prices'!$A$6:$A$89,0)+MATCH($D76,'[2]End - Use Prices'!$B$9:$B$11,0)-1,MATCH(AR$1,'[2]End - Use Prices'!$C$7:$AL$7,0))</f>
        <v>10.64</v>
      </c>
      <c r="AS76" s="41">
        <f>INDEX('[2]End - Use Prices'!$C$6:$AL$89,MATCH($C76,'[2]End - Use Prices'!$A$6:$A$89,0)+MATCH($D76,'[2]End - Use Prices'!$B$9:$B$11,0)-1,MATCH(AS$1,'[2]End - Use Prices'!$C$7:$AL$7,0))</f>
        <v>10.82</v>
      </c>
      <c r="AT76" s="41">
        <f>INDEX('[2]End - Use Prices'!$C$6:$AL$89,MATCH($C76,'[2]End - Use Prices'!$A$6:$A$89,0)+MATCH($D76,'[2]End - Use Prices'!$B$9:$B$11,0)-1,MATCH(AT$1,'[2]End - Use Prices'!$C$7:$AL$7,0))</f>
        <v>10.85</v>
      </c>
      <c r="AU76" s="41">
        <f>INDEX('[2]End - Use Prices'!$C$6:$AL$89,MATCH($C76,'[2]End - Use Prices'!$A$6:$A$89,0)+MATCH($D76,'[2]End - Use Prices'!$B$9:$B$11,0)-1,MATCH(AU$1,'[2]End - Use Prices'!$C$7:$AL$7,0))</f>
        <v>10.9</v>
      </c>
      <c r="AV76" s="41">
        <f>INDEX('[2]End - Use Prices'!$C$6:$AL$89,MATCH($C76,'[2]End - Use Prices'!$A$6:$A$89,0)+MATCH($D76,'[2]End - Use Prices'!$B$9:$B$11,0)-1,MATCH(AV$1,'[2]End - Use Prices'!$C$7:$AL$7,0))</f>
        <v>10.96</v>
      </c>
      <c r="AW76" s="41">
        <f>INDEX('[2]End - Use Prices'!$C$6:$AL$89,MATCH($C76,'[2]End - Use Prices'!$A$6:$A$89,0)+MATCH($D76,'[2]End - Use Prices'!$B$9:$B$11,0)-1,MATCH(AW$1,'[2]End - Use Prices'!$C$7:$AL$7,0))</f>
        <v>11.02</v>
      </c>
      <c r="AX76" s="41">
        <f>INDEX('[2]End - Use Prices'!$C$6:$AL$89,MATCH($C76,'[2]End - Use Prices'!$A$6:$A$89,0)+MATCH($D76,'[2]End - Use Prices'!$B$9:$B$11,0)-1,MATCH(AX$1,'[2]End - Use Prices'!$C$7:$AL$7,0))</f>
        <v>11.09</v>
      </c>
      <c r="AY76" s="41">
        <f>INDEX('[2]End - Use Prices'!$C$6:$AL$89,MATCH($C76,'[2]End - Use Prices'!$A$6:$A$89,0)+MATCH($D76,'[2]End - Use Prices'!$B$9:$B$11,0)-1,MATCH(AY$1,'[2]End - Use Prices'!$C$7:$AL$7,0))</f>
        <v>11.18</v>
      </c>
      <c r="AZ76" s="41">
        <f>INDEX('[2]End - Use Prices'!$C$6:$AL$89,MATCH($C76,'[2]End - Use Prices'!$A$6:$A$89,0)+MATCH($D76,'[2]End - Use Prices'!$B$9:$B$11,0)-1,MATCH(AZ$1,'[2]End - Use Prices'!$C$7:$AL$7,0))</f>
        <v>11.28</v>
      </c>
      <c r="BA76" s="41">
        <f>INDEX('[2]End - Use Prices'!$C$6:$AL$89,MATCH($C76,'[2]End - Use Prices'!$A$6:$A$89,0)+MATCH($D76,'[2]End - Use Prices'!$B$9:$B$11,0)-1,MATCH(BA$1,'[2]End - Use Prices'!$C$7:$AL$7,0))</f>
        <v>11.33</v>
      </c>
      <c r="BB76" s="41">
        <f>INDEX('[2]End - Use Prices'!$C$6:$AL$89,MATCH($C76,'[2]End - Use Prices'!$A$6:$A$89,0)+MATCH($D76,'[2]End - Use Prices'!$B$9:$B$11,0)-1,MATCH(BB$1,'[2]End - Use Prices'!$C$7:$AL$7,0))</f>
        <v>11.37</v>
      </c>
      <c r="BC76" s="41">
        <f>INDEX('[2]End - Use Prices'!$C$6:$AL$89,MATCH($C76,'[2]End - Use Prices'!$A$6:$A$89,0)+MATCH($D76,'[2]End - Use Prices'!$B$9:$B$11,0)-1,MATCH(BC$1,'[2]End - Use Prices'!$C$7:$AL$7,0))</f>
        <v>11.41</v>
      </c>
      <c r="BD76" s="41">
        <f>INDEX('[2]End - Use Prices'!$C$6:$AL$89,MATCH($C76,'[2]End - Use Prices'!$A$6:$A$89,0)+MATCH($D76,'[2]End - Use Prices'!$B$9:$B$11,0)-1,MATCH(BD$1,'[2]End - Use Prices'!$C$7:$AL$7,0))</f>
        <v>11.43</v>
      </c>
      <c r="BE76" s="41">
        <f>INDEX('[2]End - Use Prices'!$C$6:$AL$89,MATCH($C76,'[2]End - Use Prices'!$A$6:$A$89,0)+MATCH($D76,'[2]End - Use Prices'!$B$9:$B$11,0)-1,MATCH(BE$1,'[2]End - Use Prices'!$C$7:$AL$7,0))</f>
        <v>11.43</v>
      </c>
      <c r="BF76" s="41">
        <f>INDEX('[2]End - Use Prices'!$C$6:$AL$89,MATCH($C76,'[2]End - Use Prices'!$A$6:$A$89,0)+MATCH($D76,'[2]End - Use Prices'!$B$9:$B$11,0)-1,MATCH(BF$1,'[2]End - Use Prices'!$C$7:$AL$7,0))</f>
        <v>11.44</v>
      </c>
      <c r="BG76" s="41">
        <f>INDEX('[2]End - Use Prices'!$C$6:$AL$89,MATCH($C76,'[2]End - Use Prices'!$A$6:$A$89,0)+MATCH($D76,'[2]End - Use Prices'!$B$9:$B$11,0)-1,MATCH(BG$1,'[2]End - Use Prices'!$C$7:$AL$7,0))</f>
        <v>11.44</v>
      </c>
      <c r="BR76" s="39"/>
      <c r="BS76" s="39"/>
      <c r="BT76" s="39"/>
      <c r="BU76" s="39"/>
      <c r="BV76" s="39"/>
      <c r="BW76" s="39"/>
      <c r="BX76" s="39"/>
      <c r="BY76" s="39"/>
      <c r="BZ76" s="39"/>
      <c r="CA76" s="39"/>
    </row>
    <row r="77" spans="1:79">
      <c r="A77" s="5"/>
      <c r="B77" s="3"/>
      <c r="C77" s="25" t="s">
        <v>84</v>
      </c>
      <c r="D77" s="25" t="s">
        <v>13</v>
      </c>
      <c r="E77" s="25" t="s">
        <v>277</v>
      </c>
      <c r="F77" s="67" t="s">
        <v>275</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INDEX('[2]End - Use Prices'!$C$6:$AL$89,MATCH($C77,'[2]End - Use Prices'!$A$6:$A$89,0)+MATCH($D77,'[2]End - Use Prices'!$B$9:$B$11,0)-1,MATCH(X$1,'[2]End - Use Prices'!$C$7:$AL$7,0))</f>
        <v>18.899999999999999</v>
      </c>
      <c r="Y77" s="41">
        <f>INDEX('[2]End - Use Prices'!$C$6:$AL$89,MATCH($C77,'[2]End - Use Prices'!$A$6:$A$89,0)+MATCH($D77,'[2]End - Use Prices'!$B$9:$B$11,0)-1,MATCH(Y$1,'[2]End - Use Prices'!$C$7:$AL$7,0))</f>
        <v>18.940000000000001</v>
      </c>
      <c r="Z77" s="41">
        <f>INDEX('[2]End - Use Prices'!$C$6:$AL$89,MATCH($C77,'[2]End - Use Prices'!$A$6:$A$89,0)+MATCH($D77,'[2]End - Use Prices'!$B$9:$B$11,0)-1,MATCH(Z$1,'[2]End - Use Prices'!$C$7:$AL$7,0))</f>
        <v>11.86</v>
      </c>
      <c r="AA77" s="41">
        <f>INDEX('[2]End - Use Prices'!$C$6:$AL$89,MATCH($C77,'[2]End - Use Prices'!$A$6:$A$89,0)+MATCH($D77,'[2]End - Use Prices'!$B$9:$B$11,0)-1,MATCH(AA$1,'[2]End - Use Prices'!$C$7:$AL$7,0))</f>
        <v>14.01</v>
      </c>
      <c r="AB77" s="41">
        <f>INDEX('[2]End - Use Prices'!$C$6:$AL$89,MATCH($C77,'[2]End - Use Prices'!$A$6:$A$89,0)+MATCH($D77,'[2]End - Use Prices'!$B$9:$B$11,0)-1,MATCH(AB$1,'[2]End - Use Prices'!$C$7:$AL$7,0))</f>
        <v>14.6</v>
      </c>
      <c r="AC77" s="41">
        <f>INDEX('[2]End - Use Prices'!$C$6:$AL$89,MATCH($C77,'[2]End - Use Prices'!$A$6:$A$89,0)+MATCH($D77,'[2]End - Use Prices'!$B$9:$B$11,0)-1,MATCH(AC$1,'[2]End - Use Prices'!$C$7:$AL$7,0))</f>
        <v>20.09</v>
      </c>
      <c r="AD77" s="41">
        <f>INDEX('[2]End - Use Prices'!$C$6:$AL$89,MATCH($C77,'[2]End - Use Prices'!$A$6:$A$89,0)+MATCH($D77,'[2]End - Use Prices'!$B$9:$B$11,0)-1,MATCH(AD$1,'[2]End - Use Prices'!$C$7:$AL$7,0))</f>
        <v>17.2</v>
      </c>
      <c r="AE77" s="41">
        <f>INDEX('[2]End - Use Prices'!$C$6:$AL$89,MATCH($C77,'[2]End - Use Prices'!$A$6:$A$89,0)+MATCH($D77,'[2]End - Use Prices'!$B$9:$B$11,0)-1,MATCH(AE$1,'[2]End - Use Prices'!$C$7:$AL$7,0))</f>
        <v>17.59</v>
      </c>
      <c r="AF77" s="41">
        <f>INDEX('[2]End - Use Prices'!$C$6:$AL$89,MATCH($C77,'[2]End - Use Prices'!$A$6:$A$89,0)+MATCH($D77,'[2]End - Use Prices'!$B$9:$B$11,0)-1,MATCH(AF$1,'[2]End - Use Prices'!$C$7:$AL$7,0))</f>
        <v>18.75</v>
      </c>
      <c r="AG77" s="41">
        <f>INDEX('[2]End - Use Prices'!$C$6:$AL$89,MATCH($C77,'[2]End - Use Prices'!$A$6:$A$89,0)+MATCH($D77,'[2]End - Use Prices'!$B$9:$B$11,0)-1,MATCH(AG$1,'[2]End - Use Prices'!$C$7:$AL$7,0))</f>
        <v>18.48</v>
      </c>
      <c r="AH77" s="41">
        <f>INDEX('[2]End - Use Prices'!$C$6:$AL$89,MATCH($C77,'[2]End - Use Prices'!$A$6:$A$89,0)+MATCH($D77,'[2]End - Use Prices'!$B$9:$B$11,0)-1,MATCH(AH$1,'[2]End - Use Prices'!$C$7:$AL$7,0))</f>
        <v>13.86</v>
      </c>
      <c r="AI77" s="41">
        <f>INDEX('[2]End - Use Prices'!$C$6:$AL$89,MATCH($C77,'[2]End - Use Prices'!$A$6:$A$89,0)+MATCH($D77,'[2]End - Use Prices'!$B$9:$B$11,0)-1,MATCH(AI$1,'[2]End - Use Prices'!$C$7:$AL$7,0))</f>
        <v>9.4700000000000006</v>
      </c>
      <c r="AJ77" s="41">
        <f>INDEX('[2]End - Use Prices'!$C$6:$AL$89,MATCH($C77,'[2]End - Use Prices'!$A$6:$A$89,0)+MATCH($D77,'[2]End - Use Prices'!$B$9:$B$11,0)-1,MATCH(AJ$1,'[2]End - Use Prices'!$C$7:$AL$7,0))</f>
        <v>10.75</v>
      </c>
      <c r="AK77" s="41">
        <f>INDEX('[2]End - Use Prices'!$C$6:$AL$89,MATCH($C77,'[2]End - Use Prices'!$A$6:$A$89,0)+MATCH($D77,'[2]End - Use Prices'!$B$9:$B$11,0)-1,MATCH(AK$1,'[2]End - Use Prices'!$C$7:$AL$7,0))</f>
        <v>10.63</v>
      </c>
      <c r="AL77" s="41">
        <f>INDEX('[2]End - Use Prices'!$C$6:$AL$89,MATCH($C77,'[2]End - Use Prices'!$A$6:$A$89,0)+MATCH($D77,'[2]End - Use Prices'!$B$9:$B$11,0)-1,MATCH(AL$1,'[2]End - Use Prices'!$C$7:$AL$7,0))</f>
        <v>10.61</v>
      </c>
      <c r="AM77" s="41">
        <f>INDEX('[2]End - Use Prices'!$C$6:$AL$89,MATCH($C77,'[2]End - Use Prices'!$A$6:$A$89,0)+MATCH($D77,'[2]End - Use Prices'!$B$9:$B$11,0)-1,MATCH(AM$1,'[2]End - Use Prices'!$C$7:$AL$7,0))</f>
        <v>10.91</v>
      </c>
      <c r="AN77" s="41">
        <f>INDEX('[2]End - Use Prices'!$C$6:$AL$89,MATCH($C77,'[2]End - Use Prices'!$A$6:$A$89,0)+MATCH($D77,'[2]End - Use Prices'!$B$9:$B$11,0)-1,MATCH(AN$1,'[2]End - Use Prices'!$C$7:$AL$7,0))</f>
        <v>11.07</v>
      </c>
      <c r="AO77" s="41">
        <f>INDEX('[2]End - Use Prices'!$C$6:$AL$89,MATCH($C77,'[2]End - Use Prices'!$A$6:$A$89,0)+MATCH($D77,'[2]End - Use Prices'!$B$9:$B$11,0)-1,MATCH(AO$1,'[2]End - Use Prices'!$C$7:$AL$7,0))</f>
        <v>11.22</v>
      </c>
      <c r="AP77" s="41">
        <f>INDEX('[2]End - Use Prices'!$C$6:$AL$89,MATCH($C77,'[2]End - Use Prices'!$A$6:$A$89,0)+MATCH($D77,'[2]End - Use Prices'!$B$9:$B$11,0)-1,MATCH(AP$1,'[2]End - Use Prices'!$C$7:$AL$7,0))</f>
        <v>11.35</v>
      </c>
      <c r="AQ77" s="41">
        <f>INDEX('[2]End - Use Prices'!$C$6:$AL$89,MATCH($C77,'[2]End - Use Prices'!$A$6:$A$89,0)+MATCH($D77,'[2]End - Use Prices'!$B$9:$B$11,0)-1,MATCH(AQ$1,'[2]End - Use Prices'!$C$7:$AL$7,0))</f>
        <v>11.35</v>
      </c>
      <c r="AR77" s="41">
        <f>INDEX('[2]End - Use Prices'!$C$6:$AL$89,MATCH($C77,'[2]End - Use Prices'!$A$6:$A$89,0)+MATCH($D77,'[2]End - Use Prices'!$B$9:$B$11,0)-1,MATCH(AR$1,'[2]End - Use Prices'!$C$7:$AL$7,0))</f>
        <v>11.38</v>
      </c>
      <c r="AS77" s="41">
        <f>INDEX('[2]End - Use Prices'!$C$6:$AL$89,MATCH($C77,'[2]End - Use Prices'!$A$6:$A$89,0)+MATCH($D77,'[2]End - Use Prices'!$B$9:$B$11,0)-1,MATCH(AS$1,'[2]End - Use Prices'!$C$7:$AL$7,0))</f>
        <v>11.48</v>
      </c>
      <c r="AT77" s="41">
        <f>INDEX('[2]End - Use Prices'!$C$6:$AL$89,MATCH($C77,'[2]End - Use Prices'!$A$6:$A$89,0)+MATCH($D77,'[2]End - Use Prices'!$B$9:$B$11,0)-1,MATCH(AT$1,'[2]End - Use Prices'!$C$7:$AL$7,0))</f>
        <v>11.57</v>
      </c>
      <c r="AU77" s="41">
        <f>INDEX('[2]End - Use Prices'!$C$6:$AL$89,MATCH($C77,'[2]End - Use Prices'!$A$6:$A$89,0)+MATCH($D77,'[2]End - Use Prices'!$B$9:$B$11,0)-1,MATCH(AU$1,'[2]End - Use Prices'!$C$7:$AL$7,0))</f>
        <v>11.67</v>
      </c>
      <c r="AV77" s="41">
        <f>INDEX('[2]End - Use Prices'!$C$6:$AL$89,MATCH($C77,'[2]End - Use Prices'!$A$6:$A$89,0)+MATCH($D77,'[2]End - Use Prices'!$B$9:$B$11,0)-1,MATCH(AV$1,'[2]End - Use Prices'!$C$7:$AL$7,0))</f>
        <v>11.79</v>
      </c>
      <c r="AW77" s="41">
        <f>INDEX('[2]End - Use Prices'!$C$6:$AL$89,MATCH($C77,'[2]End - Use Prices'!$A$6:$A$89,0)+MATCH($D77,'[2]End - Use Prices'!$B$9:$B$11,0)-1,MATCH(AW$1,'[2]End - Use Prices'!$C$7:$AL$7,0))</f>
        <v>11.9</v>
      </c>
      <c r="AX77" s="41">
        <f>INDEX('[2]End - Use Prices'!$C$6:$AL$89,MATCH($C77,'[2]End - Use Prices'!$A$6:$A$89,0)+MATCH($D77,'[2]End - Use Prices'!$B$9:$B$11,0)-1,MATCH(AX$1,'[2]End - Use Prices'!$C$7:$AL$7,0))</f>
        <v>12.02</v>
      </c>
      <c r="AY77" s="41">
        <f>INDEX('[2]End - Use Prices'!$C$6:$AL$89,MATCH($C77,'[2]End - Use Prices'!$A$6:$A$89,0)+MATCH($D77,'[2]End - Use Prices'!$B$9:$B$11,0)-1,MATCH(AY$1,'[2]End - Use Prices'!$C$7:$AL$7,0))</f>
        <v>12.15</v>
      </c>
      <c r="AZ77" s="41">
        <f>INDEX('[2]End - Use Prices'!$C$6:$AL$89,MATCH($C77,'[2]End - Use Prices'!$A$6:$A$89,0)+MATCH($D77,'[2]End - Use Prices'!$B$9:$B$11,0)-1,MATCH(AZ$1,'[2]End - Use Prices'!$C$7:$AL$7,0))</f>
        <v>12.3</v>
      </c>
      <c r="BA77" s="41">
        <f>INDEX('[2]End - Use Prices'!$C$6:$AL$89,MATCH($C77,'[2]End - Use Prices'!$A$6:$A$89,0)+MATCH($D77,'[2]End - Use Prices'!$B$9:$B$11,0)-1,MATCH(BA$1,'[2]End - Use Prices'!$C$7:$AL$7,0))</f>
        <v>12.38</v>
      </c>
      <c r="BB77" s="41">
        <f>INDEX('[2]End - Use Prices'!$C$6:$AL$89,MATCH($C77,'[2]End - Use Prices'!$A$6:$A$89,0)+MATCH($D77,'[2]End - Use Prices'!$B$9:$B$11,0)-1,MATCH(BB$1,'[2]End - Use Prices'!$C$7:$AL$7,0))</f>
        <v>12.45</v>
      </c>
      <c r="BC77" s="41">
        <f>INDEX('[2]End - Use Prices'!$C$6:$AL$89,MATCH($C77,'[2]End - Use Prices'!$A$6:$A$89,0)+MATCH($D77,'[2]End - Use Prices'!$B$9:$B$11,0)-1,MATCH(BC$1,'[2]End - Use Prices'!$C$7:$AL$7,0))</f>
        <v>12.52</v>
      </c>
      <c r="BD77" s="41">
        <f>INDEX('[2]End - Use Prices'!$C$6:$AL$89,MATCH($C77,'[2]End - Use Prices'!$A$6:$A$89,0)+MATCH($D77,'[2]End - Use Prices'!$B$9:$B$11,0)-1,MATCH(BD$1,'[2]End - Use Prices'!$C$7:$AL$7,0))</f>
        <v>12.57</v>
      </c>
      <c r="BE77" s="41">
        <f>INDEX('[2]End - Use Prices'!$C$6:$AL$89,MATCH($C77,'[2]End - Use Prices'!$A$6:$A$89,0)+MATCH($D77,'[2]End - Use Prices'!$B$9:$B$11,0)-1,MATCH(BE$1,'[2]End - Use Prices'!$C$7:$AL$7,0))</f>
        <v>12.6</v>
      </c>
      <c r="BF77" s="41">
        <f>INDEX('[2]End - Use Prices'!$C$6:$AL$89,MATCH($C77,'[2]End - Use Prices'!$A$6:$A$89,0)+MATCH($D77,'[2]End - Use Prices'!$B$9:$B$11,0)-1,MATCH(BF$1,'[2]End - Use Prices'!$C$7:$AL$7,0))</f>
        <v>12.64</v>
      </c>
      <c r="BG77" s="41">
        <f>INDEX('[2]End - Use Prices'!$C$6:$AL$89,MATCH($C77,'[2]End - Use Prices'!$A$6:$A$89,0)+MATCH($D77,'[2]End - Use Prices'!$B$9:$B$11,0)-1,MATCH(BG$1,'[2]End - Use Prices'!$C$7:$AL$7,0))</f>
        <v>12.67</v>
      </c>
      <c r="BR77" s="39"/>
      <c r="BS77" s="39"/>
      <c r="BT77" s="39"/>
      <c r="BU77" s="39"/>
      <c r="BV77" s="39"/>
      <c r="BW77" s="39"/>
      <c r="BX77" s="39"/>
      <c r="BY77" s="39"/>
      <c r="BZ77" s="39"/>
      <c r="CA77" s="39"/>
    </row>
    <row r="78" spans="1:79">
      <c r="A78" s="5"/>
      <c r="B78" s="3"/>
      <c r="C78" s="25" t="s">
        <v>85</v>
      </c>
      <c r="D78" s="25" t="s">
        <v>13</v>
      </c>
      <c r="E78" s="25" t="s">
        <v>277</v>
      </c>
      <c r="F78" s="67" t="s">
        <v>275</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INDEX('[2]End - Use Prices'!$C$6:$AL$89,MATCH($C78,'[2]End - Use Prices'!$A$6:$A$89,0)+MATCH($D78,'[2]End - Use Prices'!$B$9:$B$11,0)-1,MATCH(X$1,'[2]End - Use Prices'!$C$7:$AL$7,0))</f>
        <v>18.899999999999999</v>
      </c>
      <c r="Y78" s="41">
        <f>INDEX('[2]End - Use Prices'!$C$6:$AL$89,MATCH($C78,'[2]End - Use Prices'!$A$6:$A$89,0)+MATCH($D78,'[2]End - Use Prices'!$B$9:$B$11,0)-1,MATCH(Y$1,'[2]End - Use Prices'!$C$7:$AL$7,0))</f>
        <v>18.940000000000001</v>
      </c>
      <c r="Z78" s="41">
        <f>INDEX('[2]End - Use Prices'!$C$6:$AL$89,MATCH($C78,'[2]End - Use Prices'!$A$6:$A$89,0)+MATCH($D78,'[2]End - Use Prices'!$B$9:$B$11,0)-1,MATCH(Z$1,'[2]End - Use Prices'!$C$7:$AL$7,0))</f>
        <v>11.86</v>
      </c>
      <c r="AA78" s="41">
        <f>INDEX('[2]End - Use Prices'!$C$6:$AL$89,MATCH($C78,'[2]End - Use Prices'!$A$6:$A$89,0)+MATCH($D78,'[2]End - Use Prices'!$B$9:$B$11,0)-1,MATCH(AA$1,'[2]End - Use Prices'!$C$7:$AL$7,0))</f>
        <v>14.01</v>
      </c>
      <c r="AB78" s="41">
        <f>INDEX('[2]End - Use Prices'!$C$6:$AL$89,MATCH($C78,'[2]End - Use Prices'!$A$6:$A$89,0)+MATCH($D78,'[2]End - Use Prices'!$B$9:$B$11,0)-1,MATCH(AB$1,'[2]End - Use Prices'!$C$7:$AL$7,0))</f>
        <v>14.6</v>
      </c>
      <c r="AC78" s="41">
        <f>INDEX('[2]End - Use Prices'!$C$6:$AL$89,MATCH($C78,'[2]End - Use Prices'!$A$6:$A$89,0)+MATCH($D78,'[2]End - Use Prices'!$B$9:$B$11,0)-1,MATCH(AC$1,'[2]End - Use Prices'!$C$7:$AL$7,0))</f>
        <v>20.09</v>
      </c>
      <c r="AD78" s="41">
        <f>INDEX('[2]End - Use Prices'!$C$6:$AL$89,MATCH($C78,'[2]End - Use Prices'!$A$6:$A$89,0)+MATCH($D78,'[2]End - Use Prices'!$B$9:$B$11,0)-1,MATCH(AD$1,'[2]End - Use Prices'!$C$7:$AL$7,0))</f>
        <v>17.2</v>
      </c>
      <c r="AE78" s="41">
        <f>INDEX('[2]End - Use Prices'!$C$6:$AL$89,MATCH($C78,'[2]End - Use Prices'!$A$6:$A$89,0)+MATCH($D78,'[2]End - Use Prices'!$B$9:$B$11,0)-1,MATCH(AE$1,'[2]End - Use Prices'!$C$7:$AL$7,0))</f>
        <v>17.59</v>
      </c>
      <c r="AF78" s="41">
        <f>INDEX('[2]End - Use Prices'!$C$6:$AL$89,MATCH($C78,'[2]End - Use Prices'!$A$6:$A$89,0)+MATCH($D78,'[2]End - Use Prices'!$B$9:$B$11,0)-1,MATCH(AF$1,'[2]End - Use Prices'!$C$7:$AL$7,0))</f>
        <v>18.38</v>
      </c>
      <c r="AG78" s="41">
        <f>INDEX('[2]End - Use Prices'!$C$6:$AL$89,MATCH($C78,'[2]End - Use Prices'!$A$6:$A$89,0)+MATCH($D78,'[2]End - Use Prices'!$B$9:$B$11,0)-1,MATCH(AG$1,'[2]End - Use Prices'!$C$7:$AL$7,0))</f>
        <v>18.48</v>
      </c>
      <c r="AH78" s="41">
        <f>INDEX('[2]End - Use Prices'!$C$6:$AL$89,MATCH($C78,'[2]End - Use Prices'!$A$6:$A$89,0)+MATCH($D78,'[2]End - Use Prices'!$B$9:$B$11,0)-1,MATCH(AH$1,'[2]End - Use Prices'!$C$7:$AL$7,0))</f>
        <v>10.53</v>
      </c>
      <c r="AI78" s="41">
        <f>INDEX('[2]End - Use Prices'!$C$6:$AL$89,MATCH($C78,'[2]End - Use Prices'!$A$6:$A$89,0)+MATCH($D78,'[2]End - Use Prices'!$B$9:$B$11,0)-1,MATCH(AI$1,'[2]End - Use Prices'!$C$7:$AL$7,0))</f>
        <v>9.49</v>
      </c>
      <c r="AJ78" s="41">
        <f>INDEX('[2]End - Use Prices'!$C$6:$AL$89,MATCH($C78,'[2]End - Use Prices'!$A$6:$A$89,0)+MATCH($D78,'[2]End - Use Prices'!$B$9:$B$11,0)-1,MATCH(AJ$1,'[2]End - Use Prices'!$C$7:$AL$7,0))</f>
        <v>10.75</v>
      </c>
      <c r="AK78" s="41">
        <f>INDEX('[2]End - Use Prices'!$C$6:$AL$89,MATCH($C78,'[2]End - Use Prices'!$A$6:$A$89,0)+MATCH($D78,'[2]End - Use Prices'!$B$9:$B$11,0)-1,MATCH(AK$1,'[2]End - Use Prices'!$C$7:$AL$7,0))</f>
        <v>10.63</v>
      </c>
      <c r="AL78" s="41">
        <f>INDEX('[2]End - Use Prices'!$C$6:$AL$89,MATCH($C78,'[2]End - Use Prices'!$A$6:$A$89,0)+MATCH($D78,'[2]End - Use Prices'!$B$9:$B$11,0)-1,MATCH(AL$1,'[2]End - Use Prices'!$C$7:$AL$7,0))</f>
        <v>10.61</v>
      </c>
      <c r="AM78" s="41">
        <f>INDEX('[2]End - Use Prices'!$C$6:$AL$89,MATCH($C78,'[2]End - Use Prices'!$A$6:$A$89,0)+MATCH($D78,'[2]End - Use Prices'!$B$9:$B$11,0)-1,MATCH(AM$1,'[2]End - Use Prices'!$C$7:$AL$7,0))</f>
        <v>10.91</v>
      </c>
      <c r="AN78" s="41">
        <f>INDEX('[2]End - Use Prices'!$C$6:$AL$89,MATCH($C78,'[2]End - Use Prices'!$A$6:$A$89,0)+MATCH($D78,'[2]End - Use Prices'!$B$9:$B$11,0)-1,MATCH(AN$1,'[2]End - Use Prices'!$C$7:$AL$7,0))</f>
        <v>11.07</v>
      </c>
      <c r="AO78" s="41">
        <f>INDEX('[2]End - Use Prices'!$C$6:$AL$89,MATCH($C78,'[2]End - Use Prices'!$A$6:$A$89,0)+MATCH($D78,'[2]End - Use Prices'!$B$9:$B$11,0)-1,MATCH(AO$1,'[2]End - Use Prices'!$C$7:$AL$7,0))</f>
        <v>11.22</v>
      </c>
      <c r="AP78" s="41">
        <f>INDEX('[2]End - Use Prices'!$C$6:$AL$89,MATCH($C78,'[2]End - Use Prices'!$A$6:$A$89,0)+MATCH($D78,'[2]End - Use Prices'!$B$9:$B$11,0)-1,MATCH(AP$1,'[2]End - Use Prices'!$C$7:$AL$7,0))</f>
        <v>11.35</v>
      </c>
      <c r="AQ78" s="41">
        <f>INDEX('[2]End - Use Prices'!$C$6:$AL$89,MATCH($C78,'[2]End - Use Prices'!$A$6:$A$89,0)+MATCH($D78,'[2]End - Use Prices'!$B$9:$B$11,0)-1,MATCH(AQ$1,'[2]End - Use Prices'!$C$7:$AL$7,0))</f>
        <v>11.35</v>
      </c>
      <c r="AR78" s="41">
        <f>INDEX('[2]End - Use Prices'!$C$6:$AL$89,MATCH($C78,'[2]End - Use Prices'!$A$6:$A$89,0)+MATCH($D78,'[2]End - Use Prices'!$B$9:$B$11,0)-1,MATCH(AR$1,'[2]End - Use Prices'!$C$7:$AL$7,0))</f>
        <v>11.38</v>
      </c>
      <c r="AS78" s="41">
        <f>INDEX('[2]End - Use Prices'!$C$6:$AL$89,MATCH($C78,'[2]End - Use Prices'!$A$6:$A$89,0)+MATCH($D78,'[2]End - Use Prices'!$B$9:$B$11,0)-1,MATCH(AS$1,'[2]End - Use Prices'!$C$7:$AL$7,0))</f>
        <v>11.48</v>
      </c>
      <c r="AT78" s="41">
        <f>INDEX('[2]End - Use Prices'!$C$6:$AL$89,MATCH($C78,'[2]End - Use Prices'!$A$6:$A$89,0)+MATCH($D78,'[2]End - Use Prices'!$B$9:$B$11,0)-1,MATCH(AT$1,'[2]End - Use Prices'!$C$7:$AL$7,0))</f>
        <v>11.57</v>
      </c>
      <c r="AU78" s="41">
        <f>INDEX('[2]End - Use Prices'!$C$6:$AL$89,MATCH($C78,'[2]End - Use Prices'!$A$6:$A$89,0)+MATCH($D78,'[2]End - Use Prices'!$B$9:$B$11,0)-1,MATCH(AU$1,'[2]End - Use Prices'!$C$7:$AL$7,0))</f>
        <v>11.67</v>
      </c>
      <c r="AV78" s="41">
        <f>INDEX('[2]End - Use Prices'!$C$6:$AL$89,MATCH($C78,'[2]End - Use Prices'!$A$6:$A$89,0)+MATCH($D78,'[2]End - Use Prices'!$B$9:$B$11,0)-1,MATCH(AV$1,'[2]End - Use Prices'!$C$7:$AL$7,0))</f>
        <v>11.79</v>
      </c>
      <c r="AW78" s="41">
        <f>INDEX('[2]End - Use Prices'!$C$6:$AL$89,MATCH($C78,'[2]End - Use Prices'!$A$6:$A$89,0)+MATCH($D78,'[2]End - Use Prices'!$B$9:$B$11,0)-1,MATCH(AW$1,'[2]End - Use Prices'!$C$7:$AL$7,0))</f>
        <v>11.9</v>
      </c>
      <c r="AX78" s="41">
        <f>INDEX('[2]End - Use Prices'!$C$6:$AL$89,MATCH($C78,'[2]End - Use Prices'!$A$6:$A$89,0)+MATCH($D78,'[2]End - Use Prices'!$B$9:$B$11,0)-1,MATCH(AX$1,'[2]End - Use Prices'!$C$7:$AL$7,0))</f>
        <v>12.02</v>
      </c>
      <c r="AY78" s="41">
        <f>INDEX('[2]End - Use Prices'!$C$6:$AL$89,MATCH($C78,'[2]End - Use Prices'!$A$6:$A$89,0)+MATCH($D78,'[2]End - Use Prices'!$B$9:$B$11,0)-1,MATCH(AY$1,'[2]End - Use Prices'!$C$7:$AL$7,0))</f>
        <v>12.15</v>
      </c>
      <c r="AZ78" s="41">
        <f>INDEX('[2]End - Use Prices'!$C$6:$AL$89,MATCH($C78,'[2]End - Use Prices'!$A$6:$A$89,0)+MATCH($D78,'[2]End - Use Prices'!$B$9:$B$11,0)-1,MATCH(AZ$1,'[2]End - Use Prices'!$C$7:$AL$7,0))</f>
        <v>12.3</v>
      </c>
      <c r="BA78" s="41">
        <f>INDEX('[2]End - Use Prices'!$C$6:$AL$89,MATCH($C78,'[2]End - Use Prices'!$A$6:$A$89,0)+MATCH($D78,'[2]End - Use Prices'!$B$9:$B$11,0)-1,MATCH(BA$1,'[2]End - Use Prices'!$C$7:$AL$7,0))</f>
        <v>12.38</v>
      </c>
      <c r="BB78" s="41">
        <f>INDEX('[2]End - Use Prices'!$C$6:$AL$89,MATCH($C78,'[2]End - Use Prices'!$A$6:$A$89,0)+MATCH($D78,'[2]End - Use Prices'!$B$9:$B$11,0)-1,MATCH(BB$1,'[2]End - Use Prices'!$C$7:$AL$7,0))</f>
        <v>12.45</v>
      </c>
      <c r="BC78" s="41">
        <f>INDEX('[2]End - Use Prices'!$C$6:$AL$89,MATCH($C78,'[2]End - Use Prices'!$A$6:$A$89,0)+MATCH($D78,'[2]End - Use Prices'!$B$9:$B$11,0)-1,MATCH(BC$1,'[2]End - Use Prices'!$C$7:$AL$7,0))</f>
        <v>12.52</v>
      </c>
      <c r="BD78" s="41">
        <f>INDEX('[2]End - Use Prices'!$C$6:$AL$89,MATCH($C78,'[2]End - Use Prices'!$A$6:$A$89,0)+MATCH($D78,'[2]End - Use Prices'!$B$9:$B$11,0)-1,MATCH(BD$1,'[2]End - Use Prices'!$C$7:$AL$7,0))</f>
        <v>12.57</v>
      </c>
      <c r="BE78" s="41">
        <f>INDEX('[2]End - Use Prices'!$C$6:$AL$89,MATCH($C78,'[2]End - Use Prices'!$A$6:$A$89,0)+MATCH($D78,'[2]End - Use Prices'!$B$9:$B$11,0)-1,MATCH(BE$1,'[2]End - Use Prices'!$C$7:$AL$7,0))</f>
        <v>12.6</v>
      </c>
      <c r="BF78" s="41">
        <f>INDEX('[2]End - Use Prices'!$C$6:$AL$89,MATCH($C78,'[2]End - Use Prices'!$A$6:$A$89,0)+MATCH($D78,'[2]End - Use Prices'!$B$9:$B$11,0)-1,MATCH(BF$1,'[2]End - Use Prices'!$C$7:$AL$7,0))</f>
        <v>12.64</v>
      </c>
      <c r="BG78" s="41">
        <f>INDEX('[2]End - Use Prices'!$C$6:$AL$89,MATCH($C78,'[2]End - Use Prices'!$A$6:$A$89,0)+MATCH($D78,'[2]End - Use Prices'!$B$9:$B$11,0)-1,MATCH(BG$1,'[2]End - Use Prices'!$C$7:$AL$7,0))</f>
        <v>12.67</v>
      </c>
      <c r="BR78" s="39"/>
      <c r="BS78" s="39"/>
      <c r="BT78" s="39"/>
      <c r="BU78" s="39"/>
      <c r="BV78" s="39"/>
      <c r="BW78" s="39"/>
      <c r="BX78" s="39"/>
      <c r="BY78" s="39"/>
      <c r="BZ78" s="39"/>
      <c r="CA78" s="39"/>
    </row>
    <row r="79" spans="1:79">
      <c r="A79" s="5"/>
      <c r="B79" s="3"/>
      <c r="C79" s="25" t="s">
        <v>86</v>
      </c>
      <c r="D79" s="25" t="s">
        <v>13</v>
      </c>
      <c r="E79" s="25" t="s">
        <v>277</v>
      </c>
      <c r="F79" s="67" t="s">
        <v>275</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INDEX('[2]End - Use Prices'!$C$6:$AL$89,MATCH($C79,'[2]End - Use Prices'!$A$6:$A$89,0)+MATCH($D79,'[2]End - Use Prices'!$B$9:$B$11,0)-1,MATCH(X$1,'[2]End - Use Prices'!$C$7:$AL$7,0))</f>
        <v>48.47</v>
      </c>
      <c r="Y79" s="41">
        <f>INDEX('[2]End - Use Prices'!$C$6:$AL$89,MATCH($C79,'[2]End - Use Prices'!$A$6:$A$89,0)+MATCH($D79,'[2]End - Use Prices'!$B$9:$B$11,0)-1,MATCH(Y$1,'[2]End - Use Prices'!$C$7:$AL$7,0))</f>
        <v>44.05</v>
      </c>
      <c r="Z79" s="41">
        <f>INDEX('[2]End - Use Prices'!$C$6:$AL$89,MATCH($C79,'[2]End - Use Prices'!$A$6:$A$89,0)+MATCH($D79,'[2]End - Use Prices'!$B$9:$B$11,0)-1,MATCH(Z$1,'[2]End - Use Prices'!$C$7:$AL$7,0))</f>
        <v>40.97</v>
      </c>
      <c r="AA79" s="41">
        <f>INDEX('[2]End - Use Prices'!$C$6:$AL$89,MATCH($C79,'[2]End - Use Prices'!$A$6:$A$89,0)+MATCH($D79,'[2]End - Use Prices'!$B$9:$B$11,0)-1,MATCH(AA$1,'[2]End - Use Prices'!$C$7:$AL$7,0))</f>
        <v>39.74</v>
      </c>
      <c r="AB79" s="41">
        <f>INDEX('[2]End - Use Prices'!$C$6:$AL$89,MATCH($C79,'[2]End - Use Prices'!$A$6:$A$89,0)+MATCH($D79,'[2]End - Use Prices'!$B$9:$B$11,0)-1,MATCH(AB$1,'[2]End - Use Prices'!$C$7:$AL$7,0))</f>
        <v>38.31</v>
      </c>
      <c r="AC79" s="41">
        <f>INDEX('[2]End - Use Prices'!$C$6:$AL$89,MATCH($C79,'[2]End - Use Prices'!$A$6:$A$89,0)+MATCH($D79,'[2]End - Use Prices'!$B$9:$B$11,0)-1,MATCH(AC$1,'[2]End - Use Prices'!$C$7:$AL$7,0))</f>
        <v>36.06</v>
      </c>
      <c r="AD79" s="41">
        <f>INDEX('[2]End - Use Prices'!$C$6:$AL$89,MATCH($C79,'[2]End - Use Prices'!$A$6:$A$89,0)+MATCH($D79,'[2]End - Use Prices'!$B$9:$B$11,0)-1,MATCH(AD$1,'[2]End - Use Prices'!$C$7:$AL$7,0))</f>
        <v>33.869999999999997</v>
      </c>
      <c r="AE79" s="41">
        <f>INDEX('[2]End - Use Prices'!$C$6:$AL$89,MATCH($C79,'[2]End - Use Prices'!$A$6:$A$89,0)+MATCH($D79,'[2]End - Use Prices'!$B$9:$B$11,0)-1,MATCH(AE$1,'[2]End - Use Prices'!$C$7:$AL$7,0))</f>
        <v>32.549999999999997</v>
      </c>
      <c r="AF79" s="41">
        <f>INDEX('[2]End - Use Prices'!$C$6:$AL$89,MATCH($C79,'[2]End - Use Prices'!$A$6:$A$89,0)+MATCH($D79,'[2]End - Use Prices'!$B$9:$B$11,0)-1,MATCH(AF$1,'[2]End - Use Prices'!$C$7:$AL$7,0))</f>
        <v>25.3</v>
      </c>
      <c r="AG79" s="41">
        <f>INDEX('[2]End - Use Prices'!$C$6:$AL$89,MATCH($C79,'[2]End - Use Prices'!$A$6:$A$89,0)+MATCH($D79,'[2]End - Use Prices'!$B$9:$B$11,0)-1,MATCH(AG$1,'[2]End - Use Prices'!$C$7:$AL$7,0))</f>
        <v>26.06</v>
      </c>
      <c r="AH79" s="41">
        <f>INDEX('[2]End - Use Prices'!$C$6:$AL$89,MATCH($C79,'[2]End - Use Prices'!$A$6:$A$89,0)+MATCH($D79,'[2]End - Use Prices'!$B$9:$B$11,0)-1,MATCH(AH$1,'[2]End - Use Prices'!$C$7:$AL$7,0))</f>
        <v>30.99</v>
      </c>
      <c r="AI79" s="41">
        <f>INDEX('[2]End - Use Prices'!$C$6:$AL$89,MATCH($C79,'[2]End - Use Prices'!$A$6:$A$89,0)+MATCH($D79,'[2]End - Use Prices'!$B$9:$B$11,0)-1,MATCH(AI$1,'[2]End - Use Prices'!$C$7:$AL$7,0))</f>
        <v>27.98</v>
      </c>
      <c r="AJ79" s="41">
        <f>INDEX('[2]End - Use Prices'!$C$6:$AL$89,MATCH($C79,'[2]End - Use Prices'!$A$6:$A$89,0)+MATCH($D79,'[2]End - Use Prices'!$B$9:$B$11,0)-1,MATCH(AJ$1,'[2]End - Use Prices'!$C$7:$AL$7,0))</f>
        <v>25.3</v>
      </c>
      <c r="AK79" s="41">
        <f>INDEX('[2]End - Use Prices'!$C$6:$AL$89,MATCH($C79,'[2]End - Use Prices'!$A$6:$A$89,0)+MATCH($D79,'[2]End - Use Prices'!$B$9:$B$11,0)-1,MATCH(AK$1,'[2]End - Use Prices'!$C$7:$AL$7,0))</f>
        <v>25.21</v>
      </c>
      <c r="AL79" s="41">
        <f>INDEX('[2]End - Use Prices'!$C$6:$AL$89,MATCH($C79,'[2]End - Use Prices'!$A$6:$A$89,0)+MATCH($D79,'[2]End - Use Prices'!$B$9:$B$11,0)-1,MATCH(AL$1,'[2]End - Use Prices'!$C$7:$AL$7,0))</f>
        <v>25.2</v>
      </c>
      <c r="AM79" s="41">
        <f>INDEX('[2]End - Use Prices'!$C$6:$AL$89,MATCH($C79,'[2]End - Use Prices'!$A$6:$A$89,0)+MATCH($D79,'[2]End - Use Prices'!$B$9:$B$11,0)-1,MATCH(AM$1,'[2]End - Use Prices'!$C$7:$AL$7,0))</f>
        <v>25.99</v>
      </c>
      <c r="AN79" s="41">
        <f>INDEX('[2]End - Use Prices'!$C$6:$AL$89,MATCH($C79,'[2]End - Use Prices'!$A$6:$A$89,0)+MATCH($D79,'[2]End - Use Prices'!$B$9:$B$11,0)-1,MATCH(AN$1,'[2]End - Use Prices'!$C$7:$AL$7,0))</f>
        <v>26.36</v>
      </c>
      <c r="AO79" s="41">
        <f>INDEX('[2]End - Use Prices'!$C$6:$AL$89,MATCH($C79,'[2]End - Use Prices'!$A$6:$A$89,0)+MATCH($D79,'[2]End - Use Prices'!$B$9:$B$11,0)-1,MATCH(AO$1,'[2]End - Use Prices'!$C$7:$AL$7,0))</f>
        <v>26.71</v>
      </c>
      <c r="AP79" s="41">
        <f>INDEX('[2]End - Use Prices'!$C$6:$AL$89,MATCH($C79,'[2]End - Use Prices'!$A$6:$A$89,0)+MATCH($D79,'[2]End - Use Prices'!$B$9:$B$11,0)-1,MATCH(AP$1,'[2]End - Use Prices'!$C$7:$AL$7,0))</f>
        <v>27.03</v>
      </c>
      <c r="AQ79" s="41">
        <f>INDEX('[2]End - Use Prices'!$C$6:$AL$89,MATCH($C79,'[2]End - Use Prices'!$A$6:$A$89,0)+MATCH($D79,'[2]End - Use Prices'!$B$9:$B$11,0)-1,MATCH(AQ$1,'[2]End - Use Prices'!$C$7:$AL$7,0))</f>
        <v>26.98</v>
      </c>
      <c r="AR79" s="41">
        <f>INDEX('[2]End - Use Prices'!$C$6:$AL$89,MATCH($C79,'[2]End - Use Prices'!$A$6:$A$89,0)+MATCH($D79,'[2]End - Use Prices'!$B$9:$B$11,0)-1,MATCH(AR$1,'[2]End - Use Prices'!$C$7:$AL$7,0))</f>
        <v>26.97</v>
      </c>
      <c r="AS79" s="41">
        <f>INDEX('[2]End - Use Prices'!$C$6:$AL$89,MATCH($C79,'[2]End - Use Prices'!$A$6:$A$89,0)+MATCH($D79,'[2]End - Use Prices'!$B$9:$B$11,0)-1,MATCH(AS$1,'[2]End - Use Prices'!$C$7:$AL$7,0))</f>
        <v>27.01</v>
      </c>
      <c r="AT79" s="41">
        <f>INDEX('[2]End - Use Prices'!$C$6:$AL$89,MATCH($C79,'[2]End - Use Prices'!$A$6:$A$89,0)+MATCH($D79,'[2]End - Use Prices'!$B$9:$B$11,0)-1,MATCH(AT$1,'[2]End - Use Prices'!$C$7:$AL$7,0))</f>
        <v>27.04</v>
      </c>
      <c r="AU79" s="41">
        <f>INDEX('[2]End - Use Prices'!$C$6:$AL$89,MATCH($C79,'[2]End - Use Prices'!$A$6:$A$89,0)+MATCH($D79,'[2]End - Use Prices'!$B$9:$B$11,0)-1,MATCH(AU$1,'[2]End - Use Prices'!$C$7:$AL$7,0))</f>
        <v>27.1</v>
      </c>
      <c r="AV79" s="41">
        <f>INDEX('[2]End - Use Prices'!$C$6:$AL$89,MATCH($C79,'[2]End - Use Prices'!$A$6:$A$89,0)+MATCH($D79,'[2]End - Use Prices'!$B$9:$B$11,0)-1,MATCH(AV$1,'[2]End - Use Prices'!$C$7:$AL$7,0))</f>
        <v>27.16</v>
      </c>
      <c r="AW79" s="41">
        <f>INDEX('[2]End - Use Prices'!$C$6:$AL$89,MATCH($C79,'[2]End - Use Prices'!$A$6:$A$89,0)+MATCH($D79,'[2]End - Use Prices'!$B$9:$B$11,0)-1,MATCH(AW$1,'[2]End - Use Prices'!$C$7:$AL$7,0))</f>
        <v>27.22</v>
      </c>
      <c r="AX79" s="41">
        <f>INDEX('[2]End - Use Prices'!$C$6:$AL$89,MATCH($C79,'[2]End - Use Prices'!$A$6:$A$89,0)+MATCH($D79,'[2]End - Use Prices'!$B$9:$B$11,0)-1,MATCH(AX$1,'[2]End - Use Prices'!$C$7:$AL$7,0))</f>
        <v>27.29</v>
      </c>
      <c r="AY79" s="41">
        <f>INDEX('[2]End - Use Prices'!$C$6:$AL$89,MATCH($C79,'[2]End - Use Prices'!$A$6:$A$89,0)+MATCH($D79,'[2]End - Use Prices'!$B$9:$B$11,0)-1,MATCH(AY$1,'[2]End - Use Prices'!$C$7:$AL$7,0))</f>
        <v>27.37</v>
      </c>
      <c r="AZ79" s="41">
        <f>INDEX('[2]End - Use Prices'!$C$6:$AL$89,MATCH($C79,'[2]End - Use Prices'!$A$6:$A$89,0)+MATCH($D79,'[2]End - Use Prices'!$B$9:$B$11,0)-1,MATCH(AZ$1,'[2]End - Use Prices'!$C$7:$AL$7,0))</f>
        <v>27.46</v>
      </c>
      <c r="BA79" s="41">
        <f>INDEX('[2]End - Use Prices'!$C$6:$AL$89,MATCH($C79,'[2]End - Use Prices'!$A$6:$A$89,0)+MATCH($D79,'[2]End - Use Prices'!$B$9:$B$11,0)-1,MATCH(BA$1,'[2]End - Use Prices'!$C$7:$AL$7,0))</f>
        <v>27.51</v>
      </c>
      <c r="BB79" s="41">
        <f>INDEX('[2]End - Use Prices'!$C$6:$AL$89,MATCH($C79,'[2]End - Use Prices'!$A$6:$A$89,0)+MATCH($D79,'[2]End - Use Prices'!$B$9:$B$11,0)-1,MATCH(BB$1,'[2]End - Use Prices'!$C$7:$AL$7,0))</f>
        <v>27.55</v>
      </c>
      <c r="BC79" s="41">
        <f>INDEX('[2]End - Use Prices'!$C$6:$AL$89,MATCH($C79,'[2]End - Use Prices'!$A$6:$A$89,0)+MATCH($D79,'[2]End - Use Prices'!$B$9:$B$11,0)-1,MATCH(BC$1,'[2]End - Use Prices'!$C$7:$AL$7,0))</f>
        <v>27.58</v>
      </c>
      <c r="BD79" s="41">
        <f>INDEX('[2]End - Use Prices'!$C$6:$AL$89,MATCH($C79,'[2]End - Use Prices'!$A$6:$A$89,0)+MATCH($D79,'[2]End - Use Prices'!$B$9:$B$11,0)-1,MATCH(BD$1,'[2]End - Use Prices'!$C$7:$AL$7,0))</f>
        <v>27.6</v>
      </c>
      <c r="BE79" s="41">
        <f>INDEX('[2]End - Use Prices'!$C$6:$AL$89,MATCH($C79,'[2]End - Use Prices'!$A$6:$A$89,0)+MATCH($D79,'[2]End - Use Prices'!$B$9:$B$11,0)-1,MATCH(BE$1,'[2]End - Use Prices'!$C$7:$AL$7,0))</f>
        <v>27.61</v>
      </c>
      <c r="BF79" s="41">
        <f>INDEX('[2]End - Use Prices'!$C$6:$AL$89,MATCH($C79,'[2]End - Use Prices'!$A$6:$A$89,0)+MATCH($D79,'[2]End - Use Prices'!$B$9:$B$11,0)-1,MATCH(BF$1,'[2]End - Use Prices'!$C$7:$AL$7,0))</f>
        <v>27.62</v>
      </c>
      <c r="BG79" s="41">
        <f>INDEX('[2]End - Use Prices'!$C$6:$AL$89,MATCH($C79,'[2]End - Use Prices'!$A$6:$A$89,0)+MATCH($D79,'[2]End - Use Prices'!$B$9:$B$11,0)-1,MATCH(BG$1,'[2]End - Use Prices'!$C$7:$AL$7,0))</f>
        <v>27.62</v>
      </c>
      <c r="BR79" s="39"/>
      <c r="BS79" s="39"/>
      <c r="BT79" s="39"/>
      <c r="BU79" s="39"/>
      <c r="BV79" s="39"/>
      <c r="BW79" s="39"/>
      <c r="BX79" s="39"/>
      <c r="BY79" s="39"/>
      <c r="BZ79" s="39"/>
      <c r="CA79" s="39"/>
    </row>
    <row r="80" spans="1:79">
      <c r="A80" s="5"/>
      <c r="B80" s="3"/>
      <c r="C80" s="25" t="s">
        <v>87</v>
      </c>
      <c r="D80" s="25" t="s">
        <v>13</v>
      </c>
      <c r="E80" s="25" t="s">
        <v>277</v>
      </c>
      <c r="F80" s="67" t="s">
        <v>275</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INDEX('[2]End - Use Prices'!$C$6:$AL$89,MATCH($C80,'[2]End - Use Prices'!$A$6:$A$89,0)+MATCH($D80,'[2]End - Use Prices'!$B$9:$B$11,0)-1,MATCH(X$1,'[2]End - Use Prices'!$C$7:$AL$7,0))</f>
        <v>18.899999999999999</v>
      </c>
      <c r="Y80" s="41">
        <f>INDEX('[2]End - Use Prices'!$C$6:$AL$89,MATCH($C80,'[2]End - Use Prices'!$A$6:$A$89,0)+MATCH($D80,'[2]End - Use Prices'!$B$9:$B$11,0)-1,MATCH(Y$1,'[2]End - Use Prices'!$C$7:$AL$7,0))</f>
        <v>18.940000000000001</v>
      </c>
      <c r="Z80" s="41">
        <f>INDEX('[2]End - Use Prices'!$C$6:$AL$89,MATCH($C80,'[2]End - Use Prices'!$A$6:$A$89,0)+MATCH($D80,'[2]End - Use Prices'!$B$9:$B$11,0)-1,MATCH(Z$1,'[2]End - Use Prices'!$C$7:$AL$7,0))</f>
        <v>11.86</v>
      </c>
      <c r="AA80" s="41">
        <f>INDEX('[2]End - Use Prices'!$C$6:$AL$89,MATCH($C80,'[2]End - Use Prices'!$A$6:$A$89,0)+MATCH($D80,'[2]End - Use Prices'!$B$9:$B$11,0)-1,MATCH(AA$1,'[2]End - Use Prices'!$C$7:$AL$7,0))</f>
        <v>14.01</v>
      </c>
      <c r="AB80" s="41">
        <f>INDEX('[2]End - Use Prices'!$C$6:$AL$89,MATCH($C80,'[2]End - Use Prices'!$A$6:$A$89,0)+MATCH($D80,'[2]End - Use Prices'!$B$9:$B$11,0)-1,MATCH(AB$1,'[2]End - Use Prices'!$C$7:$AL$7,0))</f>
        <v>14.6</v>
      </c>
      <c r="AC80" s="41">
        <f>INDEX('[2]End - Use Prices'!$C$6:$AL$89,MATCH($C80,'[2]End - Use Prices'!$A$6:$A$89,0)+MATCH($D80,'[2]End - Use Prices'!$B$9:$B$11,0)-1,MATCH(AC$1,'[2]End - Use Prices'!$C$7:$AL$7,0))</f>
        <v>20.09</v>
      </c>
      <c r="AD80" s="41">
        <f>INDEX('[2]End - Use Prices'!$C$6:$AL$89,MATCH($C80,'[2]End - Use Prices'!$A$6:$A$89,0)+MATCH($D80,'[2]End - Use Prices'!$B$9:$B$11,0)-1,MATCH(AD$1,'[2]End - Use Prices'!$C$7:$AL$7,0))</f>
        <v>17.2</v>
      </c>
      <c r="AE80" s="41">
        <f>INDEX('[2]End - Use Prices'!$C$6:$AL$89,MATCH($C80,'[2]End - Use Prices'!$A$6:$A$89,0)+MATCH($D80,'[2]End - Use Prices'!$B$9:$B$11,0)-1,MATCH(AE$1,'[2]End - Use Prices'!$C$7:$AL$7,0))</f>
        <v>17.59</v>
      </c>
      <c r="AF80" s="41">
        <f>INDEX('[2]End - Use Prices'!$C$6:$AL$89,MATCH($C80,'[2]End - Use Prices'!$A$6:$A$89,0)+MATCH($D80,'[2]End - Use Prices'!$B$9:$B$11,0)-1,MATCH(AF$1,'[2]End - Use Prices'!$C$7:$AL$7,0))</f>
        <v>18.75</v>
      </c>
      <c r="AG80" s="41">
        <f>INDEX('[2]End - Use Prices'!$C$6:$AL$89,MATCH($C80,'[2]End - Use Prices'!$A$6:$A$89,0)+MATCH($D80,'[2]End - Use Prices'!$B$9:$B$11,0)-1,MATCH(AG$1,'[2]End - Use Prices'!$C$7:$AL$7,0))</f>
        <v>18.48</v>
      </c>
      <c r="AH80" s="41">
        <f>INDEX('[2]End - Use Prices'!$C$6:$AL$89,MATCH($C80,'[2]End - Use Prices'!$A$6:$A$89,0)+MATCH($D80,'[2]End - Use Prices'!$B$9:$B$11,0)-1,MATCH(AH$1,'[2]End - Use Prices'!$C$7:$AL$7,0))</f>
        <v>13.86</v>
      </c>
      <c r="AI80" s="41">
        <f>INDEX('[2]End - Use Prices'!$C$6:$AL$89,MATCH($C80,'[2]End - Use Prices'!$A$6:$A$89,0)+MATCH($D80,'[2]End - Use Prices'!$B$9:$B$11,0)-1,MATCH(AI$1,'[2]End - Use Prices'!$C$7:$AL$7,0))</f>
        <v>9.4700000000000006</v>
      </c>
      <c r="AJ80" s="41">
        <f>INDEX('[2]End - Use Prices'!$C$6:$AL$89,MATCH($C80,'[2]End - Use Prices'!$A$6:$A$89,0)+MATCH($D80,'[2]End - Use Prices'!$B$9:$B$11,0)-1,MATCH(AJ$1,'[2]End - Use Prices'!$C$7:$AL$7,0))</f>
        <v>10.75</v>
      </c>
      <c r="AK80" s="41">
        <f>INDEX('[2]End - Use Prices'!$C$6:$AL$89,MATCH($C80,'[2]End - Use Prices'!$A$6:$A$89,0)+MATCH($D80,'[2]End - Use Prices'!$B$9:$B$11,0)-1,MATCH(AK$1,'[2]End - Use Prices'!$C$7:$AL$7,0))</f>
        <v>10.63</v>
      </c>
      <c r="AL80" s="41">
        <f>INDEX('[2]End - Use Prices'!$C$6:$AL$89,MATCH($C80,'[2]End - Use Prices'!$A$6:$A$89,0)+MATCH($D80,'[2]End - Use Prices'!$B$9:$B$11,0)-1,MATCH(AL$1,'[2]End - Use Prices'!$C$7:$AL$7,0))</f>
        <v>10.61</v>
      </c>
      <c r="AM80" s="41">
        <f>INDEX('[2]End - Use Prices'!$C$6:$AL$89,MATCH($C80,'[2]End - Use Prices'!$A$6:$A$89,0)+MATCH($D80,'[2]End - Use Prices'!$B$9:$B$11,0)-1,MATCH(AM$1,'[2]End - Use Prices'!$C$7:$AL$7,0))</f>
        <v>11.56</v>
      </c>
      <c r="AN80" s="41">
        <f>INDEX('[2]End - Use Prices'!$C$6:$AL$89,MATCH($C80,'[2]End - Use Prices'!$A$6:$A$89,0)+MATCH($D80,'[2]End - Use Prices'!$B$9:$B$11,0)-1,MATCH(AN$1,'[2]End - Use Prices'!$C$7:$AL$7,0))</f>
        <v>12.01</v>
      </c>
      <c r="AO80" s="41">
        <f>INDEX('[2]End - Use Prices'!$C$6:$AL$89,MATCH($C80,'[2]End - Use Prices'!$A$6:$A$89,0)+MATCH($D80,'[2]End - Use Prices'!$B$9:$B$11,0)-1,MATCH(AO$1,'[2]End - Use Prices'!$C$7:$AL$7,0))</f>
        <v>12.44</v>
      </c>
      <c r="AP80" s="41">
        <f>INDEX('[2]End - Use Prices'!$C$6:$AL$89,MATCH($C80,'[2]End - Use Prices'!$A$6:$A$89,0)+MATCH($D80,'[2]End - Use Prices'!$B$9:$B$11,0)-1,MATCH(AP$1,'[2]End - Use Prices'!$C$7:$AL$7,0))</f>
        <v>12.83</v>
      </c>
      <c r="AQ80" s="41">
        <f>INDEX('[2]End - Use Prices'!$C$6:$AL$89,MATCH($C80,'[2]End - Use Prices'!$A$6:$A$89,0)+MATCH($D80,'[2]End - Use Prices'!$B$9:$B$11,0)-1,MATCH(AQ$1,'[2]End - Use Prices'!$C$7:$AL$7,0))</f>
        <v>12.77</v>
      </c>
      <c r="AR80" s="41">
        <f>INDEX('[2]End - Use Prices'!$C$6:$AL$89,MATCH($C80,'[2]End - Use Prices'!$A$6:$A$89,0)+MATCH($D80,'[2]End - Use Prices'!$B$9:$B$11,0)-1,MATCH(AR$1,'[2]End - Use Prices'!$C$7:$AL$7,0))</f>
        <v>12.76</v>
      </c>
      <c r="AS80" s="41">
        <f>INDEX('[2]End - Use Prices'!$C$6:$AL$89,MATCH($C80,'[2]End - Use Prices'!$A$6:$A$89,0)+MATCH($D80,'[2]End - Use Prices'!$B$9:$B$11,0)-1,MATCH(AS$1,'[2]End - Use Prices'!$C$7:$AL$7,0))</f>
        <v>12.82</v>
      </c>
      <c r="AT80" s="41">
        <f>INDEX('[2]End - Use Prices'!$C$6:$AL$89,MATCH($C80,'[2]End - Use Prices'!$A$6:$A$89,0)+MATCH($D80,'[2]End - Use Prices'!$B$9:$B$11,0)-1,MATCH(AT$1,'[2]End - Use Prices'!$C$7:$AL$7,0))</f>
        <v>12.87</v>
      </c>
      <c r="AU80" s="41">
        <f>INDEX('[2]End - Use Prices'!$C$6:$AL$89,MATCH($C80,'[2]End - Use Prices'!$A$6:$A$89,0)+MATCH($D80,'[2]End - Use Prices'!$B$9:$B$11,0)-1,MATCH(AU$1,'[2]End - Use Prices'!$C$7:$AL$7,0))</f>
        <v>12.94</v>
      </c>
      <c r="AV80" s="41">
        <f>INDEX('[2]End - Use Prices'!$C$6:$AL$89,MATCH($C80,'[2]End - Use Prices'!$A$6:$A$89,0)+MATCH($D80,'[2]End - Use Prices'!$B$9:$B$11,0)-1,MATCH(AV$1,'[2]End - Use Prices'!$C$7:$AL$7,0))</f>
        <v>13.03</v>
      </c>
      <c r="AW80" s="41">
        <f>INDEX('[2]End - Use Prices'!$C$6:$AL$89,MATCH($C80,'[2]End - Use Prices'!$A$6:$A$89,0)+MATCH($D80,'[2]End - Use Prices'!$B$9:$B$11,0)-1,MATCH(AW$1,'[2]End - Use Prices'!$C$7:$AL$7,0))</f>
        <v>13.11</v>
      </c>
      <c r="AX80" s="41">
        <f>INDEX('[2]End - Use Prices'!$C$6:$AL$89,MATCH($C80,'[2]End - Use Prices'!$A$6:$A$89,0)+MATCH($D80,'[2]End - Use Prices'!$B$9:$B$11,0)-1,MATCH(AX$1,'[2]End - Use Prices'!$C$7:$AL$7,0))</f>
        <v>13.21</v>
      </c>
      <c r="AY80" s="41">
        <f>INDEX('[2]End - Use Prices'!$C$6:$AL$89,MATCH($C80,'[2]End - Use Prices'!$A$6:$A$89,0)+MATCH($D80,'[2]End - Use Prices'!$B$9:$B$11,0)-1,MATCH(AY$1,'[2]End - Use Prices'!$C$7:$AL$7,0))</f>
        <v>13.32</v>
      </c>
      <c r="AZ80" s="41">
        <f>INDEX('[2]End - Use Prices'!$C$6:$AL$89,MATCH($C80,'[2]End - Use Prices'!$A$6:$A$89,0)+MATCH($D80,'[2]End - Use Prices'!$B$9:$B$11,0)-1,MATCH(AZ$1,'[2]End - Use Prices'!$C$7:$AL$7,0))</f>
        <v>13.44</v>
      </c>
      <c r="BA80" s="41">
        <f>INDEX('[2]End - Use Prices'!$C$6:$AL$89,MATCH($C80,'[2]End - Use Prices'!$A$6:$A$89,0)+MATCH($D80,'[2]End - Use Prices'!$B$9:$B$11,0)-1,MATCH(BA$1,'[2]End - Use Prices'!$C$7:$AL$7,0))</f>
        <v>13.5</v>
      </c>
      <c r="BB80" s="41">
        <f>INDEX('[2]End - Use Prices'!$C$6:$AL$89,MATCH($C80,'[2]End - Use Prices'!$A$6:$A$89,0)+MATCH($D80,'[2]End - Use Prices'!$B$9:$B$11,0)-1,MATCH(BB$1,'[2]End - Use Prices'!$C$7:$AL$7,0))</f>
        <v>13.55</v>
      </c>
      <c r="BC80" s="41">
        <f>INDEX('[2]End - Use Prices'!$C$6:$AL$89,MATCH($C80,'[2]End - Use Prices'!$A$6:$A$89,0)+MATCH($D80,'[2]End - Use Prices'!$B$9:$B$11,0)-1,MATCH(BC$1,'[2]End - Use Prices'!$C$7:$AL$7,0))</f>
        <v>13.6</v>
      </c>
      <c r="BD80" s="41">
        <f>INDEX('[2]End - Use Prices'!$C$6:$AL$89,MATCH($C80,'[2]End - Use Prices'!$A$6:$A$89,0)+MATCH($D80,'[2]End - Use Prices'!$B$9:$B$11,0)-1,MATCH(BD$1,'[2]End - Use Prices'!$C$7:$AL$7,0))</f>
        <v>13.63</v>
      </c>
      <c r="BE80" s="41">
        <f>INDEX('[2]End - Use Prices'!$C$6:$AL$89,MATCH($C80,'[2]End - Use Prices'!$A$6:$A$89,0)+MATCH($D80,'[2]End - Use Prices'!$B$9:$B$11,0)-1,MATCH(BE$1,'[2]End - Use Prices'!$C$7:$AL$7,0))</f>
        <v>13.64</v>
      </c>
      <c r="BF80" s="41">
        <f>INDEX('[2]End - Use Prices'!$C$6:$AL$89,MATCH($C80,'[2]End - Use Prices'!$A$6:$A$89,0)+MATCH($D80,'[2]End - Use Prices'!$B$9:$B$11,0)-1,MATCH(BF$1,'[2]End - Use Prices'!$C$7:$AL$7,0))</f>
        <v>13.66</v>
      </c>
      <c r="BG80" s="41">
        <f>INDEX('[2]End - Use Prices'!$C$6:$AL$89,MATCH($C80,'[2]End - Use Prices'!$A$6:$A$89,0)+MATCH($D80,'[2]End - Use Prices'!$B$9:$B$11,0)-1,MATCH(BG$1,'[2]End - Use Prices'!$C$7:$AL$7,0))</f>
        <v>13.67</v>
      </c>
      <c r="BR80" s="39"/>
      <c r="BS80" s="39"/>
      <c r="BT80" s="39"/>
      <c r="BU80" s="39"/>
      <c r="BV80" s="39"/>
      <c r="BW80" s="39"/>
      <c r="BX80" s="39"/>
      <c r="BY80" s="39"/>
      <c r="BZ80" s="39"/>
      <c r="CA80" s="39"/>
    </row>
    <row r="81" spans="1:79">
      <c r="A81" s="5"/>
      <c r="B81" s="3"/>
      <c r="C81" s="25" t="s">
        <v>88</v>
      </c>
      <c r="D81" s="25" t="s">
        <v>13</v>
      </c>
      <c r="E81" s="25" t="s">
        <v>277</v>
      </c>
      <c r="F81" s="67" t="s">
        <v>275</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INDEX('[2]End - Use Prices'!$C$6:$AL$89,MATCH($C81,'[2]End - Use Prices'!$A$6:$A$89,0)+MATCH($D81,'[2]End - Use Prices'!$B$9:$B$11,0)-1,MATCH(X$1,'[2]End - Use Prices'!$C$7:$AL$7,0))</f>
        <v>20.32</v>
      </c>
      <c r="Y81" s="41">
        <f>INDEX('[2]End - Use Prices'!$C$6:$AL$89,MATCH($C81,'[2]End - Use Prices'!$A$6:$A$89,0)+MATCH($D81,'[2]End - Use Prices'!$B$9:$B$11,0)-1,MATCH(Y$1,'[2]End - Use Prices'!$C$7:$AL$7,0))</f>
        <v>20.36</v>
      </c>
      <c r="Z81" s="41">
        <f>INDEX('[2]End - Use Prices'!$C$6:$AL$89,MATCH($C81,'[2]End - Use Prices'!$A$6:$A$89,0)+MATCH($D81,'[2]End - Use Prices'!$B$9:$B$11,0)-1,MATCH(Z$1,'[2]End - Use Prices'!$C$7:$AL$7,0))</f>
        <v>19</v>
      </c>
      <c r="AA81" s="41">
        <f>INDEX('[2]End - Use Prices'!$C$6:$AL$89,MATCH($C81,'[2]End - Use Prices'!$A$6:$A$89,0)+MATCH($D81,'[2]End - Use Prices'!$B$9:$B$11,0)-1,MATCH(AA$1,'[2]End - Use Prices'!$C$7:$AL$7,0))</f>
        <v>19.5</v>
      </c>
      <c r="AB81" s="41">
        <f>INDEX('[2]End - Use Prices'!$C$6:$AL$89,MATCH($C81,'[2]End - Use Prices'!$A$6:$A$89,0)+MATCH($D81,'[2]End - Use Prices'!$B$9:$B$11,0)-1,MATCH(AB$1,'[2]End - Use Prices'!$C$7:$AL$7,0))</f>
        <v>18.579999999999998</v>
      </c>
      <c r="AC81" s="41">
        <f>INDEX('[2]End - Use Prices'!$C$6:$AL$89,MATCH($C81,'[2]End - Use Prices'!$A$6:$A$89,0)+MATCH($D81,'[2]End - Use Prices'!$B$9:$B$11,0)-1,MATCH(AC$1,'[2]End - Use Prices'!$C$7:$AL$7,0))</f>
        <v>18.399999999999999</v>
      </c>
      <c r="AD81" s="41">
        <f>INDEX('[2]End - Use Prices'!$C$6:$AL$89,MATCH($C81,'[2]End - Use Prices'!$A$6:$A$89,0)+MATCH($D81,'[2]End - Use Prices'!$B$9:$B$11,0)-1,MATCH(AD$1,'[2]End - Use Prices'!$C$7:$AL$7,0))</f>
        <v>17.54</v>
      </c>
      <c r="AE81" s="41">
        <f>INDEX('[2]End - Use Prices'!$C$6:$AL$89,MATCH($C81,'[2]End - Use Prices'!$A$6:$A$89,0)+MATCH($D81,'[2]End - Use Prices'!$B$9:$B$11,0)-1,MATCH(AE$1,'[2]End - Use Prices'!$C$7:$AL$7,0))</f>
        <v>17.05</v>
      </c>
      <c r="AF81" s="41">
        <f>INDEX('[2]End - Use Prices'!$C$6:$AL$89,MATCH($C81,'[2]End - Use Prices'!$A$6:$A$89,0)+MATCH($D81,'[2]End - Use Prices'!$B$9:$B$11,0)-1,MATCH(AF$1,'[2]End - Use Prices'!$C$7:$AL$7,0))</f>
        <v>15.49</v>
      </c>
      <c r="AG81" s="41">
        <f>INDEX('[2]End - Use Prices'!$C$6:$AL$89,MATCH($C81,'[2]End - Use Prices'!$A$6:$A$89,0)+MATCH($D81,'[2]End - Use Prices'!$B$9:$B$11,0)-1,MATCH(AG$1,'[2]End - Use Prices'!$C$7:$AL$7,0))</f>
        <v>16.84</v>
      </c>
      <c r="AH81" s="41">
        <f>INDEX('[2]End - Use Prices'!$C$6:$AL$89,MATCH($C81,'[2]End - Use Prices'!$A$6:$A$89,0)+MATCH($D81,'[2]End - Use Prices'!$B$9:$B$11,0)-1,MATCH(AH$1,'[2]End - Use Prices'!$C$7:$AL$7,0))</f>
        <v>15.95</v>
      </c>
      <c r="AI81" s="41">
        <f>INDEX('[2]End - Use Prices'!$C$6:$AL$89,MATCH($C81,'[2]End - Use Prices'!$A$6:$A$89,0)+MATCH($D81,'[2]End - Use Prices'!$B$9:$B$11,0)-1,MATCH(AI$1,'[2]End - Use Prices'!$C$7:$AL$7,0))</f>
        <v>14.86</v>
      </c>
      <c r="AJ81" s="41">
        <f>INDEX('[2]End - Use Prices'!$C$6:$AL$89,MATCH($C81,'[2]End - Use Prices'!$A$6:$A$89,0)+MATCH($D81,'[2]End - Use Prices'!$B$9:$B$11,0)-1,MATCH(AJ$1,'[2]End - Use Prices'!$C$7:$AL$7,0))</f>
        <v>15.15</v>
      </c>
      <c r="AK81" s="41">
        <f>INDEX('[2]End - Use Prices'!$C$6:$AL$89,MATCH($C81,'[2]End - Use Prices'!$A$6:$A$89,0)+MATCH($D81,'[2]End - Use Prices'!$B$9:$B$11,0)-1,MATCH(AK$1,'[2]End - Use Prices'!$C$7:$AL$7,0))</f>
        <v>15</v>
      </c>
      <c r="AL81" s="41">
        <f>INDEX('[2]End - Use Prices'!$C$6:$AL$89,MATCH($C81,'[2]End - Use Prices'!$A$6:$A$89,0)+MATCH($D81,'[2]End - Use Prices'!$B$9:$B$11,0)-1,MATCH(AL$1,'[2]End - Use Prices'!$C$7:$AL$7,0))</f>
        <v>14.94</v>
      </c>
      <c r="AM81" s="41">
        <f>INDEX('[2]End - Use Prices'!$C$6:$AL$89,MATCH($C81,'[2]End - Use Prices'!$A$6:$A$89,0)+MATCH($D81,'[2]End - Use Prices'!$B$9:$B$11,0)-1,MATCH(AM$1,'[2]End - Use Prices'!$C$7:$AL$7,0))</f>
        <v>15</v>
      </c>
      <c r="AN81" s="41">
        <f>INDEX('[2]End - Use Prices'!$C$6:$AL$89,MATCH($C81,'[2]End - Use Prices'!$A$6:$A$89,0)+MATCH($D81,'[2]End - Use Prices'!$B$9:$B$11,0)-1,MATCH(AN$1,'[2]End - Use Prices'!$C$7:$AL$7,0))</f>
        <v>15.24</v>
      </c>
      <c r="AO81" s="41">
        <f>INDEX('[2]End - Use Prices'!$C$6:$AL$89,MATCH($C81,'[2]End - Use Prices'!$A$6:$A$89,0)+MATCH($D81,'[2]End - Use Prices'!$B$9:$B$11,0)-1,MATCH(AO$1,'[2]End - Use Prices'!$C$7:$AL$7,0))</f>
        <v>15.47</v>
      </c>
      <c r="AP81" s="41">
        <f>INDEX('[2]End - Use Prices'!$C$6:$AL$89,MATCH($C81,'[2]End - Use Prices'!$A$6:$A$89,0)+MATCH($D81,'[2]End - Use Prices'!$B$9:$B$11,0)-1,MATCH(AP$1,'[2]End - Use Prices'!$C$7:$AL$7,0))</f>
        <v>15.66</v>
      </c>
      <c r="AQ81" s="41">
        <f>INDEX('[2]End - Use Prices'!$C$6:$AL$89,MATCH($C81,'[2]End - Use Prices'!$A$6:$A$89,0)+MATCH($D81,'[2]End - Use Prices'!$B$9:$B$11,0)-1,MATCH(AQ$1,'[2]End - Use Prices'!$C$7:$AL$7,0))</f>
        <v>15.86</v>
      </c>
      <c r="AR81" s="41">
        <f>INDEX('[2]End - Use Prices'!$C$6:$AL$89,MATCH($C81,'[2]End - Use Prices'!$A$6:$A$89,0)+MATCH($D81,'[2]End - Use Prices'!$B$9:$B$11,0)-1,MATCH(AR$1,'[2]End - Use Prices'!$C$7:$AL$7,0))</f>
        <v>16.07</v>
      </c>
      <c r="AS81" s="41">
        <f>INDEX('[2]End - Use Prices'!$C$6:$AL$89,MATCH($C81,'[2]End - Use Prices'!$A$6:$A$89,0)+MATCH($D81,'[2]End - Use Prices'!$B$9:$B$11,0)-1,MATCH(AS$1,'[2]End - Use Prices'!$C$7:$AL$7,0))</f>
        <v>16.350000000000001</v>
      </c>
      <c r="AT81" s="41">
        <f>INDEX('[2]End - Use Prices'!$C$6:$AL$89,MATCH($C81,'[2]End - Use Prices'!$A$6:$A$89,0)+MATCH($D81,'[2]End - Use Prices'!$B$9:$B$11,0)-1,MATCH(AT$1,'[2]End - Use Prices'!$C$7:$AL$7,0))</f>
        <v>16.36</v>
      </c>
      <c r="AU81" s="41">
        <f>INDEX('[2]End - Use Prices'!$C$6:$AL$89,MATCH($C81,'[2]End - Use Prices'!$A$6:$A$89,0)+MATCH($D81,'[2]End - Use Prices'!$B$9:$B$11,0)-1,MATCH(AU$1,'[2]End - Use Prices'!$C$7:$AL$7,0))</f>
        <v>16.399999999999999</v>
      </c>
      <c r="AV81" s="41">
        <f>INDEX('[2]End - Use Prices'!$C$6:$AL$89,MATCH($C81,'[2]End - Use Prices'!$A$6:$A$89,0)+MATCH($D81,'[2]End - Use Prices'!$B$9:$B$11,0)-1,MATCH(AV$1,'[2]End - Use Prices'!$C$7:$AL$7,0))</f>
        <v>16.45</v>
      </c>
      <c r="AW81" s="41">
        <f>INDEX('[2]End - Use Prices'!$C$6:$AL$89,MATCH($C81,'[2]End - Use Prices'!$A$6:$A$89,0)+MATCH($D81,'[2]End - Use Prices'!$B$9:$B$11,0)-1,MATCH(AW$1,'[2]End - Use Prices'!$C$7:$AL$7,0))</f>
        <v>16.5</v>
      </c>
      <c r="AX81" s="41">
        <f>INDEX('[2]End - Use Prices'!$C$6:$AL$89,MATCH($C81,'[2]End - Use Prices'!$A$6:$A$89,0)+MATCH($D81,'[2]End - Use Prices'!$B$9:$B$11,0)-1,MATCH(AX$1,'[2]End - Use Prices'!$C$7:$AL$7,0))</f>
        <v>16.57</v>
      </c>
      <c r="AY81" s="41">
        <f>INDEX('[2]End - Use Prices'!$C$6:$AL$89,MATCH($C81,'[2]End - Use Prices'!$A$6:$A$89,0)+MATCH($D81,'[2]End - Use Prices'!$B$9:$B$11,0)-1,MATCH(AY$1,'[2]End - Use Prices'!$C$7:$AL$7,0))</f>
        <v>16.649999999999999</v>
      </c>
      <c r="AZ81" s="41">
        <f>INDEX('[2]End - Use Prices'!$C$6:$AL$89,MATCH($C81,'[2]End - Use Prices'!$A$6:$A$89,0)+MATCH($D81,'[2]End - Use Prices'!$B$9:$B$11,0)-1,MATCH(AZ$1,'[2]End - Use Prices'!$C$7:$AL$7,0))</f>
        <v>16.739999999999998</v>
      </c>
      <c r="BA81" s="41">
        <f>INDEX('[2]End - Use Prices'!$C$6:$AL$89,MATCH($C81,'[2]End - Use Prices'!$A$6:$A$89,0)+MATCH($D81,'[2]End - Use Prices'!$B$9:$B$11,0)-1,MATCH(BA$1,'[2]End - Use Prices'!$C$7:$AL$7,0))</f>
        <v>16.77</v>
      </c>
      <c r="BB81" s="41">
        <f>INDEX('[2]End - Use Prices'!$C$6:$AL$89,MATCH($C81,'[2]End - Use Prices'!$A$6:$A$89,0)+MATCH($D81,'[2]End - Use Prices'!$B$9:$B$11,0)-1,MATCH(BB$1,'[2]End - Use Prices'!$C$7:$AL$7,0))</f>
        <v>16.809999999999999</v>
      </c>
      <c r="BC81" s="41">
        <f>INDEX('[2]End - Use Prices'!$C$6:$AL$89,MATCH($C81,'[2]End - Use Prices'!$A$6:$A$89,0)+MATCH($D81,'[2]End - Use Prices'!$B$9:$B$11,0)-1,MATCH(BC$1,'[2]End - Use Prices'!$C$7:$AL$7,0))</f>
        <v>16.829999999999998</v>
      </c>
      <c r="BD81" s="41">
        <f>INDEX('[2]End - Use Prices'!$C$6:$AL$89,MATCH($C81,'[2]End - Use Prices'!$A$6:$A$89,0)+MATCH($D81,'[2]End - Use Prices'!$B$9:$B$11,0)-1,MATCH(BD$1,'[2]End - Use Prices'!$C$7:$AL$7,0))</f>
        <v>16.829999999999998</v>
      </c>
      <c r="BE81" s="41">
        <f>INDEX('[2]End - Use Prices'!$C$6:$AL$89,MATCH($C81,'[2]End - Use Prices'!$A$6:$A$89,0)+MATCH($D81,'[2]End - Use Prices'!$B$9:$B$11,0)-1,MATCH(BE$1,'[2]End - Use Prices'!$C$7:$AL$7,0))</f>
        <v>16.829999999999998</v>
      </c>
      <c r="BF81" s="41">
        <f>INDEX('[2]End - Use Prices'!$C$6:$AL$89,MATCH($C81,'[2]End - Use Prices'!$A$6:$A$89,0)+MATCH($D81,'[2]End - Use Prices'!$B$9:$B$11,0)-1,MATCH(BF$1,'[2]End - Use Prices'!$C$7:$AL$7,0))</f>
        <v>16.82</v>
      </c>
      <c r="BG81" s="41">
        <f>INDEX('[2]End - Use Prices'!$C$6:$AL$89,MATCH($C81,'[2]End - Use Prices'!$A$6:$A$89,0)+MATCH($D81,'[2]End - Use Prices'!$B$9:$B$11,0)-1,MATCH(BG$1,'[2]End - Use Prices'!$C$7:$AL$7,0))</f>
        <v>16.809999999999999</v>
      </c>
      <c r="BR81" s="39"/>
      <c r="BS81" s="39"/>
      <c r="BT81" s="39"/>
      <c r="BU81" s="39"/>
      <c r="BV81" s="39"/>
      <c r="BW81" s="39"/>
      <c r="BX81" s="39"/>
      <c r="BY81" s="39"/>
      <c r="BZ81" s="39"/>
      <c r="CA81" s="39"/>
    </row>
    <row r="82" spans="1:79">
      <c r="A82" s="5"/>
      <c r="B82" s="3"/>
      <c r="C82" s="25" t="s">
        <v>89</v>
      </c>
      <c r="D82" s="25" t="s">
        <v>13</v>
      </c>
      <c r="E82" s="25" t="s">
        <v>277</v>
      </c>
      <c r="F82" s="67" t="s">
        <v>275</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INDEX('[2]End - Use Prices'!$C$6:$AL$89,MATCH($C82,'[2]End - Use Prices'!$A$6:$A$89,0)+MATCH($D82,'[2]End - Use Prices'!$B$9:$B$11,0)-1,MATCH(X$1,'[2]End - Use Prices'!$C$7:$AL$7,0))</f>
        <v>16.739999999999998</v>
      </c>
      <c r="Y82" s="41">
        <f>INDEX('[2]End - Use Prices'!$C$6:$AL$89,MATCH($C82,'[2]End - Use Prices'!$A$6:$A$89,0)+MATCH($D82,'[2]End - Use Prices'!$B$9:$B$11,0)-1,MATCH(Y$1,'[2]End - Use Prices'!$C$7:$AL$7,0))</f>
        <v>17.82</v>
      </c>
      <c r="Z82" s="41">
        <f>INDEX('[2]End - Use Prices'!$C$6:$AL$89,MATCH($C82,'[2]End - Use Prices'!$A$6:$A$89,0)+MATCH($D82,'[2]End - Use Prices'!$B$9:$B$11,0)-1,MATCH(Z$1,'[2]End - Use Prices'!$C$7:$AL$7,0))</f>
        <v>16.100000000000001</v>
      </c>
      <c r="AA82" s="41">
        <f>INDEX('[2]End - Use Prices'!$C$6:$AL$89,MATCH($C82,'[2]End - Use Prices'!$A$6:$A$89,0)+MATCH($D82,'[2]End - Use Prices'!$B$9:$B$11,0)-1,MATCH(AA$1,'[2]End - Use Prices'!$C$7:$AL$7,0))</f>
        <v>16.25</v>
      </c>
      <c r="AB82" s="41">
        <f>INDEX('[2]End - Use Prices'!$C$6:$AL$89,MATCH($C82,'[2]End - Use Prices'!$A$6:$A$89,0)+MATCH($D82,'[2]End - Use Prices'!$B$9:$B$11,0)-1,MATCH(AB$1,'[2]End - Use Prices'!$C$7:$AL$7,0))</f>
        <v>13.76</v>
      </c>
      <c r="AC82" s="41">
        <f>INDEX('[2]End - Use Prices'!$C$6:$AL$89,MATCH($C82,'[2]End - Use Prices'!$A$6:$A$89,0)+MATCH($D82,'[2]End - Use Prices'!$B$9:$B$11,0)-1,MATCH(AC$1,'[2]End - Use Prices'!$C$7:$AL$7,0))</f>
        <v>13.57</v>
      </c>
      <c r="AD82" s="41">
        <f>INDEX('[2]End - Use Prices'!$C$6:$AL$89,MATCH($C82,'[2]End - Use Prices'!$A$6:$A$89,0)+MATCH($D82,'[2]End - Use Prices'!$B$9:$B$11,0)-1,MATCH(AD$1,'[2]End - Use Prices'!$C$7:$AL$7,0))</f>
        <v>11.83</v>
      </c>
      <c r="AE82" s="41">
        <f>INDEX('[2]End - Use Prices'!$C$6:$AL$89,MATCH($C82,'[2]End - Use Prices'!$A$6:$A$89,0)+MATCH($D82,'[2]End - Use Prices'!$B$9:$B$11,0)-1,MATCH(AE$1,'[2]End - Use Prices'!$C$7:$AL$7,0))</f>
        <v>11.22</v>
      </c>
      <c r="AF82" s="41">
        <f>INDEX('[2]End - Use Prices'!$C$6:$AL$89,MATCH($C82,'[2]End - Use Prices'!$A$6:$A$89,0)+MATCH($D82,'[2]End - Use Prices'!$B$9:$B$11,0)-1,MATCH(AF$1,'[2]End - Use Prices'!$C$7:$AL$7,0))</f>
        <v>11.17</v>
      </c>
      <c r="AG82" s="41">
        <f>INDEX('[2]End - Use Prices'!$C$6:$AL$89,MATCH($C82,'[2]End - Use Prices'!$A$6:$A$89,0)+MATCH($D82,'[2]End - Use Prices'!$B$9:$B$11,0)-1,MATCH(AG$1,'[2]End - Use Prices'!$C$7:$AL$7,0))</f>
        <v>12.03</v>
      </c>
      <c r="AH82" s="41">
        <f>INDEX('[2]End - Use Prices'!$C$6:$AL$89,MATCH($C82,'[2]End - Use Prices'!$A$6:$A$89,0)+MATCH($D82,'[2]End - Use Prices'!$B$9:$B$11,0)-1,MATCH(AH$1,'[2]End - Use Prices'!$C$7:$AL$7,0))</f>
        <v>12.15</v>
      </c>
      <c r="AI82" s="41">
        <f>INDEX('[2]End - Use Prices'!$C$6:$AL$89,MATCH($C82,'[2]End - Use Prices'!$A$6:$A$89,0)+MATCH($D82,'[2]End - Use Prices'!$B$9:$B$11,0)-1,MATCH(AI$1,'[2]End - Use Prices'!$C$7:$AL$7,0))</f>
        <v>9.42</v>
      </c>
      <c r="AJ82" s="41">
        <f>INDEX('[2]End - Use Prices'!$C$6:$AL$89,MATCH($C82,'[2]End - Use Prices'!$A$6:$A$89,0)+MATCH($D82,'[2]End - Use Prices'!$B$9:$B$11,0)-1,MATCH(AJ$1,'[2]End - Use Prices'!$C$7:$AL$7,0))</f>
        <v>13.49</v>
      </c>
      <c r="AK82" s="41">
        <f>INDEX('[2]End - Use Prices'!$C$6:$AL$89,MATCH($C82,'[2]End - Use Prices'!$A$6:$A$89,0)+MATCH($D82,'[2]End - Use Prices'!$B$9:$B$11,0)-1,MATCH(AK$1,'[2]End - Use Prices'!$C$7:$AL$7,0))</f>
        <v>10.95</v>
      </c>
      <c r="AL82" s="41">
        <f>INDEX('[2]End - Use Prices'!$C$6:$AL$89,MATCH($C82,'[2]End - Use Prices'!$A$6:$A$89,0)+MATCH($D82,'[2]End - Use Prices'!$B$9:$B$11,0)-1,MATCH(AL$1,'[2]End - Use Prices'!$C$7:$AL$7,0))</f>
        <v>10.029999999999999</v>
      </c>
      <c r="AM82" s="41">
        <f>INDEX('[2]End - Use Prices'!$C$6:$AL$89,MATCH($C82,'[2]End - Use Prices'!$A$6:$A$89,0)+MATCH($D82,'[2]End - Use Prices'!$B$9:$B$11,0)-1,MATCH(AM$1,'[2]End - Use Prices'!$C$7:$AL$7,0))</f>
        <v>10.119999999999999</v>
      </c>
      <c r="AN82" s="41">
        <f>INDEX('[2]End - Use Prices'!$C$6:$AL$89,MATCH($C82,'[2]End - Use Prices'!$A$6:$A$89,0)+MATCH($D82,'[2]End - Use Prices'!$B$9:$B$11,0)-1,MATCH(AN$1,'[2]End - Use Prices'!$C$7:$AL$7,0))</f>
        <v>10.4</v>
      </c>
      <c r="AO82" s="41">
        <f>INDEX('[2]End - Use Prices'!$C$6:$AL$89,MATCH($C82,'[2]End - Use Prices'!$A$6:$A$89,0)+MATCH($D82,'[2]End - Use Prices'!$B$9:$B$11,0)-1,MATCH(AO$1,'[2]End - Use Prices'!$C$7:$AL$7,0))</f>
        <v>10.68</v>
      </c>
      <c r="AP82" s="41">
        <f>INDEX('[2]End - Use Prices'!$C$6:$AL$89,MATCH($C82,'[2]End - Use Prices'!$A$6:$A$89,0)+MATCH($D82,'[2]End - Use Prices'!$B$9:$B$11,0)-1,MATCH(AP$1,'[2]End - Use Prices'!$C$7:$AL$7,0))</f>
        <v>10.91</v>
      </c>
      <c r="AQ82" s="41">
        <f>INDEX('[2]End - Use Prices'!$C$6:$AL$89,MATCH($C82,'[2]End - Use Prices'!$A$6:$A$89,0)+MATCH($D82,'[2]End - Use Prices'!$B$9:$B$11,0)-1,MATCH(AQ$1,'[2]End - Use Prices'!$C$7:$AL$7,0))</f>
        <v>11.15</v>
      </c>
      <c r="AR82" s="41">
        <f>INDEX('[2]End - Use Prices'!$C$6:$AL$89,MATCH($C82,'[2]End - Use Prices'!$A$6:$A$89,0)+MATCH($D82,'[2]End - Use Prices'!$B$9:$B$11,0)-1,MATCH(AR$1,'[2]End - Use Prices'!$C$7:$AL$7,0))</f>
        <v>11.4</v>
      </c>
      <c r="AS82" s="41">
        <f>INDEX('[2]End - Use Prices'!$C$6:$AL$89,MATCH($C82,'[2]End - Use Prices'!$A$6:$A$89,0)+MATCH($D82,'[2]End - Use Prices'!$B$9:$B$11,0)-1,MATCH(AS$1,'[2]End - Use Prices'!$C$7:$AL$7,0))</f>
        <v>11.72</v>
      </c>
      <c r="AT82" s="41">
        <f>INDEX('[2]End - Use Prices'!$C$6:$AL$89,MATCH($C82,'[2]End - Use Prices'!$A$6:$A$89,0)+MATCH($D82,'[2]End - Use Prices'!$B$9:$B$11,0)-1,MATCH(AT$1,'[2]End - Use Prices'!$C$7:$AL$7,0))</f>
        <v>11.76</v>
      </c>
      <c r="AU82" s="41">
        <f>INDEX('[2]End - Use Prices'!$C$6:$AL$89,MATCH($C82,'[2]End - Use Prices'!$A$6:$A$89,0)+MATCH($D82,'[2]End - Use Prices'!$B$9:$B$11,0)-1,MATCH(AU$1,'[2]End - Use Prices'!$C$7:$AL$7,0))</f>
        <v>11.83</v>
      </c>
      <c r="AV82" s="41">
        <f>INDEX('[2]End - Use Prices'!$C$6:$AL$89,MATCH($C82,'[2]End - Use Prices'!$A$6:$A$89,0)+MATCH($D82,'[2]End - Use Prices'!$B$9:$B$11,0)-1,MATCH(AV$1,'[2]End - Use Prices'!$C$7:$AL$7,0))</f>
        <v>11.91</v>
      </c>
      <c r="AW82" s="41">
        <f>INDEX('[2]End - Use Prices'!$C$6:$AL$89,MATCH($C82,'[2]End - Use Prices'!$A$6:$A$89,0)+MATCH($D82,'[2]End - Use Prices'!$B$9:$B$11,0)-1,MATCH(AW$1,'[2]End - Use Prices'!$C$7:$AL$7,0))</f>
        <v>11.98</v>
      </c>
      <c r="AX82" s="41">
        <f>INDEX('[2]End - Use Prices'!$C$6:$AL$89,MATCH($C82,'[2]End - Use Prices'!$A$6:$A$89,0)+MATCH($D82,'[2]End - Use Prices'!$B$9:$B$11,0)-1,MATCH(AX$1,'[2]End - Use Prices'!$C$7:$AL$7,0))</f>
        <v>12.07</v>
      </c>
      <c r="AY82" s="41">
        <f>INDEX('[2]End - Use Prices'!$C$6:$AL$89,MATCH($C82,'[2]End - Use Prices'!$A$6:$A$89,0)+MATCH($D82,'[2]End - Use Prices'!$B$9:$B$11,0)-1,MATCH(AY$1,'[2]End - Use Prices'!$C$7:$AL$7,0))</f>
        <v>12.18</v>
      </c>
      <c r="AZ82" s="41">
        <f>INDEX('[2]End - Use Prices'!$C$6:$AL$89,MATCH($C82,'[2]End - Use Prices'!$A$6:$A$89,0)+MATCH($D82,'[2]End - Use Prices'!$B$9:$B$11,0)-1,MATCH(AZ$1,'[2]End - Use Prices'!$C$7:$AL$7,0))</f>
        <v>12.29</v>
      </c>
      <c r="BA82" s="41">
        <f>INDEX('[2]End - Use Prices'!$C$6:$AL$89,MATCH($C82,'[2]End - Use Prices'!$A$6:$A$89,0)+MATCH($D82,'[2]End - Use Prices'!$B$9:$B$11,0)-1,MATCH(BA$1,'[2]End - Use Prices'!$C$7:$AL$7,0))</f>
        <v>12.35</v>
      </c>
      <c r="BB82" s="41">
        <f>INDEX('[2]End - Use Prices'!$C$6:$AL$89,MATCH($C82,'[2]End - Use Prices'!$A$6:$A$89,0)+MATCH($D82,'[2]End - Use Prices'!$B$9:$B$11,0)-1,MATCH(BB$1,'[2]End - Use Prices'!$C$7:$AL$7,0))</f>
        <v>12.4</v>
      </c>
      <c r="BC82" s="41">
        <f>INDEX('[2]End - Use Prices'!$C$6:$AL$89,MATCH($C82,'[2]End - Use Prices'!$A$6:$A$89,0)+MATCH($D82,'[2]End - Use Prices'!$B$9:$B$11,0)-1,MATCH(BC$1,'[2]End - Use Prices'!$C$7:$AL$7,0))</f>
        <v>12.45</v>
      </c>
      <c r="BD82" s="41">
        <f>INDEX('[2]End - Use Prices'!$C$6:$AL$89,MATCH($C82,'[2]End - Use Prices'!$A$6:$A$89,0)+MATCH($D82,'[2]End - Use Prices'!$B$9:$B$11,0)-1,MATCH(BD$1,'[2]End - Use Prices'!$C$7:$AL$7,0))</f>
        <v>12.48</v>
      </c>
      <c r="BE82" s="41">
        <f>INDEX('[2]End - Use Prices'!$C$6:$AL$89,MATCH($C82,'[2]End - Use Prices'!$A$6:$A$89,0)+MATCH($D82,'[2]End - Use Prices'!$B$9:$B$11,0)-1,MATCH(BE$1,'[2]End - Use Prices'!$C$7:$AL$7,0))</f>
        <v>12.49</v>
      </c>
      <c r="BF82" s="41">
        <f>INDEX('[2]End - Use Prices'!$C$6:$AL$89,MATCH($C82,'[2]End - Use Prices'!$A$6:$A$89,0)+MATCH($D82,'[2]End - Use Prices'!$B$9:$B$11,0)-1,MATCH(BF$1,'[2]End - Use Prices'!$C$7:$AL$7,0))</f>
        <v>12.51</v>
      </c>
      <c r="BG82" s="41">
        <f>INDEX('[2]End - Use Prices'!$C$6:$AL$89,MATCH($C82,'[2]End - Use Prices'!$A$6:$A$89,0)+MATCH($D82,'[2]End - Use Prices'!$B$9:$B$11,0)-1,MATCH(BG$1,'[2]End - Use Prices'!$C$7:$AL$7,0))</f>
        <v>12.52</v>
      </c>
      <c r="BR82" s="39"/>
      <c r="BS82" s="39"/>
      <c r="BT82" s="39"/>
      <c r="BU82" s="39"/>
      <c r="BV82" s="39"/>
      <c r="BW82" s="39"/>
      <c r="BX82" s="39"/>
      <c r="BY82" s="39"/>
      <c r="BZ82" s="39"/>
      <c r="CA82" s="39"/>
    </row>
    <row r="83" spans="1:79">
      <c r="A83" s="5"/>
      <c r="B83" s="3"/>
      <c r="C83" s="25" t="s">
        <v>90</v>
      </c>
      <c r="D83" s="25" t="s">
        <v>13</v>
      </c>
      <c r="E83" s="25" t="s">
        <v>277</v>
      </c>
      <c r="F83" s="67" t="s">
        <v>275</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INDEX('[2]End - Use Prices'!$C$6:$AL$89,MATCH($C83,'[2]End - Use Prices'!$A$6:$A$89,0)+MATCH($D83,'[2]End - Use Prices'!$B$9:$B$11,0)-1,MATCH(X$1,'[2]End - Use Prices'!$C$7:$AL$7,0))</f>
        <v>16.21</v>
      </c>
      <c r="Y83" s="41">
        <f>INDEX('[2]End - Use Prices'!$C$6:$AL$89,MATCH($C83,'[2]End - Use Prices'!$A$6:$A$89,0)+MATCH($D83,'[2]End - Use Prices'!$B$9:$B$11,0)-1,MATCH(Y$1,'[2]End - Use Prices'!$C$7:$AL$7,0))</f>
        <v>15.41</v>
      </c>
      <c r="Z83" s="41">
        <f>INDEX('[2]End - Use Prices'!$C$6:$AL$89,MATCH($C83,'[2]End - Use Prices'!$A$6:$A$89,0)+MATCH($D83,'[2]End - Use Prices'!$B$9:$B$11,0)-1,MATCH(Z$1,'[2]End - Use Prices'!$C$7:$AL$7,0))</f>
        <v>14.81</v>
      </c>
      <c r="AA83" s="41">
        <f>INDEX('[2]End - Use Prices'!$C$6:$AL$89,MATCH($C83,'[2]End - Use Prices'!$A$6:$A$89,0)+MATCH($D83,'[2]End - Use Prices'!$B$9:$B$11,0)-1,MATCH(AA$1,'[2]End - Use Prices'!$C$7:$AL$7,0))</f>
        <v>14.53</v>
      </c>
      <c r="AB83" s="41">
        <f>INDEX('[2]End - Use Prices'!$C$6:$AL$89,MATCH($C83,'[2]End - Use Prices'!$A$6:$A$89,0)+MATCH($D83,'[2]End - Use Prices'!$B$9:$B$11,0)-1,MATCH(AB$1,'[2]End - Use Prices'!$C$7:$AL$7,0))</f>
        <v>14.23</v>
      </c>
      <c r="AC83" s="41">
        <f>INDEX('[2]End - Use Prices'!$C$6:$AL$89,MATCH($C83,'[2]End - Use Prices'!$A$6:$A$89,0)+MATCH($D83,'[2]End - Use Prices'!$B$9:$B$11,0)-1,MATCH(AC$1,'[2]End - Use Prices'!$C$7:$AL$7,0))</f>
        <v>11.7</v>
      </c>
      <c r="AD83" s="41">
        <f>INDEX('[2]End - Use Prices'!$C$6:$AL$89,MATCH($C83,'[2]End - Use Prices'!$A$6:$A$89,0)+MATCH($D83,'[2]End - Use Prices'!$B$9:$B$11,0)-1,MATCH(AD$1,'[2]End - Use Prices'!$C$7:$AL$7,0))</f>
        <v>11.6</v>
      </c>
      <c r="AE83" s="41">
        <f>INDEX('[2]End - Use Prices'!$C$6:$AL$89,MATCH($C83,'[2]End - Use Prices'!$A$6:$A$89,0)+MATCH($D83,'[2]End - Use Prices'!$B$9:$B$11,0)-1,MATCH(AE$1,'[2]End - Use Prices'!$C$7:$AL$7,0))</f>
        <v>10.07</v>
      </c>
      <c r="AF83" s="41">
        <f>INDEX('[2]End - Use Prices'!$C$6:$AL$89,MATCH($C83,'[2]End - Use Prices'!$A$6:$A$89,0)+MATCH($D83,'[2]End - Use Prices'!$B$9:$B$11,0)-1,MATCH(AF$1,'[2]End - Use Prices'!$C$7:$AL$7,0))</f>
        <v>10.41</v>
      </c>
      <c r="AG83" s="41">
        <f>INDEX('[2]End - Use Prices'!$C$6:$AL$89,MATCH($C83,'[2]End - Use Prices'!$A$6:$A$89,0)+MATCH($D83,'[2]End - Use Prices'!$B$9:$B$11,0)-1,MATCH(AG$1,'[2]End - Use Prices'!$C$7:$AL$7,0))</f>
        <v>10.98</v>
      </c>
      <c r="AH83" s="41">
        <f>INDEX('[2]End - Use Prices'!$C$6:$AL$89,MATCH($C83,'[2]End - Use Prices'!$A$6:$A$89,0)+MATCH($D83,'[2]End - Use Prices'!$B$9:$B$11,0)-1,MATCH(AH$1,'[2]End - Use Prices'!$C$7:$AL$7,0))</f>
        <v>11.47</v>
      </c>
      <c r="AI83" s="41">
        <f>INDEX('[2]End - Use Prices'!$C$6:$AL$89,MATCH($C83,'[2]End - Use Prices'!$A$6:$A$89,0)+MATCH($D83,'[2]End - Use Prices'!$B$9:$B$11,0)-1,MATCH(AI$1,'[2]End - Use Prices'!$C$7:$AL$7,0))</f>
        <v>9.65</v>
      </c>
      <c r="AJ83" s="41">
        <f>INDEX('[2]End - Use Prices'!$C$6:$AL$89,MATCH($C83,'[2]End - Use Prices'!$A$6:$A$89,0)+MATCH($D83,'[2]End - Use Prices'!$B$9:$B$11,0)-1,MATCH(AJ$1,'[2]End - Use Prices'!$C$7:$AL$7,0))</f>
        <v>9.7100000000000009</v>
      </c>
      <c r="AK83" s="41">
        <f>INDEX('[2]End - Use Prices'!$C$6:$AL$89,MATCH($C83,'[2]End - Use Prices'!$A$6:$A$89,0)+MATCH($D83,'[2]End - Use Prices'!$B$9:$B$11,0)-1,MATCH(AK$1,'[2]End - Use Prices'!$C$7:$AL$7,0))</f>
        <v>9.6300000000000008</v>
      </c>
      <c r="AL83" s="41">
        <f>INDEX('[2]End - Use Prices'!$C$6:$AL$89,MATCH($C83,'[2]End - Use Prices'!$A$6:$A$89,0)+MATCH($D83,'[2]End - Use Prices'!$B$9:$B$11,0)-1,MATCH(AL$1,'[2]End - Use Prices'!$C$7:$AL$7,0))</f>
        <v>9.6199999999999992</v>
      </c>
      <c r="AM83" s="41">
        <f>INDEX('[2]End - Use Prices'!$C$6:$AL$89,MATCH($C83,'[2]End - Use Prices'!$A$6:$A$89,0)+MATCH($D83,'[2]End - Use Prices'!$B$9:$B$11,0)-1,MATCH(AM$1,'[2]End - Use Prices'!$C$7:$AL$7,0))</f>
        <v>10.53</v>
      </c>
      <c r="AN83" s="41">
        <f>INDEX('[2]End - Use Prices'!$C$6:$AL$89,MATCH($C83,'[2]End - Use Prices'!$A$6:$A$89,0)+MATCH($D83,'[2]End - Use Prices'!$B$9:$B$11,0)-1,MATCH(AN$1,'[2]End - Use Prices'!$C$7:$AL$7,0))</f>
        <v>10.96</v>
      </c>
      <c r="AO83" s="41">
        <f>INDEX('[2]End - Use Prices'!$C$6:$AL$89,MATCH($C83,'[2]End - Use Prices'!$A$6:$A$89,0)+MATCH($D83,'[2]End - Use Prices'!$B$9:$B$11,0)-1,MATCH(AO$1,'[2]End - Use Prices'!$C$7:$AL$7,0))</f>
        <v>11.37</v>
      </c>
      <c r="AP83" s="41">
        <f>INDEX('[2]End - Use Prices'!$C$6:$AL$89,MATCH($C83,'[2]End - Use Prices'!$A$6:$A$89,0)+MATCH($D83,'[2]End - Use Prices'!$B$9:$B$11,0)-1,MATCH(AP$1,'[2]End - Use Prices'!$C$7:$AL$7,0))</f>
        <v>11.74</v>
      </c>
      <c r="AQ83" s="41">
        <f>INDEX('[2]End - Use Prices'!$C$6:$AL$89,MATCH($C83,'[2]End - Use Prices'!$A$6:$A$89,0)+MATCH($D83,'[2]End - Use Prices'!$B$9:$B$11,0)-1,MATCH(AQ$1,'[2]End - Use Prices'!$C$7:$AL$7,0))</f>
        <v>11.76</v>
      </c>
      <c r="AR83" s="41">
        <f>INDEX('[2]End - Use Prices'!$C$6:$AL$89,MATCH($C83,'[2]End - Use Prices'!$A$6:$A$89,0)+MATCH($D83,'[2]End - Use Prices'!$B$9:$B$11,0)-1,MATCH(AR$1,'[2]End - Use Prices'!$C$7:$AL$7,0))</f>
        <v>11.81</v>
      </c>
      <c r="AS83" s="41">
        <f>INDEX('[2]End - Use Prices'!$C$6:$AL$89,MATCH($C83,'[2]End - Use Prices'!$A$6:$A$89,0)+MATCH($D83,'[2]End - Use Prices'!$B$9:$B$11,0)-1,MATCH(AS$1,'[2]End - Use Prices'!$C$7:$AL$7,0))</f>
        <v>11.93</v>
      </c>
      <c r="AT83" s="41">
        <f>INDEX('[2]End - Use Prices'!$C$6:$AL$89,MATCH($C83,'[2]End - Use Prices'!$A$6:$A$89,0)+MATCH($D83,'[2]End - Use Prices'!$B$9:$B$11,0)-1,MATCH(AT$1,'[2]End - Use Prices'!$C$7:$AL$7,0))</f>
        <v>12.04</v>
      </c>
      <c r="AU83" s="41">
        <f>INDEX('[2]End - Use Prices'!$C$6:$AL$89,MATCH($C83,'[2]End - Use Prices'!$A$6:$A$89,0)+MATCH($D83,'[2]End - Use Prices'!$B$9:$B$11,0)-1,MATCH(AU$1,'[2]End - Use Prices'!$C$7:$AL$7,0))</f>
        <v>12.16</v>
      </c>
      <c r="AV83" s="41">
        <f>INDEX('[2]End - Use Prices'!$C$6:$AL$89,MATCH($C83,'[2]End - Use Prices'!$A$6:$A$89,0)+MATCH($D83,'[2]End - Use Prices'!$B$9:$B$11,0)-1,MATCH(AV$1,'[2]End - Use Prices'!$C$7:$AL$7,0))</f>
        <v>12.3</v>
      </c>
      <c r="AW83" s="41">
        <f>INDEX('[2]End - Use Prices'!$C$6:$AL$89,MATCH($C83,'[2]End - Use Prices'!$A$6:$A$89,0)+MATCH($D83,'[2]End - Use Prices'!$B$9:$B$11,0)-1,MATCH(AW$1,'[2]End - Use Prices'!$C$7:$AL$7,0))</f>
        <v>12.43</v>
      </c>
      <c r="AX83" s="41">
        <f>INDEX('[2]End - Use Prices'!$C$6:$AL$89,MATCH($C83,'[2]End - Use Prices'!$A$6:$A$89,0)+MATCH($D83,'[2]End - Use Prices'!$B$9:$B$11,0)-1,MATCH(AX$1,'[2]End - Use Prices'!$C$7:$AL$7,0))</f>
        <v>12.56</v>
      </c>
      <c r="AY83" s="41">
        <f>INDEX('[2]End - Use Prices'!$C$6:$AL$89,MATCH($C83,'[2]End - Use Prices'!$A$6:$A$89,0)+MATCH($D83,'[2]End - Use Prices'!$B$9:$B$11,0)-1,MATCH(AY$1,'[2]End - Use Prices'!$C$7:$AL$7,0))</f>
        <v>12.7</v>
      </c>
      <c r="AZ83" s="41">
        <f>INDEX('[2]End - Use Prices'!$C$6:$AL$89,MATCH($C83,'[2]End - Use Prices'!$A$6:$A$89,0)+MATCH($D83,'[2]End - Use Prices'!$B$9:$B$11,0)-1,MATCH(AZ$1,'[2]End - Use Prices'!$C$7:$AL$7,0))</f>
        <v>12.86</v>
      </c>
      <c r="BA83" s="41">
        <f>INDEX('[2]End - Use Prices'!$C$6:$AL$89,MATCH($C83,'[2]End - Use Prices'!$A$6:$A$89,0)+MATCH($D83,'[2]End - Use Prices'!$B$9:$B$11,0)-1,MATCH(BA$1,'[2]End - Use Prices'!$C$7:$AL$7,0))</f>
        <v>12.95</v>
      </c>
      <c r="BB83" s="41">
        <f>INDEX('[2]End - Use Prices'!$C$6:$AL$89,MATCH($C83,'[2]End - Use Prices'!$A$6:$A$89,0)+MATCH($D83,'[2]End - Use Prices'!$B$9:$B$11,0)-1,MATCH(BB$1,'[2]End - Use Prices'!$C$7:$AL$7,0))</f>
        <v>13.03</v>
      </c>
      <c r="BC83" s="41">
        <f>INDEX('[2]End - Use Prices'!$C$6:$AL$89,MATCH($C83,'[2]End - Use Prices'!$A$6:$A$89,0)+MATCH($D83,'[2]End - Use Prices'!$B$9:$B$11,0)-1,MATCH(BC$1,'[2]End - Use Prices'!$C$7:$AL$7,0))</f>
        <v>13.11</v>
      </c>
      <c r="BD83" s="41">
        <f>INDEX('[2]End - Use Prices'!$C$6:$AL$89,MATCH($C83,'[2]End - Use Prices'!$A$6:$A$89,0)+MATCH($D83,'[2]End - Use Prices'!$B$9:$B$11,0)-1,MATCH(BD$1,'[2]End - Use Prices'!$C$7:$AL$7,0))</f>
        <v>13.17</v>
      </c>
      <c r="BE83" s="41">
        <f>INDEX('[2]End - Use Prices'!$C$6:$AL$89,MATCH($C83,'[2]End - Use Prices'!$A$6:$A$89,0)+MATCH($D83,'[2]End - Use Prices'!$B$9:$B$11,0)-1,MATCH(BE$1,'[2]End - Use Prices'!$C$7:$AL$7,0))</f>
        <v>13.22</v>
      </c>
      <c r="BF83" s="41">
        <f>INDEX('[2]End - Use Prices'!$C$6:$AL$89,MATCH($C83,'[2]End - Use Prices'!$A$6:$A$89,0)+MATCH($D83,'[2]End - Use Prices'!$B$9:$B$11,0)-1,MATCH(BF$1,'[2]End - Use Prices'!$C$7:$AL$7,0))</f>
        <v>13.27</v>
      </c>
      <c r="BG83" s="41">
        <f>INDEX('[2]End - Use Prices'!$C$6:$AL$89,MATCH($C83,'[2]End - Use Prices'!$A$6:$A$89,0)+MATCH($D83,'[2]End - Use Prices'!$B$9:$B$11,0)-1,MATCH(BG$1,'[2]End - Use Prices'!$C$7:$AL$7,0))</f>
        <v>13.31</v>
      </c>
      <c r="BR83" s="39"/>
      <c r="BS83" s="39"/>
      <c r="BT83" s="39"/>
      <c r="BU83" s="39"/>
      <c r="BV83" s="39"/>
      <c r="BW83" s="39"/>
      <c r="BX83" s="39"/>
      <c r="BY83" s="39"/>
      <c r="BZ83" s="39"/>
      <c r="CA83" s="39"/>
    </row>
    <row r="84" spans="1:79">
      <c r="A84" s="5"/>
      <c r="B84" s="3"/>
      <c r="C84" s="25" t="s">
        <v>91</v>
      </c>
      <c r="D84" s="25" t="s">
        <v>13</v>
      </c>
      <c r="E84" s="25" t="s">
        <v>277</v>
      </c>
      <c r="F84" s="67" t="s">
        <v>275</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INDEX('[2]End - Use Prices'!$C$6:$AL$89,MATCH($C84,'[2]End - Use Prices'!$A$6:$A$89,0)+MATCH($D84,'[2]End - Use Prices'!$B$9:$B$11,0)-1,MATCH(X$1,'[2]End - Use Prices'!$C$7:$AL$7,0))</f>
        <v>14.11</v>
      </c>
      <c r="Y84" s="41">
        <f>INDEX('[2]End - Use Prices'!$C$6:$AL$89,MATCH($C84,'[2]End - Use Prices'!$A$6:$A$89,0)+MATCH($D84,'[2]End - Use Prices'!$B$9:$B$11,0)-1,MATCH(Y$1,'[2]End - Use Prices'!$C$7:$AL$7,0))</f>
        <v>13.96</v>
      </c>
      <c r="Z84" s="41">
        <f>INDEX('[2]End - Use Prices'!$C$6:$AL$89,MATCH($C84,'[2]End - Use Prices'!$A$6:$A$89,0)+MATCH($D84,'[2]End - Use Prices'!$B$9:$B$11,0)-1,MATCH(Z$1,'[2]End - Use Prices'!$C$7:$AL$7,0))</f>
        <v>13.58</v>
      </c>
      <c r="AA84" s="41">
        <f>INDEX('[2]End - Use Prices'!$C$6:$AL$89,MATCH($C84,'[2]End - Use Prices'!$A$6:$A$89,0)+MATCH($D84,'[2]End - Use Prices'!$B$9:$B$11,0)-1,MATCH(AA$1,'[2]End - Use Prices'!$C$7:$AL$7,0))</f>
        <v>12.3</v>
      </c>
      <c r="AB84" s="41">
        <f>INDEX('[2]End - Use Prices'!$C$6:$AL$89,MATCH($C84,'[2]End - Use Prices'!$A$6:$A$89,0)+MATCH($D84,'[2]End - Use Prices'!$B$9:$B$11,0)-1,MATCH(AB$1,'[2]End - Use Prices'!$C$7:$AL$7,0))</f>
        <v>14.1</v>
      </c>
      <c r="AC84" s="41">
        <f>INDEX('[2]End - Use Prices'!$C$6:$AL$89,MATCH($C84,'[2]End - Use Prices'!$A$6:$A$89,0)+MATCH($D84,'[2]End - Use Prices'!$B$9:$B$11,0)-1,MATCH(AC$1,'[2]End - Use Prices'!$C$7:$AL$7,0))</f>
        <v>12.28</v>
      </c>
      <c r="AD84" s="41">
        <f>INDEX('[2]End - Use Prices'!$C$6:$AL$89,MATCH($C84,'[2]End - Use Prices'!$A$6:$A$89,0)+MATCH($D84,'[2]End - Use Prices'!$B$9:$B$11,0)-1,MATCH(AD$1,'[2]End - Use Prices'!$C$7:$AL$7,0))</f>
        <v>11.25</v>
      </c>
      <c r="AE84" s="41">
        <f>INDEX('[2]End - Use Prices'!$C$6:$AL$89,MATCH($C84,'[2]End - Use Prices'!$A$6:$A$89,0)+MATCH($D84,'[2]End - Use Prices'!$B$9:$B$11,0)-1,MATCH(AE$1,'[2]End - Use Prices'!$C$7:$AL$7,0))</f>
        <v>10.93</v>
      </c>
      <c r="AF84" s="41">
        <f>INDEX('[2]End - Use Prices'!$C$6:$AL$89,MATCH($C84,'[2]End - Use Prices'!$A$6:$A$89,0)+MATCH($D84,'[2]End - Use Prices'!$B$9:$B$11,0)-1,MATCH(AF$1,'[2]End - Use Prices'!$C$7:$AL$7,0))</f>
        <v>10.61</v>
      </c>
      <c r="AG84" s="41">
        <f>INDEX('[2]End - Use Prices'!$C$6:$AL$89,MATCH($C84,'[2]End - Use Prices'!$A$6:$A$89,0)+MATCH($D84,'[2]End - Use Prices'!$B$9:$B$11,0)-1,MATCH(AG$1,'[2]End - Use Prices'!$C$7:$AL$7,0))</f>
        <v>9.19</v>
      </c>
      <c r="AH84" s="41">
        <f>INDEX('[2]End - Use Prices'!$C$6:$AL$89,MATCH($C84,'[2]End - Use Prices'!$A$6:$A$89,0)+MATCH($D84,'[2]End - Use Prices'!$B$9:$B$11,0)-1,MATCH(AH$1,'[2]End - Use Prices'!$C$7:$AL$7,0))</f>
        <v>11.81</v>
      </c>
      <c r="AI84" s="41">
        <f>INDEX('[2]End - Use Prices'!$C$6:$AL$89,MATCH($C84,'[2]End - Use Prices'!$A$6:$A$89,0)+MATCH($D84,'[2]End - Use Prices'!$B$9:$B$11,0)-1,MATCH(AI$1,'[2]End - Use Prices'!$C$7:$AL$7,0))</f>
        <v>8.8000000000000007</v>
      </c>
      <c r="AJ84" s="41">
        <f>INDEX('[2]End - Use Prices'!$C$6:$AL$89,MATCH($C84,'[2]End - Use Prices'!$A$6:$A$89,0)+MATCH($D84,'[2]End - Use Prices'!$B$9:$B$11,0)-1,MATCH(AJ$1,'[2]End - Use Prices'!$C$7:$AL$7,0))</f>
        <v>7.48</v>
      </c>
      <c r="AK84" s="41">
        <f>INDEX('[2]End - Use Prices'!$C$6:$AL$89,MATCH($C84,'[2]End - Use Prices'!$A$6:$A$89,0)+MATCH($D84,'[2]End - Use Prices'!$B$9:$B$11,0)-1,MATCH(AK$1,'[2]End - Use Prices'!$C$7:$AL$7,0))</f>
        <v>7.4</v>
      </c>
      <c r="AL84" s="41">
        <f>INDEX('[2]End - Use Prices'!$C$6:$AL$89,MATCH($C84,'[2]End - Use Prices'!$A$6:$A$89,0)+MATCH($D84,'[2]End - Use Prices'!$B$9:$B$11,0)-1,MATCH(AL$1,'[2]End - Use Prices'!$C$7:$AL$7,0))</f>
        <v>7.39</v>
      </c>
      <c r="AM84" s="41">
        <f>INDEX('[2]End - Use Prices'!$C$6:$AL$89,MATCH($C84,'[2]End - Use Prices'!$A$6:$A$89,0)+MATCH($D84,'[2]End - Use Prices'!$B$9:$B$11,0)-1,MATCH(AM$1,'[2]End - Use Prices'!$C$7:$AL$7,0))</f>
        <v>8.3000000000000007</v>
      </c>
      <c r="AN84" s="41">
        <f>INDEX('[2]End - Use Prices'!$C$6:$AL$89,MATCH($C84,'[2]End - Use Prices'!$A$6:$A$89,0)+MATCH($D84,'[2]End - Use Prices'!$B$9:$B$11,0)-1,MATCH(AN$1,'[2]End - Use Prices'!$C$7:$AL$7,0))</f>
        <v>8.73</v>
      </c>
      <c r="AO84" s="41">
        <f>INDEX('[2]End - Use Prices'!$C$6:$AL$89,MATCH($C84,'[2]End - Use Prices'!$A$6:$A$89,0)+MATCH($D84,'[2]End - Use Prices'!$B$9:$B$11,0)-1,MATCH(AO$1,'[2]End - Use Prices'!$C$7:$AL$7,0))</f>
        <v>9.14</v>
      </c>
      <c r="AP84" s="41">
        <f>INDEX('[2]End - Use Prices'!$C$6:$AL$89,MATCH($C84,'[2]End - Use Prices'!$A$6:$A$89,0)+MATCH($D84,'[2]End - Use Prices'!$B$9:$B$11,0)-1,MATCH(AP$1,'[2]End - Use Prices'!$C$7:$AL$7,0))</f>
        <v>9.51</v>
      </c>
      <c r="AQ84" s="41">
        <f>INDEX('[2]End - Use Prices'!$C$6:$AL$89,MATCH($C84,'[2]End - Use Prices'!$A$6:$A$89,0)+MATCH($D84,'[2]End - Use Prices'!$B$9:$B$11,0)-1,MATCH(AQ$1,'[2]End - Use Prices'!$C$7:$AL$7,0))</f>
        <v>9.4499999999999993</v>
      </c>
      <c r="AR84" s="41">
        <f>INDEX('[2]End - Use Prices'!$C$6:$AL$89,MATCH($C84,'[2]End - Use Prices'!$A$6:$A$89,0)+MATCH($D84,'[2]End - Use Prices'!$B$9:$B$11,0)-1,MATCH(AR$1,'[2]End - Use Prices'!$C$7:$AL$7,0))</f>
        <v>9.42</v>
      </c>
      <c r="AS84" s="41">
        <f>INDEX('[2]End - Use Prices'!$C$6:$AL$89,MATCH($C84,'[2]End - Use Prices'!$A$6:$A$89,0)+MATCH($D84,'[2]End - Use Prices'!$B$9:$B$11,0)-1,MATCH(AS$1,'[2]End - Use Prices'!$C$7:$AL$7,0))</f>
        <v>9.4600000000000009</v>
      </c>
      <c r="AT84" s="41">
        <f>INDEX('[2]End - Use Prices'!$C$6:$AL$89,MATCH($C84,'[2]End - Use Prices'!$A$6:$A$89,0)+MATCH($D84,'[2]End - Use Prices'!$B$9:$B$11,0)-1,MATCH(AT$1,'[2]End - Use Prices'!$C$7:$AL$7,0))</f>
        <v>9.48</v>
      </c>
      <c r="AU84" s="41">
        <f>INDEX('[2]End - Use Prices'!$C$6:$AL$89,MATCH($C84,'[2]End - Use Prices'!$A$6:$A$89,0)+MATCH($D84,'[2]End - Use Prices'!$B$9:$B$11,0)-1,MATCH(AU$1,'[2]End - Use Prices'!$C$7:$AL$7,0))</f>
        <v>9.52</v>
      </c>
      <c r="AV84" s="41">
        <f>INDEX('[2]End - Use Prices'!$C$6:$AL$89,MATCH($C84,'[2]End - Use Prices'!$A$6:$A$89,0)+MATCH($D84,'[2]End - Use Prices'!$B$9:$B$11,0)-1,MATCH(AV$1,'[2]End - Use Prices'!$C$7:$AL$7,0))</f>
        <v>9.57</v>
      </c>
      <c r="AW84" s="41">
        <f>INDEX('[2]End - Use Prices'!$C$6:$AL$89,MATCH($C84,'[2]End - Use Prices'!$A$6:$A$89,0)+MATCH($D84,'[2]End - Use Prices'!$B$9:$B$11,0)-1,MATCH(AW$1,'[2]End - Use Prices'!$C$7:$AL$7,0))</f>
        <v>9.6199999999999992</v>
      </c>
      <c r="AX84" s="41">
        <f>INDEX('[2]End - Use Prices'!$C$6:$AL$89,MATCH($C84,'[2]End - Use Prices'!$A$6:$A$89,0)+MATCH($D84,'[2]End - Use Prices'!$B$9:$B$11,0)-1,MATCH(AX$1,'[2]End - Use Prices'!$C$7:$AL$7,0))</f>
        <v>9.68</v>
      </c>
      <c r="AY84" s="41">
        <f>INDEX('[2]End - Use Prices'!$C$6:$AL$89,MATCH($C84,'[2]End - Use Prices'!$A$6:$A$89,0)+MATCH($D84,'[2]End - Use Prices'!$B$9:$B$11,0)-1,MATCH(AY$1,'[2]End - Use Prices'!$C$7:$AL$7,0))</f>
        <v>9.75</v>
      </c>
      <c r="AZ84" s="41">
        <f>INDEX('[2]End - Use Prices'!$C$6:$AL$89,MATCH($C84,'[2]End - Use Prices'!$A$6:$A$89,0)+MATCH($D84,'[2]End - Use Prices'!$B$9:$B$11,0)-1,MATCH(AZ$1,'[2]End - Use Prices'!$C$7:$AL$7,0))</f>
        <v>9.83</v>
      </c>
      <c r="BA84" s="41">
        <f>INDEX('[2]End - Use Prices'!$C$6:$AL$89,MATCH($C84,'[2]End - Use Prices'!$A$6:$A$89,0)+MATCH($D84,'[2]End - Use Prices'!$B$9:$B$11,0)-1,MATCH(BA$1,'[2]End - Use Prices'!$C$7:$AL$7,0))</f>
        <v>9.8699999999999992</v>
      </c>
      <c r="BB84" s="41">
        <f>INDEX('[2]End - Use Prices'!$C$6:$AL$89,MATCH($C84,'[2]End - Use Prices'!$A$6:$A$89,0)+MATCH($D84,'[2]End - Use Prices'!$B$9:$B$11,0)-1,MATCH(BB$1,'[2]End - Use Prices'!$C$7:$AL$7,0))</f>
        <v>9.9</v>
      </c>
      <c r="BC84" s="41">
        <f>INDEX('[2]End - Use Prices'!$C$6:$AL$89,MATCH($C84,'[2]End - Use Prices'!$A$6:$A$89,0)+MATCH($D84,'[2]End - Use Prices'!$B$9:$B$11,0)-1,MATCH(BC$1,'[2]End - Use Prices'!$C$7:$AL$7,0))</f>
        <v>9.93</v>
      </c>
      <c r="BD84" s="41">
        <f>INDEX('[2]End - Use Prices'!$C$6:$AL$89,MATCH($C84,'[2]End - Use Prices'!$A$6:$A$89,0)+MATCH($D84,'[2]End - Use Prices'!$B$9:$B$11,0)-1,MATCH(BD$1,'[2]End - Use Prices'!$C$7:$AL$7,0))</f>
        <v>9.94</v>
      </c>
      <c r="BE84" s="41">
        <f>INDEX('[2]End - Use Prices'!$C$6:$AL$89,MATCH($C84,'[2]End - Use Prices'!$A$6:$A$89,0)+MATCH($D84,'[2]End - Use Prices'!$B$9:$B$11,0)-1,MATCH(BE$1,'[2]End - Use Prices'!$C$7:$AL$7,0))</f>
        <v>9.94</v>
      </c>
      <c r="BF84" s="41">
        <f>INDEX('[2]End - Use Prices'!$C$6:$AL$89,MATCH($C84,'[2]End - Use Prices'!$A$6:$A$89,0)+MATCH($D84,'[2]End - Use Prices'!$B$9:$B$11,0)-1,MATCH(BF$1,'[2]End - Use Prices'!$C$7:$AL$7,0))</f>
        <v>9.9499999999999993</v>
      </c>
      <c r="BG84" s="41">
        <f>INDEX('[2]End - Use Prices'!$C$6:$AL$89,MATCH($C84,'[2]End - Use Prices'!$A$6:$A$89,0)+MATCH($D84,'[2]End - Use Prices'!$B$9:$B$11,0)-1,MATCH(BG$1,'[2]End - Use Prices'!$C$7:$AL$7,0))</f>
        <v>9.9499999999999993</v>
      </c>
      <c r="BR84" s="39"/>
      <c r="BS84" s="39"/>
      <c r="BT84" s="39"/>
      <c r="BU84" s="39"/>
      <c r="BV84" s="39"/>
      <c r="BW84" s="39"/>
      <c r="BX84" s="39"/>
      <c r="BY84" s="39"/>
      <c r="BZ84" s="39"/>
      <c r="CA84" s="39"/>
    </row>
    <row r="85" spans="1:79">
      <c r="A85" s="5"/>
      <c r="B85" s="3"/>
      <c r="C85" s="25" t="s">
        <v>5</v>
      </c>
      <c r="D85" s="25" t="s">
        <v>13</v>
      </c>
      <c r="E85" s="25" t="s">
        <v>277</v>
      </c>
      <c r="F85" s="67" t="s">
        <v>275</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INDEX('[2]End - Use Prices'!$C$6:$AL$89,MATCH($C85,'[2]End - Use Prices'!$A$6:$A$89,0)+MATCH($D85,'[2]End - Use Prices'!$B$9:$B$11,0)-1,MATCH(X$1,'[2]End - Use Prices'!$C$7:$AL$7,0))</f>
        <v>12.98</v>
      </c>
      <c r="Y85" s="41">
        <f>INDEX('[2]End - Use Prices'!$C$6:$AL$89,MATCH($C85,'[2]End - Use Prices'!$A$6:$A$89,0)+MATCH($D85,'[2]End - Use Prices'!$B$9:$B$11,0)-1,MATCH(Y$1,'[2]End - Use Prices'!$C$7:$AL$7,0))</f>
        <v>11.76</v>
      </c>
      <c r="Z85" s="41">
        <f>INDEX('[2]End - Use Prices'!$C$6:$AL$89,MATCH($C85,'[2]End - Use Prices'!$A$6:$A$89,0)+MATCH($D85,'[2]End - Use Prices'!$B$9:$B$11,0)-1,MATCH(Z$1,'[2]End - Use Prices'!$C$7:$AL$7,0))</f>
        <v>10.95</v>
      </c>
      <c r="AA85" s="41">
        <f>INDEX('[2]End - Use Prices'!$C$6:$AL$89,MATCH($C85,'[2]End - Use Prices'!$A$6:$A$89,0)+MATCH($D85,'[2]End - Use Prices'!$B$9:$B$11,0)-1,MATCH(AA$1,'[2]End - Use Prices'!$C$7:$AL$7,0))</f>
        <v>11.03</v>
      </c>
      <c r="AB85" s="41">
        <f>INDEX('[2]End - Use Prices'!$C$6:$AL$89,MATCH($C85,'[2]End - Use Prices'!$A$6:$A$89,0)+MATCH($D85,'[2]End - Use Prices'!$B$9:$B$11,0)-1,MATCH(AB$1,'[2]End - Use Prices'!$C$7:$AL$7,0))</f>
        <v>7.77</v>
      </c>
      <c r="AC85" s="41">
        <f>INDEX('[2]End - Use Prices'!$C$6:$AL$89,MATCH($C85,'[2]End - Use Prices'!$A$6:$A$89,0)+MATCH($D85,'[2]End - Use Prices'!$B$9:$B$11,0)-1,MATCH(AC$1,'[2]End - Use Prices'!$C$7:$AL$7,0))</f>
        <v>7.97</v>
      </c>
      <c r="AD85" s="41">
        <f>INDEX('[2]End - Use Prices'!$C$6:$AL$89,MATCH($C85,'[2]End - Use Prices'!$A$6:$A$89,0)+MATCH($D85,'[2]End - Use Prices'!$B$9:$B$11,0)-1,MATCH(AD$1,'[2]End - Use Prices'!$C$7:$AL$7,0))</f>
        <v>8.15</v>
      </c>
      <c r="AE85" s="41">
        <f>INDEX('[2]End - Use Prices'!$C$6:$AL$89,MATCH($C85,'[2]End - Use Prices'!$A$6:$A$89,0)+MATCH($D85,'[2]End - Use Prices'!$B$9:$B$11,0)-1,MATCH(AE$1,'[2]End - Use Prices'!$C$7:$AL$7,0))</f>
        <v>6.63</v>
      </c>
      <c r="AF85" s="41">
        <f>INDEX('[2]End - Use Prices'!$C$6:$AL$89,MATCH($C85,'[2]End - Use Prices'!$A$6:$A$89,0)+MATCH($D85,'[2]End - Use Prices'!$B$9:$B$11,0)-1,MATCH(AF$1,'[2]End - Use Prices'!$C$7:$AL$7,0))</f>
        <v>6.93</v>
      </c>
      <c r="AG85" s="41">
        <f>INDEX('[2]End - Use Prices'!$C$6:$AL$89,MATCH($C85,'[2]End - Use Prices'!$A$6:$A$89,0)+MATCH($D85,'[2]End - Use Prices'!$B$9:$B$11,0)-1,MATCH(AG$1,'[2]End - Use Prices'!$C$7:$AL$7,0))</f>
        <v>8.5399999999999991</v>
      </c>
      <c r="AH85" s="41">
        <f>INDEX('[2]End - Use Prices'!$C$6:$AL$89,MATCH($C85,'[2]End - Use Prices'!$A$6:$A$89,0)+MATCH($D85,'[2]End - Use Prices'!$B$9:$B$11,0)-1,MATCH(AH$1,'[2]End - Use Prices'!$C$7:$AL$7,0))</f>
        <v>3.36</v>
      </c>
      <c r="AI85" s="41">
        <f>INDEX('[2]End - Use Prices'!$C$6:$AL$89,MATCH($C85,'[2]End - Use Prices'!$A$6:$A$89,0)+MATCH($D85,'[2]End - Use Prices'!$B$9:$B$11,0)-1,MATCH(AI$1,'[2]End - Use Prices'!$C$7:$AL$7,0))</f>
        <v>5.3</v>
      </c>
      <c r="AJ85" s="41">
        <f>INDEX('[2]End - Use Prices'!$C$6:$AL$89,MATCH($C85,'[2]End - Use Prices'!$A$6:$A$89,0)+MATCH($D85,'[2]End - Use Prices'!$B$9:$B$11,0)-1,MATCH(AJ$1,'[2]End - Use Prices'!$C$7:$AL$7,0))</f>
        <v>4.5599999999999996</v>
      </c>
      <c r="AK85" s="41">
        <f>INDEX('[2]End - Use Prices'!$C$6:$AL$89,MATCH($C85,'[2]End - Use Prices'!$A$6:$A$89,0)+MATCH($D85,'[2]End - Use Prices'!$B$9:$B$11,0)-1,MATCH(AK$1,'[2]End - Use Prices'!$C$7:$AL$7,0))</f>
        <v>5.99</v>
      </c>
      <c r="AL85" s="41">
        <f>INDEX('[2]End - Use Prices'!$C$6:$AL$89,MATCH($C85,'[2]End - Use Prices'!$A$6:$A$89,0)+MATCH($D85,'[2]End - Use Prices'!$B$9:$B$11,0)-1,MATCH(AL$1,'[2]End - Use Prices'!$C$7:$AL$7,0))</f>
        <v>6.47</v>
      </c>
      <c r="AM85" s="41">
        <f>INDEX('[2]End - Use Prices'!$C$6:$AL$89,MATCH($C85,'[2]End - Use Prices'!$A$6:$A$89,0)+MATCH($D85,'[2]End - Use Prices'!$B$9:$B$11,0)-1,MATCH(AM$1,'[2]End - Use Prices'!$C$7:$AL$7,0))</f>
        <v>6.42</v>
      </c>
      <c r="AN85" s="41">
        <f>INDEX('[2]End - Use Prices'!$C$6:$AL$89,MATCH($C85,'[2]End - Use Prices'!$A$6:$A$89,0)+MATCH($D85,'[2]End - Use Prices'!$B$9:$B$11,0)-1,MATCH(AN$1,'[2]End - Use Prices'!$C$7:$AL$7,0))</f>
        <v>6.38</v>
      </c>
      <c r="AO85" s="41">
        <f>INDEX('[2]End - Use Prices'!$C$6:$AL$89,MATCH($C85,'[2]End - Use Prices'!$A$6:$A$89,0)+MATCH($D85,'[2]End - Use Prices'!$B$9:$B$11,0)-1,MATCH(AO$1,'[2]End - Use Prices'!$C$7:$AL$7,0))</f>
        <v>6.84</v>
      </c>
      <c r="AP85" s="41">
        <f>INDEX('[2]End - Use Prices'!$C$6:$AL$89,MATCH($C85,'[2]End - Use Prices'!$A$6:$A$89,0)+MATCH($D85,'[2]End - Use Prices'!$B$9:$B$11,0)-1,MATCH(AP$1,'[2]End - Use Prices'!$C$7:$AL$7,0))</f>
        <v>7.25</v>
      </c>
      <c r="AQ85" s="41">
        <f>INDEX('[2]End - Use Prices'!$C$6:$AL$89,MATCH($C85,'[2]End - Use Prices'!$A$6:$A$89,0)+MATCH($D85,'[2]End - Use Prices'!$B$9:$B$11,0)-1,MATCH(AQ$1,'[2]End - Use Prices'!$C$7:$AL$7,0))</f>
        <v>7.19</v>
      </c>
      <c r="AR85" s="41">
        <f>INDEX('[2]End - Use Prices'!$C$6:$AL$89,MATCH($C85,'[2]End - Use Prices'!$A$6:$A$89,0)+MATCH($D85,'[2]End - Use Prices'!$B$9:$B$11,0)-1,MATCH(AR$1,'[2]End - Use Prices'!$C$7:$AL$7,0))</f>
        <v>7.15</v>
      </c>
      <c r="AS85" s="41">
        <f>INDEX('[2]End - Use Prices'!$C$6:$AL$89,MATCH($C85,'[2]End - Use Prices'!$A$6:$A$89,0)+MATCH($D85,'[2]End - Use Prices'!$B$9:$B$11,0)-1,MATCH(AS$1,'[2]End - Use Prices'!$C$7:$AL$7,0))</f>
        <v>7.18</v>
      </c>
      <c r="AT85" s="41">
        <f>INDEX('[2]End - Use Prices'!$C$6:$AL$89,MATCH($C85,'[2]End - Use Prices'!$A$6:$A$89,0)+MATCH($D85,'[2]End - Use Prices'!$B$9:$B$11,0)-1,MATCH(AT$1,'[2]End - Use Prices'!$C$7:$AL$7,0))</f>
        <v>7.2</v>
      </c>
      <c r="AU85" s="41">
        <f>INDEX('[2]End - Use Prices'!$C$6:$AL$89,MATCH($C85,'[2]End - Use Prices'!$A$6:$A$89,0)+MATCH($D85,'[2]End - Use Prices'!$B$9:$B$11,0)-1,MATCH(AU$1,'[2]End - Use Prices'!$C$7:$AL$7,0))</f>
        <v>7.23</v>
      </c>
      <c r="AV85" s="41">
        <f>INDEX('[2]End - Use Prices'!$C$6:$AL$89,MATCH($C85,'[2]End - Use Prices'!$A$6:$A$89,0)+MATCH($D85,'[2]End - Use Prices'!$B$9:$B$11,0)-1,MATCH(AV$1,'[2]End - Use Prices'!$C$7:$AL$7,0))</f>
        <v>7.28</v>
      </c>
      <c r="AW85" s="41">
        <f>INDEX('[2]End - Use Prices'!$C$6:$AL$89,MATCH($C85,'[2]End - Use Prices'!$A$6:$A$89,0)+MATCH($D85,'[2]End - Use Prices'!$B$9:$B$11,0)-1,MATCH(AW$1,'[2]End - Use Prices'!$C$7:$AL$7,0))</f>
        <v>7.33</v>
      </c>
      <c r="AX85" s="41">
        <f>INDEX('[2]End - Use Prices'!$C$6:$AL$89,MATCH($C85,'[2]End - Use Prices'!$A$6:$A$89,0)+MATCH($D85,'[2]End - Use Prices'!$B$9:$B$11,0)-1,MATCH(AX$1,'[2]End - Use Prices'!$C$7:$AL$7,0))</f>
        <v>7.38</v>
      </c>
      <c r="AY85" s="41">
        <f>INDEX('[2]End - Use Prices'!$C$6:$AL$89,MATCH($C85,'[2]End - Use Prices'!$A$6:$A$89,0)+MATCH($D85,'[2]End - Use Prices'!$B$9:$B$11,0)-1,MATCH(AY$1,'[2]End - Use Prices'!$C$7:$AL$7,0))</f>
        <v>7.45</v>
      </c>
      <c r="AZ85" s="41">
        <f>INDEX('[2]End - Use Prices'!$C$6:$AL$89,MATCH($C85,'[2]End - Use Prices'!$A$6:$A$89,0)+MATCH($D85,'[2]End - Use Prices'!$B$9:$B$11,0)-1,MATCH(AZ$1,'[2]End - Use Prices'!$C$7:$AL$7,0))</f>
        <v>7.53</v>
      </c>
      <c r="BA85" s="41">
        <f>INDEX('[2]End - Use Prices'!$C$6:$AL$89,MATCH($C85,'[2]End - Use Prices'!$A$6:$A$89,0)+MATCH($D85,'[2]End - Use Prices'!$B$9:$B$11,0)-1,MATCH(BA$1,'[2]End - Use Prices'!$C$7:$AL$7,0))</f>
        <v>7.57</v>
      </c>
      <c r="BB85" s="41">
        <f>INDEX('[2]End - Use Prices'!$C$6:$AL$89,MATCH($C85,'[2]End - Use Prices'!$A$6:$A$89,0)+MATCH($D85,'[2]End - Use Prices'!$B$9:$B$11,0)-1,MATCH(BB$1,'[2]End - Use Prices'!$C$7:$AL$7,0))</f>
        <v>7.6</v>
      </c>
      <c r="BC85" s="41">
        <f>INDEX('[2]End - Use Prices'!$C$6:$AL$89,MATCH($C85,'[2]End - Use Prices'!$A$6:$A$89,0)+MATCH($D85,'[2]End - Use Prices'!$B$9:$B$11,0)-1,MATCH(BC$1,'[2]End - Use Prices'!$C$7:$AL$7,0))</f>
        <v>7.62</v>
      </c>
      <c r="BD85" s="41">
        <f>INDEX('[2]End - Use Prices'!$C$6:$AL$89,MATCH($C85,'[2]End - Use Prices'!$A$6:$A$89,0)+MATCH($D85,'[2]End - Use Prices'!$B$9:$B$11,0)-1,MATCH(BD$1,'[2]End - Use Prices'!$C$7:$AL$7,0))</f>
        <v>7.63</v>
      </c>
      <c r="BE85" s="41">
        <f>INDEX('[2]End - Use Prices'!$C$6:$AL$89,MATCH($C85,'[2]End - Use Prices'!$A$6:$A$89,0)+MATCH($D85,'[2]End - Use Prices'!$B$9:$B$11,0)-1,MATCH(BE$1,'[2]End - Use Prices'!$C$7:$AL$7,0))</f>
        <v>7.63</v>
      </c>
      <c r="BF85" s="41">
        <f>INDEX('[2]End - Use Prices'!$C$6:$AL$89,MATCH($C85,'[2]End - Use Prices'!$A$6:$A$89,0)+MATCH($D85,'[2]End - Use Prices'!$B$9:$B$11,0)-1,MATCH(BF$1,'[2]End - Use Prices'!$C$7:$AL$7,0))</f>
        <v>7.63</v>
      </c>
      <c r="BG85" s="41">
        <f>INDEX('[2]End - Use Prices'!$C$6:$AL$89,MATCH($C85,'[2]End - Use Prices'!$A$6:$A$89,0)+MATCH($D85,'[2]End - Use Prices'!$B$9:$B$11,0)-1,MATCH(BG$1,'[2]End - Use Prices'!$C$7:$AL$7,0))</f>
        <v>7.63</v>
      </c>
      <c r="BR85" s="39"/>
      <c r="BS85" s="39"/>
      <c r="BT85" s="39"/>
      <c r="BU85" s="39"/>
      <c r="BV85" s="39"/>
      <c r="BW85" s="39"/>
      <c r="BX85" s="39"/>
      <c r="BY85" s="39"/>
      <c r="BZ85" s="39"/>
      <c r="CA85" s="39"/>
    </row>
    <row r="86" spans="1:79">
      <c r="A86" s="5"/>
      <c r="B86" s="3"/>
      <c r="C86" s="25" t="s">
        <v>60</v>
      </c>
      <c r="D86" s="25" t="s">
        <v>13</v>
      </c>
      <c r="E86" s="25" t="s">
        <v>277</v>
      </c>
      <c r="F86" s="67" t="s">
        <v>275</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INDEX('[2]End - Use Prices'!$C$6:$AL$89,MATCH($C86,'[2]End - Use Prices'!$A$6:$A$89,0)+MATCH($D86,'[2]End - Use Prices'!$B$9:$B$11,0)-1,MATCH(X$1,'[2]End - Use Prices'!$C$7:$AL$7,0))</f>
        <v>15.71</v>
      </c>
      <c r="Y86" s="41">
        <f>INDEX('[2]End - Use Prices'!$C$6:$AL$89,MATCH($C86,'[2]End - Use Prices'!$A$6:$A$89,0)+MATCH($D86,'[2]End - Use Prices'!$B$9:$B$11,0)-1,MATCH(Y$1,'[2]End - Use Prices'!$C$7:$AL$7,0))</f>
        <v>16.100000000000001</v>
      </c>
      <c r="Z86" s="41">
        <f>INDEX('[2]End - Use Prices'!$C$6:$AL$89,MATCH($C86,'[2]End - Use Prices'!$A$6:$A$89,0)+MATCH($D86,'[2]End - Use Prices'!$B$9:$B$11,0)-1,MATCH(Z$1,'[2]End - Use Prices'!$C$7:$AL$7,0))</f>
        <v>15.95</v>
      </c>
      <c r="AA86" s="41">
        <f>INDEX('[2]End - Use Prices'!$C$6:$AL$89,MATCH($C86,'[2]End - Use Prices'!$A$6:$A$89,0)+MATCH($D86,'[2]End - Use Prices'!$B$9:$B$11,0)-1,MATCH(AA$1,'[2]End - Use Prices'!$C$7:$AL$7,0))</f>
        <v>15.79</v>
      </c>
      <c r="AB86" s="41">
        <f>INDEX('[2]End - Use Prices'!$C$6:$AL$89,MATCH($C86,'[2]End - Use Prices'!$A$6:$A$89,0)+MATCH($D86,'[2]End - Use Prices'!$B$9:$B$11,0)-1,MATCH(AB$1,'[2]End - Use Prices'!$C$7:$AL$7,0))</f>
        <v>16.8</v>
      </c>
      <c r="AC86" s="41">
        <f>INDEX('[2]End - Use Prices'!$C$6:$AL$89,MATCH($C86,'[2]End - Use Prices'!$A$6:$A$89,0)+MATCH($D86,'[2]End - Use Prices'!$B$9:$B$11,0)-1,MATCH(AC$1,'[2]End - Use Prices'!$C$7:$AL$7,0))</f>
        <v>17.63</v>
      </c>
      <c r="AD86" s="41">
        <f>INDEX('[2]End - Use Prices'!$C$6:$AL$89,MATCH($C86,'[2]End - Use Prices'!$A$6:$A$89,0)+MATCH($D86,'[2]End - Use Prices'!$B$9:$B$11,0)-1,MATCH(AD$1,'[2]End - Use Prices'!$C$7:$AL$7,0))</f>
        <v>17.100000000000001</v>
      </c>
      <c r="AE86" s="41">
        <f>INDEX('[2]End - Use Prices'!$C$6:$AL$89,MATCH($C86,'[2]End - Use Prices'!$A$6:$A$89,0)+MATCH($D86,'[2]End - Use Prices'!$B$9:$B$11,0)-1,MATCH(AE$1,'[2]End - Use Prices'!$C$7:$AL$7,0))</f>
        <v>16.28</v>
      </c>
      <c r="AF86" s="41">
        <f>INDEX('[2]End - Use Prices'!$C$6:$AL$89,MATCH($C86,'[2]End - Use Prices'!$A$6:$A$89,0)+MATCH($D86,'[2]End - Use Prices'!$B$9:$B$11,0)-1,MATCH(AF$1,'[2]End - Use Prices'!$C$7:$AL$7,0))</f>
        <v>15.65</v>
      </c>
      <c r="AG86" s="41">
        <f>INDEX('[2]End - Use Prices'!$C$6:$AL$89,MATCH($C86,'[2]End - Use Prices'!$A$6:$A$89,0)+MATCH($D86,'[2]End - Use Prices'!$B$9:$B$11,0)-1,MATCH(AG$1,'[2]End - Use Prices'!$C$7:$AL$7,0))</f>
        <v>16.579999999999998</v>
      </c>
      <c r="AH86" s="41">
        <f>INDEX('[2]End - Use Prices'!$C$6:$AL$89,MATCH($C86,'[2]End - Use Prices'!$A$6:$A$89,0)+MATCH($D86,'[2]End - Use Prices'!$B$9:$B$11,0)-1,MATCH(AH$1,'[2]End - Use Prices'!$C$7:$AL$7,0))</f>
        <v>15.79</v>
      </c>
      <c r="AI86" s="41">
        <f>INDEX('[2]End - Use Prices'!$C$6:$AL$89,MATCH($C86,'[2]End - Use Prices'!$A$6:$A$89,0)+MATCH($D86,'[2]End - Use Prices'!$B$9:$B$11,0)-1,MATCH(AI$1,'[2]End - Use Prices'!$C$7:$AL$7,0))</f>
        <v>12.09</v>
      </c>
      <c r="AJ86" s="41">
        <f>INDEX('[2]End - Use Prices'!$C$6:$AL$89,MATCH($C86,'[2]End - Use Prices'!$A$6:$A$89,0)+MATCH($D86,'[2]End - Use Prices'!$B$9:$B$11,0)-1,MATCH(AJ$1,'[2]End - Use Prices'!$C$7:$AL$7,0))</f>
        <v>12.97</v>
      </c>
      <c r="AK86" s="41">
        <f>INDEX('[2]End - Use Prices'!$C$6:$AL$89,MATCH($C86,'[2]End - Use Prices'!$A$6:$A$89,0)+MATCH($D86,'[2]End - Use Prices'!$B$9:$B$11,0)-1,MATCH(AK$1,'[2]End - Use Prices'!$C$7:$AL$7,0))</f>
        <v>12.73</v>
      </c>
      <c r="AL86" s="41">
        <f>INDEX('[2]End - Use Prices'!$C$6:$AL$89,MATCH($C86,'[2]End - Use Prices'!$A$6:$A$89,0)+MATCH($D86,'[2]End - Use Prices'!$B$9:$B$11,0)-1,MATCH(AL$1,'[2]End - Use Prices'!$C$7:$AL$7,0))</f>
        <v>12.86</v>
      </c>
      <c r="AM86" s="41">
        <f>INDEX('[2]End - Use Prices'!$C$6:$AL$89,MATCH($C86,'[2]End - Use Prices'!$A$6:$A$89,0)+MATCH($D86,'[2]End - Use Prices'!$B$9:$B$11,0)-1,MATCH(AM$1,'[2]End - Use Prices'!$C$7:$AL$7,0))</f>
        <v>13.09</v>
      </c>
      <c r="AN86" s="41">
        <f>INDEX('[2]End - Use Prices'!$C$6:$AL$89,MATCH($C86,'[2]End - Use Prices'!$A$6:$A$89,0)+MATCH($D86,'[2]End - Use Prices'!$B$9:$B$11,0)-1,MATCH(AN$1,'[2]End - Use Prices'!$C$7:$AL$7,0))</f>
        <v>13.29</v>
      </c>
      <c r="AO86" s="41">
        <f>INDEX('[2]End - Use Prices'!$C$6:$AL$89,MATCH($C86,'[2]End - Use Prices'!$A$6:$A$89,0)+MATCH($D86,'[2]End - Use Prices'!$B$9:$B$11,0)-1,MATCH(AO$1,'[2]End - Use Prices'!$C$7:$AL$7,0))</f>
        <v>13.49</v>
      </c>
      <c r="AP86" s="41">
        <f>INDEX('[2]End - Use Prices'!$C$6:$AL$89,MATCH($C86,'[2]End - Use Prices'!$A$6:$A$89,0)+MATCH($D86,'[2]End - Use Prices'!$B$9:$B$11,0)-1,MATCH(AP$1,'[2]End - Use Prices'!$C$7:$AL$7,0))</f>
        <v>13.43</v>
      </c>
      <c r="AQ86" s="41">
        <f>INDEX('[2]End - Use Prices'!$C$6:$AL$89,MATCH($C86,'[2]End - Use Prices'!$A$6:$A$89,0)+MATCH($D86,'[2]End - Use Prices'!$B$9:$B$11,0)-1,MATCH(AQ$1,'[2]End - Use Prices'!$C$7:$AL$7,0))</f>
        <v>13.32</v>
      </c>
      <c r="AR86" s="41">
        <f>INDEX('[2]End - Use Prices'!$C$6:$AL$89,MATCH($C86,'[2]End - Use Prices'!$A$6:$A$89,0)+MATCH($D86,'[2]End - Use Prices'!$B$9:$B$11,0)-1,MATCH(AR$1,'[2]End - Use Prices'!$C$7:$AL$7,0))</f>
        <v>13.24</v>
      </c>
      <c r="AS86" s="41">
        <f>INDEX('[2]End - Use Prices'!$C$6:$AL$89,MATCH($C86,'[2]End - Use Prices'!$A$6:$A$89,0)+MATCH($D86,'[2]End - Use Prices'!$B$9:$B$11,0)-1,MATCH(AS$1,'[2]End - Use Prices'!$C$7:$AL$7,0))</f>
        <v>13.25</v>
      </c>
      <c r="AT86" s="41">
        <f>INDEX('[2]End - Use Prices'!$C$6:$AL$89,MATCH($C86,'[2]End - Use Prices'!$A$6:$A$89,0)+MATCH($D86,'[2]End - Use Prices'!$B$9:$B$11,0)-1,MATCH(AT$1,'[2]End - Use Prices'!$C$7:$AL$7,0))</f>
        <v>13.24</v>
      </c>
      <c r="AU86" s="41">
        <f>INDEX('[2]End - Use Prices'!$C$6:$AL$89,MATCH($C86,'[2]End - Use Prices'!$A$6:$A$89,0)+MATCH($D86,'[2]End - Use Prices'!$B$9:$B$11,0)-1,MATCH(AU$1,'[2]End - Use Prices'!$C$7:$AL$7,0))</f>
        <v>13.26</v>
      </c>
      <c r="AV86" s="41">
        <f>INDEX('[2]End - Use Prices'!$C$6:$AL$89,MATCH($C86,'[2]End - Use Prices'!$A$6:$A$89,0)+MATCH($D86,'[2]End - Use Prices'!$B$9:$B$11,0)-1,MATCH(AV$1,'[2]End - Use Prices'!$C$7:$AL$7,0))</f>
        <v>13.3</v>
      </c>
      <c r="AW86" s="41">
        <f>INDEX('[2]End - Use Prices'!$C$6:$AL$89,MATCH($C86,'[2]End - Use Prices'!$A$6:$A$89,0)+MATCH($D86,'[2]End - Use Prices'!$B$9:$B$11,0)-1,MATCH(AW$1,'[2]End - Use Prices'!$C$7:$AL$7,0))</f>
        <v>13.33</v>
      </c>
      <c r="AX86" s="41">
        <f>INDEX('[2]End - Use Prices'!$C$6:$AL$89,MATCH($C86,'[2]End - Use Prices'!$A$6:$A$89,0)+MATCH($D86,'[2]End - Use Prices'!$B$9:$B$11,0)-1,MATCH(AX$1,'[2]End - Use Prices'!$C$7:$AL$7,0))</f>
        <v>13.38</v>
      </c>
      <c r="AY86" s="41">
        <f>INDEX('[2]End - Use Prices'!$C$6:$AL$89,MATCH($C86,'[2]End - Use Prices'!$A$6:$A$89,0)+MATCH($D86,'[2]End - Use Prices'!$B$9:$B$11,0)-1,MATCH(AY$1,'[2]End - Use Prices'!$C$7:$AL$7,0))</f>
        <v>13.44</v>
      </c>
      <c r="AZ86" s="41">
        <f>INDEX('[2]End - Use Prices'!$C$6:$AL$89,MATCH($C86,'[2]End - Use Prices'!$A$6:$A$89,0)+MATCH($D86,'[2]End - Use Prices'!$B$9:$B$11,0)-1,MATCH(AZ$1,'[2]End - Use Prices'!$C$7:$AL$7,0))</f>
        <v>13.51</v>
      </c>
      <c r="BA86" s="41">
        <f>INDEX('[2]End - Use Prices'!$C$6:$AL$89,MATCH($C86,'[2]End - Use Prices'!$A$6:$A$89,0)+MATCH($D86,'[2]End - Use Prices'!$B$9:$B$11,0)-1,MATCH(BA$1,'[2]End - Use Prices'!$C$7:$AL$7,0))</f>
        <v>13.54</v>
      </c>
      <c r="BB86" s="41">
        <f>INDEX('[2]End - Use Prices'!$C$6:$AL$89,MATCH($C86,'[2]End - Use Prices'!$A$6:$A$89,0)+MATCH($D86,'[2]End - Use Prices'!$B$9:$B$11,0)-1,MATCH(BB$1,'[2]End - Use Prices'!$C$7:$AL$7,0))</f>
        <v>13.56</v>
      </c>
      <c r="BC86" s="41">
        <f>INDEX('[2]End - Use Prices'!$C$6:$AL$89,MATCH($C86,'[2]End - Use Prices'!$A$6:$A$89,0)+MATCH($D86,'[2]End - Use Prices'!$B$9:$B$11,0)-1,MATCH(BC$1,'[2]End - Use Prices'!$C$7:$AL$7,0))</f>
        <v>13.57</v>
      </c>
      <c r="BD86" s="41">
        <f>INDEX('[2]End - Use Prices'!$C$6:$AL$89,MATCH($C86,'[2]End - Use Prices'!$A$6:$A$89,0)+MATCH($D86,'[2]End - Use Prices'!$B$9:$B$11,0)-1,MATCH(BD$1,'[2]End - Use Prices'!$C$7:$AL$7,0))</f>
        <v>13.56</v>
      </c>
      <c r="BE86" s="41">
        <f>INDEX('[2]End - Use Prices'!$C$6:$AL$89,MATCH($C86,'[2]End - Use Prices'!$A$6:$A$89,0)+MATCH($D86,'[2]End - Use Prices'!$B$9:$B$11,0)-1,MATCH(BE$1,'[2]End - Use Prices'!$C$7:$AL$7,0))</f>
        <v>13.54</v>
      </c>
      <c r="BF86" s="41">
        <f>INDEX('[2]End - Use Prices'!$C$6:$AL$89,MATCH($C86,'[2]End - Use Prices'!$A$6:$A$89,0)+MATCH($D86,'[2]End - Use Prices'!$B$9:$B$11,0)-1,MATCH(BF$1,'[2]End - Use Prices'!$C$7:$AL$7,0))</f>
        <v>13.52</v>
      </c>
      <c r="BG86" s="41">
        <f>INDEX('[2]End - Use Prices'!$C$6:$AL$89,MATCH($C86,'[2]End - Use Prices'!$A$6:$A$89,0)+MATCH($D86,'[2]End - Use Prices'!$B$9:$B$11,0)-1,MATCH(BG$1,'[2]End - Use Prices'!$C$7:$AL$7,0))</f>
        <v>13.49</v>
      </c>
      <c r="BR86" s="39"/>
      <c r="BS86" s="39"/>
      <c r="BT86" s="39"/>
      <c r="BU86" s="39"/>
      <c r="BV86" s="39"/>
      <c r="BW86" s="39"/>
      <c r="BX86" s="39"/>
      <c r="BY86" s="39"/>
      <c r="BZ86" s="39"/>
      <c r="CA86" s="39"/>
    </row>
    <row r="87" spans="1:79">
      <c r="A87" s="5"/>
      <c r="B87" s="3"/>
      <c r="C87" s="25" t="s">
        <v>92</v>
      </c>
      <c r="D87" s="25" t="s">
        <v>13</v>
      </c>
      <c r="E87" s="25" t="s">
        <v>277</v>
      </c>
      <c r="F87" s="67" t="s">
        <v>275</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INDEX('[2]End - Use Prices'!$C$6:$AL$89,MATCH($C87,'[2]End - Use Prices'!$A$6:$A$89,0)+MATCH($D87,'[2]End - Use Prices'!$B$9:$B$11,0)-1,MATCH(X$1,'[2]End - Use Prices'!$C$7:$AL$7,0))</f>
        <v>15.71</v>
      </c>
      <c r="Y87" s="41">
        <f>INDEX('[2]End - Use Prices'!$C$6:$AL$89,MATCH($C87,'[2]End - Use Prices'!$A$6:$A$89,0)+MATCH($D87,'[2]End - Use Prices'!$B$9:$B$11,0)-1,MATCH(Y$1,'[2]End - Use Prices'!$C$7:$AL$7,0))</f>
        <v>16.100000000000001</v>
      </c>
      <c r="Z87" s="41">
        <f>INDEX('[2]End - Use Prices'!$C$6:$AL$89,MATCH($C87,'[2]End - Use Prices'!$A$6:$A$89,0)+MATCH($D87,'[2]End - Use Prices'!$B$9:$B$11,0)-1,MATCH(Z$1,'[2]End - Use Prices'!$C$7:$AL$7,0))</f>
        <v>15.74</v>
      </c>
      <c r="AA87" s="41">
        <f>INDEX('[2]End - Use Prices'!$C$6:$AL$89,MATCH($C87,'[2]End - Use Prices'!$A$6:$A$89,0)+MATCH($D87,'[2]End - Use Prices'!$B$9:$B$11,0)-1,MATCH(AA$1,'[2]End - Use Prices'!$C$7:$AL$7,0))</f>
        <v>15.46</v>
      </c>
      <c r="AB87" s="41">
        <f>INDEX('[2]End - Use Prices'!$C$6:$AL$89,MATCH($C87,'[2]End - Use Prices'!$A$6:$A$89,0)+MATCH($D87,'[2]End - Use Prices'!$B$9:$B$11,0)-1,MATCH(AB$1,'[2]End - Use Prices'!$C$7:$AL$7,0))</f>
        <v>15.41</v>
      </c>
      <c r="AC87" s="41">
        <f>INDEX('[2]End - Use Prices'!$C$6:$AL$89,MATCH($C87,'[2]End - Use Prices'!$A$6:$A$89,0)+MATCH($D87,'[2]End - Use Prices'!$B$9:$B$11,0)-1,MATCH(AC$1,'[2]End - Use Prices'!$C$7:$AL$7,0))</f>
        <v>14.92</v>
      </c>
      <c r="AD87" s="41">
        <f>INDEX('[2]End - Use Prices'!$C$6:$AL$89,MATCH($C87,'[2]End - Use Prices'!$A$6:$A$89,0)+MATCH($D87,'[2]End - Use Prices'!$B$9:$B$11,0)-1,MATCH(AD$1,'[2]End - Use Prices'!$C$7:$AL$7,0))</f>
        <v>13.77</v>
      </c>
      <c r="AE87" s="41">
        <f>INDEX('[2]End - Use Prices'!$C$6:$AL$89,MATCH($C87,'[2]End - Use Prices'!$A$6:$A$89,0)+MATCH($D87,'[2]End - Use Prices'!$B$9:$B$11,0)-1,MATCH(AE$1,'[2]End - Use Prices'!$C$7:$AL$7,0))</f>
        <v>12.54</v>
      </c>
      <c r="AF87" s="41">
        <f>INDEX('[2]End - Use Prices'!$C$6:$AL$89,MATCH($C87,'[2]End - Use Prices'!$A$6:$A$89,0)+MATCH($D87,'[2]End - Use Prices'!$B$9:$B$11,0)-1,MATCH(AF$1,'[2]End - Use Prices'!$C$7:$AL$7,0))</f>
        <v>12.18</v>
      </c>
      <c r="AG87" s="41">
        <f>INDEX('[2]End - Use Prices'!$C$6:$AL$89,MATCH($C87,'[2]End - Use Prices'!$A$6:$A$89,0)+MATCH($D87,'[2]End - Use Prices'!$B$9:$B$11,0)-1,MATCH(AG$1,'[2]End - Use Prices'!$C$7:$AL$7,0))</f>
        <v>13.28</v>
      </c>
      <c r="AH87" s="41">
        <f>INDEX('[2]End - Use Prices'!$C$6:$AL$89,MATCH($C87,'[2]End - Use Prices'!$A$6:$A$89,0)+MATCH($D87,'[2]End - Use Prices'!$B$9:$B$11,0)-1,MATCH(AH$1,'[2]End - Use Prices'!$C$7:$AL$7,0))</f>
        <v>12.25</v>
      </c>
      <c r="AI87" s="41">
        <f>INDEX('[2]End - Use Prices'!$C$6:$AL$89,MATCH($C87,'[2]End - Use Prices'!$A$6:$A$89,0)+MATCH($D87,'[2]End - Use Prices'!$B$9:$B$11,0)-1,MATCH(AI$1,'[2]End - Use Prices'!$C$7:$AL$7,0))</f>
        <v>8.43</v>
      </c>
      <c r="AJ87" s="41">
        <f>INDEX('[2]End - Use Prices'!$C$6:$AL$89,MATCH($C87,'[2]End - Use Prices'!$A$6:$A$89,0)+MATCH($D87,'[2]End - Use Prices'!$B$9:$B$11,0)-1,MATCH(AJ$1,'[2]End - Use Prices'!$C$7:$AL$7,0))</f>
        <v>8.91</v>
      </c>
      <c r="AK87" s="41">
        <f>INDEX('[2]End - Use Prices'!$C$6:$AL$89,MATCH($C87,'[2]End - Use Prices'!$A$6:$A$89,0)+MATCH($D87,'[2]End - Use Prices'!$B$9:$B$11,0)-1,MATCH(AK$1,'[2]End - Use Prices'!$C$7:$AL$7,0))</f>
        <v>8.81</v>
      </c>
      <c r="AL87" s="41">
        <f>INDEX('[2]End - Use Prices'!$C$6:$AL$89,MATCH($C87,'[2]End - Use Prices'!$A$6:$A$89,0)+MATCH($D87,'[2]End - Use Prices'!$B$9:$B$11,0)-1,MATCH(AL$1,'[2]End - Use Prices'!$C$7:$AL$7,0))</f>
        <v>8.7899999999999991</v>
      </c>
      <c r="AM87" s="41">
        <f>INDEX('[2]End - Use Prices'!$C$6:$AL$89,MATCH($C87,'[2]End - Use Prices'!$A$6:$A$89,0)+MATCH($D87,'[2]End - Use Prices'!$B$9:$B$11,0)-1,MATCH(AM$1,'[2]End - Use Prices'!$C$7:$AL$7,0))</f>
        <v>9.07</v>
      </c>
      <c r="AN87" s="41">
        <f>INDEX('[2]End - Use Prices'!$C$6:$AL$89,MATCH($C87,'[2]End - Use Prices'!$A$6:$A$89,0)+MATCH($D87,'[2]End - Use Prices'!$B$9:$B$11,0)-1,MATCH(AN$1,'[2]End - Use Prices'!$C$7:$AL$7,0))</f>
        <v>9.2200000000000006</v>
      </c>
      <c r="AO87" s="41">
        <f>INDEX('[2]End - Use Prices'!$C$6:$AL$89,MATCH($C87,'[2]End - Use Prices'!$A$6:$A$89,0)+MATCH($D87,'[2]End - Use Prices'!$B$9:$B$11,0)-1,MATCH(AO$1,'[2]End - Use Prices'!$C$7:$AL$7,0))</f>
        <v>9.36</v>
      </c>
      <c r="AP87" s="41">
        <f>INDEX('[2]End - Use Prices'!$C$6:$AL$89,MATCH($C87,'[2]End - Use Prices'!$A$6:$A$89,0)+MATCH($D87,'[2]End - Use Prices'!$B$9:$B$11,0)-1,MATCH(AP$1,'[2]End - Use Prices'!$C$7:$AL$7,0))</f>
        <v>9.48</v>
      </c>
      <c r="AQ87" s="41">
        <f>INDEX('[2]End - Use Prices'!$C$6:$AL$89,MATCH($C87,'[2]End - Use Prices'!$A$6:$A$89,0)+MATCH($D87,'[2]End - Use Prices'!$B$9:$B$11,0)-1,MATCH(AQ$1,'[2]End - Use Prices'!$C$7:$AL$7,0))</f>
        <v>9.48</v>
      </c>
      <c r="AR87" s="41">
        <f>INDEX('[2]End - Use Prices'!$C$6:$AL$89,MATCH($C87,'[2]End - Use Prices'!$A$6:$A$89,0)+MATCH($D87,'[2]End - Use Prices'!$B$9:$B$11,0)-1,MATCH(AR$1,'[2]End - Use Prices'!$C$7:$AL$7,0))</f>
        <v>9.5</v>
      </c>
      <c r="AS87" s="41">
        <f>INDEX('[2]End - Use Prices'!$C$6:$AL$89,MATCH($C87,'[2]End - Use Prices'!$A$6:$A$89,0)+MATCH($D87,'[2]End - Use Prices'!$B$9:$B$11,0)-1,MATCH(AS$1,'[2]End - Use Prices'!$C$7:$AL$7,0))</f>
        <v>9.58</v>
      </c>
      <c r="AT87" s="41">
        <f>INDEX('[2]End - Use Prices'!$C$6:$AL$89,MATCH($C87,'[2]End - Use Prices'!$A$6:$A$89,0)+MATCH($D87,'[2]End - Use Prices'!$B$9:$B$11,0)-1,MATCH(AT$1,'[2]End - Use Prices'!$C$7:$AL$7,0))</f>
        <v>9.66</v>
      </c>
      <c r="AU87" s="41">
        <f>INDEX('[2]End - Use Prices'!$C$6:$AL$89,MATCH($C87,'[2]End - Use Prices'!$A$6:$A$89,0)+MATCH($D87,'[2]End - Use Prices'!$B$9:$B$11,0)-1,MATCH(AU$1,'[2]End - Use Prices'!$C$7:$AL$7,0))</f>
        <v>9.75</v>
      </c>
      <c r="AV87" s="41">
        <f>INDEX('[2]End - Use Prices'!$C$6:$AL$89,MATCH($C87,'[2]End - Use Prices'!$A$6:$A$89,0)+MATCH($D87,'[2]End - Use Prices'!$B$9:$B$11,0)-1,MATCH(AV$1,'[2]End - Use Prices'!$C$7:$AL$7,0))</f>
        <v>9.85</v>
      </c>
      <c r="AW87" s="41">
        <f>INDEX('[2]End - Use Prices'!$C$6:$AL$89,MATCH($C87,'[2]End - Use Prices'!$A$6:$A$89,0)+MATCH($D87,'[2]End - Use Prices'!$B$9:$B$11,0)-1,MATCH(AW$1,'[2]End - Use Prices'!$C$7:$AL$7,0))</f>
        <v>9.94</v>
      </c>
      <c r="AX87" s="41">
        <f>INDEX('[2]End - Use Prices'!$C$6:$AL$89,MATCH($C87,'[2]End - Use Prices'!$A$6:$A$89,0)+MATCH($D87,'[2]End - Use Prices'!$B$9:$B$11,0)-1,MATCH(AX$1,'[2]End - Use Prices'!$C$7:$AL$7,0))</f>
        <v>10.039999999999999</v>
      </c>
      <c r="AY87" s="41">
        <f>INDEX('[2]End - Use Prices'!$C$6:$AL$89,MATCH($C87,'[2]End - Use Prices'!$A$6:$A$89,0)+MATCH($D87,'[2]End - Use Prices'!$B$9:$B$11,0)-1,MATCH(AY$1,'[2]End - Use Prices'!$C$7:$AL$7,0))</f>
        <v>10.16</v>
      </c>
      <c r="AZ87" s="41">
        <f>INDEX('[2]End - Use Prices'!$C$6:$AL$89,MATCH($C87,'[2]End - Use Prices'!$A$6:$A$89,0)+MATCH($D87,'[2]End - Use Prices'!$B$9:$B$11,0)-1,MATCH(AZ$1,'[2]End - Use Prices'!$C$7:$AL$7,0))</f>
        <v>10.28</v>
      </c>
      <c r="BA87" s="41">
        <f>INDEX('[2]End - Use Prices'!$C$6:$AL$89,MATCH($C87,'[2]End - Use Prices'!$A$6:$A$89,0)+MATCH($D87,'[2]End - Use Prices'!$B$9:$B$11,0)-1,MATCH(BA$1,'[2]End - Use Prices'!$C$7:$AL$7,0))</f>
        <v>10.34</v>
      </c>
      <c r="BB87" s="41">
        <f>INDEX('[2]End - Use Prices'!$C$6:$AL$89,MATCH($C87,'[2]End - Use Prices'!$A$6:$A$89,0)+MATCH($D87,'[2]End - Use Prices'!$B$9:$B$11,0)-1,MATCH(BB$1,'[2]End - Use Prices'!$C$7:$AL$7,0))</f>
        <v>10.41</v>
      </c>
      <c r="BC87" s="41">
        <f>INDEX('[2]End - Use Prices'!$C$6:$AL$89,MATCH($C87,'[2]End - Use Prices'!$A$6:$A$89,0)+MATCH($D87,'[2]End - Use Prices'!$B$9:$B$11,0)-1,MATCH(BC$1,'[2]End - Use Prices'!$C$7:$AL$7,0))</f>
        <v>10.46</v>
      </c>
      <c r="BD87" s="41">
        <f>INDEX('[2]End - Use Prices'!$C$6:$AL$89,MATCH($C87,'[2]End - Use Prices'!$A$6:$A$89,0)+MATCH($D87,'[2]End - Use Prices'!$B$9:$B$11,0)-1,MATCH(BD$1,'[2]End - Use Prices'!$C$7:$AL$7,0))</f>
        <v>10.5</v>
      </c>
      <c r="BE87" s="41">
        <f>INDEX('[2]End - Use Prices'!$C$6:$AL$89,MATCH($C87,'[2]End - Use Prices'!$A$6:$A$89,0)+MATCH($D87,'[2]End - Use Prices'!$B$9:$B$11,0)-1,MATCH(BE$1,'[2]End - Use Prices'!$C$7:$AL$7,0))</f>
        <v>10.54</v>
      </c>
      <c r="BF87" s="41">
        <f>INDEX('[2]End - Use Prices'!$C$6:$AL$89,MATCH($C87,'[2]End - Use Prices'!$A$6:$A$89,0)+MATCH($D87,'[2]End - Use Prices'!$B$9:$B$11,0)-1,MATCH(BF$1,'[2]End - Use Prices'!$C$7:$AL$7,0))</f>
        <v>10.57</v>
      </c>
      <c r="BG87" s="41">
        <f>INDEX('[2]End - Use Prices'!$C$6:$AL$89,MATCH($C87,'[2]End - Use Prices'!$A$6:$A$89,0)+MATCH($D87,'[2]End - Use Prices'!$B$9:$B$11,0)-1,MATCH(BG$1,'[2]End - Use Prices'!$C$7:$AL$7,0))</f>
        <v>10.59</v>
      </c>
      <c r="BR87" s="39"/>
      <c r="BS87" s="39"/>
      <c r="BT87" s="39"/>
      <c r="BU87" s="39"/>
      <c r="BV87" s="39"/>
      <c r="BW87" s="39"/>
      <c r="BX87" s="39"/>
      <c r="BY87" s="39"/>
      <c r="BZ87" s="39"/>
      <c r="CA87" s="39"/>
    </row>
    <row r="88" spans="1:79">
      <c r="A88" s="5"/>
      <c r="B88" s="3"/>
      <c r="C88" s="25" t="s">
        <v>94</v>
      </c>
      <c r="D88" s="25" t="s">
        <v>13</v>
      </c>
      <c r="E88" s="25" t="s">
        <v>277</v>
      </c>
      <c r="F88" s="67" t="s">
        <v>275</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INDEX('[2]End - Use Prices'!$C$6:$AL$89,MATCH($C88,'[2]End - Use Prices'!$A$6:$A$89,0)+MATCH($D88,'[2]End - Use Prices'!$B$9:$B$11,0)-1,MATCH(X$1,'[2]End - Use Prices'!$C$7:$AL$7,0))</f>
        <v>32.04</v>
      </c>
      <c r="Y88" s="41">
        <f>INDEX('[2]End - Use Prices'!$C$6:$AL$89,MATCH($C88,'[2]End - Use Prices'!$A$6:$A$89,0)+MATCH($D88,'[2]End - Use Prices'!$B$9:$B$11,0)-1,MATCH(Y$1,'[2]End - Use Prices'!$C$7:$AL$7,0))</f>
        <v>31.25</v>
      </c>
      <c r="Z88" s="41">
        <f>INDEX('[2]End - Use Prices'!$C$6:$AL$89,MATCH($C88,'[2]End - Use Prices'!$A$6:$A$89,0)+MATCH($D88,'[2]End - Use Prices'!$B$9:$B$11,0)-1,MATCH(Z$1,'[2]End - Use Prices'!$C$7:$AL$7,0))</f>
        <v>32.020000000000003</v>
      </c>
      <c r="AA88" s="41">
        <f>INDEX('[2]End - Use Prices'!$C$6:$AL$89,MATCH($C88,'[2]End - Use Prices'!$A$6:$A$89,0)+MATCH($D88,'[2]End - Use Prices'!$B$9:$B$11,0)-1,MATCH(AA$1,'[2]End - Use Prices'!$C$7:$AL$7,0))</f>
        <v>31.29</v>
      </c>
      <c r="AB88" s="41">
        <f>INDEX('[2]End - Use Prices'!$C$6:$AL$89,MATCH($C88,'[2]End - Use Prices'!$A$6:$A$89,0)+MATCH($D88,'[2]End - Use Prices'!$B$9:$B$11,0)-1,MATCH(AB$1,'[2]End - Use Prices'!$C$7:$AL$7,0))</f>
        <v>30.74</v>
      </c>
      <c r="AC88" s="41">
        <f>INDEX('[2]End - Use Prices'!$C$6:$AL$89,MATCH($C88,'[2]End - Use Prices'!$A$6:$A$89,0)+MATCH($D88,'[2]End - Use Prices'!$B$9:$B$11,0)-1,MATCH(AC$1,'[2]End - Use Prices'!$C$7:$AL$7,0))</f>
        <v>30.65</v>
      </c>
      <c r="AD88" s="41">
        <f>INDEX('[2]End - Use Prices'!$C$6:$AL$89,MATCH($C88,'[2]End - Use Prices'!$A$6:$A$89,0)+MATCH($D88,'[2]End - Use Prices'!$B$9:$B$11,0)-1,MATCH(AD$1,'[2]End - Use Prices'!$C$7:$AL$7,0))</f>
        <v>29.66</v>
      </c>
      <c r="AE88" s="41">
        <f>INDEX('[2]End - Use Prices'!$C$6:$AL$89,MATCH($C88,'[2]End - Use Prices'!$A$6:$A$89,0)+MATCH($D88,'[2]End - Use Prices'!$B$9:$B$11,0)-1,MATCH(AE$1,'[2]End - Use Prices'!$C$7:$AL$7,0))</f>
        <v>33.369999999999997</v>
      </c>
      <c r="AF88" s="41">
        <f>INDEX('[2]End - Use Prices'!$C$6:$AL$89,MATCH($C88,'[2]End - Use Prices'!$A$6:$A$89,0)+MATCH($D88,'[2]End - Use Prices'!$B$9:$B$11,0)-1,MATCH(AF$1,'[2]End - Use Prices'!$C$7:$AL$7,0))</f>
        <v>33.28</v>
      </c>
      <c r="AG88" s="41">
        <f>INDEX('[2]End - Use Prices'!$C$6:$AL$89,MATCH($C88,'[2]End - Use Prices'!$A$6:$A$89,0)+MATCH($D88,'[2]End - Use Prices'!$B$9:$B$11,0)-1,MATCH(AG$1,'[2]End - Use Prices'!$C$7:$AL$7,0))</f>
        <v>39.119999999999997</v>
      </c>
      <c r="AH88" s="41">
        <f>INDEX('[2]End - Use Prices'!$C$6:$AL$89,MATCH($C88,'[2]End - Use Prices'!$A$6:$A$89,0)+MATCH($D88,'[2]End - Use Prices'!$B$9:$B$11,0)-1,MATCH(AH$1,'[2]End - Use Prices'!$C$7:$AL$7,0))</f>
        <v>39.43</v>
      </c>
      <c r="AI88" s="41">
        <f>INDEX('[2]End - Use Prices'!$C$6:$AL$89,MATCH($C88,'[2]End - Use Prices'!$A$6:$A$89,0)+MATCH($D88,'[2]End - Use Prices'!$B$9:$B$11,0)-1,MATCH(AI$1,'[2]End - Use Prices'!$C$7:$AL$7,0))</f>
        <v>39.19</v>
      </c>
      <c r="AJ88" s="41">
        <f>INDEX('[2]End - Use Prices'!$C$6:$AL$89,MATCH($C88,'[2]End - Use Prices'!$A$6:$A$89,0)+MATCH($D88,'[2]End - Use Prices'!$B$9:$B$11,0)-1,MATCH(AJ$1,'[2]End - Use Prices'!$C$7:$AL$7,0))</f>
        <v>39.659999999999997</v>
      </c>
      <c r="AK88" s="41">
        <f>INDEX('[2]End - Use Prices'!$C$6:$AL$89,MATCH($C88,'[2]End - Use Prices'!$A$6:$A$89,0)+MATCH($D88,'[2]End - Use Prices'!$B$9:$B$11,0)-1,MATCH(AK$1,'[2]End - Use Prices'!$C$7:$AL$7,0))</f>
        <v>39.57</v>
      </c>
      <c r="AL88" s="41">
        <f>INDEX('[2]End - Use Prices'!$C$6:$AL$89,MATCH($C88,'[2]End - Use Prices'!$A$6:$A$89,0)+MATCH($D88,'[2]End - Use Prices'!$B$9:$B$11,0)-1,MATCH(AL$1,'[2]End - Use Prices'!$C$7:$AL$7,0))</f>
        <v>39.549999999999997</v>
      </c>
      <c r="AM88" s="41">
        <f>INDEX('[2]End - Use Prices'!$C$6:$AL$89,MATCH($C88,'[2]End - Use Prices'!$A$6:$A$89,0)+MATCH($D88,'[2]End - Use Prices'!$B$9:$B$11,0)-1,MATCH(AM$1,'[2]End - Use Prices'!$C$7:$AL$7,0))</f>
        <v>41.09</v>
      </c>
      <c r="AN88" s="41">
        <f>INDEX('[2]End - Use Prices'!$C$6:$AL$89,MATCH($C88,'[2]End - Use Prices'!$A$6:$A$89,0)+MATCH($D88,'[2]End - Use Prices'!$B$9:$B$11,0)-1,MATCH(AN$1,'[2]End - Use Prices'!$C$7:$AL$7,0))</f>
        <v>41.81</v>
      </c>
      <c r="AO88" s="41">
        <f>INDEX('[2]End - Use Prices'!$C$6:$AL$89,MATCH($C88,'[2]End - Use Prices'!$A$6:$A$89,0)+MATCH($D88,'[2]End - Use Prices'!$B$9:$B$11,0)-1,MATCH(AO$1,'[2]End - Use Prices'!$C$7:$AL$7,0))</f>
        <v>42.49</v>
      </c>
      <c r="AP88" s="41">
        <f>INDEX('[2]End - Use Prices'!$C$6:$AL$89,MATCH($C88,'[2]End - Use Prices'!$A$6:$A$89,0)+MATCH($D88,'[2]End - Use Prices'!$B$9:$B$11,0)-1,MATCH(AP$1,'[2]End - Use Prices'!$C$7:$AL$7,0))</f>
        <v>43.1</v>
      </c>
      <c r="AQ88" s="41">
        <f>INDEX('[2]End - Use Prices'!$C$6:$AL$89,MATCH($C88,'[2]End - Use Prices'!$A$6:$A$89,0)+MATCH($D88,'[2]End - Use Prices'!$B$9:$B$11,0)-1,MATCH(AQ$1,'[2]End - Use Prices'!$C$7:$AL$7,0))</f>
        <v>43</v>
      </c>
      <c r="AR88" s="41">
        <f>INDEX('[2]End - Use Prices'!$C$6:$AL$89,MATCH($C88,'[2]End - Use Prices'!$A$6:$A$89,0)+MATCH($D88,'[2]End - Use Prices'!$B$9:$B$11,0)-1,MATCH(AR$1,'[2]End - Use Prices'!$C$7:$AL$7,0))</f>
        <v>42.93</v>
      </c>
      <c r="AS88" s="41">
        <f>INDEX('[2]End - Use Prices'!$C$6:$AL$89,MATCH($C88,'[2]End - Use Prices'!$A$6:$A$89,0)+MATCH($D88,'[2]End - Use Prices'!$B$9:$B$11,0)-1,MATCH(AS$1,'[2]End - Use Prices'!$C$7:$AL$7,0))</f>
        <v>42.95</v>
      </c>
      <c r="AT88" s="41">
        <f>INDEX('[2]End - Use Prices'!$C$6:$AL$89,MATCH($C88,'[2]End - Use Prices'!$A$6:$A$89,0)+MATCH($D88,'[2]End - Use Prices'!$B$9:$B$11,0)-1,MATCH(AT$1,'[2]End - Use Prices'!$C$7:$AL$7,0))</f>
        <v>42.95</v>
      </c>
      <c r="AU88" s="41">
        <f>INDEX('[2]End - Use Prices'!$C$6:$AL$89,MATCH($C88,'[2]End - Use Prices'!$A$6:$A$89,0)+MATCH($D88,'[2]End - Use Prices'!$B$9:$B$11,0)-1,MATCH(AU$1,'[2]End - Use Prices'!$C$7:$AL$7,0))</f>
        <v>42.97</v>
      </c>
      <c r="AV88" s="41">
        <f>INDEX('[2]End - Use Prices'!$C$6:$AL$89,MATCH($C88,'[2]End - Use Prices'!$A$6:$A$89,0)+MATCH($D88,'[2]End - Use Prices'!$B$9:$B$11,0)-1,MATCH(AV$1,'[2]End - Use Prices'!$C$7:$AL$7,0))</f>
        <v>43.01</v>
      </c>
      <c r="AW88" s="41">
        <f>INDEX('[2]End - Use Prices'!$C$6:$AL$89,MATCH($C88,'[2]End - Use Prices'!$A$6:$A$89,0)+MATCH($D88,'[2]End - Use Prices'!$B$9:$B$11,0)-1,MATCH(AW$1,'[2]End - Use Prices'!$C$7:$AL$7,0))</f>
        <v>43.05</v>
      </c>
      <c r="AX88" s="41">
        <f>INDEX('[2]End - Use Prices'!$C$6:$AL$89,MATCH($C88,'[2]End - Use Prices'!$A$6:$A$89,0)+MATCH($D88,'[2]End - Use Prices'!$B$9:$B$11,0)-1,MATCH(AX$1,'[2]End - Use Prices'!$C$7:$AL$7,0))</f>
        <v>43.1</v>
      </c>
      <c r="AY88" s="41">
        <f>INDEX('[2]End - Use Prices'!$C$6:$AL$89,MATCH($C88,'[2]End - Use Prices'!$A$6:$A$89,0)+MATCH($D88,'[2]End - Use Prices'!$B$9:$B$11,0)-1,MATCH(AY$1,'[2]End - Use Prices'!$C$7:$AL$7,0))</f>
        <v>43.17</v>
      </c>
      <c r="AZ88" s="41">
        <f>INDEX('[2]End - Use Prices'!$C$6:$AL$89,MATCH($C88,'[2]End - Use Prices'!$A$6:$A$89,0)+MATCH($D88,'[2]End - Use Prices'!$B$9:$B$11,0)-1,MATCH(AZ$1,'[2]End - Use Prices'!$C$7:$AL$7,0))</f>
        <v>43.25</v>
      </c>
      <c r="BA88" s="41">
        <f>INDEX('[2]End - Use Prices'!$C$6:$AL$89,MATCH($C88,'[2]End - Use Prices'!$A$6:$A$89,0)+MATCH($D88,'[2]End - Use Prices'!$B$9:$B$11,0)-1,MATCH(BA$1,'[2]End - Use Prices'!$C$7:$AL$7,0))</f>
        <v>43.28</v>
      </c>
      <c r="BB88" s="41">
        <f>INDEX('[2]End - Use Prices'!$C$6:$AL$89,MATCH($C88,'[2]End - Use Prices'!$A$6:$A$89,0)+MATCH($D88,'[2]End - Use Prices'!$B$9:$B$11,0)-1,MATCH(BB$1,'[2]End - Use Prices'!$C$7:$AL$7,0))</f>
        <v>43.31</v>
      </c>
      <c r="BC88" s="41">
        <f>INDEX('[2]End - Use Prices'!$C$6:$AL$89,MATCH($C88,'[2]End - Use Prices'!$A$6:$A$89,0)+MATCH($D88,'[2]End - Use Prices'!$B$9:$B$11,0)-1,MATCH(BC$1,'[2]End - Use Prices'!$C$7:$AL$7,0))</f>
        <v>43.33</v>
      </c>
      <c r="BD88" s="41">
        <f>INDEX('[2]End - Use Prices'!$C$6:$AL$89,MATCH($C88,'[2]End - Use Prices'!$A$6:$A$89,0)+MATCH($D88,'[2]End - Use Prices'!$B$9:$B$11,0)-1,MATCH(BD$1,'[2]End - Use Prices'!$C$7:$AL$7,0))</f>
        <v>43.33</v>
      </c>
      <c r="BE88" s="41">
        <f>INDEX('[2]End - Use Prices'!$C$6:$AL$89,MATCH($C88,'[2]End - Use Prices'!$A$6:$A$89,0)+MATCH($D88,'[2]End - Use Prices'!$B$9:$B$11,0)-1,MATCH(BE$1,'[2]End - Use Prices'!$C$7:$AL$7,0))</f>
        <v>43.31</v>
      </c>
      <c r="BF88" s="41">
        <f>INDEX('[2]End - Use Prices'!$C$6:$AL$89,MATCH($C88,'[2]End - Use Prices'!$A$6:$A$89,0)+MATCH($D88,'[2]End - Use Prices'!$B$9:$B$11,0)-1,MATCH(BF$1,'[2]End - Use Prices'!$C$7:$AL$7,0))</f>
        <v>43.3</v>
      </c>
      <c r="BG88" s="41">
        <f>INDEX('[2]End - Use Prices'!$C$6:$AL$89,MATCH($C88,'[2]End - Use Prices'!$A$6:$A$89,0)+MATCH($D88,'[2]End - Use Prices'!$B$9:$B$11,0)-1,MATCH(BG$1,'[2]End - Use Prices'!$C$7:$AL$7,0))</f>
        <v>43.29</v>
      </c>
      <c r="BR88" s="39"/>
      <c r="BS88" s="39"/>
      <c r="BT88" s="39"/>
      <c r="BU88" s="39"/>
      <c r="BV88" s="39"/>
      <c r="BW88" s="39"/>
      <c r="BX88" s="39"/>
      <c r="BY88" s="39"/>
      <c r="BZ88" s="39"/>
      <c r="CA88" s="39"/>
    </row>
    <row r="89" spans="1:79">
      <c r="A89" s="5"/>
      <c r="B89" s="3"/>
      <c r="C89" s="25" t="s">
        <v>93</v>
      </c>
      <c r="D89" s="25" t="s">
        <v>13</v>
      </c>
      <c r="E89" s="25" t="s">
        <v>277</v>
      </c>
      <c r="F89" s="67" t="s">
        <v>275</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INDEX('[2]End - Use Prices'!$C$6:$AL$89,MATCH($C89,'[2]End - Use Prices'!$A$6:$A$89,0)+MATCH($D89,'[2]End - Use Prices'!$B$9:$B$11,0)-1,MATCH(X$1,'[2]End - Use Prices'!$C$7:$AL$7,0))</f>
        <v>15.71</v>
      </c>
      <c r="Y89" s="41">
        <f>INDEX('[2]End - Use Prices'!$C$6:$AL$89,MATCH($C89,'[2]End - Use Prices'!$A$6:$A$89,0)+MATCH($D89,'[2]End - Use Prices'!$B$9:$B$11,0)-1,MATCH(Y$1,'[2]End - Use Prices'!$C$7:$AL$7,0))</f>
        <v>16.100000000000001</v>
      </c>
      <c r="Z89" s="41">
        <f>INDEX('[2]End - Use Prices'!$C$6:$AL$89,MATCH($C89,'[2]End - Use Prices'!$A$6:$A$89,0)+MATCH($D89,'[2]End - Use Prices'!$B$9:$B$11,0)-1,MATCH(Z$1,'[2]End - Use Prices'!$C$7:$AL$7,0))</f>
        <v>15.74</v>
      </c>
      <c r="AA89" s="41">
        <f>INDEX('[2]End - Use Prices'!$C$6:$AL$89,MATCH($C89,'[2]End - Use Prices'!$A$6:$A$89,0)+MATCH($D89,'[2]End - Use Prices'!$B$9:$B$11,0)-1,MATCH(AA$1,'[2]End - Use Prices'!$C$7:$AL$7,0))</f>
        <v>15.46</v>
      </c>
      <c r="AB89" s="41">
        <f>INDEX('[2]End - Use Prices'!$C$6:$AL$89,MATCH($C89,'[2]End - Use Prices'!$A$6:$A$89,0)+MATCH($D89,'[2]End - Use Prices'!$B$9:$B$11,0)-1,MATCH(AB$1,'[2]End - Use Prices'!$C$7:$AL$7,0))</f>
        <v>15.41</v>
      </c>
      <c r="AC89" s="41">
        <f>INDEX('[2]End - Use Prices'!$C$6:$AL$89,MATCH($C89,'[2]End - Use Prices'!$A$6:$A$89,0)+MATCH($D89,'[2]End - Use Prices'!$B$9:$B$11,0)-1,MATCH(AC$1,'[2]End - Use Prices'!$C$7:$AL$7,0))</f>
        <v>14.92</v>
      </c>
      <c r="AD89" s="41">
        <f>INDEX('[2]End - Use Prices'!$C$6:$AL$89,MATCH($C89,'[2]End - Use Prices'!$A$6:$A$89,0)+MATCH($D89,'[2]End - Use Prices'!$B$9:$B$11,0)-1,MATCH(AD$1,'[2]End - Use Prices'!$C$7:$AL$7,0))</f>
        <v>13.77</v>
      </c>
      <c r="AE89" s="41">
        <f>INDEX('[2]End - Use Prices'!$C$6:$AL$89,MATCH($C89,'[2]End - Use Prices'!$A$6:$A$89,0)+MATCH($D89,'[2]End - Use Prices'!$B$9:$B$11,0)-1,MATCH(AE$1,'[2]End - Use Prices'!$C$7:$AL$7,0))</f>
        <v>12.54</v>
      </c>
      <c r="AF89" s="41">
        <f>INDEX('[2]End - Use Prices'!$C$6:$AL$89,MATCH($C89,'[2]End - Use Prices'!$A$6:$A$89,0)+MATCH($D89,'[2]End - Use Prices'!$B$9:$B$11,0)-1,MATCH(AF$1,'[2]End - Use Prices'!$C$7:$AL$7,0))</f>
        <v>12.18</v>
      </c>
      <c r="AG89" s="41">
        <f>INDEX('[2]End - Use Prices'!$C$6:$AL$89,MATCH($C89,'[2]End - Use Prices'!$A$6:$A$89,0)+MATCH($D89,'[2]End - Use Prices'!$B$9:$B$11,0)-1,MATCH(AG$1,'[2]End - Use Prices'!$C$7:$AL$7,0))</f>
        <v>13.28</v>
      </c>
      <c r="AH89" s="41">
        <f>INDEX('[2]End - Use Prices'!$C$6:$AL$89,MATCH($C89,'[2]End - Use Prices'!$A$6:$A$89,0)+MATCH($D89,'[2]End - Use Prices'!$B$9:$B$11,0)-1,MATCH(AH$1,'[2]End - Use Prices'!$C$7:$AL$7,0))</f>
        <v>12.25</v>
      </c>
      <c r="AI89" s="41">
        <f>INDEX('[2]End - Use Prices'!$C$6:$AL$89,MATCH($C89,'[2]End - Use Prices'!$A$6:$A$89,0)+MATCH($D89,'[2]End - Use Prices'!$B$9:$B$11,0)-1,MATCH(AI$1,'[2]End - Use Prices'!$C$7:$AL$7,0))</f>
        <v>8.43</v>
      </c>
      <c r="AJ89" s="41">
        <f>INDEX('[2]End - Use Prices'!$C$6:$AL$89,MATCH($C89,'[2]End - Use Prices'!$A$6:$A$89,0)+MATCH($D89,'[2]End - Use Prices'!$B$9:$B$11,0)-1,MATCH(AJ$1,'[2]End - Use Prices'!$C$7:$AL$7,0))</f>
        <v>8.91</v>
      </c>
      <c r="AK89" s="41">
        <f>INDEX('[2]End - Use Prices'!$C$6:$AL$89,MATCH($C89,'[2]End - Use Prices'!$A$6:$A$89,0)+MATCH($D89,'[2]End - Use Prices'!$B$9:$B$11,0)-1,MATCH(AK$1,'[2]End - Use Prices'!$C$7:$AL$7,0))</f>
        <v>8.81</v>
      </c>
      <c r="AL89" s="41">
        <f>INDEX('[2]End - Use Prices'!$C$6:$AL$89,MATCH($C89,'[2]End - Use Prices'!$A$6:$A$89,0)+MATCH($D89,'[2]End - Use Prices'!$B$9:$B$11,0)-1,MATCH(AL$1,'[2]End - Use Prices'!$C$7:$AL$7,0))</f>
        <v>8.7899999999999991</v>
      </c>
      <c r="AM89" s="41">
        <f>INDEX('[2]End - Use Prices'!$C$6:$AL$89,MATCH($C89,'[2]End - Use Prices'!$A$6:$A$89,0)+MATCH($D89,'[2]End - Use Prices'!$B$9:$B$11,0)-1,MATCH(AM$1,'[2]End - Use Prices'!$C$7:$AL$7,0))</f>
        <v>9.07</v>
      </c>
      <c r="AN89" s="41">
        <f>INDEX('[2]End - Use Prices'!$C$6:$AL$89,MATCH($C89,'[2]End - Use Prices'!$A$6:$A$89,0)+MATCH($D89,'[2]End - Use Prices'!$B$9:$B$11,0)-1,MATCH(AN$1,'[2]End - Use Prices'!$C$7:$AL$7,0))</f>
        <v>9.2200000000000006</v>
      </c>
      <c r="AO89" s="41">
        <f>INDEX('[2]End - Use Prices'!$C$6:$AL$89,MATCH($C89,'[2]End - Use Prices'!$A$6:$A$89,0)+MATCH($D89,'[2]End - Use Prices'!$B$9:$B$11,0)-1,MATCH(AO$1,'[2]End - Use Prices'!$C$7:$AL$7,0))</f>
        <v>9.36</v>
      </c>
      <c r="AP89" s="41">
        <f>INDEX('[2]End - Use Prices'!$C$6:$AL$89,MATCH($C89,'[2]End - Use Prices'!$A$6:$A$89,0)+MATCH($D89,'[2]End - Use Prices'!$B$9:$B$11,0)-1,MATCH(AP$1,'[2]End - Use Prices'!$C$7:$AL$7,0))</f>
        <v>9.48</v>
      </c>
      <c r="AQ89" s="41">
        <f>INDEX('[2]End - Use Prices'!$C$6:$AL$89,MATCH($C89,'[2]End - Use Prices'!$A$6:$A$89,0)+MATCH($D89,'[2]End - Use Prices'!$B$9:$B$11,0)-1,MATCH(AQ$1,'[2]End - Use Prices'!$C$7:$AL$7,0))</f>
        <v>9.48</v>
      </c>
      <c r="AR89" s="41">
        <f>INDEX('[2]End - Use Prices'!$C$6:$AL$89,MATCH($C89,'[2]End - Use Prices'!$A$6:$A$89,0)+MATCH($D89,'[2]End - Use Prices'!$B$9:$B$11,0)-1,MATCH(AR$1,'[2]End - Use Prices'!$C$7:$AL$7,0))</f>
        <v>9.5</v>
      </c>
      <c r="AS89" s="41">
        <f>INDEX('[2]End - Use Prices'!$C$6:$AL$89,MATCH($C89,'[2]End - Use Prices'!$A$6:$A$89,0)+MATCH($D89,'[2]End - Use Prices'!$B$9:$B$11,0)-1,MATCH(AS$1,'[2]End - Use Prices'!$C$7:$AL$7,0))</f>
        <v>9.58</v>
      </c>
      <c r="AT89" s="41">
        <f>INDEX('[2]End - Use Prices'!$C$6:$AL$89,MATCH($C89,'[2]End - Use Prices'!$A$6:$A$89,0)+MATCH($D89,'[2]End - Use Prices'!$B$9:$B$11,0)-1,MATCH(AT$1,'[2]End - Use Prices'!$C$7:$AL$7,0))</f>
        <v>9.66</v>
      </c>
      <c r="AU89" s="41">
        <f>INDEX('[2]End - Use Prices'!$C$6:$AL$89,MATCH($C89,'[2]End - Use Prices'!$A$6:$A$89,0)+MATCH($D89,'[2]End - Use Prices'!$B$9:$B$11,0)-1,MATCH(AU$1,'[2]End - Use Prices'!$C$7:$AL$7,0))</f>
        <v>9.75</v>
      </c>
      <c r="AV89" s="41">
        <f>INDEX('[2]End - Use Prices'!$C$6:$AL$89,MATCH($C89,'[2]End - Use Prices'!$A$6:$A$89,0)+MATCH($D89,'[2]End - Use Prices'!$B$9:$B$11,0)-1,MATCH(AV$1,'[2]End - Use Prices'!$C$7:$AL$7,0))</f>
        <v>9.85</v>
      </c>
      <c r="AW89" s="41">
        <f>INDEX('[2]End - Use Prices'!$C$6:$AL$89,MATCH($C89,'[2]End - Use Prices'!$A$6:$A$89,0)+MATCH($D89,'[2]End - Use Prices'!$B$9:$B$11,0)-1,MATCH(AW$1,'[2]End - Use Prices'!$C$7:$AL$7,0))</f>
        <v>9.94</v>
      </c>
      <c r="AX89" s="41">
        <f>INDEX('[2]End - Use Prices'!$C$6:$AL$89,MATCH($C89,'[2]End - Use Prices'!$A$6:$A$89,0)+MATCH($D89,'[2]End - Use Prices'!$B$9:$B$11,0)-1,MATCH(AX$1,'[2]End - Use Prices'!$C$7:$AL$7,0))</f>
        <v>10.039999999999999</v>
      </c>
      <c r="AY89" s="41">
        <f>INDEX('[2]End - Use Prices'!$C$6:$AL$89,MATCH($C89,'[2]End - Use Prices'!$A$6:$A$89,0)+MATCH($D89,'[2]End - Use Prices'!$B$9:$B$11,0)-1,MATCH(AY$1,'[2]End - Use Prices'!$C$7:$AL$7,0))</f>
        <v>10.16</v>
      </c>
      <c r="AZ89" s="41">
        <f>INDEX('[2]End - Use Prices'!$C$6:$AL$89,MATCH($C89,'[2]End - Use Prices'!$A$6:$A$89,0)+MATCH($D89,'[2]End - Use Prices'!$B$9:$B$11,0)-1,MATCH(AZ$1,'[2]End - Use Prices'!$C$7:$AL$7,0))</f>
        <v>10.28</v>
      </c>
      <c r="BA89" s="41">
        <f>INDEX('[2]End - Use Prices'!$C$6:$AL$89,MATCH($C89,'[2]End - Use Prices'!$A$6:$A$89,0)+MATCH($D89,'[2]End - Use Prices'!$B$9:$B$11,0)-1,MATCH(BA$1,'[2]End - Use Prices'!$C$7:$AL$7,0))</f>
        <v>10.34</v>
      </c>
      <c r="BB89" s="41">
        <f>INDEX('[2]End - Use Prices'!$C$6:$AL$89,MATCH($C89,'[2]End - Use Prices'!$A$6:$A$89,0)+MATCH($D89,'[2]End - Use Prices'!$B$9:$B$11,0)-1,MATCH(BB$1,'[2]End - Use Prices'!$C$7:$AL$7,0))</f>
        <v>10.41</v>
      </c>
      <c r="BC89" s="41">
        <f>INDEX('[2]End - Use Prices'!$C$6:$AL$89,MATCH($C89,'[2]End - Use Prices'!$A$6:$A$89,0)+MATCH($D89,'[2]End - Use Prices'!$B$9:$B$11,0)-1,MATCH(BC$1,'[2]End - Use Prices'!$C$7:$AL$7,0))</f>
        <v>10.46</v>
      </c>
      <c r="BD89" s="41">
        <f>INDEX('[2]End - Use Prices'!$C$6:$AL$89,MATCH($C89,'[2]End - Use Prices'!$A$6:$A$89,0)+MATCH($D89,'[2]End - Use Prices'!$B$9:$B$11,0)-1,MATCH(BD$1,'[2]End - Use Prices'!$C$7:$AL$7,0))</f>
        <v>10.5</v>
      </c>
      <c r="BE89" s="41">
        <f>INDEX('[2]End - Use Prices'!$C$6:$AL$89,MATCH($C89,'[2]End - Use Prices'!$A$6:$A$89,0)+MATCH($D89,'[2]End - Use Prices'!$B$9:$B$11,0)-1,MATCH(BE$1,'[2]End - Use Prices'!$C$7:$AL$7,0))</f>
        <v>10.54</v>
      </c>
      <c r="BF89" s="41">
        <f>INDEX('[2]End - Use Prices'!$C$6:$AL$89,MATCH($C89,'[2]End - Use Prices'!$A$6:$A$89,0)+MATCH($D89,'[2]End - Use Prices'!$B$9:$B$11,0)-1,MATCH(BF$1,'[2]End - Use Prices'!$C$7:$AL$7,0))</f>
        <v>10.57</v>
      </c>
      <c r="BG89" s="41">
        <f>INDEX('[2]End - Use Prices'!$C$6:$AL$89,MATCH($C89,'[2]End - Use Prices'!$A$6:$A$89,0)+MATCH($D89,'[2]End - Use Prices'!$B$9:$B$11,0)-1,MATCH(BG$1,'[2]End - Use Prices'!$C$7:$AL$7,0))</f>
        <v>10.59</v>
      </c>
      <c r="BR89" s="39"/>
      <c r="BS89" s="39"/>
      <c r="BT89" s="39"/>
      <c r="BU89" s="39"/>
      <c r="BV89" s="39"/>
      <c r="BW89" s="39"/>
      <c r="BX89" s="39"/>
      <c r="BY89" s="39"/>
      <c r="BZ89" s="39"/>
      <c r="CA89" s="39"/>
    </row>
    <row r="90" spans="1:79">
      <c r="A90" s="5"/>
      <c r="B90" s="3"/>
      <c r="C90" s="25" t="s">
        <v>47</v>
      </c>
      <c r="D90" s="25" t="s">
        <v>276</v>
      </c>
      <c r="E90" s="25" t="s">
        <v>277</v>
      </c>
      <c r="F90" s="67" t="s">
        <v>275</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INDEX('[2]End - Use Prices'!$C$6:$AL$89,MATCH($C90,'[2]End - Use Prices'!$A$6:$A$89,0)+MATCH($D90,'[2]End - Use Prices'!$B$9:$B$11,0)-1,MATCH(X$1,'[2]End - Use Prices'!$C$7:$AL$7,0))</f>
        <v>25.71</v>
      </c>
      <c r="Y90" s="41">
        <f>INDEX('[2]End - Use Prices'!$C$6:$AL$89,MATCH($C90,'[2]End - Use Prices'!$A$6:$A$89,0)+MATCH($D90,'[2]End - Use Prices'!$B$9:$B$11,0)-1,MATCH(Y$1,'[2]End - Use Prices'!$C$7:$AL$7,0))</f>
        <v>26.31</v>
      </c>
      <c r="Z90" s="41">
        <f>INDEX('[2]End - Use Prices'!$C$6:$AL$89,MATCH($C90,'[2]End - Use Prices'!$A$6:$A$89,0)+MATCH($D90,'[2]End - Use Prices'!$B$9:$B$11,0)-1,MATCH(Z$1,'[2]End - Use Prices'!$C$7:$AL$7,0))</f>
        <v>26.43</v>
      </c>
      <c r="AA90" s="41">
        <f>INDEX('[2]End - Use Prices'!$C$6:$AL$89,MATCH($C90,'[2]End - Use Prices'!$A$6:$A$89,0)+MATCH($D90,'[2]End - Use Prices'!$B$9:$B$11,0)-1,MATCH(AA$1,'[2]End - Use Prices'!$C$7:$AL$7,0))</f>
        <v>33.200000000000003</v>
      </c>
      <c r="AB90" s="41">
        <f>INDEX('[2]End - Use Prices'!$C$6:$AL$89,MATCH($C90,'[2]End - Use Prices'!$A$6:$A$89,0)+MATCH($D90,'[2]End - Use Prices'!$B$9:$B$11,0)-1,MATCH(AB$1,'[2]End - Use Prices'!$C$7:$AL$7,0))</f>
        <v>23.79</v>
      </c>
      <c r="AC90" s="41">
        <f>INDEX('[2]End - Use Prices'!$C$6:$AL$89,MATCH($C90,'[2]End - Use Prices'!$A$6:$A$89,0)+MATCH($D90,'[2]End - Use Prices'!$B$9:$B$11,0)-1,MATCH(AC$1,'[2]End - Use Prices'!$C$7:$AL$7,0))</f>
        <v>26.91</v>
      </c>
      <c r="AD90" s="41">
        <f>INDEX('[2]End - Use Prices'!$C$6:$AL$89,MATCH($C90,'[2]End - Use Prices'!$A$6:$A$89,0)+MATCH($D90,'[2]End - Use Prices'!$B$9:$B$11,0)-1,MATCH(AD$1,'[2]End - Use Prices'!$C$7:$AL$7,0))</f>
        <v>32.58</v>
      </c>
      <c r="AE90" s="41">
        <f>INDEX('[2]End - Use Prices'!$C$6:$AL$89,MATCH($C90,'[2]End - Use Prices'!$A$6:$A$89,0)+MATCH($D90,'[2]End - Use Prices'!$B$9:$B$11,0)-1,MATCH(AE$1,'[2]End - Use Prices'!$C$7:$AL$7,0))</f>
        <v>33.74</v>
      </c>
      <c r="AF90" s="41">
        <f>INDEX('[2]End - Use Prices'!$C$6:$AL$89,MATCH($C90,'[2]End - Use Prices'!$A$6:$A$89,0)+MATCH($D90,'[2]End - Use Prices'!$B$9:$B$11,0)-1,MATCH(AF$1,'[2]End - Use Prices'!$C$7:$AL$7,0))</f>
        <v>33.31</v>
      </c>
      <c r="AG90" s="41">
        <f>INDEX('[2]End - Use Prices'!$C$6:$AL$89,MATCH($C90,'[2]End - Use Prices'!$A$6:$A$89,0)+MATCH($D90,'[2]End - Use Prices'!$B$9:$B$11,0)-1,MATCH(AG$1,'[2]End - Use Prices'!$C$7:$AL$7,0))</f>
        <v>34.46</v>
      </c>
      <c r="AH90" s="41">
        <f>INDEX('[2]End - Use Prices'!$C$6:$AL$89,MATCH($C90,'[2]End - Use Prices'!$A$6:$A$89,0)+MATCH($D90,'[2]End - Use Prices'!$B$9:$B$11,0)-1,MATCH(AH$1,'[2]End - Use Prices'!$C$7:$AL$7,0))</f>
        <v>28.23</v>
      </c>
      <c r="AI90" s="41">
        <f>INDEX('[2]End - Use Prices'!$C$6:$AL$89,MATCH($C90,'[2]End - Use Prices'!$A$6:$A$89,0)+MATCH($D90,'[2]End - Use Prices'!$B$9:$B$11,0)-1,MATCH(AI$1,'[2]End - Use Prices'!$C$7:$AL$7,0))</f>
        <v>24.61</v>
      </c>
      <c r="AJ90" s="41">
        <f>INDEX('[2]End - Use Prices'!$C$6:$AL$89,MATCH($C90,'[2]End - Use Prices'!$A$6:$A$89,0)+MATCH($D90,'[2]End - Use Prices'!$B$9:$B$11,0)-1,MATCH(AJ$1,'[2]End - Use Prices'!$C$7:$AL$7,0))</f>
        <v>27.26</v>
      </c>
      <c r="AK90" s="41">
        <f>INDEX('[2]End - Use Prices'!$C$6:$AL$89,MATCH($C90,'[2]End - Use Prices'!$A$6:$A$89,0)+MATCH($D90,'[2]End - Use Prices'!$B$9:$B$11,0)-1,MATCH(AK$1,'[2]End - Use Prices'!$C$7:$AL$7,0))</f>
        <v>31.59</v>
      </c>
      <c r="AL90" s="41">
        <f>INDEX('[2]End - Use Prices'!$C$6:$AL$89,MATCH($C90,'[2]End - Use Prices'!$A$6:$A$89,0)+MATCH($D90,'[2]End - Use Prices'!$B$9:$B$11,0)-1,MATCH(AL$1,'[2]End - Use Prices'!$C$7:$AL$7,0))</f>
        <v>35.08</v>
      </c>
      <c r="AM90" s="41">
        <f>INDEX('[2]End - Use Prices'!$C$6:$AL$89,MATCH($C90,'[2]End - Use Prices'!$A$6:$A$89,0)+MATCH($D90,'[2]End - Use Prices'!$B$9:$B$11,0)-1,MATCH(AM$1,'[2]End - Use Prices'!$C$7:$AL$7,0))</f>
        <v>38.950000000000003</v>
      </c>
      <c r="AN90" s="41">
        <f>INDEX('[2]End - Use Prices'!$C$6:$AL$89,MATCH($C90,'[2]End - Use Prices'!$A$6:$A$89,0)+MATCH($D90,'[2]End - Use Prices'!$B$9:$B$11,0)-1,MATCH(AN$1,'[2]End - Use Prices'!$C$7:$AL$7,0))</f>
        <v>36.01</v>
      </c>
      <c r="AO90" s="41">
        <f>INDEX('[2]End - Use Prices'!$C$6:$AL$89,MATCH($C90,'[2]End - Use Prices'!$A$6:$A$89,0)+MATCH($D90,'[2]End - Use Prices'!$B$9:$B$11,0)-1,MATCH(AO$1,'[2]End - Use Prices'!$C$7:$AL$7,0))</f>
        <v>34.17</v>
      </c>
      <c r="AP90" s="41">
        <f>INDEX('[2]End - Use Prices'!$C$6:$AL$89,MATCH($C90,'[2]End - Use Prices'!$A$6:$A$89,0)+MATCH($D90,'[2]End - Use Prices'!$B$9:$B$11,0)-1,MATCH(AP$1,'[2]End - Use Prices'!$C$7:$AL$7,0))</f>
        <v>34.06</v>
      </c>
      <c r="AQ90" s="41">
        <f>INDEX('[2]End - Use Prices'!$C$6:$AL$89,MATCH($C90,'[2]End - Use Prices'!$A$6:$A$89,0)+MATCH($D90,'[2]End - Use Prices'!$B$9:$B$11,0)-1,MATCH(AQ$1,'[2]End - Use Prices'!$C$7:$AL$7,0))</f>
        <v>34.04</v>
      </c>
      <c r="AR90" s="41">
        <f>INDEX('[2]End - Use Prices'!$C$6:$AL$89,MATCH($C90,'[2]End - Use Prices'!$A$6:$A$89,0)+MATCH($D90,'[2]End - Use Prices'!$B$9:$B$11,0)-1,MATCH(AR$1,'[2]End - Use Prices'!$C$7:$AL$7,0))</f>
        <v>34.25</v>
      </c>
      <c r="AS90" s="41">
        <f>INDEX('[2]End - Use Prices'!$C$6:$AL$89,MATCH($C90,'[2]End - Use Prices'!$A$6:$A$89,0)+MATCH($D90,'[2]End - Use Prices'!$B$9:$B$11,0)-1,MATCH(AS$1,'[2]End - Use Prices'!$C$7:$AL$7,0))</f>
        <v>34.39</v>
      </c>
      <c r="AT90" s="41">
        <f>INDEX('[2]End - Use Prices'!$C$6:$AL$89,MATCH($C90,'[2]End - Use Prices'!$A$6:$A$89,0)+MATCH($D90,'[2]End - Use Prices'!$B$9:$B$11,0)-1,MATCH(AT$1,'[2]End - Use Prices'!$C$7:$AL$7,0))</f>
        <v>34.22</v>
      </c>
      <c r="AU90" s="41">
        <f>INDEX('[2]End - Use Prices'!$C$6:$AL$89,MATCH($C90,'[2]End - Use Prices'!$A$6:$A$89,0)+MATCH($D90,'[2]End - Use Prices'!$B$9:$B$11,0)-1,MATCH(AU$1,'[2]End - Use Prices'!$C$7:$AL$7,0))</f>
        <v>34.020000000000003</v>
      </c>
      <c r="AV90" s="41">
        <f>INDEX('[2]End - Use Prices'!$C$6:$AL$89,MATCH($C90,'[2]End - Use Prices'!$A$6:$A$89,0)+MATCH($D90,'[2]End - Use Prices'!$B$9:$B$11,0)-1,MATCH(AV$1,'[2]End - Use Prices'!$C$7:$AL$7,0))</f>
        <v>33.840000000000003</v>
      </c>
      <c r="AW90" s="41">
        <f>INDEX('[2]End - Use Prices'!$C$6:$AL$89,MATCH($C90,'[2]End - Use Prices'!$A$6:$A$89,0)+MATCH($D90,'[2]End - Use Prices'!$B$9:$B$11,0)-1,MATCH(AW$1,'[2]End - Use Prices'!$C$7:$AL$7,0))</f>
        <v>33.67</v>
      </c>
      <c r="AX90" s="41">
        <f>INDEX('[2]End - Use Prices'!$C$6:$AL$89,MATCH($C90,'[2]End - Use Prices'!$A$6:$A$89,0)+MATCH($D90,'[2]End - Use Prices'!$B$9:$B$11,0)-1,MATCH(AX$1,'[2]End - Use Prices'!$C$7:$AL$7,0))</f>
        <v>33.58</v>
      </c>
      <c r="AY90" s="41">
        <f>INDEX('[2]End - Use Prices'!$C$6:$AL$89,MATCH($C90,'[2]End - Use Prices'!$A$6:$A$89,0)+MATCH($D90,'[2]End - Use Prices'!$B$9:$B$11,0)-1,MATCH(AY$1,'[2]End - Use Prices'!$C$7:$AL$7,0))</f>
        <v>33.51</v>
      </c>
      <c r="AZ90" s="41">
        <f>INDEX('[2]End - Use Prices'!$C$6:$AL$89,MATCH($C90,'[2]End - Use Prices'!$A$6:$A$89,0)+MATCH($D90,'[2]End - Use Prices'!$B$9:$B$11,0)-1,MATCH(AZ$1,'[2]End - Use Prices'!$C$7:$AL$7,0))</f>
        <v>33.49</v>
      </c>
      <c r="BA90" s="41">
        <f>INDEX('[2]End - Use Prices'!$C$6:$AL$89,MATCH($C90,'[2]End - Use Prices'!$A$6:$A$89,0)+MATCH($D90,'[2]End - Use Prices'!$B$9:$B$11,0)-1,MATCH(BA$1,'[2]End - Use Prices'!$C$7:$AL$7,0))</f>
        <v>33.5</v>
      </c>
      <c r="BB90" s="41">
        <f>INDEX('[2]End - Use Prices'!$C$6:$AL$89,MATCH($C90,'[2]End - Use Prices'!$A$6:$A$89,0)+MATCH($D90,'[2]End - Use Prices'!$B$9:$B$11,0)-1,MATCH(BB$1,'[2]End - Use Prices'!$C$7:$AL$7,0))</f>
        <v>33.49</v>
      </c>
      <c r="BC90" s="41">
        <f>INDEX('[2]End - Use Prices'!$C$6:$AL$89,MATCH($C90,'[2]End - Use Prices'!$A$6:$A$89,0)+MATCH($D90,'[2]End - Use Prices'!$B$9:$B$11,0)-1,MATCH(BC$1,'[2]End - Use Prices'!$C$7:$AL$7,0))</f>
        <v>33.46</v>
      </c>
      <c r="BD90" s="41">
        <f>INDEX('[2]End - Use Prices'!$C$6:$AL$89,MATCH($C90,'[2]End - Use Prices'!$A$6:$A$89,0)+MATCH($D90,'[2]End - Use Prices'!$B$9:$B$11,0)-1,MATCH(BD$1,'[2]End - Use Prices'!$C$7:$AL$7,0))</f>
        <v>33.42</v>
      </c>
      <c r="BE90" s="41">
        <f>INDEX('[2]End - Use Prices'!$C$6:$AL$89,MATCH($C90,'[2]End - Use Prices'!$A$6:$A$89,0)+MATCH($D90,'[2]End - Use Prices'!$B$9:$B$11,0)-1,MATCH(BE$1,'[2]End - Use Prices'!$C$7:$AL$7,0))</f>
        <v>33.340000000000003</v>
      </c>
      <c r="BF90" s="41">
        <f>INDEX('[2]End - Use Prices'!$C$6:$AL$89,MATCH($C90,'[2]End - Use Prices'!$A$6:$A$89,0)+MATCH($D90,'[2]End - Use Prices'!$B$9:$B$11,0)-1,MATCH(BF$1,'[2]End - Use Prices'!$C$7:$AL$7,0))</f>
        <v>33.270000000000003</v>
      </c>
      <c r="BG90" s="41">
        <f>INDEX('[2]End - Use Prices'!$C$6:$AL$89,MATCH($C90,'[2]End - Use Prices'!$A$6:$A$89,0)+MATCH($D90,'[2]End - Use Prices'!$B$9:$B$11,0)-1,MATCH(BG$1,'[2]End - Use Prices'!$C$7:$AL$7,0))</f>
        <v>33.18</v>
      </c>
      <c r="BR90" s="39"/>
      <c r="BS90" s="39"/>
      <c r="BT90" s="39"/>
      <c r="BU90" s="39"/>
      <c r="BV90" s="39"/>
      <c r="BW90" s="39"/>
      <c r="BX90" s="39"/>
      <c r="BY90" s="39"/>
      <c r="BZ90" s="39"/>
      <c r="CA90" s="39"/>
    </row>
    <row r="91" spans="1:79">
      <c r="A91" s="5"/>
      <c r="B91" s="3"/>
      <c r="C91" s="25" t="s">
        <v>84</v>
      </c>
      <c r="D91" s="25" t="s">
        <v>276</v>
      </c>
      <c r="E91" s="25" t="s">
        <v>277</v>
      </c>
      <c r="F91" s="67" t="s">
        <v>275</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INDEX('[2]End - Use Prices'!$C$6:$AL$89,MATCH($C91,'[2]End - Use Prices'!$A$6:$A$89,0)+MATCH($D91,'[2]End - Use Prices'!$B$9:$B$11,0)-1,MATCH(X$1,'[2]End - Use Prices'!$C$7:$AL$7,0))</f>
        <v>25.86</v>
      </c>
      <c r="Y91" s="41">
        <f>INDEX('[2]End - Use Prices'!$C$6:$AL$89,MATCH($C91,'[2]End - Use Prices'!$A$6:$A$89,0)+MATCH($D91,'[2]End - Use Prices'!$B$9:$B$11,0)-1,MATCH(Y$1,'[2]End - Use Prices'!$C$7:$AL$7,0))</f>
        <v>27.18</v>
      </c>
      <c r="Z91" s="41">
        <f>INDEX('[2]End - Use Prices'!$C$6:$AL$89,MATCH($C91,'[2]End - Use Prices'!$A$6:$A$89,0)+MATCH($D91,'[2]End - Use Prices'!$B$9:$B$11,0)-1,MATCH(Z$1,'[2]End - Use Prices'!$C$7:$AL$7,0))</f>
        <v>27.19</v>
      </c>
      <c r="AA91" s="41">
        <f>INDEX('[2]End - Use Prices'!$C$6:$AL$89,MATCH($C91,'[2]End - Use Prices'!$A$6:$A$89,0)+MATCH($D91,'[2]End - Use Prices'!$B$9:$B$11,0)-1,MATCH(AA$1,'[2]End - Use Prices'!$C$7:$AL$7,0))</f>
        <v>32.65</v>
      </c>
      <c r="AB91" s="41">
        <f>INDEX('[2]End - Use Prices'!$C$6:$AL$89,MATCH($C91,'[2]End - Use Prices'!$A$6:$A$89,0)+MATCH($D91,'[2]End - Use Prices'!$B$9:$B$11,0)-1,MATCH(AB$1,'[2]End - Use Prices'!$C$7:$AL$7,0))</f>
        <v>22.7</v>
      </c>
      <c r="AC91" s="41">
        <f>INDEX('[2]End - Use Prices'!$C$6:$AL$89,MATCH($C91,'[2]End - Use Prices'!$A$6:$A$89,0)+MATCH($D91,'[2]End - Use Prices'!$B$9:$B$11,0)-1,MATCH(AC$1,'[2]End - Use Prices'!$C$7:$AL$7,0))</f>
        <v>26.25</v>
      </c>
      <c r="AD91" s="41">
        <f>INDEX('[2]End - Use Prices'!$C$6:$AL$89,MATCH($C91,'[2]End - Use Prices'!$A$6:$A$89,0)+MATCH($D91,'[2]End - Use Prices'!$B$9:$B$11,0)-1,MATCH(AD$1,'[2]End - Use Prices'!$C$7:$AL$7,0))</f>
        <v>31.74</v>
      </c>
      <c r="AE91" s="41">
        <f>INDEX('[2]End - Use Prices'!$C$6:$AL$89,MATCH($C91,'[2]End - Use Prices'!$A$6:$A$89,0)+MATCH($D91,'[2]End - Use Prices'!$B$9:$B$11,0)-1,MATCH(AE$1,'[2]End - Use Prices'!$C$7:$AL$7,0))</f>
        <v>32.58</v>
      </c>
      <c r="AF91" s="41">
        <f>INDEX('[2]End - Use Prices'!$C$6:$AL$89,MATCH($C91,'[2]End - Use Prices'!$A$6:$A$89,0)+MATCH($D91,'[2]End - Use Prices'!$B$9:$B$11,0)-1,MATCH(AF$1,'[2]End - Use Prices'!$C$7:$AL$7,0))</f>
        <v>29.61</v>
      </c>
      <c r="AG91" s="41">
        <f>INDEX('[2]End - Use Prices'!$C$6:$AL$89,MATCH($C91,'[2]End - Use Prices'!$A$6:$A$89,0)+MATCH($D91,'[2]End - Use Prices'!$B$9:$B$11,0)-1,MATCH(AG$1,'[2]End - Use Prices'!$C$7:$AL$7,0))</f>
        <v>29.41</v>
      </c>
      <c r="AH91" s="41">
        <f>INDEX('[2]End - Use Prices'!$C$6:$AL$89,MATCH($C91,'[2]End - Use Prices'!$A$6:$A$89,0)+MATCH($D91,'[2]End - Use Prices'!$B$9:$B$11,0)-1,MATCH(AH$1,'[2]End - Use Prices'!$C$7:$AL$7,0))</f>
        <v>22.78</v>
      </c>
      <c r="AI91" s="41">
        <f>INDEX('[2]End - Use Prices'!$C$6:$AL$89,MATCH($C91,'[2]End - Use Prices'!$A$6:$A$89,0)+MATCH($D91,'[2]End - Use Prices'!$B$9:$B$11,0)-1,MATCH(AI$1,'[2]End - Use Prices'!$C$7:$AL$7,0))</f>
        <v>21.05</v>
      </c>
      <c r="AJ91" s="41">
        <f>INDEX('[2]End - Use Prices'!$C$6:$AL$89,MATCH($C91,'[2]End - Use Prices'!$A$6:$A$89,0)+MATCH($D91,'[2]End - Use Prices'!$B$9:$B$11,0)-1,MATCH(AJ$1,'[2]End - Use Prices'!$C$7:$AL$7,0))</f>
        <v>24</v>
      </c>
      <c r="AK91" s="41">
        <f>INDEX('[2]End - Use Prices'!$C$6:$AL$89,MATCH($C91,'[2]End - Use Prices'!$A$6:$A$89,0)+MATCH($D91,'[2]End - Use Prices'!$B$9:$B$11,0)-1,MATCH(AK$1,'[2]End - Use Prices'!$C$7:$AL$7,0))</f>
        <v>27.31</v>
      </c>
      <c r="AL91" s="41">
        <f>INDEX('[2]End - Use Prices'!$C$6:$AL$89,MATCH($C91,'[2]End - Use Prices'!$A$6:$A$89,0)+MATCH($D91,'[2]End - Use Prices'!$B$9:$B$11,0)-1,MATCH(AL$1,'[2]End - Use Prices'!$C$7:$AL$7,0))</f>
        <v>30.69</v>
      </c>
      <c r="AM91" s="41">
        <f>INDEX('[2]End - Use Prices'!$C$6:$AL$89,MATCH($C91,'[2]End - Use Prices'!$A$6:$A$89,0)+MATCH($D91,'[2]End - Use Prices'!$B$9:$B$11,0)-1,MATCH(AM$1,'[2]End - Use Prices'!$C$7:$AL$7,0))</f>
        <v>35.65</v>
      </c>
      <c r="AN91" s="41">
        <f>INDEX('[2]End - Use Prices'!$C$6:$AL$89,MATCH($C91,'[2]End - Use Prices'!$A$6:$A$89,0)+MATCH($D91,'[2]End - Use Prices'!$B$9:$B$11,0)-1,MATCH(AN$1,'[2]End - Use Prices'!$C$7:$AL$7,0))</f>
        <v>32.92</v>
      </c>
      <c r="AO91" s="41">
        <f>INDEX('[2]End - Use Prices'!$C$6:$AL$89,MATCH($C91,'[2]End - Use Prices'!$A$6:$A$89,0)+MATCH($D91,'[2]End - Use Prices'!$B$9:$B$11,0)-1,MATCH(AO$1,'[2]End - Use Prices'!$C$7:$AL$7,0))</f>
        <v>31.27</v>
      </c>
      <c r="AP91" s="41">
        <f>INDEX('[2]End - Use Prices'!$C$6:$AL$89,MATCH($C91,'[2]End - Use Prices'!$A$6:$A$89,0)+MATCH($D91,'[2]End - Use Prices'!$B$9:$B$11,0)-1,MATCH(AP$1,'[2]End - Use Prices'!$C$7:$AL$7,0))</f>
        <v>31.4</v>
      </c>
      <c r="AQ91" s="41">
        <f>INDEX('[2]End - Use Prices'!$C$6:$AL$89,MATCH($C91,'[2]End - Use Prices'!$A$6:$A$89,0)+MATCH($D91,'[2]End - Use Prices'!$B$9:$B$11,0)-1,MATCH(AQ$1,'[2]End - Use Prices'!$C$7:$AL$7,0))</f>
        <v>31.13</v>
      </c>
      <c r="AR91" s="41">
        <f>INDEX('[2]End - Use Prices'!$C$6:$AL$89,MATCH($C91,'[2]End - Use Prices'!$A$6:$A$89,0)+MATCH($D91,'[2]End - Use Prices'!$B$9:$B$11,0)-1,MATCH(AR$1,'[2]End - Use Prices'!$C$7:$AL$7,0))</f>
        <v>31.1</v>
      </c>
      <c r="AS91" s="41">
        <f>INDEX('[2]End - Use Prices'!$C$6:$AL$89,MATCH($C91,'[2]End - Use Prices'!$A$6:$A$89,0)+MATCH($D91,'[2]End - Use Prices'!$B$9:$B$11,0)-1,MATCH(AS$1,'[2]End - Use Prices'!$C$7:$AL$7,0))</f>
        <v>31.02</v>
      </c>
      <c r="AT91" s="41">
        <f>INDEX('[2]End - Use Prices'!$C$6:$AL$89,MATCH($C91,'[2]End - Use Prices'!$A$6:$A$89,0)+MATCH($D91,'[2]End - Use Prices'!$B$9:$B$11,0)-1,MATCH(AT$1,'[2]End - Use Prices'!$C$7:$AL$7,0))</f>
        <v>30.85</v>
      </c>
      <c r="AU91" s="41">
        <f>INDEX('[2]End - Use Prices'!$C$6:$AL$89,MATCH($C91,'[2]End - Use Prices'!$A$6:$A$89,0)+MATCH($D91,'[2]End - Use Prices'!$B$9:$B$11,0)-1,MATCH(AU$1,'[2]End - Use Prices'!$C$7:$AL$7,0))</f>
        <v>30.63</v>
      </c>
      <c r="AV91" s="41">
        <f>INDEX('[2]End - Use Prices'!$C$6:$AL$89,MATCH($C91,'[2]End - Use Prices'!$A$6:$A$89,0)+MATCH($D91,'[2]End - Use Prices'!$B$9:$B$11,0)-1,MATCH(AV$1,'[2]End - Use Prices'!$C$7:$AL$7,0))</f>
        <v>30.45</v>
      </c>
      <c r="AW91" s="41">
        <f>INDEX('[2]End - Use Prices'!$C$6:$AL$89,MATCH($C91,'[2]End - Use Prices'!$A$6:$A$89,0)+MATCH($D91,'[2]End - Use Prices'!$B$9:$B$11,0)-1,MATCH(AW$1,'[2]End - Use Prices'!$C$7:$AL$7,0))</f>
        <v>30.26</v>
      </c>
      <c r="AX91" s="41">
        <f>INDEX('[2]End - Use Prices'!$C$6:$AL$89,MATCH($C91,'[2]End - Use Prices'!$A$6:$A$89,0)+MATCH($D91,'[2]End - Use Prices'!$B$9:$B$11,0)-1,MATCH(AX$1,'[2]End - Use Prices'!$C$7:$AL$7,0))</f>
        <v>30.15</v>
      </c>
      <c r="AY91" s="41">
        <f>INDEX('[2]End - Use Prices'!$C$6:$AL$89,MATCH($C91,'[2]End - Use Prices'!$A$6:$A$89,0)+MATCH($D91,'[2]End - Use Prices'!$B$9:$B$11,0)-1,MATCH(AY$1,'[2]End - Use Prices'!$C$7:$AL$7,0))</f>
        <v>30.08</v>
      </c>
      <c r="AZ91" s="41">
        <f>INDEX('[2]End - Use Prices'!$C$6:$AL$89,MATCH($C91,'[2]End - Use Prices'!$A$6:$A$89,0)+MATCH($D91,'[2]End - Use Prices'!$B$9:$B$11,0)-1,MATCH(AZ$1,'[2]End - Use Prices'!$C$7:$AL$7,0))</f>
        <v>30.05</v>
      </c>
      <c r="BA91" s="41">
        <f>INDEX('[2]End - Use Prices'!$C$6:$AL$89,MATCH($C91,'[2]End - Use Prices'!$A$6:$A$89,0)+MATCH($D91,'[2]End - Use Prices'!$B$9:$B$11,0)-1,MATCH(BA$1,'[2]End - Use Prices'!$C$7:$AL$7,0))</f>
        <v>30.05</v>
      </c>
      <c r="BB91" s="41">
        <f>INDEX('[2]End - Use Prices'!$C$6:$AL$89,MATCH($C91,'[2]End - Use Prices'!$A$6:$A$89,0)+MATCH($D91,'[2]End - Use Prices'!$B$9:$B$11,0)-1,MATCH(BB$1,'[2]End - Use Prices'!$C$7:$AL$7,0))</f>
        <v>30.03</v>
      </c>
      <c r="BC91" s="41">
        <f>INDEX('[2]End - Use Prices'!$C$6:$AL$89,MATCH($C91,'[2]End - Use Prices'!$A$6:$A$89,0)+MATCH($D91,'[2]End - Use Prices'!$B$9:$B$11,0)-1,MATCH(BC$1,'[2]End - Use Prices'!$C$7:$AL$7,0))</f>
        <v>29.99</v>
      </c>
      <c r="BD91" s="41">
        <f>INDEX('[2]End - Use Prices'!$C$6:$AL$89,MATCH($C91,'[2]End - Use Prices'!$A$6:$A$89,0)+MATCH($D91,'[2]End - Use Prices'!$B$9:$B$11,0)-1,MATCH(BD$1,'[2]End - Use Prices'!$C$7:$AL$7,0))</f>
        <v>29.93</v>
      </c>
      <c r="BE91" s="41">
        <f>INDEX('[2]End - Use Prices'!$C$6:$AL$89,MATCH($C91,'[2]End - Use Prices'!$A$6:$A$89,0)+MATCH($D91,'[2]End - Use Prices'!$B$9:$B$11,0)-1,MATCH(BE$1,'[2]End - Use Prices'!$C$7:$AL$7,0))</f>
        <v>29.84</v>
      </c>
      <c r="BF91" s="41">
        <f>INDEX('[2]End - Use Prices'!$C$6:$AL$89,MATCH($C91,'[2]End - Use Prices'!$A$6:$A$89,0)+MATCH($D91,'[2]End - Use Prices'!$B$9:$B$11,0)-1,MATCH(BF$1,'[2]End - Use Prices'!$C$7:$AL$7,0))</f>
        <v>29.75</v>
      </c>
      <c r="BG91" s="41">
        <f>INDEX('[2]End - Use Prices'!$C$6:$AL$89,MATCH($C91,'[2]End - Use Prices'!$A$6:$A$89,0)+MATCH($D91,'[2]End - Use Prices'!$B$9:$B$11,0)-1,MATCH(BG$1,'[2]End - Use Prices'!$C$7:$AL$7,0))</f>
        <v>29.65</v>
      </c>
      <c r="BR91" s="39"/>
      <c r="BS91" s="39"/>
      <c r="BT91" s="39"/>
      <c r="BU91" s="39"/>
      <c r="BV91" s="39"/>
      <c r="BW91" s="39"/>
      <c r="BX91" s="39"/>
      <c r="BY91" s="39"/>
      <c r="BZ91" s="39"/>
      <c r="CA91" s="39"/>
    </row>
    <row r="92" spans="1:79">
      <c r="A92" s="5"/>
      <c r="B92" s="3"/>
      <c r="C92" s="25" t="s">
        <v>85</v>
      </c>
      <c r="D92" s="25" t="s">
        <v>276</v>
      </c>
      <c r="E92" s="25" t="s">
        <v>277</v>
      </c>
      <c r="F92" s="67" t="s">
        <v>275</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INDEX('[2]End - Use Prices'!$C$6:$AL$89,MATCH($C92,'[2]End - Use Prices'!$A$6:$A$89,0)+MATCH($D92,'[2]End - Use Prices'!$B$9:$B$11,0)-1,MATCH(X$1,'[2]End - Use Prices'!$C$7:$AL$7,0))</f>
        <v>24.29</v>
      </c>
      <c r="Y92" s="41">
        <f>INDEX('[2]End - Use Prices'!$C$6:$AL$89,MATCH($C92,'[2]End - Use Prices'!$A$6:$A$89,0)+MATCH($D92,'[2]End - Use Prices'!$B$9:$B$11,0)-1,MATCH(Y$1,'[2]End - Use Prices'!$C$7:$AL$7,0))</f>
        <v>24.86</v>
      </c>
      <c r="Z92" s="41">
        <f>INDEX('[2]End - Use Prices'!$C$6:$AL$89,MATCH($C92,'[2]End - Use Prices'!$A$6:$A$89,0)+MATCH($D92,'[2]End - Use Prices'!$B$9:$B$11,0)-1,MATCH(Z$1,'[2]End - Use Prices'!$C$7:$AL$7,0))</f>
        <v>24.61</v>
      </c>
      <c r="AA92" s="41">
        <f>INDEX('[2]End - Use Prices'!$C$6:$AL$89,MATCH($C92,'[2]End - Use Prices'!$A$6:$A$89,0)+MATCH($D92,'[2]End - Use Prices'!$B$9:$B$11,0)-1,MATCH(AA$1,'[2]End - Use Prices'!$C$7:$AL$7,0))</f>
        <v>30.51</v>
      </c>
      <c r="AB92" s="41">
        <f>INDEX('[2]End - Use Prices'!$C$6:$AL$89,MATCH($C92,'[2]End - Use Prices'!$A$6:$A$89,0)+MATCH($D92,'[2]End - Use Prices'!$B$9:$B$11,0)-1,MATCH(AB$1,'[2]End - Use Prices'!$C$7:$AL$7,0))</f>
        <v>21.93</v>
      </c>
      <c r="AC92" s="41">
        <f>INDEX('[2]End - Use Prices'!$C$6:$AL$89,MATCH($C92,'[2]End - Use Prices'!$A$6:$A$89,0)+MATCH($D92,'[2]End - Use Prices'!$B$9:$B$11,0)-1,MATCH(AC$1,'[2]End - Use Prices'!$C$7:$AL$7,0))</f>
        <v>24.71</v>
      </c>
      <c r="AD92" s="41">
        <f>INDEX('[2]End - Use Prices'!$C$6:$AL$89,MATCH($C92,'[2]End - Use Prices'!$A$6:$A$89,0)+MATCH($D92,'[2]End - Use Prices'!$B$9:$B$11,0)-1,MATCH(AD$1,'[2]End - Use Prices'!$C$7:$AL$7,0))</f>
        <v>30.18</v>
      </c>
      <c r="AE92" s="41">
        <f>INDEX('[2]End - Use Prices'!$C$6:$AL$89,MATCH($C92,'[2]End - Use Prices'!$A$6:$A$89,0)+MATCH($D92,'[2]End - Use Prices'!$B$9:$B$11,0)-1,MATCH(AE$1,'[2]End - Use Prices'!$C$7:$AL$7,0))</f>
        <v>31.33</v>
      </c>
      <c r="AF92" s="41">
        <f>INDEX('[2]End - Use Prices'!$C$6:$AL$89,MATCH($C92,'[2]End - Use Prices'!$A$6:$A$89,0)+MATCH($D92,'[2]End - Use Prices'!$B$9:$B$11,0)-1,MATCH(AF$1,'[2]End - Use Prices'!$C$7:$AL$7,0))</f>
        <v>30.91</v>
      </c>
      <c r="AG92" s="41">
        <f>INDEX('[2]End - Use Prices'!$C$6:$AL$89,MATCH($C92,'[2]End - Use Prices'!$A$6:$A$89,0)+MATCH($D92,'[2]End - Use Prices'!$B$9:$B$11,0)-1,MATCH(AG$1,'[2]End - Use Prices'!$C$7:$AL$7,0))</f>
        <v>31</v>
      </c>
      <c r="AH92" s="41">
        <f>INDEX('[2]End - Use Prices'!$C$6:$AL$89,MATCH($C92,'[2]End - Use Prices'!$A$6:$A$89,0)+MATCH($D92,'[2]End - Use Prices'!$B$9:$B$11,0)-1,MATCH(AH$1,'[2]End - Use Prices'!$C$7:$AL$7,0))</f>
        <v>24.09</v>
      </c>
      <c r="AI92" s="41">
        <f>INDEX('[2]End - Use Prices'!$C$6:$AL$89,MATCH($C92,'[2]End - Use Prices'!$A$6:$A$89,0)+MATCH($D92,'[2]End - Use Prices'!$B$9:$B$11,0)-1,MATCH(AI$1,'[2]End - Use Prices'!$C$7:$AL$7,0))</f>
        <v>20.85</v>
      </c>
      <c r="AJ92" s="41">
        <f>INDEX('[2]End - Use Prices'!$C$6:$AL$89,MATCH($C92,'[2]End - Use Prices'!$A$6:$A$89,0)+MATCH($D92,'[2]End - Use Prices'!$B$9:$B$11,0)-1,MATCH(AJ$1,'[2]End - Use Prices'!$C$7:$AL$7,0))</f>
        <v>22.06</v>
      </c>
      <c r="AK92" s="41">
        <f>INDEX('[2]End - Use Prices'!$C$6:$AL$89,MATCH($C92,'[2]End - Use Prices'!$A$6:$A$89,0)+MATCH($D92,'[2]End - Use Prices'!$B$9:$B$11,0)-1,MATCH(AK$1,'[2]End - Use Prices'!$C$7:$AL$7,0))</f>
        <v>26.58</v>
      </c>
      <c r="AL92" s="41">
        <f>INDEX('[2]End - Use Prices'!$C$6:$AL$89,MATCH($C92,'[2]End - Use Prices'!$A$6:$A$89,0)+MATCH($D92,'[2]End - Use Prices'!$B$9:$B$11,0)-1,MATCH(AL$1,'[2]End - Use Prices'!$C$7:$AL$7,0))</f>
        <v>29.7</v>
      </c>
      <c r="AM92" s="41">
        <f>INDEX('[2]End - Use Prices'!$C$6:$AL$89,MATCH($C92,'[2]End - Use Prices'!$A$6:$A$89,0)+MATCH($D92,'[2]End - Use Prices'!$B$9:$B$11,0)-1,MATCH(AM$1,'[2]End - Use Prices'!$C$7:$AL$7,0))</f>
        <v>34.39</v>
      </c>
      <c r="AN92" s="41">
        <f>INDEX('[2]End - Use Prices'!$C$6:$AL$89,MATCH($C92,'[2]End - Use Prices'!$A$6:$A$89,0)+MATCH($D92,'[2]End - Use Prices'!$B$9:$B$11,0)-1,MATCH(AN$1,'[2]End - Use Prices'!$C$7:$AL$7,0))</f>
        <v>31.95</v>
      </c>
      <c r="AO92" s="41">
        <f>INDEX('[2]End - Use Prices'!$C$6:$AL$89,MATCH($C92,'[2]End - Use Prices'!$A$6:$A$89,0)+MATCH($D92,'[2]End - Use Prices'!$B$9:$B$11,0)-1,MATCH(AO$1,'[2]End - Use Prices'!$C$7:$AL$7,0))</f>
        <v>30.49</v>
      </c>
      <c r="AP92" s="41">
        <f>INDEX('[2]End - Use Prices'!$C$6:$AL$89,MATCH($C92,'[2]End - Use Prices'!$A$6:$A$89,0)+MATCH($D92,'[2]End - Use Prices'!$B$9:$B$11,0)-1,MATCH(AP$1,'[2]End - Use Prices'!$C$7:$AL$7,0))</f>
        <v>30.66</v>
      </c>
      <c r="AQ92" s="41">
        <f>INDEX('[2]End - Use Prices'!$C$6:$AL$89,MATCH($C92,'[2]End - Use Prices'!$A$6:$A$89,0)+MATCH($D92,'[2]End - Use Prices'!$B$9:$B$11,0)-1,MATCH(AQ$1,'[2]End - Use Prices'!$C$7:$AL$7,0))</f>
        <v>30.4</v>
      </c>
      <c r="AR92" s="41">
        <f>INDEX('[2]End - Use Prices'!$C$6:$AL$89,MATCH($C92,'[2]End - Use Prices'!$A$6:$A$89,0)+MATCH($D92,'[2]End - Use Prices'!$B$9:$B$11,0)-1,MATCH(AR$1,'[2]End - Use Prices'!$C$7:$AL$7,0))</f>
        <v>30.37</v>
      </c>
      <c r="AS92" s="41">
        <f>INDEX('[2]End - Use Prices'!$C$6:$AL$89,MATCH($C92,'[2]End - Use Prices'!$A$6:$A$89,0)+MATCH($D92,'[2]End - Use Prices'!$B$9:$B$11,0)-1,MATCH(AS$1,'[2]End - Use Prices'!$C$7:$AL$7,0))</f>
        <v>30.29</v>
      </c>
      <c r="AT92" s="41">
        <f>INDEX('[2]End - Use Prices'!$C$6:$AL$89,MATCH($C92,'[2]End - Use Prices'!$A$6:$A$89,0)+MATCH($D92,'[2]End - Use Prices'!$B$9:$B$11,0)-1,MATCH(AT$1,'[2]End - Use Prices'!$C$7:$AL$7,0))</f>
        <v>30.12</v>
      </c>
      <c r="AU92" s="41">
        <f>INDEX('[2]End - Use Prices'!$C$6:$AL$89,MATCH($C92,'[2]End - Use Prices'!$A$6:$A$89,0)+MATCH($D92,'[2]End - Use Prices'!$B$9:$B$11,0)-1,MATCH(AU$1,'[2]End - Use Prices'!$C$7:$AL$7,0))</f>
        <v>29.91</v>
      </c>
      <c r="AV92" s="41">
        <f>INDEX('[2]End - Use Prices'!$C$6:$AL$89,MATCH($C92,'[2]End - Use Prices'!$A$6:$A$89,0)+MATCH($D92,'[2]End - Use Prices'!$B$9:$B$11,0)-1,MATCH(AV$1,'[2]End - Use Prices'!$C$7:$AL$7,0))</f>
        <v>29.74</v>
      </c>
      <c r="AW92" s="41">
        <f>INDEX('[2]End - Use Prices'!$C$6:$AL$89,MATCH($C92,'[2]End - Use Prices'!$A$6:$A$89,0)+MATCH($D92,'[2]End - Use Prices'!$B$9:$B$11,0)-1,MATCH(AW$1,'[2]End - Use Prices'!$C$7:$AL$7,0))</f>
        <v>29.56</v>
      </c>
      <c r="AX92" s="41">
        <f>INDEX('[2]End - Use Prices'!$C$6:$AL$89,MATCH($C92,'[2]End - Use Prices'!$A$6:$A$89,0)+MATCH($D92,'[2]End - Use Prices'!$B$9:$B$11,0)-1,MATCH(AX$1,'[2]End - Use Prices'!$C$7:$AL$7,0))</f>
        <v>29.46</v>
      </c>
      <c r="AY92" s="41">
        <f>INDEX('[2]End - Use Prices'!$C$6:$AL$89,MATCH($C92,'[2]End - Use Prices'!$A$6:$A$89,0)+MATCH($D92,'[2]End - Use Prices'!$B$9:$B$11,0)-1,MATCH(AY$1,'[2]End - Use Prices'!$C$7:$AL$7,0))</f>
        <v>29.39</v>
      </c>
      <c r="AZ92" s="41">
        <f>INDEX('[2]End - Use Prices'!$C$6:$AL$89,MATCH($C92,'[2]End - Use Prices'!$A$6:$A$89,0)+MATCH($D92,'[2]End - Use Prices'!$B$9:$B$11,0)-1,MATCH(AZ$1,'[2]End - Use Prices'!$C$7:$AL$7,0))</f>
        <v>29.35</v>
      </c>
      <c r="BA92" s="41">
        <f>INDEX('[2]End - Use Prices'!$C$6:$AL$89,MATCH($C92,'[2]End - Use Prices'!$A$6:$A$89,0)+MATCH($D92,'[2]End - Use Prices'!$B$9:$B$11,0)-1,MATCH(BA$1,'[2]End - Use Prices'!$C$7:$AL$7,0))</f>
        <v>29.35</v>
      </c>
      <c r="BB92" s="41">
        <f>INDEX('[2]End - Use Prices'!$C$6:$AL$89,MATCH($C92,'[2]End - Use Prices'!$A$6:$A$89,0)+MATCH($D92,'[2]End - Use Prices'!$B$9:$B$11,0)-1,MATCH(BB$1,'[2]End - Use Prices'!$C$7:$AL$7,0))</f>
        <v>29.32</v>
      </c>
      <c r="BC92" s="41">
        <f>INDEX('[2]End - Use Prices'!$C$6:$AL$89,MATCH($C92,'[2]End - Use Prices'!$A$6:$A$89,0)+MATCH($D92,'[2]End - Use Prices'!$B$9:$B$11,0)-1,MATCH(BC$1,'[2]End - Use Prices'!$C$7:$AL$7,0))</f>
        <v>29.28</v>
      </c>
      <c r="BD92" s="41">
        <f>INDEX('[2]End - Use Prices'!$C$6:$AL$89,MATCH($C92,'[2]End - Use Prices'!$A$6:$A$89,0)+MATCH($D92,'[2]End - Use Prices'!$B$9:$B$11,0)-1,MATCH(BD$1,'[2]End - Use Prices'!$C$7:$AL$7,0))</f>
        <v>29.23</v>
      </c>
      <c r="BE92" s="41">
        <f>INDEX('[2]End - Use Prices'!$C$6:$AL$89,MATCH($C92,'[2]End - Use Prices'!$A$6:$A$89,0)+MATCH($D92,'[2]End - Use Prices'!$B$9:$B$11,0)-1,MATCH(BE$1,'[2]End - Use Prices'!$C$7:$AL$7,0))</f>
        <v>29.14</v>
      </c>
      <c r="BF92" s="41">
        <f>INDEX('[2]End - Use Prices'!$C$6:$AL$89,MATCH($C92,'[2]End - Use Prices'!$A$6:$A$89,0)+MATCH($D92,'[2]End - Use Prices'!$B$9:$B$11,0)-1,MATCH(BF$1,'[2]End - Use Prices'!$C$7:$AL$7,0))</f>
        <v>29.05</v>
      </c>
      <c r="BG92" s="41">
        <f>INDEX('[2]End - Use Prices'!$C$6:$AL$89,MATCH($C92,'[2]End - Use Prices'!$A$6:$A$89,0)+MATCH($D92,'[2]End - Use Prices'!$B$9:$B$11,0)-1,MATCH(BG$1,'[2]End - Use Prices'!$C$7:$AL$7,0))</f>
        <v>28.95</v>
      </c>
      <c r="BR92" s="39"/>
      <c r="BS92" s="39"/>
      <c r="BT92" s="39"/>
      <c r="BU92" s="39"/>
      <c r="BV92" s="39"/>
      <c r="BW92" s="39"/>
      <c r="BX92" s="39"/>
      <c r="BY92" s="39"/>
      <c r="BZ92" s="39"/>
      <c r="CA92" s="39"/>
    </row>
    <row r="93" spans="1:79">
      <c r="A93" s="5"/>
      <c r="B93" s="3"/>
      <c r="C93" s="25" t="s">
        <v>86</v>
      </c>
      <c r="D93" s="25" t="s">
        <v>276</v>
      </c>
      <c r="E93" s="25" t="s">
        <v>277</v>
      </c>
      <c r="F93" s="67" t="s">
        <v>275</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INDEX('[2]End - Use Prices'!$C$6:$AL$89,MATCH($C93,'[2]End - Use Prices'!$A$6:$A$89,0)+MATCH($D93,'[2]End - Use Prices'!$B$9:$B$11,0)-1,MATCH(X$1,'[2]End - Use Prices'!$C$7:$AL$7,0))</f>
        <v>27.52</v>
      </c>
      <c r="Y93" s="41">
        <f>INDEX('[2]End - Use Prices'!$C$6:$AL$89,MATCH($C93,'[2]End - Use Prices'!$A$6:$A$89,0)+MATCH($D93,'[2]End - Use Prices'!$B$9:$B$11,0)-1,MATCH(Y$1,'[2]End - Use Prices'!$C$7:$AL$7,0))</f>
        <v>28.18</v>
      </c>
      <c r="Z93" s="41">
        <f>INDEX('[2]End - Use Prices'!$C$6:$AL$89,MATCH($C93,'[2]End - Use Prices'!$A$6:$A$89,0)+MATCH($D93,'[2]End - Use Prices'!$B$9:$B$11,0)-1,MATCH(Z$1,'[2]End - Use Prices'!$C$7:$AL$7,0))</f>
        <v>26.07</v>
      </c>
      <c r="AA93" s="41">
        <f>INDEX('[2]End - Use Prices'!$C$6:$AL$89,MATCH($C93,'[2]End - Use Prices'!$A$6:$A$89,0)+MATCH($D93,'[2]End - Use Prices'!$B$9:$B$11,0)-1,MATCH(AA$1,'[2]End - Use Prices'!$C$7:$AL$7,0))</f>
        <v>31.72</v>
      </c>
      <c r="AB93" s="41">
        <f>INDEX('[2]End - Use Prices'!$C$6:$AL$89,MATCH($C93,'[2]End - Use Prices'!$A$6:$A$89,0)+MATCH($D93,'[2]End - Use Prices'!$B$9:$B$11,0)-1,MATCH(AB$1,'[2]End - Use Prices'!$C$7:$AL$7,0))</f>
        <v>22.7</v>
      </c>
      <c r="AC93" s="41">
        <f>INDEX('[2]End - Use Prices'!$C$6:$AL$89,MATCH($C93,'[2]End - Use Prices'!$A$6:$A$89,0)+MATCH($D93,'[2]End - Use Prices'!$B$9:$B$11,0)-1,MATCH(AC$1,'[2]End - Use Prices'!$C$7:$AL$7,0))</f>
        <v>25.32</v>
      </c>
      <c r="AD93" s="41">
        <f>INDEX('[2]End - Use Prices'!$C$6:$AL$89,MATCH($C93,'[2]End - Use Prices'!$A$6:$A$89,0)+MATCH($D93,'[2]End - Use Prices'!$B$9:$B$11,0)-1,MATCH(AD$1,'[2]End - Use Prices'!$C$7:$AL$7,0))</f>
        <v>30.73</v>
      </c>
      <c r="AE93" s="41">
        <f>INDEX('[2]End - Use Prices'!$C$6:$AL$89,MATCH($C93,'[2]End - Use Prices'!$A$6:$A$89,0)+MATCH($D93,'[2]End - Use Prices'!$B$9:$B$11,0)-1,MATCH(AE$1,'[2]End - Use Prices'!$C$7:$AL$7,0))</f>
        <v>31.88</v>
      </c>
      <c r="AF93" s="41">
        <f>INDEX('[2]End - Use Prices'!$C$6:$AL$89,MATCH($C93,'[2]End - Use Prices'!$A$6:$A$89,0)+MATCH($D93,'[2]End - Use Prices'!$B$9:$B$11,0)-1,MATCH(AF$1,'[2]End - Use Prices'!$C$7:$AL$7,0))</f>
        <v>31.97</v>
      </c>
      <c r="AG93" s="41">
        <f>INDEX('[2]End - Use Prices'!$C$6:$AL$89,MATCH($C93,'[2]End - Use Prices'!$A$6:$A$89,0)+MATCH($D93,'[2]End - Use Prices'!$B$9:$B$11,0)-1,MATCH(AG$1,'[2]End - Use Prices'!$C$7:$AL$7,0))</f>
        <v>34.450000000000003</v>
      </c>
      <c r="AH93" s="41">
        <f>INDEX('[2]End - Use Prices'!$C$6:$AL$89,MATCH($C93,'[2]End - Use Prices'!$A$6:$A$89,0)+MATCH($D93,'[2]End - Use Prices'!$B$9:$B$11,0)-1,MATCH(AH$1,'[2]End - Use Prices'!$C$7:$AL$7,0))</f>
        <v>27.46</v>
      </c>
      <c r="AI93" s="41">
        <f>INDEX('[2]End - Use Prices'!$C$6:$AL$89,MATCH($C93,'[2]End - Use Prices'!$A$6:$A$89,0)+MATCH($D93,'[2]End - Use Prices'!$B$9:$B$11,0)-1,MATCH(AI$1,'[2]End - Use Prices'!$C$7:$AL$7,0))</f>
        <v>23.92</v>
      </c>
      <c r="AJ93" s="41">
        <f>INDEX('[2]End - Use Prices'!$C$6:$AL$89,MATCH($C93,'[2]End - Use Prices'!$A$6:$A$89,0)+MATCH($D93,'[2]End - Use Prices'!$B$9:$B$11,0)-1,MATCH(AJ$1,'[2]End - Use Prices'!$C$7:$AL$7,0))</f>
        <v>25.38</v>
      </c>
      <c r="AK93" s="41">
        <f>INDEX('[2]End - Use Prices'!$C$6:$AL$89,MATCH($C93,'[2]End - Use Prices'!$A$6:$A$89,0)+MATCH($D93,'[2]End - Use Prices'!$B$9:$B$11,0)-1,MATCH(AK$1,'[2]End - Use Prices'!$C$7:$AL$7,0))</f>
        <v>29.63</v>
      </c>
      <c r="AL93" s="41">
        <f>INDEX('[2]End - Use Prices'!$C$6:$AL$89,MATCH($C93,'[2]End - Use Prices'!$A$6:$A$89,0)+MATCH($D93,'[2]End - Use Prices'!$B$9:$B$11,0)-1,MATCH(AL$1,'[2]End - Use Prices'!$C$7:$AL$7,0))</f>
        <v>32.75</v>
      </c>
      <c r="AM93" s="41">
        <f>INDEX('[2]End - Use Prices'!$C$6:$AL$89,MATCH($C93,'[2]End - Use Prices'!$A$6:$A$89,0)+MATCH($D93,'[2]End - Use Prices'!$B$9:$B$11,0)-1,MATCH(AM$1,'[2]End - Use Prices'!$C$7:$AL$7,0))</f>
        <v>37.450000000000003</v>
      </c>
      <c r="AN93" s="41">
        <f>INDEX('[2]End - Use Prices'!$C$6:$AL$89,MATCH($C93,'[2]End - Use Prices'!$A$6:$A$89,0)+MATCH($D93,'[2]End - Use Prices'!$B$9:$B$11,0)-1,MATCH(AN$1,'[2]End - Use Prices'!$C$7:$AL$7,0))</f>
        <v>35</v>
      </c>
      <c r="AO93" s="41">
        <f>INDEX('[2]End - Use Prices'!$C$6:$AL$89,MATCH($C93,'[2]End - Use Prices'!$A$6:$A$89,0)+MATCH($D93,'[2]End - Use Prices'!$B$9:$B$11,0)-1,MATCH(AO$1,'[2]End - Use Prices'!$C$7:$AL$7,0))</f>
        <v>33.549999999999997</v>
      </c>
      <c r="AP93" s="41">
        <f>INDEX('[2]End - Use Prices'!$C$6:$AL$89,MATCH($C93,'[2]End - Use Prices'!$A$6:$A$89,0)+MATCH($D93,'[2]End - Use Prices'!$B$9:$B$11,0)-1,MATCH(AP$1,'[2]End - Use Prices'!$C$7:$AL$7,0))</f>
        <v>33.72</v>
      </c>
      <c r="AQ93" s="41">
        <f>INDEX('[2]End - Use Prices'!$C$6:$AL$89,MATCH($C93,'[2]End - Use Prices'!$A$6:$A$89,0)+MATCH($D93,'[2]End - Use Prices'!$B$9:$B$11,0)-1,MATCH(AQ$1,'[2]End - Use Prices'!$C$7:$AL$7,0))</f>
        <v>33.450000000000003</v>
      </c>
      <c r="AR93" s="41">
        <f>INDEX('[2]End - Use Prices'!$C$6:$AL$89,MATCH($C93,'[2]End - Use Prices'!$A$6:$A$89,0)+MATCH($D93,'[2]End - Use Prices'!$B$9:$B$11,0)-1,MATCH(AR$1,'[2]End - Use Prices'!$C$7:$AL$7,0))</f>
        <v>33.42</v>
      </c>
      <c r="AS93" s="41">
        <f>INDEX('[2]End - Use Prices'!$C$6:$AL$89,MATCH($C93,'[2]End - Use Prices'!$A$6:$A$89,0)+MATCH($D93,'[2]End - Use Prices'!$B$9:$B$11,0)-1,MATCH(AS$1,'[2]End - Use Prices'!$C$7:$AL$7,0))</f>
        <v>33.340000000000003</v>
      </c>
      <c r="AT93" s="41">
        <f>INDEX('[2]End - Use Prices'!$C$6:$AL$89,MATCH($C93,'[2]End - Use Prices'!$A$6:$A$89,0)+MATCH($D93,'[2]End - Use Prices'!$B$9:$B$11,0)-1,MATCH(AT$1,'[2]End - Use Prices'!$C$7:$AL$7,0))</f>
        <v>33.17</v>
      </c>
      <c r="AU93" s="41">
        <f>INDEX('[2]End - Use Prices'!$C$6:$AL$89,MATCH($C93,'[2]End - Use Prices'!$A$6:$A$89,0)+MATCH($D93,'[2]End - Use Prices'!$B$9:$B$11,0)-1,MATCH(AU$1,'[2]End - Use Prices'!$C$7:$AL$7,0))</f>
        <v>32.96</v>
      </c>
      <c r="AV93" s="41">
        <f>INDEX('[2]End - Use Prices'!$C$6:$AL$89,MATCH($C93,'[2]End - Use Prices'!$A$6:$A$89,0)+MATCH($D93,'[2]End - Use Prices'!$B$9:$B$11,0)-1,MATCH(AV$1,'[2]End - Use Prices'!$C$7:$AL$7,0))</f>
        <v>32.79</v>
      </c>
      <c r="AW93" s="41">
        <f>INDEX('[2]End - Use Prices'!$C$6:$AL$89,MATCH($C93,'[2]End - Use Prices'!$A$6:$A$89,0)+MATCH($D93,'[2]End - Use Prices'!$B$9:$B$11,0)-1,MATCH(AW$1,'[2]End - Use Prices'!$C$7:$AL$7,0))</f>
        <v>32.61</v>
      </c>
      <c r="AX93" s="41">
        <f>INDEX('[2]End - Use Prices'!$C$6:$AL$89,MATCH($C93,'[2]End - Use Prices'!$A$6:$A$89,0)+MATCH($D93,'[2]End - Use Prices'!$B$9:$B$11,0)-1,MATCH(AX$1,'[2]End - Use Prices'!$C$7:$AL$7,0))</f>
        <v>32.51</v>
      </c>
      <c r="AY93" s="41">
        <f>INDEX('[2]End - Use Prices'!$C$6:$AL$89,MATCH($C93,'[2]End - Use Prices'!$A$6:$A$89,0)+MATCH($D93,'[2]End - Use Prices'!$B$9:$B$11,0)-1,MATCH(AY$1,'[2]End - Use Prices'!$C$7:$AL$7,0))</f>
        <v>32.44</v>
      </c>
      <c r="AZ93" s="41">
        <f>INDEX('[2]End - Use Prices'!$C$6:$AL$89,MATCH($C93,'[2]End - Use Prices'!$A$6:$A$89,0)+MATCH($D93,'[2]End - Use Prices'!$B$9:$B$11,0)-1,MATCH(AZ$1,'[2]End - Use Prices'!$C$7:$AL$7,0))</f>
        <v>32.4</v>
      </c>
      <c r="BA93" s="41">
        <f>INDEX('[2]End - Use Prices'!$C$6:$AL$89,MATCH($C93,'[2]End - Use Prices'!$A$6:$A$89,0)+MATCH($D93,'[2]End - Use Prices'!$B$9:$B$11,0)-1,MATCH(BA$1,'[2]End - Use Prices'!$C$7:$AL$7,0))</f>
        <v>32.4</v>
      </c>
      <c r="BB93" s="41">
        <f>INDEX('[2]End - Use Prices'!$C$6:$AL$89,MATCH($C93,'[2]End - Use Prices'!$A$6:$A$89,0)+MATCH($D93,'[2]End - Use Prices'!$B$9:$B$11,0)-1,MATCH(BB$1,'[2]End - Use Prices'!$C$7:$AL$7,0))</f>
        <v>32.369999999999997</v>
      </c>
      <c r="BC93" s="41">
        <f>INDEX('[2]End - Use Prices'!$C$6:$AL$89,MATCH($C93,'[2]End - Use Prices'!$A$6:$A$89,0)+MATCH($D93,'[2]End - Use Prices'!$B$9:$B$11,0)-1,MATCH(BC$1,'[2]End - Use Prices'!$C$7:$AL$7,0))</f>
        <v>32.33</v>
      </c>
      <c r="BD93" s="41">
        <f>INDEX('[2]End - Use Prices'!$C$6:$AL$89,MATCH($C93,'[2]End - Use Prices'!$A$6:$A$89,0)+MATCH($D93,'[2]End - Use Prices'!$B$9:$B$11,0)-1,MATCH(BD$1,'[2]End - Use Prices'!$C$7:$AL$7,0))</f>
        <v>32.28</v>
      </c>
      <c r="BE93" s="41">
        <f>INDEX('[2]End - Use Prices'!$C$6:$AL$89,MATCH($C93,'[2]End - Use Prices'!$A$6:$A$89,0)+MATCH($D93,'[2]End - Use Prices'!$B$9:$B$11,0)-1,MATCH(BE$1,'[2]End - Use Prices'!$C$7:$AL$7,0))</f>
        <v>32.19</v>
      </c>
      <c r="BF93" s="41">
        <f>INDEX('[2]End - Use Prices'!$C$6:$AL$89,MATCH($C93,'[2]End - Use Prices'!$A$6:$A$89,0)+MATCH($D93,'[2]End - Use Prices'!$B$9:$B$11,0)-1,MATCH(BF$1,'[2]End - Use Prices'!$C$7:$AL$7,0))</f>
        <v>32.1</v>
      </c>
      <c r="BG93" s="41">
        <f>INDEX('[2]End - Use Prices'!$C$6:$AL$89,MATCH($C93,'[2]End - Use Prices'!$A$6:$A$89,0)+MATCH($D93,'[2]End - Use Prices'!$B$9:$B$11,0)-1,MATCH(BG$1,'[2]End - Use Prices'!$C$7:$AL$7,0))</f>
        <v>32</v>
      </c>
      <c r="BR93" s="39"/>
      <c r="BS93" s="39"/>
      <c r="BT93" s="39"/>
      <c r="BU93" s="39"/>
      <c r="BV93" s="39"/>
      <c r="BW93" s="39"/>
      <c r="BX93" s="39"/>
      <c r="BY93" s="39"/>
      <c r="BZ93" s="39"/>
      <c r="CA93" s="39"/>
    </row>
    <row r="94" spans="1:79">
      <c r="A94" s="5"/>
      <c r="B94" s="3"/>
      <c r="C94" s="25" t="s">
        <v>87</v>
      </c>
      <c r="D94" s="25" t="s">
        <v>276</v>
      </c>
      <c r="E94" s="25" t="s">
        <v>277</v>
      </c>
      <c r="F94" s="67" t="s">
        <v>275</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INDEX('[2]End - Use Prices'!$C$6:$AL$89,MATCH($C94,'[2]End - Use Prices'!$A$6:$A$89,0)+MATCH($D94,'[2]End - Use Prices'!$B$9:$B$11,0)-1,MATCH(X$1,'[2]End - Use Prices'!$C$7:$AL$7,0))</f>
        <v>27.36</v>
      </c>
      <c r="Y94" s="41">
        <f>INDEX('[2]End - Use Prices'!$C$6:$AL$89,MATCH($C94,'[2]End - Use Prices'!$A$6:$A$89,0)+MATCH($D94,'[2]End - Use Prices'!$B$9:$B$11,0)-1,MATCH(Y$1,'[2]End - Use Prices'!$C$7:$AL$7,0))</f>
        <v>27.14</v>
      </c>
      <c r="Z94" s="41">
        <f>INDEX('[2]End - Use Prices'!$C$6:$AL$89,MATCH($C94,'[2]End - Use Prices'!$A$6:$A$89,0)+MATCH($D94,'[2]End - Use Prices'!$B$9:$B$11,0)-1,MATCH(Z$1,'[2]End - Use Prices'!$C$7:$AL$7,0))</f>
        <v>27.83</v>
      </c>
      <c r="AA94" s="41">
        <f>INDEX('[2]End - Use Prices'!$C$6:$AL$89,MATCH($C94,'[2]End - Use Prices'!$A$6:$A$89,0)+MATCH($D94,'[2]End - Use Prices'!$B$9:$B$11,0)-1,MATCH(AA$1,'[2]End - Use Prices'!$C$7:$AL$7,0))</f>
        <v>34.340000000000003</v>
      </c>
      <c r="AB94" s="41">
        <f>INDEX('[2]End - Use Prices'!$C$6:$AL$89,MATCH($C94,'[2]End - Use Prices'!$A$6:$A$89,0)+MATCH($D94,'[2]End - Use Prices'!$B$9:$B$11,0)-1,MATCH(AB$1,'[2]End - Use Prices'!$C$7:$AL$7,0))</f>
        <v>24.16</v>
      </c>
      <c r="AC94" s="41">
        <f>INDEX('[2]End - Use Prices'!$C$6:$AL$89,MATCH($C94,'[2]End - Use Prices'!$A$6:$A$89,0)+MATCH($D94,'[2]End - Use Prices'!$B$9:$B$11,0)-1,MATCH(AC$1,'[2]End - Use Prices'!$C$7:$AL$7,0))</f>
        <v>27.36</v>
      </c>
      <c r="AD94" s="41">
        <f>INDEX('[2]End - Use Prices'!$C$6:$AL$89,MATCH($C94,'[2]End - Use Prices'!$A$6:$A$89,0)+MATCH($D94,'[2]End - Use Prices'!$B$9:$B$11,0)-1,MATCH(AD$1,'[2]End - Use Prices'!$C$7:$AL$7,0))</f>
        <v>32.19</v>
      </c>
      <c r="AE94" s="41">
        <f>INDEX('[2]End - Use Prices'!$C$6:$AL$89,MATCH($C94,'[2]End - Use Prices'!$A$6:$A$89,0)+MATCH($D94,'[2]End - Use Prices'!$B$9:$B$11,0)-1,MATCH(AE$1,'[2]End - Use Prices'!$C$7:$AL$7,0))</f>
        <v>33.76</v>
      </c>
      <c r="AF94" s="41">
        <f>INDEX('[2]End - Use Prices'!$C$6:$AL$89,MATCH($C94,'[2]End - Use Prices'!$A$6:$A$89,0)+MATCH($D94,'[2]End - Use Prices'!$B$9:$B$11,0)-1,MATCH(AF$1,'[2]End - Use Prices'!$C$7:$AL$7,0))</f>
        <v>32.590000000000003</v>
      </c>
      <c r="AG94" s="41">
        <f>INDEX('[2]End - Use Prices'!$C$6:$AL$89,MATCH($C94,'[2]End - Use Prices'!$A$6:$A$89,0)+MATCH($D94,'[2]End - Use Prices'!$B$9:$B$11,0)-1,MATCH(AG$1,'[2]End - Use Prices'!$C$7:$AL$7,0))</f>
        <v>34.17</v>
      </c>
      <c r="AH94" s="41">
        <f>INDEX('[2]End - Use Prices'!$C$6:$AL$89,MATCH($C94,'[2]End - Use Prices'!$A$6:$A$89,0)+MATCH($D94,'[2]End - Use Prices'!$B$9:$B$11,0)-1,MATCH(AH$1,'[2]End - Use Prices'!$C$7:$AL$7,0))</f>
        <v>28.05</v>
      </c>
      <c r="AI94" s="41">
        <f>INDEX('[2]End - Use Prices'!$C$6:$AL$89,MATCH($C94,'[2]End - Use Prices'!$A$6:$A$89,0)+MATCH($D94,'[2]End - Use Prices'!$B$9:$B$11,0)-1,MATCH(AI$1,'[2]End - Use Prices'!$C$7:$AL$7,0))</f>
        <v>24.4</v>
      </c>
      <c r="AJ94" s="41">
        <f>INDEX('[2]End - Use Prices'!$C$6:$AL$89,MATCH($C94,'[2]End - Use Prices'!$A$6:$A$89,0)+MATCH($D94,'[2]End - Use Prices'!$B$9:$B$11,0)-1,MATCH(AJ$1,'[2]End - Use Prices'!$C$7:$AL$7,0))</f>
        <v>26.95</v>
      </c>
      <c r="AK94" s="41">
        <f>INDEX('[2]End - Use Prices'!$C$6:$AL$89,MATCH($C94,'[2]End - Use Prices'!$A$6:$A$89,0)+MATCH($D94,'[2]End - Use Prices'!$B$9:$B$11,0)-1,MATCH(AK$1,'[2]End - Use Prices'!$C$7:$AL$7,0))</f>
        <v>30.62</v>
      </c>
      <c r="AL94" s="41">
        <f>INDEX('[2]End - Use Prices'!$C$6:$AL$89,MATCH($C94,'[2]End - Use Prices'!$A$6:$A$89,0)+MATCH($D94,'[2]End - Use Prices'!$B$9:$B$11,0)-1,MATCH(AL$1,'[2]End - Use Prices'!$C$7:$AL$7,0))</f>
        <v>34.01</v>
      </c>
      <c r="AM94" s="41">
        <f>INDEX('[2]End - Use Prices'!$C$6:$AL$89,MATCH($C94,'[2]End - Use Prices'!$A$6:$A$89,0)+MATCH($D94,'[2]End - Use Prices'!$B$9:$B$11,0)-1,MATCH(AM$1,'[2]End - Use Prices'!$C$7:$AL$7,0))</f>
        <v>38.97</v>
      </c>
      <c r="AN94" s="41">
        <f>INDEX('[2]End - Use Prices'!$C$6:$AL$89,MATCH($C94,'[2]End - Use Prices'!$A$6:$A$89,0)+MATCH($D94,'[2]End - Use Prices'!$B$9:$B$11,0)-1,MATCH(AN$1,'[2]End - Use Prices'!$C$7:$AL$7,0))</f>
        <v>36.24</v>
      </c>
      <c r="AO94" s="41">
        <f>INDEX('[2]End - Use Prices'!$C$6:$AL$89,MATCH($C94,'[2]End - Use Prices'!$A$6:$A$89,0)+MATCH($D94,'[2]End - Use Prices'!$B$9:$B$11,0)-1,MATCH(AO$1,'[2]End - Use Prices'!$C$7:$AL$7,0))</f>
        <v>34.6</v>
      </c>
      <c r="AP94" s="41">
        <f>INDEX('[2]End - Use Prices'!$C$6:$AL$89,MATCH($C94,'[2]End - Use Prices'!$A$6:$A$89,0)+MATCH($D94,'[2]End - Use Prices'!$B$9:$B$11,0)-1,MATCH(AP$1,'[2]End - Use Prices'!$C$7:$AL$7,0))</f>
        <v>34.72</v>
      </c>
      <c r="AQ94" s="41">
        <f>INDEX('[2]End - Use Prices'!$C$6:$AL$89,MATCH($C94,'[2]End - Use Prices'!$A$6:$A$89,0)+MATCH($D94,'[2]End - Use Prices'!$B$9:$B$11,0)-1,MATCH(AQ$1,'[2]End - Use Prices'!$C$7:$AL$7,0))</f>
        <v>34.450000000000003</v>
      </c>
      <c r="AR94" s="41">
        <f>INDEX('[2]End - Use Prices'!$C$6:$AL$89,MATCH($C94,'[2]End - Use Prices'!$A$6:$A$89,0)+MATCH($D94,'[2]End - Use Prices'!$B$9:$B$11,0)-1,MATCH(AR$1,'[2]End - Use Prices'!$C$7:$AL$7,0))</f>
        <v>34.42</v>
      </c>
      <c r="AS94" s="41">
        <f>INDEX('[2]End - Use Prices'!$C$6:$AL$89,MATCH($C94,'[2]End - Use Prices'!$A$6:$A$89,0)+MATCH($D94,'[2]End - Use Prices'!$B$9:$B$11,0)-1,MATCH(AS$1,'[2]End - Use Prices'!$C$7:$AL$7,0))</f>
        <v>34.35</v>
      </c>
      <c r="AT94" s="41">
        <f>INDEX('[2]End - Use Prices'!$C$6:$AL$89,MATCH($C94,'[2]End - Use Prices'!$A$6:$A$89,0)+MATCH($D94,'[2]End - Use Prices'!$B$9:$B$11,0)-1,MATCH(AT$1,'[2]End - Use Prices'!$C$7:$AL$7,0))</f>
        <v>34.17</v>
      </c>
      <c r="AU94" s="41">
        <f>INDEX('[2]End - Use Prices'!$C$6:$AL$89,MATCH($C94,'[2]End - Use Prices'!$A$6:$A$89,0)+MATCH($D94,'[2]End - Use Prices'!$B$9:$B$11,0)-1,MATCH(AU$1,'[2]End - Use Prices'!$C$7:$AL$7,0))</f>
        <v>33.950000000000003</v>
      </c>
      <c r="AV94" s="41">
        <f>INDEX('[2]End - Use Prices'!$C$6:$AL$89,MATCH($C94,'[2]End - Use Prices'!$A$6:$A$89,0)+MATCH($D94,'[2]End - Use Prices'!$B$9:$B$11,0)-1,MATCH(AV$1,'[2]End - Use Prices'!$C$7:$AL$7,0))</f>
        <v>33.770000000000003</v>
      </c>
      <c r="AW94" s="41">
        <f>INDEX('[2]End - Use Prices'!$C$6:$AL$89,MATCH($C94,'[2]End - Use Prices'!$A$6:$A$89,0)+MATCH($D94,'[2]End - Use Prices'!$B$9:$B$11,0)-1,MATCH(AW$1,'[2]End - Use Prices'!$C$7:$AL$7,0))</f>
        <v>33.590000000000003</v>
      </c>
      <c r="AX94" s="41">
        <f>INDEX('[2]End - Use Prices'!$C$6:$AL$89,MATCH($C94,'[2]End - Use Prices'!$A$6:$A$89,0)+MATCH($D94,'[2]End - Use Prices'!$B$9:$B$11,0)-1,MATCH(AX$1,'[2]End - Use Prices'!$C$7:$AL$7,0))</f>
        <v>33.479999999999997</v>
      </c>
      <c r="AY94" s="41">
        <f>INDEX('[2]End - Use Prices'!$C$6:$AL$89,MATCH($C94,'[2]End - Use Prices'!$A$6:$A$89,0)+MATCH($D94,'[2]End - Use Prices'!$B$9:$B$11,0)-1,MATCH(AY$1,'[2]End - Use Prices'!$C$7:$AL$7,0))</f>
        <v>33.409999999999997</v>
      </c>
      <c r="AZ94" s="41">
        <f>INDEX('[2]End - Use Prices'!$C$6:$AL$89,MATCH($C94,'[2]End - Use Prices'!$A$6:$A$89,0)+MATCH($D94,'[2]End - Use Prices'!$B$9:$B$11,0)-1,MATCH(AZ$1,'[2]End - Use Prices'!$C$7:$AL$7,0))</f>
        <v>33.369999999999997</v>
      </c>
      <c r="BA94" s="41">
        <f>INDEX('[2]End - Use Prices'!$C$6:$AL$89,MATCH($C94,'[2]End - Use Prices'!$A$6:$A$89,0)+MATCH($D94,'[2]End - Use Prices'!$B$9:$B$11,0)-1,MATCH(BA$1,'[2]End - Use Prices'!$C$7:$AL$7,0))</f>
        <v>33.369999999999997</v>
      </c>
      <c r="BB94" s="41">
        <f>INDEX('[2]End - Use Prices'!$C$6:$AL$89,MATCH($C94,'[2]End - Use Prices'!$A$6:$A$89,0)+MATCH($D94,'[2]End - Use Prices'!$B$9:$B$11,0)-1,MATCH(BB$1,'[2]End - Use Prices'!$C$7:$AL$7,0))</f>
        <v>33.35</v>
      </c>
      <c r="BC94" s="41">
        <f>INDEX('[2]End - Use Prices'!$C$6:$AL$89,MATCH($C94,'[2]End - Use Prices'!$A$6:$A$89,0)+MATCH($D94,'[2]End - Use Prices'!$B$9:$B$11,0)-1,MATCH(BC$1,'[2]End - Use Prices'!$C$7:$AL$7,0))</f>
        <v>33.31</v>
      </c>
      <c r="BD94" s="41">
        <f>INDEX('[2]End - Use Prices'!$C$6:$AL$89,MATCH($C94,'[2]End - Use Prices'!$A$6:$A$89,0)+MATCH($D94,'[2]End - Use Prices'!$B$9:$B$11,0)-1,MATCH(BD$1,'[2]End - Use Prices'!$C$7:$AL$7,0))</f>
        <v>33.25</v>
      </c>
      <c r="BE94" s="41">
        <f>INDEX('[2]End - Use Prices'!$C$6:$AL$89,MATCH($C94,'[2]End - Use Prices'!$A$6:$A$89,0)+MATCH($D94,'[2]End - Use Prices'!$B$9:$B$11,0)-1,MATCH(BE$1,'[2]End - Use Prices'!$C$7:$AL$7,0))</f>
        <v>33.159999999999997</v>
      </c>
      <c r="BF94" s="41">
        <f>INDEX('[2]End - Use Prices'!$C$6:$AL$89,MATCH($C94,'[2]End - Use Prices'!$A$6:$A$89,0)+MATCH($D94,'[2]End - Use Prices'!$B$9:$B$11,0)-1,MATCH(BF$1,'[2]End - Use Prices'!$C$7:$AL$7,0))</f>
        <v>33.07</v>
      </c>
      <c r="BG94" s="41">
        <f>INDEX('[2]End - Use Prices'!$C$6:$AL$89,MATCH($C94,'[2]End - Use Prices'!$A$6:$A$89,0)+MATCH($D94,'[2]End - Use Prices'!$B$9:$B$11,0)-1,MATCH(BG$1,'[2]End - Use Prices'!$C$7:$AL$7,0))</f>
        <v>32.97</v>
      </c>
      <c r="BR94" s="39"/>
      <c r="BS94" s="39"/>
      <c r="BT94" s="39"/>
      <c r="BU94" s="39"/>
      <c r="BV94" s="39"/>
      <c r="BW94" s="39"/>
      <c r="BX94" s="39"/>
      <c r="BY94" s="39"/>
      <c r="BZ94" s="39"/>
      <c r="CA94" s="39"/>
    </row>
    <row r="95" spans="1:79">
      <c r="A95" s="5"/>
      <c r="B95" s="3"/>
      <c r="C95" s="25" t="s">
        <v>88</v>
      </c>
      <c r="D95" s="25" t="s">
        <v>276</v>
      </c>
      <c r="E95" s="25" t="s">
        <v>277</v>
      </c>
      <c r="F95" s="67" t="s">
        <v>275</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INDEX('[2]End - Use Prices'!$C$6:$AL$89,MATCH($C95,'[2]End - Use Prices'!$A$6:$A$89,0)+MATCH($D95,'[2]End - Use Prices'!$B$9:$B$11,0)-1,MATCH(X$1,'[2]End - Use Prices'!$C$7:$AL$7,0))</f>
        <v>24.67</v>
      </c>
      <c r="Y95" s="41">
        <f>INDEX('[2]End - Use Prices'!$C$6:$AL$89,MATCH($C95,'[2]End - Use Prices'!$A$6:$A$89,0)+MATCH($D95,'[2]End - Use Prices'!$B$9:$B$11,0)-1,MATCH(Y$1,'[2]End - Use Prices'!$C$7:$AL$7,0))</f>
        <v>25.2</v>
      </c>
      <c r="Z95" s="41">
        <f>INDEX('[2]End - Use Prices'!$C$6:$AL$89,MATCH($C95,'[2]End - Use Prices'!$A$6:$A$89,0)+MATCH($D95,'[2]End - Use Prices'!$B$9:$B$11,0)-1,MATCH(Z$1,'[2]End - Use Prices'!$C$7:$AL$7,0))</f>
        <v>25.43</v>
      </c>
      <c r="AA95" s="41">
        <f>INDEX('[2]End - Use Prices'!$C$6:$AL$89,MATCH($C95,'[2]End - Use Prices'!$A$6:$A$89,0)+MATCH($D95,'[2]End - Use Prices'!$B$9:$B$11,0)-1,MATCH(AA$1,'[2]End - Use Prices'!$C$7:$AL$7,0))</f>
        <v>33.47</v>
      </c>
      <c r="AB95" s="41">
        <f>INDEX('[2]End - Use Prices'!$C$6:$AL$89,MATCH($C95,'[2]End - Use Prices'!$A$6:$A$89,0)+MATCH($D95,'[2]End - Use Prices'!$B$9:$B$11,0)-1,MATCH(AB$1,'[2]End - Use Prices'!$C$7:$AL$7,0))</f>
        <v>23.22</v>
      </c>
      <c r="AC95" s="41">
        <f>INDEX('[2]End - Use Prices'!$C$6:$AL$89,MATCH($C95,'[2]End - Use Prices'!$A$6:$A$89,0)+MATCH($D95,'[2]End - Use Prices'!$B$9:$B$11,0)-1,MATCH(AC$1,'[2]End - Use Prices'!$C$7:$AL$7,0))</f>
        <v>26.1</v>
      </c>
      <c r="AD95" s="41">
        <f>INDEX('[2]End - Use Prices'!$C$6:$AL$89,MATCH($C95,'[2]End - Use Prices'!$A$6:$A$89,0)+MATCH($D95,'[2]End - Use Prices'!$B$9:$B$11,0)-1,MATCH(AD$1,'[2]End - Use Prices'!$C$7:$AL$7,0))</f>
        <v>32.090000000000003</v>
      </c>
      <c r="AE95" s="41">
        <f>INDEX('[2]End - Use Prices'!$C$6:$AL$89,MATCH($C95,'[2]End - Use Prices'!$A$6:$A$89,0)+MATCH($D95,'[2]End - Use Prices'!$B$9:$B$11,0)-1,MATCH(AE$1,'[2]End - Use Prices'!$C$7:$AL$7,0))</f>
        <v>33.770000000000003</v>
      </c>
      <c r="AF95" s="41">
        <f>INDEX('[2]End - Use Prices'!$C$6:$AL$89,MATCH($C95,'[2]End - Use Prices'!$A$6:$A$89,0)+MATCH($D95,'[2]End - Use Prices'!$B$9:$B$11,0)-1,MATCH(AF$1,'[2]End - Use Prices'!$C$7:$AL$7,0))</f>
        <v>33.130000000000003</v>
      </c>
      <c r="AG95" s="41">
        <f>INDEX('[2]End - Use Prices'!$C$6:$AL$89,MATCH($C95,'[2]End - Use Prices'!$A$6:$A$89,0)+MATCH($D95,'[2]End - Use Prices'!$B$9:$B$11,0)-1,MATCH(AG$1,'[2]End - Use Prices'!$C$7:$AL$7,0))</f>
        <v>33.630000000000003</v>
      </c>
      <c r="AH95" s="41">
        <f>INDEX('[2]End - Use Prices'!$C$6:$AL$89,MATCH($C95,'[2]End - Use Prices'!$A$6:$A$89,0)+MATCH($D95,'[2]End - Use Prices'!$B$9:$B$11,0)-1,MATCH(AH$1,'[2]End - Use Prices'!$C$7:$AL$7,0))</f>
        <v>27.54</v>
      </c>
      <c r="AI95" s="41">
        <f>INDEX('[2]End - Use Prices'!$C$6:$AL$89,MATCH($C95,'[2]End - Use Prices'!$A$6:$A$89,0)+MATCH($D95,'[2]End - Use Prices'!$B$9:$B$11,0)-1,MATCH(AI$1,'[2]End - Use Prices'!$C$7:$AL$7,0))</f>
        <v>23.58</v>
      </c>
      <c r="AJ95" s="41">
        <f>INDEX('[2]End - Use Prices'!$C$6:$AL$89,MATCH($C95,'[2]End - Use Prices'!$A$6:$A$89,0)+MATCH($D95,'[2]End - Use Prices'!$B$9:$B$11,0)-1,MATCH(AJ$1,'[2]End - Use Prices'!$C$7:$AL$7,0))</f>
        <v>25.75</v>
      </c>
      <c r="AK95" s="41">
        <f>INDEX('[2]End - Use Prices'!$C$6:$AL$89,MATCH($C95,'[2]End - Use Prices'!$A$6:$A$89,0)+MATCH($D95,'[2]End - Use Prices'!$B$9:$B$11,0)-1,MATCH(AK$1,'[2]End - Use Prices'!$C$7:$AL$7,0))</f>
        <v>30.37</v>
      </c>
      <c r="AL95" s="41">
        <f>INDEX('[2]End - Use Prices'!$C$6:$AL$89,MATCH($C95,'[2]End - Use Prices'!$A$6:$A$89,0)+MATCH($D95,'[2]End - Use Prices'!$B$9:$B$11,0)-1,MATCH(AL$1,'[2]End - Use Prices'!$C$7:$AL$7,0))</f>
        <v>34.700000000000003</v>
      </c>
      <c r="AM95" s="41">
        <f>INDEX('[2]End - Use Prices'!$C$6:$AL$89,MATCH($C95,'[2]End - Use Prices'!$A$6:$A$89,0)+MATCH($D95,'[2]End - Use Prices'!$B$9:$B$11,0)-1,MATCH(AM$1,'[2]End - Use Prices'!$C$7:$AL$7,0))</f>
        <v>38.03</v>
      </c>
      <c r="AN95" s="41">
        <f>INDEX('[2]End - Use Prices'!$C$6:$AL$89,MATCH($C95,'[2]End - Use Prices'!$A$6:$A$89,0)+MATCH($D95,'[2]End - Use Prices'!$B$9:$B$11,0)-1,MATCH(AN$1,'[2]End - Use Prices'!$C$7:$AL$7,0))</f>
        <v>34.799999999999997</v>
      </c>
      <c r="AO95" s="41">
        <f>INDEX('[2]End - Use Prices'!$C$6:$AL$89,MATCH($C95,'[2]End - Use Prices'!$A$6:$A$89,0)+MATCH($D95,'[2]End - Use Prices'!$B$9:$B$11,0)-1,MATCH(AO$1,'[2]End - Use Prices'!$C$7:$AL$7,0))</f>
        <v>32.68</v>
      </c>
      <c r="AP95" s="41">
        <f>INDEX('[2]End - Use Prices'!$C$6:$AL$89,MATCH($C95,'[2]End - Use Prices'!$A$6:$A$89,0)+MATCH($D95,'[2]End - Use Prices'!$B$9:$B$11,0)-1,MATCH(AP$1,'[2]End - Use Prices'!$C$7:$AL$7,0))</f>
        <v>32.369999999999997</v>
      </c>
      <c r="AQ95" s="41">
        <f>INDEX('[2]End - Use Prices'!$C$6:$AL$89,MATCH($C95,'[2]End - Use Prices'!$A$6:$A$89,0)+MATCH($D95,'[2]End - Use Prices'!$B$9:$B$11,0)-1,MATCH(AQ$1,'[2]End - Use Prices'!$C$7:$AL$7,0))</f>
        <v>32.47</v>
      </c>
      <c r="AR95" s="41">
        <f>INDEX('[2]End - Use Prices'!$C$6:$AL$89,MATCH($C95,'[2]End - Use Prices'!$A$6:$A$89,0)+MATCH($D95,'[2]End - Use Prices'!$B$9:$B$11,0)-1,MATCH(AR$1,'[2]End - Use Prices'!$C$7:$AL$7,0))</f>
        <v>32.78</v>
      </c>
      <c r="AS95" s="41">
        <f>INDEX('[2]End - Use Prices'!$C$6:$AL$89,MATCH($C95,'[2]End - Use Prices'!$A$6:$A$89,0)+MATCH($D95,'[2]End - Use Prices'!$B$9:$B$11,0)-1,MATCH(AS$1,'[2]End - Use Prices'!$C$7:$AL$7,0))</f>
        <v>33.03</v>
      </c>
      <c r="AT95" s="41">
        <f>INDEX('[2]End - Use Prices'!$C$6:$AL$89,MATCH($C95,'[2]End - Use Prices'!$A$6:$A$89,0)+MATCH($D95,'[2]End - Use Prices'!$B$9:$B$11,0)-1,MATCH(AT$1,'[2]End - Use Prices'!$C$7:$AL$7,0))</f>
        <v>32.81</v>
      </c>
      <c r="AU95" s="41">
        <f>INDEX('[2]End - Use Prices'!$C$6:$AL$89,MATCH($C95,'[2]End - Use Prices'!$A$6:$A$89,0)+MATCH($D95,'[2]End - Use Prices'!$B$9:$B$11,0)-1,MATCH(AU$1,'[2]End - Use Prices'!$C$7:$AL$7,0))</f>
        <v>32.549999999999997</v>
      </c>
      <c r="AV95" s="41">
        <f>INDEX('[2]End - Use Prices'!$C$6:$AL$89,MATCH($C95,'[2]End - Use Prices'!$A$6:$A$89,0)+MATCH($D95,'[2]End - Use Prices'!$B$9:$B$11,0)-1,MATCH(AV$1,'[2]End - Use Prices'!$C$7:$AL$7,0))</f>
        <v>32.33</v>
      </c>
      <c r="AW95" s="41">
        <f>INDEX('[2]End - Use Prices'!$C$6:$AL$89,MATCH($C95,'[2]End - Use Prices'!$A$6:$A$89,0)+MATCH($D95,'[2]End - Use Prices'!$B$9:$B$11,0)-1,MATCH(AW$1,'[2]End - Use Prices'!$C$7:$AL$7,0))</f>
        <v>32.11</v>
      </c>
      <c r="AX95" s="41">
        <f>INDEX('[2]End - Use Prices'!$C$6:$AL$89,MATCH($C95,'[2]End - Use Prices'!$A$6:$A$89,0)+MATCH($D95,'[2]End - Use Prices'!$B$9:$B$11,0)-1,MATCH(AX$1,'[2]End - Use Prices'!$C$7:$AL$7,0))</f>
        <v>31.96</v>
      </c>
      <c r="AY95" s="41">
        <f>INDEX('[2]End - Use Prices'!$C$6:$AL$89,MATCH($C95,'[2]End - Use Prices'!$A$6:$A$89,0)+MATCH($D95,'[2]End - Use Prices'!$B$9:$B$11,0)-1,MATCH(AY$1,'[2]End - Use Prices'!$C$7:$AL$7,0))</f>
        <v>31.85</v>
      </c>
      <c r="AZ95" s="41">
        <f>INDEX('[2]End - Use Prices'!$C$6:$AL$89,MATCH($C95,'[2]End - Use Prices'!$A$6:$A$89,0)+MATCH($D95,'[2]End - Use Prices'!$B$9:$B$11,0)-1,MATCH(AZ$1,'[2]End - Use Prices'!$C$7:$AL$7,0))</f>
        <v>31.79</v>
      </c>
      <c r="BA95" s="41">
        <f>INDEX('[2]End - Use Prices'!$C$6:$AL$89,MATCH($C95,'[2]End - Use Prices'!$A$6:$A$89,0)+MATCH($D95,'[2]End - Use Prices'!$B$9:$B$11,0)-1,MATCH(BA$1,'[2]End - Use Prices'!$C$7:$AL$7,0))</f>
        <v>31.75</v>
      </c>
      <c r="BB95" s="41">
        <f>INDEX('[2]End - Use Prices'!$C$6:$AL$89,MATCH($C95,'[2]End - Use Prices'!$A$6:$A$89,0)+MATCH($D95,'[2]End - Use Prices'!$B$9:$B$11,0)-1,MATCH(BB$1,'[2]End - Use Prices'!$C$7:$AL$7,0))</f>
        <v>31.7</v>
      </c>
      <c r="BC95" s="41">
        <f>INDEX('[2]End - Use Prices'!$C$6:$AL$89,MATCH($C95,'[2]End - Use Prices'!$A$6:$A$89,0)+MATCH($D95,'[2]End - Use Prices'!$B$9:$B$11,0)-1,MATCH(BC$1,'[2]End - Use Prices'!$C$7:$AL$7,0))</f>
        <v>31.63</v>
      </c>
      <c r="BD95" s="41">
        <f>INDEX('[2]End - Use Prices'!$C$6:$AL$89,MATCH($C95,'[2]End - Use Prices'!$A$6:$A$89,0)+MATCH($D95,'[2]End - Use Prices'!$B$9:$B$11,0)-1,MATCH(BD$1,'[2]End - Use Prices'!$C$7:$AL$7,0))</f>
        <v>31.54</v>
      </c>
      <c r="BE95" s="41">
        <f>INDEX('[2]End - Use Prices'!$C$6:$AL$89,MATCH($C95,'[2]End - Use Prices'!$A$6:$A$89,0)+MATCH($D95,'[2]End - Use Prices'!$B$9:$B$11,0)-1,MATCH(BE$1,'[2]End - Use Prices'!$C$7:$AL$7,0))</f>
        <v>31.42</v>
      </c>
      <c r="BF95" s="41">
        <f>INDEX('[2]End - Use Prices'!$C$6:$AL$89,MATCH($C95,'[2]End - Use Prices'!$A$6:$A$89,0)+MATCH($D95,'[2]End - Use Prices'!$B$9:$B$11,0)-1,MATCH(BF$1,'[2]End - Use Prices'!$C$7:$AL$7,0))</f>
        <v>31.3</v>
      </c>
      <c r="BG95" s="41">
        <f>INDEX('[2]End - Use Prices'!$C$6:$AL$89,MATCH($C95,'[2]End - Use Prices'!$A$6:$A$89,0)+MATCH($D95,'[2]End - Use Prices'!$B$9:$B$11,0)-1,MATCH(BG$1,'[2]End - Use Prices'!$C$7:$AL$7,0))</f>
        <v>31.16</v>
      </c>
      <c r="BR95" s="39"/>
      <c r="BS95" s="39"/>
      <c r="BT95" s="39"/>
      <c r="BU95" s="39"/>
      <c r="BV95" s="39"/>
      <c r="BW95" s="39"/>
      <c r="BX95" s="39"/>
      <c r="BY95" s="39"/>
      <c r="BZ95" s="39"/>
      <c r="CA95" s="39"/>
    </row>
    <row r="96" spans="1:79">
      <c r="A96" s="5"/>
      <c r="B96" s="3"/>
      <c r="C96" s="25" t="s">
        <v>89</v>
      </c>
      <c r="D96" s="25" t="s">
        <v>276</v>
      </c>
      <c r="E96" s="25" t="s">
        <v>277</v>
      </c>
      <c r="F96" s="67" t="s">
        <v>275</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INDEX('[2]End - Use Prices'!$C$6:$AL$89,MATCH($C96,'[2]End - Use Prices'!$A$6:$A$89,0)+MATCH($D96,'[2]End - Use Prices'!$B$9:$B$11,0)-1,MATCH(X$1,'[2]End - Use Prices'!$C$7:$AL$7,0))</f>
        <v>25.66</v>
      </c>
      <c r="Y96" s="41">
        <f>INDEX('[2]End - Use Prices'!$C$6:$AL$89,MATCH($C96,'[2]End - Use Prices'!$A$6:$A$89,0)+MATCH($D96,'[2]End - Use Prices'!$B$9:$B$11,0)-1,MATCH(Y$1,'[2]End - Use Prices'!$C$7:$AL$7,0))</f>
        <v>26.36</v>
      </c>
      <c r="Z96" s="41">
        <f>INDEX('[2]End - Use Prices'!$C$6:$AL$89,MATCH($C96,'[2]End - Use Prices'!$A$6:$A$89,0)+MATCH($D96,'[2]End - Use Prices'!$B$9:$B$11,0)-1,MATCH(Z$1,'[2]End - Use Prices'!$C$7:$AL$7,0))</f>
        <v>27.18</v>
      </c>
      <c r="AA96" s="41">
        <f>INDEX('[2]End - Use Prices'!$C$6:$AL$89,MATCH($C96,'[2]End - Use Prices'!$A$6:$A$89,0)+MATCH($D96,'[2]End - Use Prices'!$B$9:$B$11,0)-1,MATCH(AA$1,'[2]End - Use Prices'!$C$7:$AL$7,0))</f>
        <v>33.630000000000003</v>
      </c>
      <c r="AB96" s="41">
        <f>INDEX('[2]End - Use Prices'!$C$6:$AL$89,MATCH($C96,'[2]End - Use Prices'!$A$6:$A$89,0)+MATCH($D96,'[2]End - Use Prices'!$B$9:$B$11,0)-1,MATCH(AB$1,'[2]End - Use Prices'!$C$7:$AL$7,0))</f>
        <v>25.05</v>
      </c>
      <c r="AC96" s="41">
        <f>INDEX('[2]End - Use Prices'!$C$6:$AL$89,MATCH($C96,'[2]End - Use Prices'!$A$6:$A$89,0)+MATCH($D96,'[2]End - Use Prices'!$B$9:$B$11,0)-1,MATCH(AC$1,'[2]End - Use Prices'!$C$7:$AL$7,0))</f>
        <v>28.54</v>
      </c>
      <c r="AD96" s="41">
        <f>INDEX('[2]End - Use Prices'!$C$6:$AL$89,MATCH($C96,'[2]End - Use Prices'!$A$6:$A$89,0)+MATCH($D96,'[2]End - Use Prices'!$B$9:$B$11,0)-1,MATCH(AD$1,'[2]End - Use Prices'!$C$7:$AL$7,0))</f>
        <v>35.020000000000003</v>
      </c>
      <c r="AE96" s="41">
        <f>INDEX('[2]End - Use Prices'!$C$6:$AL$89,MATCH($C96,'[2]End - Use Prices'!$A$6:$A$89,0)+MATCH($D96,'[2]End - Use Prices'!$B$9:$B$11,0)-1,MATCH(AE$1,'[2]End - Use Prices'!$C$7:$AL$7,0))</f>
        <v>35.61</v>
      </c>
      <c r="AF96" s="41">
        <f>INDEX('[2]End - Use Prices'!$C$6:$AL$89,MATCH($C96,'[2]End - Use Prices'!$A$6:$A$89,0)+MATCH($D96,'[2]End - Use Prices'!$B$9:$B$11,0)-1,MATCH(AF$1,'[2]End - Use Prices'!$C$7:$AL$7,0))</f>
        <v>35.47</v>
      </c>
      <c r="AG96" s="41">
        <f>INDEX('[2]End - Use Prices'!$C$6:$AL$89,MATCH($C96,'[2]End - Use Prices'!$A$6:$A$89,0)+MATCH($D96,'[2]End - Use Prices'!$B$9:$B$11,0)-1,MATCH(AG$1,'[2]End - Use Prices'!$C$7:$AL$7,0))</f>
        <v>36.5</v>
      </c>
      <c r="AH96" s="41">
        <f>INDEX('[2]End - Use Prices'!$C$6:$AL$89,MATCH($C96,'[2]End - Use Prices'!$A$6:$A$89,0)+MATCH($D96,'[2]End - Use Prices'!$B$9:$B$11,0)-1,MATCH(AH$1,'[2]End - Use Prices'!$C$7:$AL$7,0))</f>
        <v>30.91</v>
      </c>
      <c r="AI96" s="41">
        <f>INDEX('[2]End - Use Prices'!$C$6:$AL$89,MATCH($C96,'[2]End - Use Prices'!$A$6:$A$89,0)+MATCH($D96,'[2]End - Use Prices'!$B$9:$B$11,0)-1,MATCH(AI$1,'[2]End - Use Prices'!$C$7:$AL$7,0))</f>
        <v>27.23</v>
      </c>
      <c r="AJ96" s="41">
        <f>INDEX('[2]End - Use Prices'!$C$6:$AL$89,MATCH($C96,'[2]End - Use Prices'!$A$6:$A$89,0)+MATCH($D96,'[2]End - Use Prices'!$B$9:$B$11,0)-1,MATCH(AJ$1,'[2]End - Use Prices'!$C$7:$AL$7,0))</f>
        <v>31.23</v>
      </c>
      <c r="AK96" s="41">
        <f>INDEX('[2]End - Use Prices'!$C$6:$AL$89,MATCH($C96,'[2]End - Use Prices'!$A$6:$A$89,0)+MATCH($D96,'[2]End - Use Prices'!$B$9:$B$11,0)-1,MATCH(AK$1,'[2]End - Use Prices'!$C$7:$AL$7,0))</f>
        <v>35.57</v>
      </c>
      <c r="AL96" s="41">
        <f>INDEX('[2]End - Use Prices'!$C$6:$AL$89,MATCH($C96,'[2]End - Use Prices'!$A$6:$A$89,0)+MATCH($D96,'[2]End - Use Prices'!$B$9:$B$11,0)-1,MATCH(AL$1,'[2]End - Use Prices'!$C$7:$AL$7,0))</f>
        <v>38.32</v>
      </c>
      <c r="AM96" s="41">
        <f>INDEX('[2]End - Use Prices'!$C$6:$AL$89,MATCH($C96,'[2]End - Use Prices'!$A$6:$A$89,0)+MATCH($D96,'[2]End - Use Prices'!$B$9:$B$11,0)-1,MATCH(AM$1,'[2]End - Use Prices'!$C$7:$AL$7,0))</f>
        <v>41.65</v>
      </c>
      <c r="AN96" s="41">
        <f>INDEX('[2]End - Use Prices'!$C$6:$AL$89,MATCH($C96,'[2]End - Use Prices'!$A$6:$A$89,0)+MATCH($D96,'[2]End - Use Prices'!$B$9:$B$11,0)-1,MATCH(AN$1,'[2]End - Use Prices'!$C$7:$AL$7,0))</f>
        <v>38.53</v>
      </c>
      <c r="AO96" s="41">
        <f>INDEX('[2]End - Use Prices'!$C$6:$AL$89,MATCH($C96,'[2]End - Use Prices'!$A$6:$A$89,0)+MATCH($D96,'[2]End - Use Prices'!$B$9:$B$11,0)-1,MATCH(AO$1,'[2]End - Use Prices'!$C$7:$AL$7,0))</f>
        <v>36.51</v>
      </c>
      <c r="AP96" s="41">
        <f>INDEX('[2]End - Use Prices'!$C$6:$AL$89,MATCH($C96,'[2]End - Use Prices'!$A$6:$A$89,0)+MATCH($D96,'[2]End - Use Prices'!$B$9:$B$11,0)-1,MATCH(AP$1,'[2]End - Use Prices'!$C$7:$AL$7,0))</f>
        <v>36.270000000000003</v>
      </c>
      <c r="AQ96" s="41">
        <f>INDEX('[2]End - Use Prices'!$C$6:$AL$89,MATCH($C96,'[2]End - Use Prices'!$A$6:$A$89,0)+MATCH($D96,'[2]End - Use Prices'!$B$9:$B$11,0)-1,MATCH(AQ$1,'[2]End - Use Prices'!$C$7:$AL$7,0))</f>
        <v>36.42</v>
      </c>
      <c r="AR96" s="41">
        <f>INDEX('[2]End - Use Prices'!$C$6:$AL$89,MATCH($C96,'[2]End - Use Prices'!$A$6:$A$89,0)+MATCH($D96,'[2]End - Use Prices'!$B$9:$B$11,0)-1,MATCH(AR$1,'[2]End - Use Prices'!$C$7:$AL$7,0))</f>
        <v>36.79</v>
      </c>
      <c r="AS96" s="41">
        <f>INDEX('[2]End - Use Prices'!$C$6:$AL$89,MATCH($C96,'[2]End - Use Prices'!$A$6:$A$89,0)+MATCH($D96,'[2]End - Use Prices'!$B$9:$B$11,0)-1,MATCH(AS$1,'[2]End - Use Prices'!$C$7:$AL$7,0))</f>
        <v>37.08</v>
      </c>
      <c r="AT96" s="41">
        <f>INDEX('[2]End - Use Prices'!$C$6:$AL$89,MATCH($C96,'[2]End - Use Prices'!$A$6:$A$89,0)+MATCH($D96,'[2]End - Use Prices'!$B$9:$B$11,0)-1,MATCH(AT$1,'[2]End - Use Prices'!$C$7:$AL$7,0))</f>
        <v>36.909999999999997</v>
      </c>
      <c r="AU96" s="41">
        <f>INDEX('[2]End - Use Prices'!$C$6:$AL$89,MATCH($C96,'[2]End - Use Prices'!$A$6:$A$89,0)+MATCH($D96,'[2]End - Use Prices'!$B$9:$B$11,0)-1,MATCH(AU$1,'[2]End - Use Prices'!$C$7:$AL$7,0))</f>
        <v>36.69</v>
      </c>
      <c r="AV96" s="41">
        <f>INDEX('[2]End - Use Prices'!$C$6:$AL$89,MATCH($C96,'[2]End - Use Prices'!$A$6:$A$89,0)+MATCH($D96,'[2]End - Use Prices'!$B$9:$B$11,0)-1,MATCH(AV$1,'[2]End - Use Prices'!$C$7:$AL$7,0))</f>
        <v>36.51</v>
      </c>
      <c r="AW96" s="41">
        <f>INDEX('[2]End - Use Prices'!$C$6:$AL$89,MATCH($C96,'[2]End - Use Prices'!$A$6:$A$89,0)+MATCH($D96,'[2]End - Use Prices'!$B$9:$B$11,0)-1,MATCH(AW$1,'[2]End - Use Prices'!$C$7:$AL$7,0))</f>
        <v>36.32</v>
      </c>
      <c r="AX96" s="41">
        <f>INDEX('[2]End - Use Prices'!$C$6:$AL$89,MATCH($C96,'[2]End - Use Prices'!$A$6:$A$89,0)+MATCH($D96,'[2]End - Use Prices'!$B$9:$B$11,0)-1,MATCH(AX$1,'[2]End - Use Prices'!$C$7:$AL$7,0))</f>
        <v>36.22</v>
      </c>
      <c r="AY96" s="41">
        <f>INDEX('[2]End - Use Prices'!$C$6:$AL$89,MATCH($C96,'[2]End - Use Prices'!$A$6:$A$89,0)+MATCH($D96,'[2]End - Use Prices'!$B$9:$B$11,0)-1,MATCH(AY$1,'[2]End - Use Prices'!$C$7:$AL$7,0))</f>
        <v>36.14</v>
      </c>
      <c r="AZ96" s="41">
        <f>INDEX('[2]End - Use Prices'!$C$6:$AL$89,MATCH($C96,'[2]End - Use Prices'!$A$6:$A$89,0)+MATCH($D96,'[2]End - Use Prices'!$B$9:$B$11,0)-1,MATCH(AZ$1,'[2]End - Use Prices'!$C$7:$AL$7,0))</f>
        <v>36.11</v>
      </c>
      <c r="BA96" s="41">
        <f>INDEX('[2]End - Use Prices'!$C$6:$AL$89,MATCH($C96,'[2]End - Use Prices'!$A$6:$A$89,0)+MATCH($D96,'[2]End - Use Prices'!$B$9:$B$11,0)-1,MATCH(BA$1,'[2]End - Use Prices'!$C$7:$AL$7,0))</f>
        <v>36.11</v>
      </c>
      <c r="BB96" s="41">
        <f>INDEX('[2]End - Use Prices'!$C$6:$AL$89,MATCH($C96,'[2]End - Use Prices'!$A$6:$A$89,0)+MATCH($D96,'[2]End - Use Prices'!$B$9:$B$11,0)-1,MATCH(BB$1,'[2]End - Use Prices'!$C$7:$AL$7,0))</f>
        <v>36.090000000000003</v>
      </c>
      <c r="BC96" s="41">
        <f>INDEX('[2]End - Use Prices'!$C$6:$AL$89,MATCH($C96,'[2]End - Use Prices'!$A$6:$A$89,0)+MATCH($D96,'[2]End - Use Prices'!$B$9:$B$11,0)-1,MATCH(BC$1,'[2]End - Use Prices'!$C$7:$AL$7,0))</f>
        <v>36.049999999999997</v>
      </c>
      <c r="BD96" s="41">
        <f>INDEX('[2]End - Use Prices'!$C$6:$AL$89,MATCH($C96,'[2]End - Use Prices'!$A$6:$A$89,0)+MATCH($D96,'[2]End - Use Prices'!$B$9:$B$11,0)-1,MATCH(BD$1,'[2]End - Use Prices'!$C$7:$AL$7,0))</f>
        <v>35.99</v>
      </c>
      <c r="BE96" s="41">
        <f>INDEX('[2]End - Use Prices'!$C$6:$AL$89,MATCH($C96,'[2]End - Use Prices'!$A$6:$A$89,0)+MATCH($D96,'[2]End - Use Prices'!$B$9:$B$11,0)-1,MATCH(BE$1,'[2]End - Use Prices'!$C$7:$AL$7,0))</f>
        <v>35.9</v>
      </c>
      <c r="BF96" s="41">
        <f>INDEX('[2]End - Use Prices'!$C$6:$AL$89,MATCH($C96,'[2]End - Use Prices'!$A$6:$A$89,0)+MATCH($D96,'[2]End - Use Prices'!$B$9:$B$11,0)-1,MATCH(BF$1,'[2]End - Use Prices'!$C$7:$AL$7,0))</f>
        <v>35.81</v>
      </c>
      <c r="BG96" s="41">
        <f>INDEX('[2]End - Use Prices'!$C$6:$AL$89,MATCH($C96,'[2]End - Use Prices'!$A$6:$A$89,0)+MATCH($D96,'[2]End - Use Prices'!$B$9:$B$11,0)-1,MATCH(BG$1,'[2]End - Use Prices'!$C$7:$AL$7,0))</f>
        <v>35.71</v>
      </c>
      <c r="BR96" s="39"/>
      <c r="BS96" s="39"/>
      <c r="BT96" s="39"/>
      <c r="BU96" s="39"/>
      <c r="BV96" s="39"/>
      <c r="BW96" s="39"/>
      <c r="BX96" s="39"/>
      <c r="BY96" s="39"/>
      <c r="BZ96" s="39"/>
      <c r="CA96" s="39"/>
    </row>
    <row r="97" spans="1:79">
      <c r="A97" s="5"/>
      <c r="B97" s="3"/>
      <c r="C97" s="25" t="s">
        <v>90</v>
      </c>
      <c r="D97" s="25" t="s">
        <v>276</v>
      </c>
      <c r="E97" s="25" t="s">
        <v>277</v>
      </c>
      <c r="F97" s="67" t="s">
        <v>275</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INDEX('[2]End - Use Prices'!$C$6:$AL$89,MATCH($C97,'[2]End - Use Prices'!$A$6:$A$89,0)+MATCH($D97,'[2]End - Use Prices'!$B$9:$B$11,0)-1,MATCH(X$1,'[2]End - Use Prices'!$C$7:$AL$7,0))</f>
        <v>26.86</v>
      </c>
      <c r="Y97" s="41">
        <f>INDEX('[2]End - Use Prices'!$C$6:$AL$89,MATCH($C97,'[2]End - Use Prices'!$A$6:$A$89,0)+MATCH($D97,'[2]End - Use Prices'!$B$9:$B$11,0)-1,MATCH(Y$1,'[2]End - Use Prices'!$C$7:$AL$7,0))</f>
        <v>26.92</v>
      </c>
      <c r="Z97" s="41">
        <f>INDEX('[2]End - Use Prices'!$C$6:$AL$89,MATCH($C97,'[2]End - Use Prices'!$A$6:$A$89,0)+MATCH($D97,'[2]End - Use Prices'!$B$9:$B$11,0)-1,MATCH(Z$1,'[2]End - Use Prices'!$C$7:$AL$7,0))</f>
        <v>28.39</v>
      </c>
      <c r="AA97" s="41">
        <f>INDEX('[2]End - Use Prices'!$C$6:$AL$89,MATCH($C97,'[2]End - Use Prices'!$A$6:$A$89,0)+MATCH($D97,'[2]End - Use Prices'!$B$9:$B$11,0)-1,MATCH(AA$1,'[2]End - Use Prices'!$C$7:$AL$7,0))</f>
        <v>34.549999999999997</v>
      </c>
      <c r="AB97" s="41">
        <f>INDEX('[2]End - Use Prices'!$C$6:$AL$89,MATCH($C97,'[2]End - Use Prices'!$A$6:$A$89,0)+MATCH($D97,'[2]End - Use Prices'!$B$9:$B$11,0)-1,MATCH(AB$1,'[2]End - Use Prices'!$C$7:$AL$7,0))</f>
        <v>25.26</v>
      </c>
      <c r="AC97" s="41">
        <f>INDEX('[2]End - Use Prices'!$C$6:$AL$89,MATCH($C97,'[2]End - Use Prices'!$A$6:$A$89,0)+MATCH($D97,'[2]End - Use Prices'!$B$9:$B$11,0)-1,MATCH(AC$1,'[2]End - Use Prices'!$C$7:$AL$7,0))</f>
        <v>28.11</v>
      </c>
      <c r="AD97" s="41">
        <f>INDEX('[2]End - Use Prices'!$C$6:$AL$89,MATCH($C97,'[2]End - Use Prices'!$A$6:$A$89,0)+MATCH($D97,'[2]End - Use Prices'!$B$9:$B$11,0)-1,MATCH(AD$1,'[2]End - Use Prices'!$C$7:$AL$7,0))</f>
        <v>32.72</v>
      </c>
      <c r="AE97" s="41">
        <f>INDEX('[2]End - Use Prices'!$C$6:$AL$89,MATCH($C97,'[2]End - Use Prices'!$A$6:$A$89,0)+MATCH($D97,'[2]End - Use Prices'!$B$9:$B$11,0)-1,MATCH(AE$1,'[2]End - Use Prices'!$C$7:$AL$7,0))</f>
        <v>32.950000000000003</v>
      </c>
      <c r="AF97" s="41">
        <f>INDEX('[2]End - Use Prices'!$C$6:$AL$89,MATCH($C97,'[2]End - Use Prices'!$A$6:$A$89,0)+MATCH($D97,'[2]End - Use Prices'!$B$9:$B$11,0)-1,MATCH(AF$1,'[2]End - Use Prices'!$C$7:$AL$7,0))</f>
        <v>33.5</v>
      </c>
      <c r="AG97" s="41">
        <f>INDEX('[2]End - Use Prices'!$C$6:$AL$89,MATCH($C97,'[2]End - Use Prices'!$A$6:$A$89,0)+MATCH($D97,'[2]End - Use Prices'!$B$9:$B$11,0)-1,MATCH(AG$1,'[2]End - Use Prices'!$C$7:$AL$7,0))</f>
        <v>34.840000000000003</v>
      </c>
      <c r="AH97" s="41">
        <f>INDEX('[2]End - Use Prices'!$C$6:$AL$89,MATCH($C97,'[2]End - Use Prices'!$A$6:$A$89,0)+MATCH($D97,'[2]End - Use Prices'!$B$9:$B$11,0)-1,MATCH(AH$1,'[2]End - Use Prices'!$C$7:$AL$7,0))</f>
        <v>26.82</v>
      </c>
      <c r="AI97" s="41">
        <f>INDEX('[2]End - Use Prices'!$C$6:$AL$89,MATCH($C97,'[2]End - Use Prices'!$A$6:$A$89,0)+MATCH($D97,'[2]End - Use Prices'!$B$9:$B$11,0)-1,MATCH(AI$1,'[2]End - Use Prices'!$C$7:$AL$7,0))</f>
        <v>24</v>
      </c>
      <c r="AJ97" s="41">
        <f>INDEX('[2]End - Use Prices'!$C$6:$AL$89,MATCH($C97,'[2]End - Use Prices'!$A$6:$A$89,0)+MATCH($D97,'[2]End - Use Prices'!$B$9:$B$11,0)-1,MATCH(AJ$1,'[2]End - Use Prices'!$C$7:$AL$7,0))</f>
        <v>26.23</v>
      </c>
      <c r="AK97" s="41">
        <f>INDEX('[2]End - Use Prices'!$C$6:$AL$89,MATCH($C97,'[2]End - Use Prices'!$A$6:$A$89,0)+MATCH($D97,'[2]End - Use Prices'!$B$9:$B$11,0)-1,MATCH(AK$1,'[2]End - Use Prices'!$C$7:$AL$7,0))</f>
        <v>30.14</v>
      </c>
      <c r="AL97" s="41">
        <f>INDEX('[2]End - Use Prices'!$C$6:$AL$89,MATCH($C97,'[2]End - Use Prices'!$A$6:$A$89,0)+MATCH($D97,'[2]End - Use Prices'!$B$9:$B$11,0)-1,MATCH(AL$1,'[2]End - Use Prices'!$C$7:$AL$7,0))</f>
        <v>33.479999999999997</v>
      </c>
      <c r="AM97" s="41">
        <f>INDEX('[2]End - Use Prices'!$C$6:$AL$89,MATCH($C97,'[2]End - Use Prices'!$A$6:$A$89,0)+MATCH($D97,'[2]End - Use Prices'!$B$9:$B$11,0)-1,MATCH(AM$1,'[2]End - Use Prices'!$C$7:$AL$7,0))</f>
        <v>36.65</v>
      </c>
      <c r="AN97" s="41">
        <f>INDEX('[2]End - Use Prices'!$C$6:$AL$89,MATCH($C97,'[2]End - Use Prices'!$A$6:$A$89,0)+MATCH($D97,'[2]End - Use Prices'!$B$9:$B$11,0)-1,MATCH(AN$1,'[2]End - Use Prices'!$C$7:$AL$7,0))</f>
        <v>33.15</v>
      </c>
      <c r="AO97" s="41">
        <f>INDEX('[2]End - Use Prices'!$C$6:$AL$89,MATCH($C97,'[2]End - Use Prices'!$A$6:$A$89,0)+MATCH($D97,'[2]End - Use Prices'!$B$9:$B$11,0)-1,MATCH(AO$1,'[2]End - Use Prices'!$C$7:$AL$7,0))</f>
        <v>30.77</v>
      </c>
      <c r="AP97" s="41">
        <f>INDEX('[2]End - Use Prices'!$C$6:$AL$89,MATCH($C97,'[2]End - Use Prices'!$A$6:$A$89,0)+MATCH($D97,'[2]End - Use Prices'!$B$9:$B$11,0)-1,MATCH(AP$1,'[2]End - Use Prices'!$C$7:$AL$7,0))</f>
        <v>30.2</v>
      </c>
      <c r="AQ97" s="41">
        <f>INDEX('[2]End - Use Prices'!$C$6:$AL$89,MATCH($C97,'[2]End - Use Prices'!$A$6:$A$89,0)+MATCH($D97,'[2]End - Use Prices'!$B$9:$B$11,0)-1,MATCH(AQ$1,'[2]End - Use Prices'!$C$7:$AL$7,0))</f>
        <v>30.06</v>
      </c>
      <c r="AR97" s="41">
        <f>INDEX('[2]End - Use Prices'!$C$6:$AL$89,MATCH($C97,'[2]End - Use Prices'!$A$6:$A$89,0)+MATCH($D97,'[2]End - Use Prices'!$B$9:$B$11,0)-1,MATCH(AR$1,'[2]End - Use Prices'!$C$7:$AL$7,0))</f>
        <v>30.13</v>
      </c>
      <c r="AS97" s="41">
        <f>INDEX('[2]End - Use Prices'!$C$6:$AL$89,MATCH($C97,'[2]End - Use Prices'!$A$6:$A$89,0)+MATCH($D97,'[2]End - Use Prices'!$B$9:$B$11,0)-1,MATCH(AS$1,'[2]End - Use Prices'!$C$7:$AL$7,0))</f>
        <v>30.14</v>
      </c>
      <c r="AT97" s="41">
        <f>INDEX('[2]End - Use Prices'!$C$6:$AL$89,MATCH($C97,'[2]End - Use Prices'!$A$6:$A$89,0)+MATCH($D97,'[2]End - Use Prices'!$B$9:$B$11,0)-1,MATCH(AT$1,'[2]End - Use Prices'!$C$7:$AL$7,0))</f>
        <v>30.06</v>
      </c>
      <c r="AU97" s="41">
        <f>INDEX('[2]End - Use Prices'!$C$6:$AL$89,MATCH($C97,'[2]End - Use Prices'!$A$6:$A$89,0)+MATCH($D97,'[2]End - Use Prices'!$B$9:$B$11,0)-1,MATCH(AU$1,'[2]End - Use Prices'!$C$7:$AL$7,0))</f>
        <v>29.92</v>
      </c>
      <c r="AV97" s="41">
        <f>INDEX('[2]End - Use Prices'!$C$6:$AL$89,MATCH($C97,'[2]End - Use Prices'!$A$6:$A$89,0)+MATCH($D97,'[2]End - Use Prices'!$B$9:$B$11,0)-1,MATCH(AV$1,'[2]End - Use Prices'!$C$7:$AL$7,0))</f>
        <v>29.81</v>
      </c>
      <c r="AW97" s="41">
        <f>INDEX('[2]End - Use Prices'!$C$6:$AL$89,MATCH($C97,'[2]End - Use Prices'!$A$6:$A$89,0)+MATCH($D97,'[2]End - Use Prices'!$B$9:$B$11,0)-1,MATCH(AW$1,'[2]End - Use Prices'!$C$7:$AL$7,0))</f>
        <v>29.7</v>
      </c>
      <c r="AX97" s="41">
        <f>INDEX('[2]End - Use Prices'!$C$6:$AL$89,MATCH($C97,'[2]End - Use Prices'!$A$6:$A$89,0)+MATCH($D97,'[2]End - Use Prices'!$B$9:$B$11,0)-1,MATCH(AX$1,'[2]End - Use Prices'!$C$7:$AL$7,0))</f>
        <v>29.64</v>
      </c>
      <c r="AY97" s="41">
        <f>INDEX('[2]End - Use Prices'!$C$6:$AL$89,MATCH($C97,'[2]End - Use Prices'!$A$6:$A$89,0)+MATCH($D97,'[2]End - Use Prices'!$B$9:$B$11,0)-1,MATCH(AY$1,'[2]End - Use Prices'!$C$7:$AL$7,0))</f>
        <v>29.62</v>
      </c>
      <c r="AZ97" s="41">
        <f>INDEX('[2]End - Use Prices'!$C$6:$AL$89,MATCH($C97,'[2]End - Use Prices'!$A$6:$A$89,0)+MATCH($D97,'[2]End - Use Prices'!$B$9:$B$11,0)-1,MATCH(AZ$1,'[2]End - Use Prices'!$C$7:$AL$7,0))</f>
        <v>29.64</v>
      </c>
      <c r="BA97" s="41">
        <f>INDEX('[2]End - Use Prices'!$C$6:$AL$89,MATCH($C97,'[2]End - Use Prices'!$A$6:$A$89,0)+MATCH($D97,'[2]End - Use Prices'!$B$9:$B$11,0)-1,MATCH(BA$1,'[2]End - Use Prices'!$C$7:$AL$7,0))</f>
        <v>29.67</v>
      </c>
      <c r="BB97" s="41">
        <f>INDEX('[2]End - Use Prices'!$C$6:$AL$89,MATCH($C97,'[2]End - Use Prices'!$A$6:$A$89,0)+MATCH($D97,'[2]End - Use Prices'!$B$9:$B$11,0)-1,MATCH(BB$1,'[2]End - Use Prices'!$C$7:$AL$7,0))</f>
        <v>29.69</v>
      </c>
      <c r="BC97" s="41">
        <f>INDEX('[2]End - Use Prices'!$C$6:$AL$89,MATCH($C97,'[2]End - Use Prices'!$A$6:$A$89,0)+MATCH($D97,'[2]End - Use Prices'!$B$9:$B$11,0)-1,MATCH(BC$1,'[2]End - Use Prices'!$C$7:$AL$7,0))</f>
        <v>29.7</v>
      </c>
      <c r="BD97" s="41">
        <f>INDEX('[2]End - Use Prices'!$C$6:$AL$89,MATCH($C97,'[2]End - Use Prices'!$A$6:$A$89,0)+MATCH($D97,'[2]End - Use Prices'!$B$9:$B$11,0)-1,MATCH(BD$1,'[2]End - Use Prices'!$C$7:$AL$7,0))</f>
        <v>29.69</v>
      </c>
      <c r="BE97" s="41">
        <f>INDEX('[2]End - Use Prices'!$C$6:$AL$89,MATCH($C97,'[2]End - Use Prices'!$A$6:$A$89,0)+MATCH($D97,'[2]End - Use Prices'!$B$9:$B$11,0)-1,MATCH(BE$1,'[2]End - Use Prices'!$C$7:$AL$7,0))</f>
        <v>29.65</v>
      </c>
      <c r="BF97" s="41">
        <f>INDEX('[2]End - Use Prices'!$C$6:$AL$89,MATCH($C97,'[2]End - Use Prices'!$A$6:$A$89,0)+MATCH($D97,'[2]End - Use Prices'!$B$9:$B$11,0)-1,MATCH(BF$1,'[2]End - Use Prices'!$C$7:$AL$7,0))</f>
        <v>29.61</v>
      </c>
      <c r="BG97" s="41">
        <f>INDEX('[2]End - Use Prices'!$C$6:$AL$89,MATCH($C97,'[2]End - Use Prices'!$A$6:$A$89,0)+MATCH($D97,'[2]End - Use Prices'!$B$9:$B$11,0)-1,MATCH(BG$1,'[2]End - Use Prices'!$C$7:$AL$7,0))</f>
        <v>29.56</v>
      </c>
      <c r="BR97" s="39"/>
      <c r="BS97" s="39"/>
      <c r="BT97" s="39"/>
      <c r="BU97" s="39"/>
      <c r="BV97" s="39"/>
      <c r="BW97" s="39"/>
      <c r="BX97" s="39"/>
      <c r="BY97" s="39"/>
      <c r="BZ97" s="39"/>
      <c r="CA97" s="39"/>
    </row>
    <row r="98" spans="1:79">
      <c r="A98" s="5"/>
      <c r="B98" s="3"/>
      <c r="C98" s="25" t="s">
        <v>91</v>
      </c>
      <c r="D98" s="25" t="s">
        <v>276</v>
      </c>
      <c r="E98" s="25" t="s">
        <v>277</v>
      </c>
      <c r="F98" s="67" t="s">
        <v>275</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INDEX('[2]End - Use Prices'!$C$6:$AL$89,MATCH($C98,'[2]End - Use Prices'!$A$6:$A$89,0)+MATCH($D98,'[2]End - Use Prices'!$B$9:$B$11,0)-1,MATCH(X$1,'[2]End - Use Prices'!$C$7:$AL$7,0))</f>
        <v>26.98</v>
      </c>
      <c r="Y98" s="41">
        <f>INDEX('[2]End - Use Prices'!$C$6:$AL$89,MATCH($C98,'[2]End - Use Prices'!$A$6:$A$89,0)+MATCH($D98,'[2]End - Use Prices'!$B$9:$B$11,0)-1,MATCH(Y$1,'[2]End - Use Prices'!$C$7:$AL$7,0))</f>
        <v>26.48</v>
      </c>
      <c r="Z98" s="41">
        <f>INDEX('[2]End - Use Prices'!$C$6:$AL$89,MATCH($C98,'[2]End - Use Prices'!$A$6:$A$89,0)+MATCH($D98,'[2]End - Use Prices'!$B$9:$B$11,0)-1,MATCH(Z$1,'[2]End - Use Prices'!$C$7:$AL$7,0))</f>
        <v>28.47</v>
      </c>
      <c r="AA98" s="41">
        <f>INDEX('[2]End - Use Prices'!$C$6:$AL$89,MATCH($C98,'[2]End - Use Prices'!$A$6:$A$89,0)+MATCH($D98,'[2]End - Use Prices'!$B$9:$B$11,0)-1,MATCH(AA$1,'[2]End - Use Prices'!$C$7:$AL$7,0))</f>
        <v>34.4</v>
      </c>
      <c r="AB98" s="41">
        <f>INDEX('[2]End - Use Prices'!$C$6:$AL$89,MATCH($C98,'[2]End - Use Prices'!$A$6:$A$89,0)+MATCH($D98,'[2]End - Use Prices'!$B$9:$B$11,0)-1,MATCH(AB$1,'[2]End - Use Prices'!$C$7:$AL$7,0))</f>
        <v>24.36</v>
      </c>
      <c r="AC98" s="41">
        <f>INDEX('[2]End - Use Prices'!$C$6:$AL$89,MATCH($C98,'[2]End - Use Prices'!$A$6:$A$89,0)+MATCH($D98,'[2]End - Use Prices'!$B$9:$B$11,0)-1,MATCH(AC$1,'[2]End - Use Prices'!$C$7:$AL$7,0))</f>
        <v>26.99</v>
      </c>
      <c r="AD98" s="41">
        <f>INDEX('[2]End - Use Prices'!$C$6:$AL$89,MATCH($C98,'[2]End - Use Prices'!$A$6:$A$89,0)+MATCH($D98,'[2]End - Use Prices'!$B$9:$B$11,0)-1,MATCH(AD$1,'[2]End - Use Prices'!$C$7:$AL$7,0))</f>
        <v>32.65</v>
      </c>
      <c r="AE98" s="41">
        <f>INDEX('[2]End - Use Prices'!$C$6:$AL$89,MATCH($C98,'[2]End - Use Prices'!$A$6:$A$89,0)+MATCH($D98,'[2]End - Use Prices'!$B$9:$B$11,0)-1,MATCH(AE$1,'[2]End - Use Prices'!$C$7:$AL$7,0))</f>
        <v>31.57</v>
      </c>
      <c r="AF98" s="41">
        <f>INDEX('[2]End - Use Prices'!$C$6:$AL$89,MATCH($C98,'[2]End - Use Prices'!$A$6:$A$89,0)+MATCH($D98,'[2]End - Use Prices'!$B$9:$B$11,0)-1,MATCH(AF$1,'[2]End - Use Prices'!$C$7:$AL$7,0))</f>
        <v>32.36</v>
      </c>
      <c r="AG98" s="41">
        <f>INDEX('[2]End - Use Prices'!$C$6:$AL$89,MATCH($C98,'[2]End - Use Prices'!$A$6:$A$89,0)+MATCH($D98,'[2]End - Use Prices'!$B$9:$B$11,0)-1,MATCH(AG$1,'[2]End - Use Prices'!$C$7:$AL$7,0))</f>
        <v>35.340000000000003</v>
      </c>
      <c r="AH98" s="41">
        <f>INDEX('[2]End - Use Prices'!$C$6:$AL$89,MATCH($C98,'[2]End - Use Prices'!$A$6:$A$89,0)+MATCH($D98,'[2]End - Use Prices'!$B$9:$B$11,0)-1,MATCH(AH$1,'[2]End - Use Prices'!$C$7:$AL$7,0))</f>
        <v>26.82</v>
      </c>
      <c r="AI98" s="41">
        <f>INDEX('[2]End - Use Prices'!$C$6:$AL$89,MATCH($C98,'[2]End - Use Prices'!$A$6:$A$89,0)+MATCH($D98,'[2]End - Use Prices'!$B$9:$B$11,0)-1,MATCH(AI$1,'[2]End - Use Prices'!$C$7:$AL$7,0))</f>
        <v>24.02</v>
      </c>
      <c r="AJ98" s="41">
        <f>INDEX('[2]End - Use Prices'!$C$6:$AL$89,MATCH($C98,'[2]End - Use Prices'!$A$6:$A$89,0)+MATCH($D98,'[2]End - Use Prices'!$B$9:$B$11,0)-1,MATCH(AJ$1,'[2]End - Use Prices'!$C$7:$AL$7,0))</f>
        <v>26.27</v>
      </c>
      <c r="AK98" s="41">
        <f>INDEX('[2]End - Use Prices'!$C$6:$AL$89,MATCH($C98,'[2]End - Use Prices'!$A$6:$A$89,0)+MATCH($D98,'[2]End - Use Prices'!$B$9:$B$11,0)-1,MATCH(AK$1,'[2]End - Use Prices'!$C$7:$AL$7,0))</f>
        <v>29.87</v>
      </c>
      <c r="AL98" s="41">
        <f>INDEX('[2]End - Use Prices'!$C$6:$AL$89,MATCH($C98,'[2]End - Use Prices'!$A$6:$A$89,0)+MATCH($D98,'[2]End - Use Prices'!$B$9:$B$11,0)-1,MATCH(AL$1,'[2]End - Use Prices'!$C$7:$AL$7,0))</f>
        <v>33.14</v>
      </c>
      <c r="AM98" s="41">
        <f>INDEX('[2]End - Use Prices'!$C$6:$AL$89,MATCH($C98,'[2]End - Use Prices'!$A$6:$A$89,0)+MATCH($D98,'[2]End - Use Prices'!$B$9:$B$11,0)-1,MATCH(AM$1,'[2]End - Use Prices'!$C$7:$AL$7,0))</f>
        <v>37.92</v>
      </c>
      <c r="AN98" s="41">
        <f>INDEX('[2]End - Use Prices'!$C$6:$AL$89,MATCH($C98,'[2]End - Use Prices'!$A$6:$A$89,0)+MATCH($D98,'[2]End - Use Prices'!$B$9:$B$11,0)-1,MATCH(AN$1,'[2]End - Use Prices'!$C$7:$AL$7,0))</f>
        <v>35.28</v>
      </c>
      <c r="AO98" s="41">
        <f>INDEX('[2]End - Use Prices'!$C$6:$AL$89,MATCH($C98,'[2]End - Use Prices'!$A$6:$A$89,0)+MATCH($D98,'[2]End - Use Prices'!$B$9:$B$11,0)-1,MATCH(AO$1,'[2]End - Use Prices'!$C$7:$AL$7,0))</f>
        <v>33.700000000000003</v>
      </c>
      <c r="AP98" s="41">
        <f>INDEX('[2]End - Use Prices'!$C$6:$AL$89,MATCH($C98,'[2]End - Use Prices'!$A$6:$A$89,0)+MATCH($D98,'[2]End - Use Prices'!$B$9:$B$11,0)-1,MATCH(AP$1,'[2]End - Use Prices'!$C$7:$AL$7,0))</f>
        <v>33.82</v>
      </c>
      <c r="AQ98" s="41">
        <f>INDEX('[2]End - Use Prices'!$C$6:$AL$89,MATCH($C98,'[2]End - Use Prices'!$A$6:$A$89,0)+MATCH($D98,'[2]End - Use Prices'!$B$9:$B$11,0)-1,MATCH(AQ$1,'[2]End - Use Prices'!$C$7:$AL$7,0))</f>
        <v>33.549999999999997</v>
      </c>
      <c r="AR98" s="41">
        <f>INDEX('[2]End - Use Prices'!$C$6:$AL$89,MATCH($C98,'[2]End - Use Prices'!$A$6:$A$89,0)+MATCH($D98,'[2]End - Use Prices'!$B$9:$B$11,0)-1,MATCH(AR$1,'[2]End - Use Prices'!$C$7:$AL$7,0))</f>
        <v>33.53</v>
      </c>
      <c r="AS98" s="41">
        <f>INDEX('[2]End - Use Prices'!$C$6:$AL$89,MATCH($C98,'[2]End - Use Prices'!$A$6:$A$89,0)+MATCH($D98,'[2]End - Use Prices'!$B$9:$B$11,0)-1,MATCH(AS$1,'[2]End - Use Prices'!$C$7:$AL$7,0))</f>
        <v>33.46</v>
      </c>
      <c r="AT98" s="41">
        <f>INDEX('[2]End - Use Prices'!$C$6:$AL$89,MATCH($C98,'[2]End - Use Prices'!$A$6:$A$89,0)+MATCH($D98,'[2]End - Use Prices'!$B$9:$B$11,0)-1,MATCH(AT$1,'[2]End - Use Prices'!$C$7:$AL$7,0))</f>
        <v>33.29</v>
      </c>
      <c r="AU98" s="41">
        <f>INDEX('[2]End - Use Prices'!$C$6:$AL$89,MATCH($C98,'[2]End - Use Prices'!$A$6:$A$89,0)+MATCH($D98,'[2]End - Use Prices'!$B$9:$B$11,0)-1,MATCH(AU$1,'[2]End - Use Prices'!$C$7:$AL$7,0))</f>
        <v>33.07</v>
      </c>
      <c r="AV98" s="41">
        <f>INDEX('[2]End - Use Prices'!$C$6:$AL$89,MATCH($C98,'[2]End - Use Prices'!$A$6:$A$89,0)+MATCH($D98,'[2]End - Use Prices'!$B$9:$B$11,0)-1,MATCH(AV$1,'[2]End - Use Prices'!$C$7:$AL$7,0))</f>
        <v>32.9</v>
      </c>
      <c r="AW98" s="41">
        <f>INDEX('[2]End - Use Prices'!$C$6:$AL$89,MATCH($C98,'[2]End - Use Prices'!$A$6:$A$89,0)+MATCH($D98,'[2]End - Use Prices'!$B$9:$B$11,0)-1,MATCH(AW$1,'[2]End - Use Prices'!$C$7:$AL$7,0))</f>
        <v>32.72</v>
      </c>
      <c r="AX98" s="41">
        <f>INDEX('[2]End - Use Prices'!$C$6:$AL$89,MATCH($C98,'[2]End - Use Prices'!$A$6:$A$89,0)+MATCH($D98,'[2]End - Use Prices'!$B$9:$B$11,0)-1,MATCH(AX$1,'[2]End - Use Prices'!$C$7:$AL$7,0))</f>
        <v>32.619999999999997</v>
      </c>
      <c r="AY98" s="41">
        <f>INDEX('[2]End - Use Prices'!$C$6:$AL$89,MATCH($C98,'[2]End - Use Prices'!$A$6:$A$89,0)+MATCH($D98,'[2]End - Use Prices'!$B$9:$B$11,0)-1,MATCH(AY$1,'[2]End - Use Prices'!$C$7:$AL$7,0))</f>
        <v>32.549999999999997</v>
      </c>
      <c r="AZ98" s="41">
        <f>INDEX('[2]End - Use Prices'!$C$6:$AL$89,MATCH($C98,'[2]End - Use Prices'!$A$6:$A$89,0)+MATCH($D98,'[2]End - Use Prices'!$B$9:$B$11,0)-1,MATCH(AZ$1,'[2]End - Use Prices'!$C$7:$AL$7,0))</f>
        <v>32.520000000000003</v>
      </c>
      <c r="BA98" s="41">
        <f>INDEX('[2]End - Use Prices'!$C$6:$AL$89,MATCH($C98,'[2]End - Use Prices'!$A$6:$A$89,0)+MATCH($D98,'[2]End - Use Prices'!$B$9:$B$11,0)-1,MATCH(BA$1,'[2]End - Use Prices'!$C$7:$AL$7,0))</f>
        <v>32.51</v>
      </c>
      <c r="BB98" s="41">
        <f>INDEX('[2]End - Use Prices'!$C$6:$AL$89,MATCH($C98,'[2]End - Use Prices'!$A$6:$A$89,0)+MATCH($D98,'[2]End - Use Prices'!$B$9:$B$11,0)-1,MATCH(BB$1,'[2]End - Use Prices'!$C$7:$AL$7,0))</f>
        <v>32.49</v>
      </c>
      <c r="BC98" s="41">
        <f>INDEX('[2]End - Use Prices'!$C$6:$AL$89,MATCH($C98,'[2]End - Use Prices'!$A$6:$A$89,0)+MATCH($D98,'[2]End - Use Prices'!$B$9:$B$11,0)-1,MATCH(BC$1,'[2]End - Use Prices'!$C$7:$AL$7,0))</f>
        <v>32.450000000000003</v>
      </c>
      <c r="BD98" s="41">
        <f>INDEX('[2]End - Use Prices'!$C$6:$AL$89,MATCH($C98,'[2]End - Use Prices'!$A$6:$A$89,0)+MATCH($D98,'[2]End - Use Prices'!$B$9:$B$11,0)-1,MATCH(BD$1,'[2]End - Use Prices'!$C$7:$AL$7,0))</f>
        <v>32.4</v>
      </c>
      <c r="BE98" s="41">
        <f>INDEX('[2]End - Use Prices'!$C$6:$AL$89,MATCH($C98,'[2]End - Use Prices'!$A$6:$A$89,0)+MATCH($D98,'[2]End - Use Prices'!$B$9:$B$11,0)-1,MATCH(BE$1,'[2]End - Use Prices'!$C$7:$AL$7,0))</f>
        <v>32.31</v>
      </c>
      <c r="BF98" s="41">
        <f>INDEX('[2]End - Use Prices'!$C$6:$AL$89,MATCH($C98,'[2]End - Use Prices'!$A$6:$A$89,0)+MATCH($D98,'[2]End - Use Prices'!$B$9:$B$11,0)-1,MATCH(BF$1,'[2]End - Use Prices'!$C$7:$AL$7,0))</f>
        <v>32.229999999999997</v>
      </c>
      <c r="BG98" s="41">
        <f>INDEX('[2]End - Use Prices'!$C$6:$AL$89,MATCH($C98,'[2]End - Use Prices'!$A$6:$A$89,0)+MATCH($D98,'[2]End - Use Prices'!$B$9:$B$11,0)-1,MATCH(BG$1,'[2]End - Use Prices'!$C$7:$AL$7,0))</f>
        <v>32.130000000000003</v>
      </c>
      <c r="BR98" s="39"/>
      <c r="BS98" s="39"/>
      <c r="BT98" s="39"/>
      <c r="BU98" s="39"/>
      <c r="BV98" s="39"/>
      <c r="BW98" s="39"/>
      <c r="BX98" s="39"/>
      <c r="BY98" s="39"/>
      <c r="BZ98" s="39"/>
      <c r="CA98" s="39"/>
    </row>
    <row r="99" spans="1:79">
      <c r="A99" s="5"/>
      <c r="B99" s="3"/>
      <c r="C99" s="25" t="s">
        <v>5</v>
      </c>
      <c r="D99" s="25" t="s">
        <v>276</v>
      </c>
      <c r="E99" s="25" t="s">
        <v>277</v>
      </c>
      <c r="F99" s="67" t="s">
        <v>275</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INDEX('[2]End - Use Prices'!$C$6:$AL$89,MATCH($C99,'[2]End - Use Prices'!$A$6:$A$89,0)+MATCH($D99,'[2]End - Use Prices'!$B$9:$B$11,0)-1,MATCH(X$1,'[2]End - Use Prices'!$C$7:$AL$7,0))</f>
        <v>24.45</v>
      </c>
      <c r="Y99" s="41">
        <f>INDEX('[2]End - Use Prices'!$C$6:$AL$89,MATCH($C99,'[2]End - Use Prices'!$A$6:$A$89,0)+MATCH($D99,'[2]End - Use Prices'!$B$9:$B$11,0)-1,MATCH(Y$1,'[2]End - Use Prices'!$C$7:$AL$7,0))</f>
        <v>25.51</v>
      </c>
      <c r="Z99" s="41">
        <f>INDEX('[2]End - Use Prices'!$C$6:$AL$89,MATCH($C99,'[2]End - Use Prices'!$A$6:$A$89,0)+MATCH($D99,'[2]End - Use Prices'!$B$9:$B$11,0)-1,MATCH(Z$1,'[2]End - Use Prices'!$C$7:$AL$7,0))</f>
        <v>26.83</v>
      </c>
      <c r="AA99" s="41">
        <f>INDEX('[2]End - Use Prices'!$C$6:$AL$89,MATCH($C99,'[2]End - Use Prices'!$A$6:$A$89,0)+MATCH($D99,'[2]End - Use Prices'!$B$9:$B$11,0)-1,MATCH(AA$1,'[2]End - Use Prices'!$C$7:$AL$7,0))</f>
        <v>31.95</v>
      </c>
      <c r="AB99" s="41">
        <f>INDEX('[2]End - Use Prices'!$C$6:$AL$89,MATCH($C99,'[2]End - Use Prices'!$A$6:$A$89,0)+MATCH($D99,'[2]End - Use Prices'!$B$9:$B$11,0)-1,MATCH(AB$1,'[2]End - Use Prices'!$C$7:$AL$7,0))</f>
        <v>23.37</v>
      </c>
      <c r="AC99" s="41">
        <f>INDEX('[2]End - Use Prices'!$C$6:$AL$89,MATCH($C99,'[2]End - Use Prices'!$A$6:$A$89,0)+MATCH($D99,'[2]End - Use Prices'!$B$9:$B$11,0)-1,MATCH(AC$1,'[2]End - Use Prices'!$C$7:$AL$7,0))</f>
        <v>26.03</v>
      </c>
      <c r="AD99" s="41">
        <f>INDEX('[2]End - Use Prices'!$C$6:$AL$89,MATCH($C99,'[2]End - Use Prices'!$A$6:$A$89,0)+MATCH($D99,'[2]End - Use Prices'!$B$9:$B$11,0)-1,MATCH(AD$1,'[2]End - Use Prices'!$C$7:$AL$7,0))</f>
        <v>27.78</v>
      </c>
      <c r="AE99" s="41">
        <f>INDEX('[2]End - Use Prices'!$C$6:$AL$89,MATCH($C99,'[2]End - Use Prices'!$A$6:$A$89,0)+MATCH($D99,'[2]End - Use Prices'!$B$9:$B$11,0)-1,MATCH(AE$1,'[2]End - Use Prices'!$C$7:$AL$7,0))</f>
        <v>29.65</v>
      </c>
      <c r="AF99" s="41">
        <f>INDEX('[2]End - Use Prices'!$C$6:$AL$89,MATCH($C99,'[2]End - Use Prices'!$A$6:$A$89,0)+MATCH($D99,'[2]End - Use Prices'!$B$9:$B$11,0)-1,MATCH(AF$1,'[2]End - Use Prices'!$C$7:$AL$7,0))</f>
        <v>27.25</v>
      </c>
      <c r="AG99" s="41">
        <f>INDEX('[2]End - Use Prices'!$C$6:$AL$89,MATCH($C99,'[2]End - Use Prices'!$A$6:$A$89,0)+MATCH($D99,'[2]End - Use Prices'!$B$9:$B$11,0)-1,MATCH(AG$1,'[2]End - Use Prices'!$C$7:$AL$7,0))</f>
        <v>32.840000000000003</v>
      </c>
      <c r="AH99" s="41">
        <f>INDEX('[2]End - Use Prices'!$C$6:$AL$89,MATCH($C99,'[2]End - Use Prices'!$A$6:$A$89,0)+MATCH($D99,'[2]End - Use Prices'!$B$9:$B$11,0)-1,MATCH(AH$1,'[2]End - Use Prices'!$C$7:$AL$7,0))</f>
        <v>24.73</v>
      </c>
      <c r="AI99" s="41">
        <f>INDEX('[2]End - Use Prices'!$C$6:$AL$89,MATCH($C99,'[2]End - Use Prices'!$A$6:$A$89,0)+MATCH($D99,'[2]End - Use Prices'!$B$9:$B$11,0)-1,MATCH(AI$1,'[2]End - Use Prices'!$C$7:$AL$7,0))</f>
        <v>22.55</v>
      </c>
      <c r="AJ99" s="41">
        <f>INDEX('[2]End - Use Prices'!$C$6:$AL$89,MATCH($C99,'[2]End - Use Prices'!$A$6:$A$89,0)+MATCH($D99,'[2]End - Use Prices'!$B$9:$B$11,0)-1,MATCH(AJ$1,'[2]End - Use Prices'!$C$7:$AL$7,0))</f>
        <v>24.52</v>
      </c>
      <c r="AK99" s="41">
        <f>INDEX('[2]End - Use Prices'!$C$6:$AL$89,MATCH($C99,'[2]End - Use Prices'!$A$6:$A$89,0)+MATCH($D99,'[2]End - Use Prices'!$B$9:$B$11,0)-1,MATCH(AK$1,'[2]End - Use Prices'!$C$7:$AL$7,0))</f>
        <v>30.35</v>
      </c>
      <c r="AL99" s="41">
        <f>INDEX('[2]End - Use Prices'!$C$6:$AL$89,MATCH($C99,'[2]End - Use Prices'!$A$6:$A$89,0)+MATCH($D99,'[2]End - Use Prices'!$B$9:$B$11,0)-1,MATCH(AL$1,'[2]End - Use Prices'!$C$7:$AL$7,0))</f>
        <v>34.29</v>
      </c>
      <c r="AM99" s="41">
        <f>INDEX('[2]End - Use Prices'!$C$6:$AL$89,MATCH($C99,'[2]End - Use Prices'!$A$6:$A$89,0)+MATCH($D99,'[2]End - Use Prices'!$B$9:$B$11,0)-1,MATCH(AM$1,'[2]End - Use Prices'!$C$7:$AL$7,0))</f>
        <v>37.21</v>
      </c>
      <c r="AN99" s="41">
        <f>INDEX('[2]End - Use Prices'!$C$6:$AL$89,MATCH($C99,'[2]End - Use Prices'!$A$6:$A$89,0)+MATCH($D99,'[2]End - Use Prices'!$B$9:$B$11,0)-1,MATCH(AN$1,'[2]End - Use Prices'!$C$7:$AL$7,0))</f>
        <v>33.880000000000003</v>
      </c>
      <c r="AO99" s="41">
        <f>INDEX('[2]End - Use Prices'!$C$6:$AL$89,MATCH($C99,'[2]End - Use Prices'!$A$6:$A$89,0)+MATCH($D99,'[2]End - Use Prices'!$B$9:$B$11,0)-1,MATCH(AO$1,'[2]End - Use Prices'!$C$7:$AL$7,0))</f>
        <v>32.43</v>
      </c>
      <c r="AP99" s="41">
        <f>INDEX('[2]End - Use Prices'!$C$6:$AL$89,MATCH($C99,'[2]End - Use Prices'!$A$6:$A$89,0)+MATCH($D99,'[2]End - Use Prices'!$B$9:$B$11,0)-1,MATCH(AP$1,'[2]End - Use Prices'!$C$7:$AL$7,0))</f>
        <v>32.590000000000003</v>
      </c>
      <c r="AQ99" s="41">
        <f>INDEX('[2]End - Use Prices'!$C$6:$AL$89,MATCH($C99,'[2]End - Use Prices'!$A$6:$A$89,0)+MATCH($D99,'[2]End - Use Prices'!$B$9:$B$11,0)-1,MATCH(AQ$1,'[2]End - Use Prices'!$C$7:$AL$7,0))</f>
        <v>32.33</v>
      </c>
      <c r="AR99" s="41">
        <f>INDEX('[2]End - Use Prices'!$C$6:$AL$89,MATCH($C99,'[2]End - Use Prices'!$A$6:$A$89,0)+MATCH($D99,'[2]End - Use Prices'!$B$9:$B$11,0)-1,MATCH(AR$1,'[2]End - Use Prices'!$C$7:$AL$7,0))</f>
        <v>32.299999999999997</v>
      </c>
      <c r="AS99" s="41">
        <f>INDEX('[2]End - Use Prices'!$C$6:$AL$89,MATCH($C99,'[2]End - Use Prices'!$A$6:$A$89,0)+MATCH($D99,'[2]End - Use Prices'!$B$9:$B$11,0)-1,MATCH(AS$1,'[2]End - Use Prices'!$C$7:$AL$7,0))</f>
        <v>32.22</v>
      </c>
      <c r="AT99" s="41">
        <f>INDEX('[2]End - Use Prices'!$C$6:$AL$89,MATCH($C99,'[2]End - Use Prices'!$A$6:$A$89,0)+MATCH($D99,'[2]End - Use Prices'!$B$9:$B$11,0)-1,MATCH(AT$1,'[2]End - Use Prices'!$C$7:$AL$7,0))</f>
        <v>32.049999999999997</v>
      </c>
      <c r="AU99" s="41">
        <f>INDEX('[2]End - Use Prices'!$C$6:$AL$89,MATCH($C99,'[2]End - Use Prices'!$A$6:$A$89,0)+MATCH($D99,'[2]End - Use Prices'!$B$9:$B$11,0)-1,MATCH(AU$1,'[2]End - Use Prices'!$C$7:$AL$7,0))</f>
        <v>31.84</v>
      </c>
      <c r="AV99" s="41">
        <f>INDEX('[2]End - Use Prices'!$C$6:$AL$89,MATCH($C99,'[2]End - Use Prices'!$A$6:$A$89,0)+MATCH($D99,'[2]End - Use Prices'!$B$9:$B$11,0)-1,MATCH(AV$1,'[2]End - Use Prices'!$C$7:$AL$7,0))</f>
        <v>31.67</v>
      </c>
      <c r="AW99" s="41">
        <f>INDEX('[2]End - Use Prices'!$C$6:$AL$89,MATCH($C99,'[2]End - Use Prices'!$A$6:$A$89,0)+MATCH($D99,'[2]End - Use Prices'!$B$9:$B$11,0)-1,MATCH(AW$1,'[2]End - Use Prices'!$C$7:$AL$7,0))</f>
        <v>31.49</v>
      </c>
      <c r="AX99" s="41">
        <f>INDEX('[2]End - Use Prices'!$C$6:$AL$89,MATCH($C99,'[2]End - Use Prices'!$A$6:$A$89,0)+MATCH($D99,'[2]End - Use Prices'!$B$9:$B$11,0)-1,MATCH(AX$1,'[2]End - Use Prices'!$C$7:$AL$7,0))</f>
        <v>31.39</v>
      </c>
      <c r="AY99" s="41">
        <f>INDEX('[2]End - Use Prices'!$C$6:$AL$89,MATCH($C99,'[2]End - Use Prices'!$A$6:$A$89,0)+MATCH($D99,'[2]End - Use Prices'!$B$9:$B$11,0)-1,MATCH(AY$1,'[2]End - Use Prices'!$C$7:$AL$7,0))</f>
        <v>31.32</v>
      </c>
      <c r="AZ99" s="41">
        <f>INDEX('[2]End - Use Prices'!$C$6:$AL$89,MATCH($C99,'[2]End - Use Prices'!$A$6:$A$89,0)+MATCH($D99,'[2]End - Use Prices'!$B$9:$B$11,0)-1,MATCH(AZ$1,'[2]End - Use Prices'!$C$7:$AL$7,0))</f>
        <v>31.28</v>
      </c>
      <c r="BA99" s="41">
        <f>INDEX('[2]End - Use Prices'!$C$6:$AL$89,MATCH($C99,'[2]End - Use Prices'!$A$6:$A$89,0)+MATCH($D99,'[2]End - Use Prices'!$B$9:$B$11,0)-1,MATCH(BA$1,'[2]End - Use Prices'!$C$7:$AL$7,0))</f>
        <v>31.27</v>
      </c>
      <c r="BB99" s="41">
        <f>INDEX('[2]End - Use Prices'!$C$6:$AL$89,MATCH($C99,'[2]End - Use Prices'!$A$6:$A$89,0)+MATCH($D99,'[2]End - Use Prices'!$B$9:$B$11,0)-1,MATCH(BB$1,'[2]End - Use Prices'!$C$7:$AL$7,0))</f>
        <v>31.25</v>
      </c>
      <c r="BC99" s="41">
        <f>INDEX('[2]End - Use Prices'!$C$6:$AL$89,MATCH($C99,'[2]End - Use Prices'!$A$6:$A$89,0)+MATCH($D99,'[2]End - Use Prices'!$B$9:$B$11,0)-1,MATCH(BC$1,'[2]End - Use Prices'!$C$7:$AL$7,0))</f>
        <v>31.21</v>
      </c>
      <c r="BD99" s="41">
        <f>INDEX('[2]End - Use Prices'!$C$6:$AL$89,MATCH($C99,'[2]End - Use Prices'!$A$6:$A$89,0)+MATCH($D99,'[2]End - Use Prices'!$B$9:$B$11,0)-1,MATCH(BD$1,'[2]End - Use Prices'!$C$7:$AL$7,0))</f>
        <v>31.15</v>
      </c>
      <c r="BE99" s="41">
        <f>INDEX('[2]End - Use Prices'!$C$6:$AL$89,MATCH($C99,'[2]End - Use Prices'!$A$6:$A$89,0)+MATCH($D99,'[2]End - Use Prices'!$B$9:$B$11,0)-1,MATCH(BE$1,'[2]End - Use Prices'!$C$7:$AL$7,0))</f>
        <v>31.06</v>
      </c>
      <c r="BF99" s="41">
        <f>INDEX('[2]End - Use Prices'!$C$6:$AL$89,MATCH($C99,'[2]End - Use Prices'!$A$6:$A$89,0)+MATCH($D99,'[2]End - Use Prices'!$B$9:$B$11,0)-1,MATCH(BF$1,'[2]End - Use Prices'!$C$7:$AL$7,0))</f>
        <v>30.98</v>
      </c>
      <c r="BG99" s="41">
        <f>INDEX('[2]End - Use Prices'!$C$6:$AL$89,MATCH($C99,'[2]End - Use Prices'!$A$6:$A$89,0)+MATCH($D99,'[2]End - Use Prices'!$B$9:$B$11,0)-1,MATCH(BG$1,'[2]End - Use Prices'!$C$7:$AL$7,0))</f>
        <v>30.88</v>
      </c>
      <c r="BR99" s="39"/>
      <c r="BS99" s="39"/>
      <c r="BT99" s="39"/>
      <c r="BU99" s="39"/>
      <c r="BV99" s="39"/>
      <c r="BW99" s="39"/>
      <c r="BX99" s="39"/>
      <c r="BY99" s="39"/>
      <c r="BZ99" s="39"/>
      <c r="CA99" s="39"/>
    </row>
    <row r="100" spans="1:79">
      <c r="A100" s="5"/>
      <c r="B100" s="3"/>
      <c r="C100" s="25" t="s">
        <v>60</v>
      </c>
      <c r="D100" s="25" t="s">
        <v>276</v>
      </c>
      <c r="E100" s="25" t="s">
        <v>277</v>
      </c>
      <c r="F100" s="67" t="s">
        <v>275</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INDEX('[2]End - Use Prices'!$C$6:$AL$89,MATCH($C100,'[2]End - Use Prices'!$A$6:$A$89,0)+MATCH($D100,'[2]End - Use Prices'!$B$9:$B$11,0)-1,MATCH(X$1,'[2]End - Use Prices'!$C$7:$AL$7,0))</f>
        <v>28.98</v>
      </c>
      <c r="Y100" s="41">
        <f>INDEX('[2]End - Use Prices'!$C$6:$AL$89,MATCH($C100,'[2]End - Use Prices'!$A$6:$A$89,0)+MATCH($D100,'[2]End - Use Prices'!$B$9:$B$11,0)-1,MATCH(Y$1,'[2]End - Use Prices'!$C$7:$AL$7,0))</f>
        <v>28.54</v>
      </c>
      <c r="Z100" s="41">
        <f>INDEX('[2]End - Use Prices'!$C$6:$AL$89,MATCH($C100,'[2]End - Use Prices'!$A$6:$A$89,0)+MATCH($D100,'[2]End - Use Prices'!$B$9:$B$11,0)-1,MATCH(Z$1,'[2]End - Use Prices'!$C$7:$AL$7,0))</f>
        <v>29.02</v>
      </c>
      <c r="AA100" s="41">
        <f>INDEX('[2]End - Use Prices'!$C$6:$AL$89,MATCH($C100,'[2]End - Use Prices'!$A$6:$A$89,0)+MATCH($D100,'[2]End - Use Prices'!$B$9:$B$11,0)-1,MATCH(AA$1,'[2]End - Use Prices'!$C$7:$AL$7,0))</f>
        <v>34.479999999999997</v>
      </c>
      <c r="AB100" s="41">
        <f>INDEX('[2]End - Use Prices'!$C$6:$AL$89,MATCH($C100,'[2]End - Use Prices'!$A$6:$A$89,0)+MATCH($D100,'[2]End - Use Prices'!$B$9:$B$11,0)-1,MATCH(AB$1,'[2]End - Use Prices'!$C$7:$AL$7,0))</f>
        <v>25.41</v>
      </c>
      <c r="AC100" s="41">
        <f>INDEX('[2]End - Use Prices'!$C$6:$AL$89,MATCH($C100,'[2]End - Use Prices'!$A$6:$A$89,0)+MATCH($D100,'[2]End - Use Prices'!$B$9:$B$11,0)-1,MATCH(AC$1,'[2]End - Use Prices'!$C$7:$AL$7,0))</f>
        <v>29.71</v>
      </c>
      <c r="AD100" s="41">
        <f>INDEX('[2]End - Use Prices'!$C$6:$AL$89,MATCH($C100,'[2]End - Use Prices'!$A$6:$A$89,0)+MATCH($D100,'[2]End - Use Prices'!$B$9:$B$11,0)-1,MATCH(AD$1,'[2]End - Use Prices'!$C$7:$AL$7,0))</f>
        <v>34.4</v>
      </c>
      <c r="AE100" s="41">
        <f>INDEX('[2]End - Use Prices'!$C$6:$AL$89,MATCH($C100,'[2]End - Use Prices'!$A$6:$A$89,0)+MATCH($D100,'[2]End - Use Prices'!$B$9:$B$11,0)-1,MATCH(AE$1,'[2]End - Use Prices'!$C$7:$AL$7,0))</f>
        <v>35.71</v>
      </c>
      <c r="AF100" s="41">
        <f>INDEX('[2]End - Use Prices'!$C$6:$AL$89,MATCH($C100,'[2]End - Use Prices'!$A$6:$A$89,0)+MATCH($D100,'[2]End - Use Prices'!$B$9:$B$11,0)-1,MATCH(AF$1,'[2]End - Use Prices'!$C$7:$AL$7,0))</f>
        <v>35.47</v>
      </c>
      <c r="AG100" s="41">
        <f>INDEX('[2]End - Use Prices'!$C$6:$AL$89,MATCH($C100,'[2]End - Use Prices'!$A$6:$A$89,0)+MATCH($D100,'[2]End - Use Prices'!$B$9:$B$11,0)-1,MATCH(AG$1,'[2]End - Use Prices'!$C$7:$AL$7,0))</f>
        <v>35.78</v>
      </c>
      <c r="AH100" s="41">
        <f>INDEX('[2]End - Use Prices'!$C$6:$AL$89,MATCH($C100,'[2]End - Use Prices'!$A$6:$A$89,0)+MATCH($D100,'[2]End - Use Prices'!$B$9:$B$11,0)-1,MATCH(AH$1,'[2]End - Use Prices'!$C$7:$AL$7,0))</f>
        <v>29.49</v>
      </c>
      <c r="AI100" s="41">
        <f>INDEX('[2]End - Use Prices'!$C$6:$AL$89,MATCH($C100,'[2]End - Use Prices'!$A$6:$A$89,0)+MATCH($D100,'[2]End - Use Prices'!$B$9:$B$11,0)-1,MATCH(AI$1,'[2]End - Use Prices'!$C$7:$AL$7,0))</f>
        <v>26.92</v>
      </c>
      <c r="AJ100" s="41">
        <f>INDEX('[2]End - Use Prices'!$C$6:$AL$89,MATCH($C100,'[2]End - Use Prices'!$A$6:$A$89,0)+MATCH($D100,'[2]End - Use Prices'!$B$9:$B$11,0)-1,MATCH(AJ$1,'[2]End - Use Prices'!$C$7:$AL$7,0))</f>
        <v>29.45</v>
      </c>
      <c r="AK100" s="41">
        <f>INDEX('[2]End - Use Prices'!$C$6:$AL$89,MATCH($C100,'[2]End - Use Prices'!$A$6:$A$89,0)+MATCH($D100,'[2]End - Use Prices'!$B$9:$B$11,0)-1,MATCH(AK$1,'[2]End - Use Prices'!$C$7:$AL$7,0))</f>
        <v>33.119999999999997</v>
      </c>
      <c r="AL100" s="41">
        <f>INDEX('[2]End - Use Prices'!$C$6:$AL$89,MATCH($C100,'[2]End - Use Prices'!$A$6:$A$89,0)+MATCH($D100,'[2]End - Use Prices'!$B$9:$B$11,0)-1,MATCH(AL$1,'[2]End - Use Prices'!$C$7:$AL$7,0))</f>
        <v>38.61</v>
      </c>
      <c r="AM100" s="41">
        <f>INDEX('[2]End - Use Prices'!$C$6:$AL$89,MATCH($C100,'[2]End - Use Prices'!$A$6:$A$89,0)+MATCH($D100,'[2]End - Use Prices'!$B$9:$B$11,0)-1,MATCH(AM$1,'[2]End - Use Prices'!$C$7:$AL$7,0))</f>
        <v>41.92</v>
      </c>
      <c r="AN100" s="41">
        <f>INDEX('[2]End - Use Prices'!$C$6:$AL$89,MATCH($C100,'[2]End - Use Prices'!$A$6:$A$89,0)+MATCH($D100,'[2]End - Use Prices'!$B$9:$B$11,0)-1,MATCH(AN$1,'[2]End - Use Prices'!$C$7:$AL$7,0))</f>
        <v>38.94</v>
      </c>
      <c r="AO100" s="41">
        <f>INDEX('[2]End - Use Prices'!$C$6:$AL$89,MATCH($C100,'[2]End - Use Prices'!$A$6:$A$89,0)+MATCH($D100,'[2]End - Use Prices'!$B$9:$B$11,0)-1,MATCH(AO$1,'[2]End - Use Prices'!$C$7:$AL$7,0))</f>
        <v>36.979999999999997</v>
      </c>
      <c r="AP100" s="41">
        <f>INDEX('[2]End - Use Prices'!$C$6:$AL$89,MATCH($C100,'[2]End - Use Prices'!$A$6:$A$89,0)+MATCH($D100,'[2]End - Use Prices'!$B$9:$B$11,0)-1,MATCH(AP$1,'[2]End - Use Prices'!$C$7:$AL$7,0))</f>
        <v>36.39</v>
      </c>
      <c r="AQ100" s="41">
        <f>INDEX('[2]End - Use Prices'!$C$6:$AL$89,MATCH($C100,'[2]End - Use Prices'!$A$6:$A$89,0)+MATCH($D100,'[2]End - Use Prices'!$B$9:$B$11,0)-1,MATCH(AQ$1,'[2]End - Use Prices'!$C$7:$AL$7,0))</f>
        <v>36.08</v>
      </c>
      <c r="AR100" s="41">
        <f>INDEX('[2]End - Use Prices'!$C$6:$AL$89,MATCH($C100,'[2]End - Use Prices'!$A$6:$A$89,0)+MATCH($D100,'[2]End - Use Prices'!$B$9:$B$11,0)-1,MATCH(AR$1,'[2]End - Use Prices'!$C$7:$AL$7,0))</f>
        <v>36</v>
      </c>
      <c r="AS100" s="41">
        <f>INDEX('[2]End - Use Prices'!$C$6:$AL$89,MATCH($C100,'[2]End - Use Prices'!$A$6:$A$89,0)+MATCH($D100,'[2]End - Use Prices'!$B$9:$B$11,0)-1,MATCH(AS$1,'[2]End - Use Prices'!$C$7:$AL$7,0))</f>
        <v>35.89</v>
      </c>
      <c r="AT100" s="41">
        <f>INDEX('[2]End - Use Prices'!$C$6:$AL$89,MATCH($C100,'[2]End - Use Prices'!$A$6:$A$89,0)+MATCH($D100,'[2]End - Use Prices'!$B$9:$B$11,0)-1,MATCH(AT$1,'[2]End - Use Prices'!$C$7:$AL$7,0))</f>
        <v>35.68</v>
      </c>
      <c r="AU100" s="41">
        <f>INDEX('[2]End - Use Prices'!$C$6:$AL$89,MATCH($C100,'[2]End - Use Prices'!$A$6:$A$89,0)+MATCH($D100,'[2]End - Use Prices'!$B$9:$B$11,0)-1,MATCH(AU$1,'[2]End - Use Prices'!$C$7:$AL$7,0))</f>
        <v>35.44</v>
      </c>
      <c r="AV100" s="41">
        <f>INDEX('[2]End - Use Prices'!$C$6:$AL$89,MATCH($C100,'[2]End - Use Prices'!$A$6:$A$89,0)+MATCH($D100,'[2]End - Use Prices'!$B$9:$B$11,0)-1,MATCH(AV$1,'[2]End - Use Prices'!$C$7:$AL$7,0))</f>
        <v>35.229999999999997</v>
      </c>
      <c r="AW100" s="41">
        <f>INDEX('[2]End - Use Prices'!$C$6:$AL$89,MATCH($C100,'[2]End - Use Prices'!$A$6:$A$89,0)+MATCH($D100,'[2]End - Use Prices'!$B$9:$B$11,0)-1,MATCH(AW$1,'[2]End - Use Prices'!$C$7:$AL$7,0))</f>
        <v>35.03</v>
      </c>
      <c r="AX100" s="41">
        <f>INDEX('[2]End - Use Prices'!$C$6:$AL$89,MATCH($C100,'[2]End - Use Prices'!$A$6:$A$89,0)+MATCH($D100,'[2]End - Use Prices'!$B$9:$B$11,0)-1,MATCH(AX$1,'[2]End - Use Prices'!$C$7:$AL$7,0))</f>
        <v>34.89</v>
      </c>
      <c r="AY100" s="41">
        <f>INDEX('[2]End - Use Prices'!$C$6:$AL$89,MATCH($C100,'[2]End - Use Prices'!$A$6:$A$89,0)+MATCH($D100,'[2]End - Use Prices'!$B$9:$B$11,0)-1,MATCH(AY$1,'[2]End - Use Prices'!$C$7:$AL$7,0))</f>
        <v>34.79</v>
      </c>
      <c r="AZ100" s="41">
        <f>INDEX('[2]End - Use Prices'!$C$6:$AL$89,MATCH($C100,'[2]End - Use Prices'!$A$6:$A$89,0)+MATCH($D100,'[2]End - Use Prices'!$B$9:$B$11,0)-1,MATCH(AZ$1,'[2]End - Use Prices'!$C$7:$AL$7,0))</f>
        <v>34.729999999999997</v>
      </c>
      <c r="BA100" s="41">
        <f>INDEX('[2]End - Use Prices'!$C$6:$AL$89,MATCH($C100,'[2]End - Use Prices'!$A$6:$A$89,0)+MATCH($D100,'[2]End - Use Prices'!$B$9:$B$11,0)-1,MATCH(BA$1,'[2]End - Use Prices'!$C$7:$AL$7,0))</f>
        <v>34.69</v>
      </c>
      <c r="BB100" s="41">
        <f>INDEX('[2]End - Use Prices'!$C$6:$AL$89,MATCH($C100,'[2]End - Use Prices'!$A$6:$A$89,0)+MATCH($D100,'[2]End - Use Prices'!$B$9:$B$11,0)-1,MATCH(BB$1,'[2]End - Use Prices'!$C$7:$AL$7,0))</f>
        <v>34.64</v>
      </c>
      <c r="BC100" s="41">
        <f>INDEX('[2]End - Use Prices'!$C$6:$AL$89,MATCH($C100,'[2]End - Use Prices'!$A$6:$A$89,0)+MATCH($D100,'[2]End - Use Prices'!$B$9:$B$11,0)-1,MATCH(BC$1,'[2]End - Use Prices'!$C$7:$AL$7,0))</f>
        <v>34.58</v>
      </c>
      <c r="BD100" s="41">
        <f>INDEX('[2]End - Use Prices'!$C$6:$AL$89,MATCH($C100,'[2]End - Use Prices'!$A$6:$A$89,0)+MATCH($D100,'[2]End - Use Prices'!$B$9:$B$11,0)-1,MATCH(BD$1,'[2]End - Use Prices'!$C$7:$AL$7,0))</f>
        <v>34.49</v>
      </c>
      <c r="BE100" s="41">
        <f>INDEX('[2]End - Use Prices'!$C$6:$AL$89,MATCH($C100,'[2]End - Use Prices'!$A$6:$A$89,0)+MATCH($D100,'[2]End - Use Prices'!$B$9:$B$11,0)-1,MATCH(BE$1,'[2]End - Use Prices'!$C$7:$AL$7,0))</f>
        <v>34.380000000000003</v>
      </c>
      <c r="BF100" s="41">
        <f>INDEX('[2]End - Use Prices'!$C$6:$AL$89,MATCH($C100,'[2]End - Use Prices'!$A$6:$A$89,0)+MATCH($D100,'[2]End - Use Prices'!$B$9:$B$11,0)-1,MATCH(BF$1,'[2]End - Use Prices'!$C$7:$AL$7,0))</f>
        <v>34.270000000000003</v>
      </c>
      <c r="BG100" s="41">
        <f>INDEX('[2]End - Use Prices'!$C$6:$AL$89,MATCH($C100,'[2]End - Use Prices'!$A$6:$A$89,0)+MATCH($D100,'[2]End - Use Prices'!$B$9:$B$11,0)-1,MATCH(BG$1,'[2]End - Use Prices'!$C$7:$AL$7,0))</f>
        <v>34.14</v>
      </c>
      <c r="BR100" s="39"/>
      <c r="BS100" s="39"/>
      <c r="BT100" s="39"/>
      <c r="BU100" s="39"/>
      <c r="BV100" s="39"/>
      <c r="BW100" s="39"/>
      <c r="BX100" s="39"/>
      <c r="BY100" s="39"/>
      <c r="BZ100" s="39"/>
      <c r="CA100" s="39"/>
    </row>
    <row r="101" spans="1:79">
      <c r="A101" s="5"/>
      <c r="B101" s="3"/>
      <c r="C101" s="25" t="s">
        <v>92</v>
      </c>
      <c r="D101" s="25" t="s">
        <v>276</v>
      </c>
      <c r="E101" s="25" t="s">
        <v>277</v>
      </c>
      <c r="F101" s="67" t="s">
        <v>275</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INDEX('[2]End - Use Prices'!$C$6:$AL$89,MATCH($C101,'[2]End - Use Prices'!$A$6:$A$89,0)+MATCH($D101,'[2]End - Use Prices'!$B$9:$B$11,0)-1,MATCH(X$1,'[2]End - Use Prices'!$C$7:$AL$7,0))</f>
        <v>29.08</v>
      </c>
      <c r="Y101" s="41">
        <f>INDEX('[2]End - Use Prices'!$C$6:$AL$89,MATCH($C101,'[2]End - Use Prices'!$A$6:$A$89,0)+MATCH($D101,'[2]End - Use Prices'!$B$9:$B$11,0)-1,MATCH(Y$1,'[2]End - Use Prices'!$C$7:$AL$7,0))</f>
        <v>30.15</v>
      </c>
      <c r="Z101" s="41">
        <f>INDEX('[2]End - Use Prices'!$C$6:$AL$89,MATCH($C101,'[2]End - Use Prices'!$A$6:$A$89,0)+MATCH($D101,'[2]End - Use Prices'!$B$9:$B$11,0)-1,MATCH(Z$1,'[2]End - Use Prices'!$C$7:$AL$7,0))</f>
        <v>31.73</v>
      </c>
      <c r="AA101" s="41">
        <f>INDEX('[2]End - Use Prices'!$C$6:$AL$89,MATCH($C101,'[2]End - Use Prices'!$A$6:$A$89,0)+MATCH($D101,'[2]End - Use Prices'!$B$9:$B$11,0)-1,MATCH(AA$1,'[2]End - Use Prices'!$C$7:$AL$7,0))</f>
        <v>37.46</v>
      </c>
      <c r="AB101" s="41">
        <f>INDEX('[2]End - Use Prices'!$C$6:$AL$89,MATCH($C101,'[2]End - Use Prices'!$A$6:$A$89,0)+MATCH($D101,'[2]End - Use Prices'!$B$9:$B$11,0)-1,MATCH(AB$1,'[2]End - Use Prices'!$C$7:$AL$7,0))</f>
        <v>28.89</v>
      </c>
      <c r="AC101" s="41">
        <f>INDEX('[2]End - Use Prices'!$C$6:$AL$89,MATCH($C101,'[2]End - Use Prices'!$A$6:$A$89,0)+MATCH($D101,'[2]End - Use Prices'!$B$9:$B$11,0)-1,MATCH(AC$1,'[2]End - Use Prices'!$C$7:$AL$7,0))</f>
        <v>31.56</v>
      </c>
      <c r="AD101" s="41">
        <f>INDEX('[2]End - Use Prices'!$C$6:$AL$89,MATCH($C101,'[2]End - Use Prices'!$A$6:$A$89,0)+MATCH($D101,'[2]End - Use Prices'!$B$9:$B$11,0)-1,MATCH(AD$1,'[2]End - Use Prices'!$C$7:$AL$7,0))</f>
        <v>36.9</v>
      </c>
      <c r="AE101" s="41">
        <f>INDEX('[2]End - Use Prices'!$C$6:$AL$89,MATCH($C101,'[2]End - Use Prices'!$A$6:$A$89,0)+MATCH($D101,'[2]End - Use Prices'!$B$9:$B$11,0)-1,MATCH(AE$1,'[2]End - Use Prices'!$C$7:$AL$7,0))</f>
        <v>38.08</v>
      </c>
      <c r="AF101" s="41">
        <f>INDEX('[2]End - Use Prices'!$C$6:$AL$89,MATCH($C101,'[2]End - Use Prices'!$A$6:$A$89,0)+MATCH($D101,'[2]End - Use Prices'!$B$9:$B$11,0)-1,MATCH(AF$1,'[2]End - Use Prices'!$C$7:$AL$7,0))</f>
        <v>36.86</v>
      </c>
      <c r="AG101" s="41">
        <f>INDEX('[2]End - Use Prices'!$C$6:$AL$89,MATCH($C101,'[2]End - Use Prices'!$A$6:$A$89,0)+MATCH($D101,'[2]End - Use Prices'!$B$9:$B$11,0)-1,MATCH(AG$1,'[2]End - Use Prices'!$C$7:$AL$7,0))</f>
        <v>37.01</v>
      </c>
      <c r="AH101" s="41">
        <f>INDEX('[2]End - Use Prices'!$C$6:$AL$89,MATCH($C101,'[2]End - Use Prices'!$A$6:$A$89,0)+MATCH($D101,'[2]End - Use Prices'!$B$9:$B$11,0)-1,MATCH(AH$1,'[2]End - Use Prices'!$C$7:$AL$7,0))</f>
        <v>29.89</v>
      </c>
      <c r="AI101" s="41">
        <f>INDEX('[2]End - Use Prices'!$C$6:$AL$89,MATCH($C101,'[2]End - Use Prices'!$A$6:$A$89,0)+MATCH($D101,'[2]End - Use Prices'!$B$9:$B$11,0)-1,MATCH(AI$1,'[2]End - Use Prices'!$C$7:$AL$7,0))</f>
        <v>25.86</v>
      </c>
      <c r="AJ101" s="41">
        <f>INDEX('[2]End - Use Prices'!$C$6:$AL$89,MATCH($C101,'[2]End - Use Prices'!$A$6:$A$89,0)+MATCH($D101,'[2]End - Use Prices'!$B$9:$B$11,0)-1,MATCH(AJ$1,'[2]End - Use Prices'!$C$7:$AL$7,0))</f>
        <v>27.9</v>
      </c>
      <c r="AK101" s="41">
        <f>INDEX('[2]End - Use Prices'!$C$6:$AL$89,MATCH($C101,'[2]End - Use Prices'!$A$6:$A$89,0)+MATCH($D101,'[2]End - Use Prices'!$B$9:$B$11,0)-1,MATCH(AK$1,'[2]End - Use Prices'!$C$7:$AL$7,0))</f>
        <v>31.56</v>
      </c>
      <c r="AL101" s="41">
        <f>INDEX('[2]End - Use Prices'!$C$6:$AL$89,MATCH($C101,'[2]End - Use Prices'!$A$6:$A$89,0)+MATCH($D101,'[2]End - Use Prices'!$B$9:$B$11,0)-1,MATCH(AL$1,'[2]End - Use Prices'!$C$7:$AL$7,0))</f>
        <v>33.29</v>
      </c>
      <c r="AM101" s="41">
        <f>INDEX('[2]End - Use Prices'!$C$6:$AL$89,MATCH($C101,'[2]End - Use Prices'!$A$6:$A$89,0)+MATCH($D101,'[2]End - Use Prices'!$B$9:$B$11,0)-1,MATCH(AM$1,'[2]End - Use Prices'!$C$7:$AL$7,0))</f>
        <v>37.340000000000003</v>
      </c>
      <c r="AN101" s="41">
        <f>INDEX('[2]End - Use Prices'!$C$6:$AL$89,MATCH($C101,'[2]End - Use Prices'!$A$6:$A$89,0)+MATCH($D101,'[2]End - Use Prices'!$B$9:$B$11,0)-1,MATCH(AN$1,'[2]End - Use Prices'!$C$7:$AL$7,0))</f>
        <v>34.270000000000003</v>
      </c>
      <c r="AO101" s="41">
        <f>INDEX('[2]End - Use Prices'!$C$6:$AL$89,MATCH($C101,'[2]End - Use Prices'!$A$6:$A$89,0)+MATCH($D101,'[2]End - Use Prices'!$B$9:$B$11,0)-1,MATCH(AO$1,'[2]End - Use Prices'!$C$7:$AL$7,0))</f>
        <v>32.229999999999997</v>
      </c>
      <c r="AP101" s="41">
        <f>INDEX('[2]End - Use Prices'!$C$6:$AL$89,MATCH($C101,'[2]End - Use Prices'!$A$6:$A$89,0)+MATCH($D101,'[2]End - Use Prices'!$B$9:$B$11,0)-1,MATCH(AP$1,'[2]End - Use Prices'!$C$7:$AL$7,0))</f>
        <v>32.729999999999997</v>
      </c>
      <c r="AQ101" s="41">
        <f>INDEX('[2]End - Use Prices'!$C$6:$AL$89,MATCH($C101,'[2]End - Use Prices'!$A$6:$A$89,0)+MATCH($D101,'[2]End - Use Prices'!$B$9:$B$11,0)-1,MATCH(AQ$1,'[2]End - Use Prices'!$C$7:$AL$7,0))</f>
        <v>32.54</v>
      </c>
      <c r="AR101" s="41">
        <f>INDEX('[2]End - Use Prices'!$C$6:$AL$89,MATCH($C101,'[2]End - Use Prices'!$A$6:$A$89,0)+MATCH($D101,'[2]End - Use Prices'!$B$9:$B$11,0)-1,MATCH(AR$1,'[2]End - Use Prices'!$C$7:$AL$7,0))</f>
        <v>32.57</v>
      </c>
      <c r="AS101" s="41">
        <f>INDEX('[2]End - Use Prices'!$C$6:$AL$89,MATCH($C101,'[2]End - Use Prices'!$A$6:$A$89,0)+MATCH($D101,'[2]End - Use Prices'!$B$9:$B$11,0)-1,MATCH(AS$1,'[2]End - Use Prices'!$C$7:$AL$7,0))</f>
        <v>32.56</v>
      </c>
      <c r="AT101" s="41">
        <f>INDEX('[2]End - Use Prices'!$C$6:$AL$89,MATCH($C101,'[2]End - Use Prices'!$A$6:$A$89,0)+MATCH($D101,'[2]End - Use Prices'!$B$9:$B$11,0)-1,MATCH(AT$1,'[2]End - Use Prices'!$C$7:$AL$7,0))</f>
        <v>32.44</v>
      </c>
      <c r="AU101" s="41">
        <f>INDEX('[2]End - Use Prices'!$C$6:$AL$89,MATCH($C101,'[2]End - Use Prices'!$A$6:$A$89,0)+MATCH($D101,'[2]End - Use Prices'!$B$9:$B$11,0)-1,MATCH(AU$1,'[2]End - Use Prices'!$C$7:$AL$7,0))</f>
        <v>32.29</v>
      </c>
      <c r="AV101" s="41">
        <f>INDEX('[2]End - Use Prices'!$C$6:$AL$89,MATCH($C101,'[2]End - Use Prices'!$A$6:$A$89,0)+MATCH($D101,'[2]End - Use Prices'!$B$9:$B$11,0)-1,MATCH(AV$1,'[2]End - Use Prices'!$C$7:$AL$7,0))</f>
        <v>32.17</v>
      </c>
      <c r="AW101" s="41">
        <f>INDEX('[2]End - Use Prices'!$C$6:$AL$89,MATCH($C101,'[2]End - Use Prices'!$A$6:$A$89,0)+MATCH($D101,'[2]End - Use Prices'!$B$9:$B$11,0)-1,MATCH(AW$1,'[2]End - Use Prices'!$C$7:$AL$7,0))</f>
        <v>32.04</v>
      </c>
      <c r="AX101" s="41">
        <f>INDEX('[2]End - Use Prices'!$C$6:$AL$89,MATCH($C101,'[2]End - Use Prices'!$A$6:$A$89,0)+MATCH($D101,'[2]End - Use Prices'!$B$9:$B$11,0)-1,MATCH(AX$1,'[2]End - Use Prices'!$C$7:$AL$7,0))</f>
        <v>31.98</v>
      </c>
      <c r="AY101" s="41">
        <f>INDEX('[2]End - Use Prices'!$C$6:$AL$89,MATCH($C101,'[2]End - Use Prices'!$A$6:$A$89,0)+MATCH($D101,'[2]End - Use Prices'!$B$9:$B$11,0)-1,MATCH(AY$1,'[2]End - Use Prices'!$C$7:$AL$7,0))</f>
        <v>31.96</v>
      </c>
      <c r="AZ101" s="41">
        <f>INDEX('[2]End - Use Prices'!$C$6:$AL$89,MATCH($C101,'[2]End - Use Prices'!$A$6:$A$89,0)+MATCH($D101,'[2]End - Use Prices'!$B$9:$B$11,0)-1,MATCH(AZ$1,'[2]End - Use Prices'!$C$7:$AL$7,0))</f>
        <v>31.97</v>
      </c>
      <c r="BA101" s="41">
        <f>INDEX('[2]End - Use Prices'!$C$6:$AL$89,MATCH($C101,'[2]End - Use Prices'!$A$6:$A$89,0)+MATCH($D101,'[2]End - Use Prices'!$B$9:$B$11,0)-1,MATCH(BA$1,'[2]End - Use Prices'!$C$7:$AL$7,0))</f>
        <v>32.01</v>
      </c>
      <c r="BB101" s="41">
        <f>INDEX('[2]End - Use Prices'!$C$6:$AL$89,MATCH($C101,'[2]End - Use Prices'!$A$6:$A$89,0)+MATCH($D101,'[2]End - Use Prices'!$B$9:$B$11,0)-1,MATCH(BB$1,'[2]End - Use Prices'!$C$7:$AL$7,0))</f>
        <v>32.03</v>
      </c>
      <c r="BC101" s="41">
        <f>INDEX('[2]End - Use Prices'!$C$6:$AL$89,MATCH($C101,'[2]End - Use Prices'!$A$6:$A$89,0)+MATCH($D101,'[2]End - Use Prices'!$B$9:$B$11,0)-1,MATCH(BC$1,'[2]End - Use Prices'!$C$7:$AL$7,0))</f>
        <v>32.03</v>
      </c>
      <c r="BD101" s="41">
        <f>INDEX('[2]End - Use Prices'!$C$6:$AL$89,MATCH($C101,'[2]End - Use Prices'!$A$6:$A$89,0)+MATCH($D101,'[2]End - Use Prices'!$B$9:$B$11,0)-1,MATCH(BD$1,'[2]End - Use Prices'!$C$7:$AL$7,0))</f>
        <v>32.020000000000003</v>
      </c>
      <c r="BE101" s="41">
        <f>INDEX('[2]End - Use Prices'!$C$6:$AL$89,MATCH($C101,'[2]End - Use Prices'!$A$6:$A$89,0)+MATCH($D101,'[2]End - Use Prices'!$B$9:$B$11,0)-1,MATCH(BE$1,'[2]End - Use Prices'!$C$7:$AL$7,0))</f>
        <v>31.97</v>
      </c>
      <c r="BF101" s="41">
        <f>INDEX('[2]End - Use Prices'!$C$6:$AL$89,MATCH($C101,'[2]End - Use Prices'!$A$6:$A$89,0)+MATCH($D101,'[2]End - Use Prices'!$B$9:$B$11,0)-1,MATCH(BF$1,'[2]End - Use Prices'!$C$7:$AL$7,0))</f>
        <v>31.93</v>
      </c>
      <c r="BG101" s="41">
        <f>INDEX('[2]End - Use Prices'!$C$6:$AL$89,MATCH($C101,'[2]End - Use Prices'!$A$6:$A$89,0)+MATCH($D101,'[2]End - Use Prices'!$B$9:$B$11,0)-1,MATCH(BG$1,'[2]End - Use Prices'!$C$7:$AL$7,0))</f>
        <v>31.87</v>
      </c>
      <c r="BR101" s="39"/>
      <c r="BS101" s="39"/>
      <c r="BT101" s="39"/>
      <c r="BU101" s="39"/>
      <c r="BV101" s="39"/>
      <c r="BW101" s="39"/>
      <c r="BX101" s="39"/>
      <c r="BY101" s="39"/>
      <c r="BZ101" s="39"/>
      <c r="CA101" s="39"/>
    </row>
    <row r="102" spans="1:79">
      <c r="A102" s="5"/>
      <c r="B102" s="3"/>
      <c r="C102" s="25" t="s">
        <v>94</v>
      </c>
      <c r="D102" s="25" t="s">
        <v>276</v>
      </c>
      <c r="E102" s="25" t="s">
        <v>277</v>
      </c>
      <c r="F102" s="67" t="s">
        <v>275</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INDEX('[2]End - Use Prices'!$C$6:$AL$89,MATCH($C102,'[2]End - Use Prices'!$A$6:$A$89,0)+MATCH($D102,'[2]End - Use Prices'!$B$9:$B$11,0)-1,MATCH(X$1,'[2]End - Use Prices'!$C$7:$AL$7,0))</f>
        <v>26.74</v>
      </c>
      <c r="Y102" s="41">
        <f>INDEX('[2]End - Use Prices'!$C$6:$AL$89,MATCH($C102,'[2]End - Use Prices'!$A$6:$A$89,0)+MATCH($D102,'[2]End - Use Prices'!$B$9:$B$11,0)-1,MATCH(Y$1,'[2]End - Use Prices'!$C$7:$AL$7,0))</f>
        <v>27.19</v>
      </c>
      <c r="Z102" s="41">
        <f>INDEX('[2]End - Use Prices'!$C$6:$AL$89,MATCH($C102,'[2]End - Use Prices'!$A$6:$A$89,0)+MATCH($D102,'[2]End - Use Prices'!$B$9:$B$11,0)-1,MATCH(Z$1,'[2]End - Use Prices'!$C$7:$AL$7,0))</f>
        <v>29.89</v>
      </c>
      <c r="AA102" s="41">
        <f>INDEX('[2]End - Use Prices'!$C$6:$AL$89,MATCH($C102,'[2]End - Use Prices'!$A$6:$A$89,0)+MATCH($D102,'[2]End - Use Prices'!$B$9:$B$11,0)-1,MATCH(AA$1,'[2]End - Use Prices'!$C$7:$AL$7,0))</f>
        <v>36.56</v>
      </c>
      <c r="AB102" s="41">
        <f>INDEX('[2]End - Use Prices'!$C$6:$AL$89,MATCH($C102,'[2]End - Use Prices'!$A$6:$A$89,0)+MATCH($D102,'[2]End - Use Prices'!$B$9:$B$11,0)-1,MATCH(AB$1,'[2]End - Use Prices'!$C$7:$AL$7,0))</f>
        <v>26.59</v>
      </c>
      <c r="AC102" s="41">
        <f>INDEX('[2]End - Use Prices'!$C$6:$AL$89,MATCH($C102,'[2]End - Use Prices'!$A$6:$A$89,0)+MATCH($D102,'[2]End - Use Prices'!$B$9:$B$11,0)-1,MATCH(AC$1,'[2]End - Use Prices'!$C$7:$AL$7,0))</f>
        <v>28.81</v>
      </c>
      <c r="AD102" s="41">
        <f>INDEX('[2]End - Use Prices'!$C$6:$AL$89,MATCH($C102,'[2]End - Use Prices'!$A$6:$A$89,0)+MATCH($D102,'[2]End - Use Prices'!$B$9:$B$11,0)-1,MATCH(AD$1,'[2]End - Use Prices'!$C$7:$AL$7,0))</f>
        <v>34.630000000000003</v>
      </c>
      <c r="AE102" s="41">
        <f>INDEX('[2]End - Use Prices'!$C$6:$AL$89,MATCH($C102,'[2]End - Use Prices'!$A$6:$A$89,0)+MATCH($D102,'[2]End - Use Prices'!$B$9:$B$11,0)-1,MATCH(AE$1,'[2]End - Use Prices'!$C$7:$AL$7,0))</f>
        <v>34.79</v>
      </c>
      <c r="AF102" s="41">
        <f>INDEX('[2]End - Use Prices'!$C$6:$AL$89,MATCH($C102,'[2]End - Use Prices'!$A$6:$A$89,0)+MATCH($D102,'[2]End - Use Prices'!$B$9:$B$11,0)-1,MATCH(AF$1,'[2]End - Use Prices'!$C$7:$AL$7,0))</f>
        <v>33.89</v>
      </c>
      <c r="AG102" s="41">
        <f>INDEX('[2]End - Use Prices'!$C$6:$AL$89,MATCH($C102,'[2]End - Use Prices'!$A$6:$A$89,0)+MATCH($D102,'[2]End - Use Prices'!$B$9:$B$11,0)-1,MATCH(AG$1,'[2]End - Use Prices'!$C$7:$AL$7,0))</f>
        <v>36.409999999999997</v>
      </c>
      <c r="AH102" s="41">
        <f>INDEX('[2]End - Use Prices'!$C$6:$AL$89,MATCH($C102,'[2]End - Use Prices'!$A$6:$A$89,0)+MATCH($D102,'[2]End - Use Prices'!$B$9:$B$11,0)-1,MATCH(AH$1,'[2]End - Use Prices'!$C$7:$AL$7,0))</f>
        <v>28.29</v>
      </c>
      <c r="AI102" s="41">
        <f>INDEX('[2]End - Use Prices'!$C$6:$AL$89,MATCH($C102,'[2]End - Use Prices'!$A$6:$A$89,0)+MATCH($D102,'[2]End - Use Prices'!$B$9:$B$11,0)-1,MATCH(AI$1,'[2]End - Use Prices'!$C$7:$AL$7,0))</f>
        <v>24.92</v>
      </c>
      <c r="AJ102" s="41">
        <f>INDEX('[2]End - Use Prices'!$C$6:$AL$89,MATCH($C102,'[2]End - Use Prices'!$A$6:$A$89,0)+MATCH($D102,'[2]End - Use Prices'!$B$9:$B$11,0)-1,MATCH(AJ$1,'[2]End - Use Prices'!$C$7:$AL$7,0))</f>
        <v>27.54</v>
      </c>
      <c r="AK102" s="41">
        <f>INDEX('[2]End - Use Prices'!$C$6:$AL$89,MATCH($C102,'[2]End - Use Prices'!$A$6:$A$89,0)+MATCH($D102,'[2]End - Use Prices'!$B$9:$B$11,0)-1,MATCH(AK$1,'[2]End - Use Prices'!$C$7:$AL$7,0))</f>
        <v>30.62</v>
      </c>
      <c r="AL102" s="41">
        <f>INDEX('[2]End - Use Prices'!$C$6:$AL$89,MATCH($C102,'[2]End - Use Prices'!$A$6:$A$89,0)+MATCH($D102,'[2]End - Use Prices'!$B$9:$B$11,0)-1,MATCH(AL$1,'[2]End - Use Prices'!$C$7:$AL$7,0))</f>
        <v>32.35</v>
      </c>
      <c r="AM102" s="41">
        <f>INDEX('[2]End - Use Prices'!$C$6:$AL$89,MATCH($C102,'[2]End - Use Prices'!$A$6:$A$89,0)+MATCH($D102,'[2]End - Use Prices'!$B$9:$B$11,0)-1,MATCH(AM$1,'[2]End - Use Prices'!$C$7:$AL$7,0))</f>
        <v>36.4</v>
      </c>
      <c r="AN102" s="41">
        <f>INDEX('[2]End - Use Prices'!$C$6:$AL$89,MATCH($C102,'[2]End - Use Prices'!$A$6:$A$89,0)+MATCH($D102,'[2]End - Use Prices'!$B$9:$B$11,0)-1,MATCH(AN$1,'[2]End - Use Prices'!$C$7:$AL$7,0))</f>
        <v>33.33</v>
      </c>
      <c r="AO102" s="41">
        <f>INDEX('[2]End - Use Prices'!$C$6:$AL$89,MATCH($C102,'[2]End - Use Prices'!$A$6:$A$89,0)+MATCH($D102,'[2]End - Use Prices'!$B$9:$B$11,0)-1,MATCH(AO$1,'[2]End - Use Prices'!$C$7:$AL$7,0))</f>
        <v>31.29</v>
      </c>
      <c r="AP102" s="41">
        <f>INDEX('[2]End - Use Prices'!$C$6:$AL$89,MATCH($C102,'[2]End - Use Prices'!$A$6:$A$89,0)+MATCH($D102,'[2]End - Use Prices'!$B$9:$B$11,0)-1,MATCH(AP$1,'[2]End - Use Prices'!$C$7:$AL$7,0))</f>
        <v>31.79</v>
      </c>
      <c r="AQ102" s="41">
        <f>INDEX('[2]End - Use Prices'!$C$6:$AL$89,MATCH($C102,'[2]End - Use Prices'!$A$6:$A$89,0)+MATCH($D102,'[2]End - Use Prices'!$B$9:$B$11,0)-1,MATCH(AQ$1,'[2]End - Use Prices'!$C$7:$AL$7,0))</f>
        <v>31.61</v>
      </c>
      <c r="AR102" s="41">
        <f>INDEX('[2]End - Use Prices'!$C$6:$AL$89,MATCH($C102,'[2]End - Use Prices'!$A$6:$A$89,0)+MATCH($D102,'[2]End - Use Prices'!$B$9:$B$11,0)-1,MATCH(AR$1,'[2]End - Use Prices'!$C$7:$AL$7,0))</f>
        <v>31.63</v>
      </c>
      <c r="AS102" s="41">
        <f>INDEX('[2]End - Use Prices'!$C$6:$AL$89,MATCH($C102,'[2]End - Use Prices'!$A$6:$A$89,0)+MATCH($D102,'[2]End - Use Prices'!$B$9:$B$11,0)-1,MATCH(AS$1,'[2]End - Use Prices'!$C$7:$AL$7,0))</f>
        <v>31.62</v>
      </c>
      <c r="AT102" s="41">
        <f>INDEX('[2]End - Use Prices'!$C$6:$AL$89,MATCH($C102,'[2]End - Use Prices'!$A$6:$A$89,0)+MATCH($D102,'[2]End - Use Prices'!$B$9:$B$11,0)-1,MATCH(AT$1,'[2]End - Use Prices'!$C$7:$AL$7,0))</f>
        <v>31.5</v>
      </c>
      <c r="AU102" s="41">
        <f>INDEX('[2]End - Use Prices'!$C$6:$AL$89,MATCH($C102,'[2]End - Use Prices'!$A$6:$A$89,0)+MATCH($D102,'[2]End - Use Prices'!$B$9:$B$11,0)-1,MATCH(AU$1,'[2]End - Use Prices'!$C$7:$AL$7,0))</f>
        <v>31.35</v>
      </c>
      <c r="AV102" s="41">
        <f>INDEX('[2]End - Use Prices'!$C$6:$AL$89,MATCH($C102,'[2]End - Use Prices'!$A$6:$A$89,0)+MATCH($D102,'[2]End - Use Prices'!$B$9:$B$11,0)-1,MATCH(AV$1,'[2]End - Use Prices'!$C$7:$AL$7,0))</f>
        <v>31.23</v>
      </c>
      <c r="AW102" s="41">
        <f>INDEX('[2]End - Use Prices'!$C$6:$AL$89,MATCH($C102,'[2]End - Use Prices'!$A$6:$A$89,0)+MATCH($D102,'[2]End - Use Prices'!$B$9:$B$11,0)-1,MATCH(AW$1,'[2]End - Use Prices'!$C$7:$AL$7,0))</f>
        <v>31.1</v>
      </c>
      <c r="AX102" s="41">
        <f>INDEX('[2]End - Use Prices'!$C$6:$AL$89,MATCH($C102,'[2]End - Use Prices'!$A$6:$A$89,0)+MATCH($D102,'[2]End - Use Prices'!$B$9:$B$11,0)-1,MATCH(AX$1,'[2]End - Use Prices'!$C$7:$AL$7,0))</f>
        <v>31.05</v>
      </c>
      <c r="AY102" s="41">
        <f>INDEX('[2]End - Use Prices'!$C$6:$AL$89,MATCH($C102,'[2]End - Use Prices'!$A$6:$A$89,0)+MATCH($D102,'[2]End - Use Prices'!$B$9:$B$11,0)-1,MATCH(AY$1,'[2]End - Use Prices'!$C$7:$AL$7,0))</f>
        <v>31.02</v>
      </c>
      <c r="AZ102" s="41">
        <f>INDEX('[2]End - Use Prices'!$C$6:$AL$89,MATCH($C102,'[2]End - Use Prices'!$A$6:$A$89,0)+MATCH($D102,'[2]End - Use Prices'!$B$9:$B$11,0)-1,MATCH(AZ$1,'[2]End - Use Prices'!$C$7:$AL$7,0))</f>
        <v>31.03</v>
      </c>
      <c r="BA102" s="41">
        <f>INDEX('[2]End - Use Prices'!$C$6:$AL$89,MATCH($C102,'[2]End - Use Prices'!$A$6:$A$89,0)+MATCH($D102,'[2]End - Use Prices'!$B$9:$B$11,0)-1,MATCH(BA$1,'[2]End - Use Prices'!$C$7:$AL$7,0))</f>
        <v>31.07</v>
      </c>
      <c r="BB102" s="41">
        <f>INDEX('[2]End - Use Prices'!$C$6:$AL$89,MATCH($C102,'[2]End - Use Prices'!$A$6:$A$89,0)+MATCH($D102,'[2]End - Use Prices'!$B$9:$B$11,0)-1,MATCH(BB$1,'[2]End - Use Prices'!$C$7:$AL$7,0))</f>
        <v>31.09</v>
      </c>
      <c r="BC102" s="41">
        <f>INDEX('[2]End - Use Prices'!$C$6:$AL$89,MATCH($C102,'[2]End - Use Prices'!$A$6:$A$89,0)+MATCH($D102,'[2]End - Use Prices'!$B$9:$B$11,0)-1,MATCH(BC$1,'[2]End - Use Prices'!$C$7:$AL$7,0))</f>
        <v>31.09</v>
      </c>
      <c r="BD102" s="41">
        <f>INDEX('[2]End - Use Prices'!$C$6:$AL$89,MATCH($C102,'[2]End - Use Prices'!$A$6:$A$89,0)+MATCH($D102,'[2]End - Use Prices'!$B$9:$B$11,0)-1,MATCH(BD$1,'[2]End - Use Prices'!$C$7:$AL$7,0))</f>
        <v>31.08</v>
      </c>
      <c r="BE102" s="41">
        <f>INDEX('[2]End - Use Prices'!$C$6:$AL$89,MATCH($C102,'[2]End - Use Prices'!$A$6:$A$89,0)+MATCH($D102,'[2]End - Use Prices'!$B$9:$B$11,0)-1,MATCH(BE$1,'[2]End - Use Prices'!$C$7:$AL$7,0))</f>
        <v>31.03</v>
      </c>
      <c r="BF102" s="41">
        <f>INDEX('[2]End - Use Prices'!$C$6:$AL$89,MATCH($C102,'[2]End - Use Prices'!$A$6:$A$89,0)+MATCH($D102,'[2]End - Use Prices'!$B$9:$B$11,0)-1,MATCH(BF$1,'[2]End - Use Prices'!$C$7:$AL$7,0))</f>
        <v>30.99</v>
      </c>
      <c r="BG102" s="41">
        <f>INDEX('[2]End - Use Prices'!$C$6:$AL$89,MATCH($C102,'[2]End - Use Prices'!$A$6:$A$89,0)+MATCH($D102,'[2]End - Use Prices'!$B$9:$B$11,0)-1,MATCH(BG$1,'[2]End - Use Prices'!$C$7:$AL$7,0))</f>
        <v>30.93</v>
      </c>
      <c r="BR102" s="39"/>
      <c r="BS102" s="39"/>
      <c r="BT102" s="39"/>
      <c r="BU102" s="39"/>
      <c r="BV102" s="39"/>
      <c r="BW102" s="39"/>
      <c r="BX102" s="39"/>
      <c r="BY102" s="39"/>
      <c r="BZ102" s="39"/>
      <c r="CA102" s="39"/>
    </row>
    <row r="103" spans="1:79">
      <c r="A103" s="5"/>
      <c r="B103" s="3"/>
      <c r="C103" s="25" t="s">
        <v>93</v>
      </c>
      <c r="D103" s="25" t="s">
        <v>276</v>
      </c>
      <c r="E103" s="25" t="s">
        <v>277</v>
      </c>
      <c r="F103" s="67" t="s">
        <v>275</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INDEX('[2]End - Use Prices'!$C$6:$AL$89,MATCH($C103,'[2]End - Use Prices'!$A$6:$A$89,0)+MATCH($D103,'[2]End - Use Prices'!$B$9:$B$11,0)-1,MATCH(X$1,'[2]End - Use Prices'!$C$7:$AL$7,0))</f>
        <v>26.74</v>
      </c>
      <c r="Y103" s="41">
        <f>INDEX('[2]End - Use Prices'!$C$6:$AL$89,MATCH($C103,'[2]End - Use Prices'!$A$6:$A$89,0)+MATCH($D103,'[2]End - Use Prices'!$B$9:$B$11,0)-1,MATCH(Y$1,'[2]End - Use Prices'!$C$7:$AL$7,0))</f>
        <v>27.19</v>
      </c>
      <c r="Z103" s="41">
        <f>INDEX('[2]End - Use Prices'!$C$6:$AL$89,MATCH($C103,'[2]End - Use Prices'!$A$6:$A$89,0)+MATCH($D103,'[2]End - Use Prices'!$B$9:$B$11,0)-1,MATCH(Z$1,'[2]End - Use Prices'!$C$7:$AL$7,0))</f>
        <v>29.89</v>
      </c>
      <c r="AA103" s="41">
        <f>INDEX('[2]End - Use Prices'!$C$6:$AL$89,MATCH($C103,'[2]End - Use Prices'!$A$6:$A$89,0)+MATCH($D103,'[2]End - Use Prices'!$B$9:$B$11,0)-1,MATCH(AA$1,'[2]End - Use Prices'!$C$7:$AL$7,0))</f>
        <v>36.56</v>
      </c>
      <c r="AB103" s="41">
        <f>INDEX('[2]End - Use Prices'!$C$6:$AL$89,MATCH($C103,'[2]End - Use Prices'!$A$6:$A$89,0)+MATCH($D103,'[2]End - Use Prices'!$B$9:$B$11,0)-1,MATCH(AB$1,'[2]End - Use Prices'!$C$7:$AL$7,0))</f>
        <v>26.59</v>
      </c>
      <c r="AC103" s="41">
        <f>INDEX('[2]End - Use Prices'!$C$6:$AL$89,MATCH($C103,'[2]End - Use Prices'!$A$6:$A$89,0)+MATCH($D103,'[2]End - Use Prices'!$B$9:$B$11,0)-1,MATCH(AC$1,'[2]End - Use Prices'!$C$7:$AL$7,0))</f>
        <v>28.81</v>
      </c>
      <c r="AD103" s="41">
        <f>INDEX('[2]End - Use Prices'!$C$6:$AL$89,MATCH($C103,'[2]End - Use Prices'!$A$6:$A$89,0)+MATCH($D103,'[2]End - Use Prices'!$B$9:$B$11,0)-1,MATCH(AD$1,'[2]End - Use Prices'!$C$7:$AL$7,0))</f>
        <v>34.630000000000003</v>
      </c>
      <c r="AE103" s="41">
        <f>INDEX('[2]End - Use Prices'!$C$6:$AL$89,MATCH($C103,'[2]End - Use Prices'!$A$6:$A$89,0)+MATCH($D103,'[2]End - Use Prices'!$B$9:$B$11,0)-1,MATCH(AE$1,'[2]End - Use Prices'!$C$7:$AL$7,0))</f>
        <v>34.79</v>
      </c>
      <c r="AF103" s="41">
        <f>INDEX('[2]End - Use Prices'!$C$6:$AL$89,MATCH($C103,'[2]End - Use Prices'!$A$6:$A$89,0)+MATCH($D103,'[2]End - Use Prices'!$B$9:$B$11,0)-1,MATCH(AF$1,'[2]End - Use Prices'!$C$7:$AL$7,0))</f>
        <v>33.89</v>
      </c>
      <c r="AG103" s="41">
        <f>INDEX('[2]End - Use Prices'!$C$6:$AL$89,MATCH($C103,'[2]End - Use Prices'!$A$6:$A$89,0)+MATCH($D103,'[2]End - Use Prices'!$B$9:$B$11,0)-1,MATCH(AG$1,'[2]End - Use Prices'!$C$7:$AL$7,0))</f>
        <v>36.409999999999997</v>
      </c>
      <c r="AH103" s="41">
        <f>INDEX('[2]End - Use Prices'!$C$6:$AL$89,MATCH($C103,'[2]End - Use Prices'!$A$6:$A$89,0)+MATCH($D103,'[2]End - Use Prices'!$B$9:$B$11,0)-1,MATCH(AH$1,'[2]End - Use Prices'!$C$7:$AL$7,0))</f>
        <v>28.29</v>
      </c>
      <c r="AI103" s="41">
        <f>INDEX('[2]End - Use Prices'!$C$6:$AL$89,MATCH($C103,'[2]End - Use Prices'!$A$6:$A$89,0)+MATCH($D103,'[2]End - Use Prices'!$B$9:$B$11,0)-1,MATCH(AI$1,'[2]End - Use Prices'!$C$7:$AL$7,0))</f>
        <v>24.92</v>
      </c>
      <c r="AJ103" s="41">
        <f>INDEX('[2]End - Use Prices'!$C$6:$AL$89,MATCH($C103,'[2]End - Use Prices'!$A$6:$A$89,0)+MATCH($D103,'[2]End - Use Prices'!$B$9:$B$11,0)-1,MATCH(AJ$1,'[2]End - Use Prices'!$C$7:$AL$7,0))</f>
        <v>27.54</v>
      </c>
      <c r="AK103" s="41">
        <f>INDEX('[2]End - Use Prices'!$C$6:$AL$89,MATCH($C103,'[2]End - Use Prices'!$A$6:$A$89,0)+MATCH($D103,'[2]End - Use Prices'!$B$9:$B$11,0)-1,MATCH(AK$1,'[2]End - Use Prices'!$C$7:$AL$7,0))</f>
        <v>30.62</v>
      </c>
      <c r="AL103" s="41">
        <f>INDEX('[2]End - Use Prices'!$C$6:$AL$89,MATCH($C103,'[2]End - Use Prices'!$A$6:$A$89,0)+MATCH($D103,'[2]End - Use Prices'!$B$9:$B$11,0)-1,MATCH(AL$1,'[2]End - Use Prices'!$C$7:$AL$7,0))</f>
        <v>32.35</v>
      </c>
      <c r="AM103" s="41">
        <f>INDEX('[2]End - Use Prices'!$C$6:$AL$89,MATCH($C103,'[2]End - Use Prices'!$A$6:$A$89,0)+MATCH($D103,'[2]End - Use Prices'!$B$9:$B$11,0)-1,MATCH(AM$1,'[2]End - Use Prices'!$C$7:$AL$7,0))</f>
        <v>36.33</v>
      </c>
      <c r="AN103" s="41">
        <f>INDEX('[2]End - Use Prices'!$C$6:$AL$89,MATCH($C103,'[2]End - Use Prices'!$A$6:$A$89,0)+MATCH($D103,'[2]End - Use Prices'!$B$9:$B$11,0)-1,MATCH(AN$1,'[2]End - Use Prices'!$C$7:$AL$7,0))</f>
        <v>33.229999999999997</v>
      </c>
      <c r="AO103" s="41">
        <f>INDEX('[2]End - Use Prices'!$C$6:$AL$89,MATCH($C103,'[2]End - Use Prices'!$A$6:$A$89,0)+MATCH($D103,'[2]End - Use Prices'!$B$9:$B$11,0)-1,MATCH(AO$1,'[2]End - Use Prices'!$C$7:$AL$7,0))</f>
        <v>31.15</v>
      </c>
      <c r="AP103" s="41">
        <f>INDEX('[2]End - Use Prices'!$C$6:$AL$89,MATCH($C103,'[2]End - Use Prices'!$A$6:$A$89,0)+MATCH($D103,'[2]End - Use Prices'!$B$9:$B$11,0)-1,MATCH(AP$1,'[2]End - Use Prices'!$C$7:$AL$7,0))</f>
        <v>31.62</v>
      </c>
      <c r="AQ103" s="41">
        <f>INDEX('[2]End - Use Prices'!$C$6:$AL$89,MATCH($C103,'[2]End - Use Prices'!$A$6:$A$89,0)+MATCH($D103,'[2]End - Use Prices'!$B$9:$B$11,0)-1,MATCH(AQ$1,'[2]End - Use Prices'!$C$7:$AL$7,0))</f>
        <v>31.44</v>
      </c>
      <c r="AR103" s="41">
        <f>INDEX('[2]End - Use Prices'!$C$6:$AL$89,MATCH($C103,'[2]End - Use Prices'!$A$6:$A$89,0)+MATCH($D103,'[2]End - Use Prices'!$B$9:$B$11,0)-1,MATCH(AR$1,'[2]End - Use Prices'!$C$7:$AL$7,0))</f>
        <v>31.48</v>
      </c>
      <c r="AS103" s="41">
        <f>INDEX('[2]End - Use Prices'!$C$6:$AL$89,MATCH($C103,'[2]End - Use Prices'!$A$6:$A$89,0)+MATCH($D103,'[2]End - Use Prices'!$B$9:$B$11,0)-1,MATCH(AS$1,'[2]End - Use Prices'!$C$7:$AL$7,0))</f>
        <v>31.46</v>
      </c>
      <c r="AT103" s="41">
        <f>INDEX('[2]End - Use Prices'!$C$6:$AL$89,MATCH($C103,'[2]End - Use Prices'!$A$6:$A$89,0)+MATCH($D103,'[2]End - Use Prices'!$B$9:$B$11,0)-1,MATCH(AT$1,'[2]End - Use Prices'!$C$7:$AL$7,0))</f>
        <v>31.36</v>
      </c>
      <c r="AU103" s="41">
        <f>INDEX('[2]End - Use Prices'!$C$6:$AL$89,MATCH($C103,'[2]End - Use Prices'!$A$6:$A$89,0)+MATCH($D103,'[2]End - Use Prices'!$B$9:$B$11,0)-1,MATCH(AU$1,'[2]End - Use Prices'!$C$7:$AL$7,0))</f>
        <v>31.2</v>
      </c>
      <c r="AV103" s="41">
        <f>INDEX('[2]End - Use Prices'!$C$6:$AL$89,MATCH($C103,'[2]End - Use Prices'!$A$6:$A$89,0)+MATCH($D103,'[2]End - Use Prices'!$B$9:$B$11,0)-1,MATCH(AV$1,'[2]End - Use Prices'!$C$7:$AL$7,0))</f>
        <v>31.09</v>
      </c>
      <c r="AW103" s="41">
        <f>INDEX('[2]End - Use Prices'!$C$6:$AL$89,MATCH($C103,'[2]End - Use Prices'!$A$6:$A$89,0)+MATCH($D103,'[2]End - Use Prices'!$B$9:$B$11,0)-1,MATCH(AW$1,'[2]End - Use Prices'!$C$7:$AL$7,0))</f>
        <v>30.97</v>
      </c>
      <c r="AX103" s="41">
        <f>INDEX('[2]End - Use Prices'!$C$6:$AL$89,MATCH($C103,'[2]End - Use Prices'!$A$6:$A$89,0)+MATCH($D103,'[2]End - Use Prices'!$B$9:$B$11,0)-1,MATCH(AX$1,'[2]End - Use Prices'!$C$7:$AL$7,0))</f>
        <v>30.91</v>
      </c>
      <c r="AY103" s="41">
        <f>INDEX('[2]End - Use Prices'!$C$6:$AL$89,MATCH($C103,'[2]End - Use Prices'!$A$6:$A$89,0)+MATCH($D103,'[2]End - Use Prices'!$B$9:$B$11,0)-1,MATCH(AY$1,'[2]End - Use Prices'!$C$7:$AL$7,0))</f>
        <v>30.89</v>
      </c>
      <c r="AZ103" s="41">
        <f>INDEX('[2]End - Use Prices'!$C$6:$AL$89,MATCH($C103,'[2]End - Use Prices'!$A$6:$A$89,0)+MATCH($D103,'[2]End - Use Prices'!$B$9:$B$11,0)-1,MATCH(AZ$1,'[2]End - Use Prices'!$C$7:$AL$7,0))</f>
        <v>30.9</v>
      </c>
      <c r="BA103" s="41">
        <f>INDEX('[2]End - Use Prices'!$C$6:$AL$89,MATCH($C103,'[2]End - Use Prices'!$A$6:$A$89,0)+MATCH($D103,'[2]End - Use Prices'!$B$9:$B$11,0)-1,MATCH(BA$1,'[2]End - Use Prices'!$C$7:$AL$7,0))</f>
        <v>30.94</v>
      </c>
      <c r="BB103" s="41">
        <f>INDEX('[2]End - Use Prices'!$C$6:$AL$89,MATCH($C103,'[2]End - Use Prices'!$A$6:$A$89,0)+MATCH($D103,'[2]End - Use Prices'!$B$9:$B$11,0)-1,MATCH(BB$1,'[2]End - Use Prices'!$C$7:$AL$7,0))</f>
        <v>30.96</v>
      </c>
      <c r="BC103" s="41">
        <f>INDEX('[2]End - Use Prices'!$C$6:$AL$89,MATCH($C103,'[2]End - Use Prices'!$A$6:$A$89,0)+MATCH($D103,'[2]End - Use Prices'!$B$9:$B$11,0)-1,MATCH(BC$1,'[2]End - Use Prices'!$C$7:$AL$7,0))</f>
        <v>30.97</v>
      </c>
      <c r="BD103" s="41">
        <f>INDEX('[2]End - Use Prices'!$C$6:$AL$89,MATCH($C103,'[2]End - Use Prices'!$A$6:$A$89,0)+MATCH($D103,'[2]End - Use Prices'!$B$9:$B$11,0)-1,MATCH(BD$1,'[2]End - Use Prices'!$C$7:$AL$7,0))</f>
        <v>30.96</v>
      </c>
      <c r="BE103" s="41">
        <f>INDEX('[2]End - Use Prices'!$C$6:$AL$89,MATCH($C103,'[2]End - Use Prices'!$A$6:$A$89,0)+MATCH($D103,'[2]End - Use Prices'!$B$9:$B$11,0)-1,MATCH(BE$1,'[2]End - Use Prices'!$C$7:$AL$7,0))</f>
        <v>30.91</v>
      </c>
      <c r="BF103" s="41">
        <f>INDEX('[2]End - Use Prices'!$C$6:$AL$89,MATCH($C103,'[2]End - Use Prices'!$A$6:$A$89,0)+MATCH($D103,'[2]End - Use Prices'!$B$9:$B$11,0)-1,MATCH(BF$1,'[2]End - Use Prices'!$C$7:$AL$7,0))</f>
        <v>30.87</v>
      </c>
      <c r="BG103" s="41">
        <f>INDEX('[2]End - Use Prices'!$C$6:$AL$89,MATCH($C103,'[2]End - Use Prices'!$A$6:$A$89,0)+MATCH($D103,'[2]End - Use Prices'!$B$9:$B$11,0)-1,MATCH(BG$1,'[2]End - Use Prices'!$C$7:$AL$7,0))</f>
        <v>30.82</v>
      </c>
      <c r="BR103" s="39"/>
      <c r="BS103" s="39"/>
      <c r="BT103" s="39"/>
      <c r="BU103" s="39"/>
      <c r="BV103" s="39"/>
      <c r="BW103" s="39"/>
      <c r="BX103" s="39"/>
      <c r="BY103" s="39"/>
      <c r="BZ103" s="39"/>
      <c r="CA103" s="39"/>
    </row>
    <row r="104" spans="1:79" s="39" customFormat="1">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c r="A106" s="5"/>
      <c r="B106" s="64" t="s">
        <v>298</v>
      </c>
      <c r="C106" s="25" t="s">
        <v>47</v>
      </c>
      <c r="D106" s="25" t="s">
        <v>2</v>
      </c>
      <c r="E106" s="25" t="s">
        <v>277</v>
      </c>
      <c r="F106" s="67" t="s">
        <v>275</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INDEX('[2]End - Use Prices'!$C$6:$AL$89,MATCH($C106,'[2]End - Use Prices'!$A$6:$A$89,0)+MATCH($D106,'[2]End - Use Prices'!$B$9:$B$11,0)-1,MATCH(X$1,'[2]End - Use Prices'!$C$7:$AL$7,0))</f>
        <v>28.95</v>
      </c>
      <c r="Y106" s="41">
        <f>INDEX('[2]End - Use Prices'!$C$6:$AL$89,MATCH($C106,'[2]End - Use Prices'!$A$6:$A$89,0)+MATCH($D106,'[2]End - Use Prices'!$B$9:$B$11,0)-1,MATCH(Y$1,'[2]End - Use Prices'!$C$7:$AL$7,0))</f>
        <v>32.35</v>
      </c>
      <c r="Z106" s="41">
        <f>INDEX('[2]End - Use Prices'!$C$6:$AL$89,MATCH($C106,'[2]End - Use Prices'!$A$6:$A$89,0)+MATCH($D106,'[2]End - Use Prices'!$B$9:$B$11,0)-1,MATCH(Z$1,'[2]End - Use Prices'!$C$7:$AL$7,0))</f>
        <v>31.56</v>
      </c>
      <c r="AA106" s="41">
        <f>INDEX('[2]End - Use Prices'!$C$6:$AL$89,MATCH($C106,'[2]End - Use Prices'!$A$6:$A$89,0)+MATCH($D106,'[2]End - Use Prices'!$B$9:$B$11,0)-1,MATCH(AA$1,'[2]End - Use Prices'!$C$7:$AL$7,0))</f>
        <v>30.57</v>
      </c>
      <c r="AB106" s="41">
        <f>INDEX('[2]End - Use Prices'!$C$6:$AL$89,MATCH($C106,'[2]End - Use Prices'!$A$6:$A$89,0)+MATCH($D106,'[2]End - Use Prices'!$B$9:$B$11,0)-1,MATCH(AB$1,'[2]End - Use Prices'!$C$7:$AL$7,0))</f>
        <v>31.64</v>
      </c>
      <c r="AC106" s="41">
        <f>INDEX('[2]End - Use Prices'!$C$6:$AL$89,MATCH($C106,'[2]End - Use Prices'!$A$6:$A$89,0)+MATCH($D106,'[2]End - Use Prices'!$B$9:$B$11,0)-1,MATCH(AC$1,'[2]End - Use Prices'!$C$7:$AL$7,0))</f>
        <v>31.32</v>
      </c>
      <c r="AD106" s="41">
        <f>INDEX('[2]End - Use Prices'!$C$6:$AL$89,MATCH($C106,'[2]End - Use Prices'!$A$6:$A$89,0)+MATCH($D106,'[2]End - Use Prices'!$B$9:$B$11,0)-1,MATCH(AD$1,'[2]End - Use Prices'!$C$7:$AL$7,0))</f>
        <v>32.659999999999997</v>
      </c>
      <c r="AE106" s="41">
        <f>INDEX('[2]End - Use Prices'!$C$6:$AL$89,MATCH($C106,'[2]End - Use Prices'!$A$6:$A$89,0)+MATCH($D106,'[2]End - Use Prices'!$B$9:$B$11,0)-1,MATCH(AE$1,'[2]End - Use Prices'!$C$7:$AL$7,0))</f>
        <v>32.83</v>
      </c>
      <c r="AF106" s="41">
        <f>INDEX('[2]End - Use Prices'!$C$6:$AL$89,MATCH($C106,'[2]End - Use Prices'!$A$6:$A$89,0)+MATCH($D106,'[2]End - Use Prices'!$B$9:$B$11,0)-1,MATCH(AF$1,'[2]End - Use Prices'!$C$7:$AL$7,0))</f>
        <v>32.92</v>
      </c>
      <c r="AG106" s="41">
        <f>INDEX('[2]End - Use Prices'!$C$6:$AL$89,MATCH($C106,'[2]End - Use Prices'!$A$6:$A$89,0)+MATCH($D106,'[2]End - Use Prices'!$B$9:$B$11,0)-1,MATCH(AG$1,'[2]End - Use Prices'!$C$7:$AL$7,0))</f>
        <v>33.6</v>
      </c>
      <c r="AH106" s="41">
        <f>INDEX('[2]End - Use Prices'!$C$6:$AL$89,MATCH($C106,'[2]End - Use Prices'!$A$6:$A$89,0)+MATCH($D106,'[2]End - Use Prices'!$B$9:$B$11,0)-1,MATCH(AH$1,'[2]End - Use Prices'!$C$7:$AL$7,0))</f>
        <v>34.979999999999997</v>
      </c>
      <c r="AI106" s="41">
        <f>INDEX('[2]End - Use Prices'!$C$6:$AL$89,MATCH($C106,'[2]End - Use Prices'!$A$6:$A$89,0)+MATCH($D106,'[2]End - Use Prices'!$B$9:$B$11,0)-1,MATCH(AI$1,'[2]End - Use Prices'!$C$7:$AL$7,0))</f>
        <v>37.61</v>
      </c>
      <c r="AJ106" s="41">
        <f>INDEX('[2]End - Use Prices'!$C$6:$AL$89,MATCH($C106,'[2]End - Use Prices'!$A$6:$A$89,0)+MATCH($D106,'[2]End - Use Prices'!$B$9:$B$11,0)-1,MATCH(AJ$1,'[2]End - Use Prices'!$C$7:$AL$7,0))</f>
        <v>37.65</v>
      </c>
      <c r="AK106" s="41">
        <f>INDEX('[2]End - Use Prices'!$C$6:$AL$89,MATCH($C106,'[2]End - Use Prices'!$A$6:$A$89,0)+MATCH($D106,'[2]End - Use Prices'!$B$9:$B$11,0)-1,MATCH(AK$1,'[2]End - Use Prices'!$C$7:$AL$7,0))</f>
        <v>38.03</v>
      </c>
      <c r="AL106" s="41">
        <f>INDEX('[2]End - Use Prices'!$C$6:$AL$89,MATCH($C106,'[2]End - Use Prices'!$A$6:$A$89,0)+MATCH($D106,'[2]End - Use Prices'!$B$9:$B$11,0)-1,MATCH(AL$1,'[2]End - Use Prices'!$C$7:$AL$7,0))</f>
        <v>38.380000000000003</v>
      </c>
      <c r="AM106" s="41">
        <f>INDEX('[2]End - Use Prices'!$C$6:$AL$89,MATCH($C106,'[2]End - Use Prices'!$A$6:$A$89,0)+MATCH($D106,'[2]End - Use Prices'!$B$9:$B$11,0)-1,MATCH(AM$1,'[2]End - Use Prices'!$C$7:$AL$7,0))</f>
        <v>38.72</v>
      </c>
      <c r="AN106" s="41">
        <f>INDEX('[2]End - Use Prices'!$C$6:$AL$89,MATCH($C106,'[2]End - Use Prices'!$A$6:$A$89,0)+MATCH($D106,'[2]End - Use Prices'!$B$9:$B$11,0)-1,MATCH(AN$1,'[2]End - Use Prices'!$C$7:$AL$7,0))</f>
        <v>39.04</v>
      </c>
      <c r="AO106" s="41">
        <f>INDEX('[2]End - Use Prices'!$C$6:$AL$89,MATCH($C106,'[2]End - Use Prices'!$A$6:$A$89,0)+MATCH($D106,'[2]End - Use Prices'!$B$9:$B$11,0)-1,MATCH(AO$1,'[2]End - Use Prices'!$C$7:$AL$7,0))</f>
        <v>39.36</v>
      </c>
      <c r="AP106" s="41">
        <f>INDEX('[2]End - Use Prices'!$C$6:$AL$89,MATCH($C106,'[2]End - Use Prices'!$A$6:$A$89,0)+MATCH($D106,'[2]End - Use Prices'!$B$9:$B$11,0)-1,MATCH(AP$1,'[2]End - Use Prices'!$C$7:$AL$7,0))</f>
        <v>39.69</v>
      </c>
      <c r="AQ106" s="41">
        <f>INDEX('[2]End - Use Prices'!$C$6:$AL$89,MATCH($C106,'[2]End - Use Prices'!$A$6:$A$89,0)+MATCH($D106,'[2]End - Use Prices'!$B$9:$B$11,0)-1,MATCH(AQ$1,'[2]End - Use Prices'!$C$7:$AL$7,0))</f>
        <v>40.020000000000003</v>
      </c>
      <c r="AR106" s="41">
        <f>INDEX('[2]End - Use Prices'!$C$6:$AL$89,MATCH($C106,'[2]End - Use Prices'!$A$6:$A$89,0)+MATCH($D106,'[2]End - Use Prices'!$B$9:$B$11,0)-1,MATCH(AR$1,'[2]End - Use Prices'!$C$7:$AL$7,0))</f>
        <v>40.39</v>
      </c>
      <c r="AS106" s="41">
        <f>INDEX('[2]End - Use Prices'!$C$6:$AL$89,MATCH($C106,'[2]End - Use Prices'!$A$6:$A$89,0)+MATCH($D106,'[2]End - Use Prices'!$B$9:$B$11,0)-1,MATCH(AS$1,'[2]End - Use Prices'!$C$7:$AL$7,0))</f>
        <v>40.74</v>
      </c>
      <c r="AT106" s="41">
        <f>INDEX('[2]End - Use Prices'!$C$6:$AL$89,MATCH($C106,'[2]End - Use Prices'!$A$6:$A$89,0)+MATCH($D106,'[2]End - Use Prices'!$B$9:$B$11,0)-1,MATCH(AT$1,'[2]End - Use Prices'!$C$7:$AL$7,0))</f>
        <v>41.1</v>
      </c>
      <c r="AU106" s="41">
        <f>INDEX('[2]End - Use Prices'!$C$6:$AL$89,MATCH($C106,'[2]End - Use Prices'!$A$6:$A$89,0)+MATCH($D106,'[2]End - Use Prices'!$B$9:$B$11,0)-1,MATCH(AU$1,'[2]End - Use Prices'!$C$7:$AL$7,0))</f>
        <v>41.49</v>
      </c>
      <c r="AV106" s="41">
        <f>INDEX('[2]End - Use Prices'!$C$6:$AL$89,MATCH($C106,'[2]End - Use Prices'!$A$6:$A$89,0)+MATCH($D106,'[2]End - Use Prices'!$B$9:$B$11,0)-1,MATCH(AV$1,'[2]End - Use Prices'!$C$7:$AL$7,0))</f>
        <v>41.88</v>
      </c>
      <c r="AW106" s="41">
        <f>INDEX('[2]End - Use Prices'!$C$6:$AL$89,MATCH($C106,'[2]End - Use Prices'!$A$6:$A$89,0)+MATCH($D106,'[2]End - Use Prices'!$B$9:$B$11,0)-1,MATCH(AW$1,'[2]End - Use Prices'!$C$7:$AL$7,0))</f>
        <v>42.26</v>
      </c>
      <c r="AX106" s="41">
        <f>INDEX('[2]End - Use Prices'!$C$6:$AL$89,MATCH($C106,'[2]End - Use Prices'!$A$6:$A$89,0)+MATCH($D106,'[2]End - Use Prices'!$B$9:$B$11,0)-1,MATCH(AX$1,'[2]End - Use Prices'!$C$7:$AL$7,0))</f>
        <v>42.62</v>
      </c>
      <c r="AY106" s="41">
        <f>INDEX('[2]End - Use Prices'!$C$6:$AL$89,MATCH($C106,'[2]End - Use Prices'!$A$6:$A$89,0)+MATCH($D106,'[2]End - Use Prices'!$B$9:$B$11,0)-1,MATCH(AY$1,'[2]End - Use Prices'!$C$7:$AL$7,0))</f>
        <v>42.97</v>
      </c>
      <c r="AZ106" s="41">
        <f>INDEX('[2]End - Use Prices'!$C$6:$AL$89,MATCH($C106,'[2]End - Use Prices'!$A$6:$A$89,0)+MATCH($D106,'[2]End - Use Prices'!$B$9:$B$11,0)-1,MATCH(AZ$1,'[2]End - Use Prices'!$C$7:$AL$7,0))</f>
        <v>43.31</v>
      </c>
      <c r="BA106" s="41">
        <f>INDEX('[2]End - Use Prices'!$C$6:$AL$89,MATCH($C106,'[2]End - Use Prices'!$A$6:$A$89,0)+MATCH($D106,'[2]End - Use Prices'!$B$9:$B$11,0)-1,MATCH(BA$1,'[2]End - Use Prices'!$C$7:$AL$7,0))</f>
        <v>43.65</v>
      </c>
      <c r="BB106" s="41">
        <f>INDEX('[2]End - Use Prices'!$C$6:$AL$89,MATCH($C106,'[2]End - Use Prices'!$A$6:$A$89,0)+MATCH($D106,'[2]End - Use Prices'!$B$9:$B$11,0)-1,MATCH(BB$1,'[2]End - Use Prices'!$C$7:$AL$7,0))</f>
        <v>43.98</v>
      </c>
      <c r="BC106" s="41">
        <f>INDEX('[2]End - Use Prices'!$C$6:$AL$89,MATCH($C106,'[2]End - Use Prices'!$A$6:$A$89,0)+MATCH($D106,'[2]End - Use Prices'!$B$9:$B$11,0)-1,MATCH(BC$1,'[2]End - Use Prices'!$C$7:$AL$7,0))</f>
        <v>44.31</v>
      </c>
      <c r="BD106" s="41">
        <f>INDEX('[2]End - Use Prices'!$C$6:$AL$89,MATCH($C106,'[2]End - Use Prices'!$A$6:$A$89,0)+MATCH($D106,'[2]End - Use Prices'!$B$9:$B$11,0)-1,MATCH(BD$1,'[2]End - Use Prices'!$C$7:$AL$7,0))</f>
        <v>44.63</v>
      </c>
      <c r="BE106" s="41">
        <f>INDEX('[2]End - Use Prices'!$C$6:$AL$89,MATCH($C106,'[2]End - Use Prices'!$A$6:$A$89,0)+MATCH($D106,'[2]End - Use Prices'!$B$9:$B$11,0)-1,MATCH(BE$1,'[2]End - Use Prices'!$C$7:$AL$7,0))</f>
        <v>44.95</v>
      </c>
      <c r="BF106" s="41">
        <f>INDEX('[2]End - Use Prices'!$C$6:$AL$89,MATCH($C106,'[2]End - Use Prices'!$A$6:$A$89,0)+MATCH($D106,'[2]End - Use Prices'!$B$9:$B$11,0)-1,MATCH(BF$1,'[2]End - Use Prices'!$C$7:$AL$7,0))</f>
        <v>45.27</v>
      </c>
      <c r="BG106" s="41">
        <f>INDEX('[2]End - Use Prices'!$C$6:$AL$89,MATCH($C106,'[2]End - Use Prices'!$A$6:$A$89,0)+MATCH($D106,'[2]End - Use Prices'!$B$9:$B$11,0)-1,MATCH(BG$1,'[2]End - Use Prices'!$C$7:$AL$7,0))</f>
        <v>45.58</v>
      </c>
      <c r="BR106" s="39"/>
      <c r="BS106" s="39"/>
      <c r="BT106" s="39"/>
      <c r="BU106" s="39"/>
      <c r="BV106" s="39"/>
      <c r="BW106" s="39"/>
      <c r="BX106" s="39"/>
      <c r="BY106" s="39"/>
      <c r="BZ106" s="39"/>
      <c r="CA106" s="39"/>
    </row>
    <row r="107" spans="1:79">
      <c r="A107" s="5"/>
      <c r="B107" s="3"/>
      <c r="C107" s="25" t="s">
        <v>84</v>
      </c>
      <c r="D107" s="25" t="s">
        <v>2</v>
      </c>
      <c r="E107" s="25" t="s">
        <v>277</v>
      </c>
      <c r="F107" s="67" t="s">
        <v>275</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INDEX('[2]End - Use Prices'!$C$6:$AL$89,MATCH($C107,'[2]End - Use Prices'!$A$6:$A$89,0)+MATCH($D107,'[2]End - Use Prices'!$B$9:$B$11,0)-1,MATCH(X$1,'[2]End - Use Prices'!$C$7:$AL$7,0))</f>
        <v>34.03</v>
      </c>
      <c r="Y107" s="41">
        <f>INDEX('[2]End - Use Prices'!$C$6:$AL$89,MATCH($C107,'[2]End - Use Prices'!$A$6:$A$89,0)+MATCH($D107,'[2]End - Use Prices'!$B$9:$B$11,0)-1,MATCH(Y$1,'[2]End - Use Prices'!$C$7:$AL$7,0))</f>
        <v>39.85</v>
      </c>
      <c r="Z107" s="41">
        <f>INDEX('[2]End - Use Prices'!$C$6:$AL$89,MATCH($C107,'[2]End - Use Prices'!$A$6:$A$89,0)+MATCH($D107,'[2]End - Use Prices'!$B$9:$B$11,0)-1,MATCH(Z$1,'[2]End - Use Prices'!$C$7:$AL$7,0))</f>
        <v>39.83</v>
      </c>
      <c r="AA107" s="41">
        <f>INDEX('[2]End - Use Prices'!$C$6:$AL$89,MATCH($C107,'[2]End - Use Prices'!$A$6:$A$89,0)+MATCH($D107,'[2]End - Use Prices'!$B$9:$B$11,0)-1,MATCH(AA$1,'[2]End - Use Prices'!$C$7:$AL$7,0))</f>
        <v>37.99</v>
      </c>
      <c r="AB107" s="41">
        <f>INDEX('[2]End - Use Prices'!$C$6:$AL$89,MATCH($C107,'[2]End - Use Prices'!$A$6:$A$89,0)+MATCH($D107,'[2]End - Use Prices'!$B$9:$B$11,0)-1,MATCH(AB$1,'[2]End - Use Prices'!$C$7:$AL$7,0))</f>
        <v>41.07</v>
      </c>
      <c r="AC107" s="41">
        <f>INDEX('[2]End - Use Prices'!$C$6:$AL$89,MATCH($C107,'[2]End - Use Prices'!$A$6:$A$89,0)+MATCH($D107,'[2]End - Use Prices'!$B$9:$B$11,0)-1,MATCH(AC$1,'[2]End - Use Prices'!$C$7:$AL$7,0))</f>
        <v>38.9</v>
      </c>
      <c r="AD107" s="41">
        <f>INDEX('[2]End - Use Prices'!$C$6:$AL$89,MATCH($C107,'[2]End - Use Prices'!$A$6:$A$89,0)+MATCH($D107,'[2]End - Use Prices'!$B$9:$B$11,0)-1,MATCH(AD$1,'[2]End - Use Prices'!$C$7:$AL$7,0))</f>
        <v>38.54</v>
      </c>
      <c r="AE107" s="41">
        <f>INDEX('[2]End - Use Prices'!$C$6:$AL$89,MATCH($C107,'[2]End - Use Prices'!$A$6:$A$89,0)+MATCH($D107,'[2]End - Use Prices'!$B$9:$B$11,0)-1,MATCH(AE$1,'[2]End - Use Prices'!$C$7:$AL$7,0))</f>
        <v>40.909999999999997</v>
      </c>
      <c r="AF107" s="41">
        <f>INDEX('[2]End - Use Prices'!$C$6:$AL$89,MATCH($C107,'[2]End - Use Prices'!$A$6:$A$89,0)+MATCH($D107,'[2]End - Use Prices'!$B$9:$B$11,0)-1,MATCH(AF$1,'[2]End - Use Prices'!$C$7:$AL$7,0))</f>
        <v>39.76</v>
      </c>
      <c r="AG107" s="41">
        <f>INDEX('[2]End - Use Prices'!$C$6:$AL$89,MATCH($C107,'[2]End - Use Prices'!$A$6:$A$89,0)+MATCH($D107,'[2]End - Use Prices'!$B$9:$B$11,0)-1,MATCH(AG$1,'[2]End - Use Prices'!$C$7:$AL$7,0))</f>
        <v>38.340000000000003</v>
      </c>
      <c r="AH107" s="41">
        <f>INDEX('[2]End - Use Prices'!$C$6:$AL$89,MATCH($C107,'[2]End - Use Prices'!$A$6:$A$89,0)+MATCH($D107,'[2]End - Use Prices'!$B$9:$B$11,0)-1,MATCH(AH$1,'[2]End - Use Prices'!$C$7:$AL$7,0))</f>
        <v>39.4</v>
      </c>
      <c r="AI107" s="41">
        <f>INDEX('[2]End - Use Prices'!$C$6:$AL$89,MATCH($C107,'[2]End - Use Prices'!$A$6:$A$89,0)+MATCH($D107,'[2]End - Use Prices'!$B$9:$B$11,0)-1,MATCH(AI$1,'[2]End - Use Prices'!$C$7:$AL$7,0))</f>
        <v>40.49</v>
      </c>
      <c r="AJ107" s="41">
        <f>INDEX('[2]End - Use Prices'!$C$6:$AL$89,MATCH($C107,'[2]End - Use Prices'!$A$6:$A$89,0)+MATCH($D107,'[2]End - Use Prices'!$B$9:$B$11,0)-1,MATCH(AJ$1,'[2]End - Use Prices'!$C$7:$AL$7,0))</f>
        <v>42.88</v>
      </c>
      <c r="AK107" s="41">
        <f>INDEX('[2]End - Use Prices'!$C$6:$AL$89,MATCH($C107,'[2]End - Use Prices'!$A$6:$A$89,0)+MATCH($D107,'[2]End - Use Prices'!$B$9:$B$11,0)-1,MATCH(AK$1,'[2]End - Use Prices'!$C$7:$AL$7,0))</f>
        <v>43.74</v>
      </c>
      <c r="AL107" s="41">
        <f>INDEX('[2]End - Use Prices'!$C$6:$AL$89,MATCH($C107,'[2]End - Use Prices'!$A$6:$A$89,0)+MATCH($D107,'[2]End - Use Prices'!$B$9:$B$11,0)-1,MATCH(AL$1,'[2]End - Use Prices'!$C$7:$AL$7,0))</f>
        <v>44.52</v>
      </c>
      <c r="AM107" s="41">
        <f>INDEX('[2]End - Use Prices'!$C$6:$AL$89,MATCH($C107,'[2]End - Use Prices'!$A$6:$A$89,0)+MATCH($D107,'[2]End - Use Prices'!$B$9:$B$11,0)-1,MATCH(AM$1,'[2]End - Use Prices'!$C$7:$AL$7,0))</f>
        <v>45.24</v>
      </c>
      <c r="AN107" s="41">
        <f>INDEX('[2]End - Use Prices'!$C$6:$AL$89,MATCH($C107,'[2]End - Use Prices'!$A$6:$A$89,0)+MATCH($D107,'[2]End - Use Prices'!$B$9:$B$11,0)-1,MATCH(AN$1,'[2]End - Use Prices'!$C$7:$AL$7,0))</f>
        <v>45.89</v>
      </c>
      <c r="AO107" s="41">
        <f>INDEX('[2]End - Use Prices'!$C$6:$AL$89,MATCH($C107,'[2]End - Use Prices'!$A$6:$A$89,0)+MATCH($D107,'[2]End - Use Prices'!$B$9:$B$11,0)-1,MATCH(AO$1,'[2]End - Use Prices'!$C$7:$AL$7,0))</f>
        <v>46.48</v>
      </c>
      <c r="AP107" s="41">
        <f>INDEX('[2]End - Use Prices'!$C$6:$AL$89,MATCH($C107,'[2]End - Use Prices'!$A$6:$A$89,0)+MATCH($D107,'[2]End - Use Prices'!$B$9:$B$11,0)-1,MATCH(AP$1,'[2]End - Use Prices'!$C$7:$AL$7,0))</f>
        <v>47.03</v>
      </c>
      <c r="AQ107" s="41">
        <f>INDEX('[2]End - Use Prices'!$C$6:$AL$89,MATCH($C107,'[2]End - Use Prices'!$A$6:$A$89,0)+MATCH($D107,'[2]End - Use Prices'!$B$9:$B$11,0)-1,MATCH(AQ$1,'[2]End - Use Prices'!$C$7:$AL$7,0))</f>
        <v>47.53</v>
      </c>
      <c r="AR107" s="41">
        <f>INDEX('[2]End - Use Prices'!$C$6:$AL$89,MATCH($C107,'[2]End - Use Prices'!$A$6:$A$89,0)+MATCH($D107,'[2]End - Use Prices'!$B$9:$B$11,0)-1,MATCH(AR$1,'[2]End - Use Prices'!$C$7:$AL$7,0))</f>
        <v>48</v>
      </c>
      <c r="AS107" s="41">
        <f>INDEX('[2]End - Use Prices'!$C$6:$AL$89,MATCH($C107,'[2]End - Use Prices'!$A$6:$A$89,0)+MATCH($D107,'[2]End - Use Prices'!$B$9:$B$11,0)-1,MATCH(AS$1,'[2]End - Use Prices'!$C$7:$AL$7,0))</f>
        <v>48.44</v>
      </c>
      <c r="AT107" s="41">
        <f>INDEX('[2]End - Use Prices'!$C$6:$AL$89,MATCH($C107,'[2]End - Use Prices'!$A$6:$A$89,0)+MATCH($D107,'[2]End - Use Prices'!$B$9:$B$11,0)-1,MATCH(AT$1,'[2]End - Use Prices'!$C$7:$AL$7,0))</f>
        <v>48.85</v>
      </c>
      <c r="AU107" s="41">
        <f>INDEX('[2]End - Use Prices'!$C$6:$AL$89,MATCH($C107,'[2]End - Use Prices'!$A$6:$A$89,0)+MATCH($D107,'[2]End - Use Prices'!$B$9:$B$11,0)-1,MATCH(AU$1,'[2]End - Use Prices'!$C$7:$AL$7,0))</f>
        <v>49.25</v>
      </c>
      <c r="AV107" s="41">
        <f>INDEX('[2]End - Use Prices'!$C$6:$AL$89,MATCH($C107,'[2]End - Use Prices'!$A$6:$A$89,0)+MATCH($D107,'[2]End - Use Prices'!$B$9:$B$11,0)-1,MATCH(AV$1,'[2]End - Use Prices'!$C$7:$AL$7,0))</f>
        <v>49.64</v>
      </c>
      <c r="AW107" s="41">
        <f>INDEX('[2]End - Use Prices'!$C$6:$AL$89,MATCH($C107,'[2]End - Use Prices'!$A$6:$A$89,0)+MATCH($D107,'[2]End - Use Prices'!$B$9:$B$11,0)-1,MATCH(AW$1,'[2]End - Use Prices'!$C$7:$AL$7,0))</f>
        <v>50.03</v>
      </c>
      <c r="AX107" s="41">
        <f>INDEX('[2]End - Use Prices'!$C$6:$AL$89,MATCH($C107,'[2]End - Use Prices'!$A$6:$A$89,0)+MATCH($D107,'[2]End - Use Prices'!$B$9:$B$11,0)-1,MATCH(AX$1,'[2]End - Use Prices'!$C$7:$AL$7,0))</f>
        <v>50.42</v>
      </c>
      <c r="AY107" s="41">
        <f>INDEX('[2]End - Use Prices'!$C$6:$AL$89,MATCH($C107,'[2]End - Use Prices'!$A$6:$A$89,0)+MATCH($D107,'[2]End - Use Prices'!$B$9:$B$11,0)-1,MATCH(AY$1,'[2]End - Use Prices'!$C$7:$AL$7,0))</f>
        <v>50.82</v>
      </c>
      <c r="AZ107" s="41">
        <f>INDEX('[2]End - Use Prices'!$C$6:$AL$89,MATCH($C107,'[2]End - Use Prices'!$A$6:$A$89,0)+MATCH($D107,'[2]End - Use Prices'!$B$9:$B$11,0)-1,MATCH(AZ$1,'[2]End - Use Prices'!$C$7:$AL$7,0))</f>
        <v>51.23</v>
      </c>
      <c r="BA107" s="41">
        <f>INDEX('[2]End - Use Prices'!$C$6:$AL$89,MATCH($C107,'[2]End - Use Prices'!$A$6:$A$89,0)+MATCH($D107,'[2]End - Use Prices'!$B$9:$B$11,0)-1,MATCH(BA$1,'[2]End - Use Prices'!$C$7:$AL$7,0))</f>
        <v>51.67</v>
      </c>
      <c r="BB107" s="41">
        <f>INDEX('[2]End - Use Prices'!$C$6:$AL$89,MATCH($C107,'[2]End - Use Prices'!$A$6:$A$89,0)+MATCH($D107,'[2]End - Use Prices'!$B$9:$B$11,0)-1,MATCH(BB$1,'[2]End - Use Prices'!$C$7:$AL$7,0))</f>
        <v>52.14</v>
      </c>
      <c r="BC107" s="41">
        <f>INDEX('[2]End - Use Prices'!$C$6:$AL$89,MATCH($C107,'[2]End - Use Prices'!$A$6:$A$89,0)+MATCH($D107,'[2]End - Use Prices'!$B$9:$B$11,0)-1,MATCH(BC$1,'[2]End - Use Prices'!$C$7:$AL$7,0))</f>
        <v>52.65</v>
      </c>
      <c r="BD107" s="41">
        <f>INDEX('[2]End - Use Prices'!$C$6:$AL$89,MATCH($C107,'[2]End - Use Prices'!$A$6:$A$89,0)+MATCH($D107,'[2]End - Use Prices'!$B$9:$B$11,0)-1,MATCH(BD$1,'[2]End - Use Prices'!$C$7:$AL$7,0))</f>
        <v>53.2</v>
      </c>
      <c r="BE107" s="41">
        <f>INDEX('[2]End - Use Prices'!$C$6:$AL$89,MATCH($C107,'[2]End - Use Prices'!$A$6:$A$89,0)+MATCH($D107,'[2]End - Use Prices'!$B$9:$B$11,0)-1,MATCH(BE$1,'[2]End - Use Prices'!$C$7:$AL$7,0))</f>
        <v>53.8</v>
      </c>
      <c r="BF107" s="41">
        <f>INDEX('[2]End - Use Prices'!$C$6:$AL$89,MATCH($C107,'[2]End - Use Prices'!$A$6:$A$89,0)+MATCH($D107,'[2]End - Use Prices'!$B$9:$B$11,0)-1,MATCH(BF$1,'[2]End - Use Prices'!$C$7:$AL$7,0))</f>
        <v>54.45</v>
      </c>
      <c r="BG107" s="41">
        <f>INDEX('[2]End - Use Prices'!$C$6:$AL$89,MATCH($C107,'[2]End - Use Prices'!$A$6:$A$89,0)+MATCH($D107,'[2]End - Use Prices'!$B$9:$B$11,0)-1,MATCH(BG$1,'[2]End - Use Prices'!$C$7:$AL$7,0))</f>
        <v>55.17</v>
      </c>
      <c r="BR107" s="39"/>
      <c r="BS107" s="39"/>
      <c r="BT107" s="39"/>
      <c r="BU107" s="39"/>
      <c r="BV107" s="39"/>
      <c r="BW107" s="39"/>
      <c r="BX107" s="39"/>
      <c r="BY107" s="39"/>
      <c r="BZ107" s="39"/>
      <c r="CA107" s="39"/>
    </row>
    <row r="108" spans="1:79">
      <c r="A108" s="5"/>
      <c r="B108" s="3"/>
      <c r="C108" s="25" t="s">
        <v>85</v>
      </c>
      <c r="D108" s="25" t="s">
        <v>2</v>
      </c>
      <c r="E108" s="25" t="s">
        <v>277</v>
      </c>
      <c r="F108" s="67" t="s">
        <v>275</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INDEX('[2]End - Use Prices'!$C$6:$AL$89,MATCH($C108,'[2]End - Use Prices'!$A$6:$A$89,0)+MATCH($D108,'[2]End - Use Prices'!$B$9:$B$11,0)-1,MATCH(X$1,'[2]End - Use Prices'!$C$7:$AL$7,0))</f>
        <v>41.51</v>
      </c>
      <c r="Y108" s="41">
        <f>INDEX('[2]End - Use Prices'!$C$6:$AL$89,MATCH($C108,'[2]End - Use Prices'!$A$6:$A$89,0)+MATCH($D108,'[2]End - Use Prices'!$B$9:$B$11,0)-1,MATCH(Y$1,'[2]End - Use Prices'!$C$7:$AL$7,0))</f>
        <v>42.42</v>
      </c>
      <c r="Z108" s="41">
        <f>INDEX('[2]End - Use Prices'!$C$6:$AL$89,MATCH($C108,'[2]End - Use Prices'!$A$6:$A$89,0)+MATCH($D108,'[2]End - Use Prices'!$B$9:$B$11,0)-1,MATCH(Z$1,'[2]End - Use Prices'!$C$7:$AL$7,0))</f>
        <v>44.58</v>
      </c>
      <c r="AA108" s="41">
        <f>INDEX('[2]End - Use Prices'!$C$6:$AL$89,MATCH($C108,'[2]End - Use Prices'!$A$6:$A$89,0)+MATCH($D108,'[2]End - Use Prices'!$B$9:$B$11,0)-1,MATCH(AA$1,'[2]End - Use Prices'!$C$7:$AL$7,0))</f>
        <v>46.56</v>
      </c>
      <c r="AB108" s="41">
        <f>INDEX('[2]End - Use Prices'!$C$6:$AL$89,MATCH($C108,'[2]End - Use Prices'!$A$6:$A$89,0)+MATCH($D108,'[2]End - Use Prices'!$B$9:$B$11,0)-1,MATCH(AB$1,'[2]End - Use Prices'!$C$7:$AL$7,0))</f>
        <v>55.63</v>
      </c>
      <c r="AC108" s="41">
        <f>INDEX('[2]End - Use Prices'!$C$6:$AL$89,MATCH($C108,'[2]End - Use Prices'!$A$6:$A$89,0)+MATCH($D108,'[2]End - Use Prices'!$B$9:$B$11,0)-1,MATCH(AC$1,'[2]End - Use Prices'!$C$7:$AL$7,0))</f>
        <v>50.51</v>
      </c>
      <c r="AD108" s="41">
        <f>INDEX('[2]End - Use Prices'!$C$6:$AL$89,MATCH($C108,'[2]End - Use Prices'!$A$6:$A$89,0)+MATCH($D108,'[2]End - Use Prices'!$B$9:$B$11,0)-1,MATCH(AD$1,'[2]End - Use Prices'!$C$7:$AL$7,0))</f>
        <v>43.95</v>
      </c>
      <c r="AE108" s="41">
        <f>INDEX('[2]End - Use Prices'!$C$6:$AL$89,MATCH($C108,'[2]End - Use Prices'!$A$6:$A$89,0)+MATCH($D108,'[2]End - Use Prices'!$B$9:$B$11,0)-1,MATCH(AE$1,'[2]End - Use Prices'!$C$7:$AL$7,0))</f>
        <v>43.43</v>
      </c>
      <c r="AF108" s="41">
        <f>INDEX('[2]End - Use Prices'!$C$6:$AL$89,MATCH($C108,'[2]End - Use Prices'!$A$6:$A$89,0)+MATCH($D108,'[2]End - Use Prices'!$B$9:$B$11,0)-1,MATCH(AF$1,'[2]End - Use Prices'!$C$7:$AL$7,0))</f>
        <v>50.61</v>
      </c>
      <c r="AG108" s="41">
        <f>INDEX('[2]End - Use Prices'!$C$6:$AL$89,MATCH($C108,'[2]End - Use Prices'!$A$6:$A$89,0)+MATCH($D108,'[2]End - Use Prices'!$B$9:$B$11,0)-1,MATCH(AG$1,'[2]End - Use Prices'!$C$7:$AL$7,0))</f>
        <v>51.93</v>
      </c>
      <c r="AH108" s="41">
        <f>INDEX('[2]End - Use Prices'!$C$6:$AL$89,MATCH($C108,'[2]End - Use Prices'!$A$6:$A$89,0)+MATCH($D108,'[2]End - Use Prices'!$B$9:$B$11,0)-1,MATCH(AH$1,'[2]End - Use Prices'!$C$7:$AL$7,0))</f>
        <v>53.64</v>
      </c>
      <c r="AI108" s="41">
        <f>INDEX('[2]End - Use Prices'!$C$6:$AL$89,MATCH($C108,'[2]End - Use Prices'!$A$6:$A$89,0)+MATCH($D108,'[2]End - Use Prices'!$B$9:$B$11,0)-1,MATCH(AI$1,'[2]End - Use Prices'!$C$7:$AL$7,0))</f>
        <v>54.8</v>
      </c>
      <c r="AJ108" s="41">
        <f>INDEX('[2]End - Use Prices'!$C$6:$AL$89,MATCH($C108,'[2]End - Use Prices'!$A$6:$A$89,0)+MATCH($D108,'[2]End - Use Prices'!$B$9:$B$11,0)-1,MATCH(AJ$1,'[2]End - Use Prices'!$C$7:$AL$7,0))</f>
        <v>54.98</v>
      </c>
      <c r="AK108" s="41">
        <f>INDEX('[2]End - Use Prices'!$C$6:$AL$89,MATCH($C108,'[2]End - Use Prices'!$A$6:$A$89,0)+MATCH($D108,'[2]End - Use Prices'!$B$9:$B$11,0)-1,MATCH(AK$1,'[2]End - Use Prices'!$C$7:$AL$7,0))</f>
        <v>55.16</v>
      </c>
      <c r="AL108" s="41">
        <f>INDEX('[2]End - Use Prices'!$C$6:$AL$89,MATCH($C108,'[2]End - Use Prices'!$A$6:$A$89,0)+MATCH($D108,'[2]End - Use Prices'!$B$9:$B$11,0)-1,MATCH(AL$1,'[2]End - Use Prices'!$C$7:$AL$7,0))</f>
        <v>55.34</v>
      </c>
      <c r="AM108" s="41">
        <f>INDEX('[2]End - Use Prices'!$C$6:$AL$89,MATCH($C108,'[2]End - Use Prices'!$A$6:$A$89,0)+MATCH($D108,'[2]End - Use Prices'!$B$9:$B$11,0)-1,MATCH(AM$1,'[2]End - Use Prices'!$C$7:$AL$7,0))</f>
        <v>55.52</v>
      </c>
      <c r="AN108" s="41">
        <f>INDEX('[2]End - Use Prices'!$C$6:$AL$89,MATCH($C108,'[2]End - Use Prices'!$A$6:$A$89,0)+MATCH($D108,'[2]End - Use Prices'!$B$9:$B$11,0)-1,MATCH(AN$1,'[2]End - Use Prices'!$C$7:$AL$7,0))</f>
        <v>55.7</v>
      </c>
      <c r="AO108" s="41">
        <f>INDEX('[2]End - Use Prices'!$C$6:$AL$89,MATCH($C108,'[2]End - Use Prices'!$A$6:$A$89,0)+MATCH($D108,'[2]End - Use Prices'!$B$9:$B$11,0)-1,MATCH(AO$1,'[2]End - Use Prices'!$C$7:$AL$7,0))</f>
        <v>55.88</v>
      </c>
      <c r="AP108" s="41">
        <f>INDEX('[2]End - Use Prices'!$C$6:$AL$89,MATCH($C108,'[2]End - Use Prices'!$A$6:$A$89,0)+MATCH($D108,'[2]End - Use Prices'!$B$9:$B$11,0)-1,MATCH(AP$1,'[2]End - Use Prices'!$C$7:$AL$7,0))</f>
        <v>56.06</v>
      </c>
      <c r="AQ108" s="41">
        <f>INDEX('[2]End - Use Prices'!$C$6:$AL$89,MATCH($C108,'[2]End - Use Prices'!$A$6:$A$89,0)+MATCH($D108,'[2]End - Use Prices'!$B$9:$B$11,0)-1,MATCH(AQ$1,'[2]End - Use Prices'!$C$7:$AL$7,0))</f>
        <v>56.24</v>
      </c>
      <c r="AR108" s="41">
        <f>INDEX('[2]End - Use Prices'!$C$6:$AL$89,MATCH($C108,'[2]End - Use Prices'!$A$6:$A$89,0)+MATCH($D108,'[2]End - Use Prices'!$B$9:$B$11,0)-1,MATCH(AR$1,'[2]End - Use Prices'!$C$7:$AL$7,0))</f>
        <v>56.42</v>
      </c>
      <c r="AS108" s="41">
        <f>INDEX('[2]End - Use Prices'!$C$6:$AL$89,MATCH($C108,'[2]End - Use Prices'!$A$6:$A$89,0)+MATCH($D108,'[2]End - Use Prices'!$B$9:$B$11,0)-1,MATCH(AS$1,'[2]End - Use Prices'!$C$7:$AL$7,0))</f>
        <v>56.61</v>
      </c>
      <c r="AT108" s="41">
        <f>INDEX('[2]End - Use Prices'!$C$6:$AL$89,MATCH($C108,'[2]End - Use Prices'!$A$6:$A$89,0)+MATCH($D108,'[2]End - Use Prices'!$B$9:$B$11,0)-1,MATCH(AT$1,'[2]End - Use Prices'!$C$7:$AL$7,0))</f>
        <v>56.79</v>
      </c>
      <c r="AU108" s="41">
        <f>INDEX('[2]End - Use Prices'!$C$6:$AL$89,MATCH($C108,'[2]End - Use Prices'!$A$6:$A$89,0)+MATCH($D108,'[2]End - Use Prices'!$B$9:$B$11,0)-1,MATCH(AU$1,'[2]End - Use Prices'!$C$7:$AL$7,0))</f>
        <v>56.97</v>
      </c>
      <c r="AV108" s="41">
        <f>INDEX('[2]End - Use Prices'!$C$6:$AL$89,MATCH($C108,'[2]End - Use Prices'!$A$6:$A$89,0)+MATCH($D108,'[2]End - Use Prices'!$B$9:$B$11,0)-1,MATCH(AV$1,'[2]End - Use Prices'!$C$7:$AL$7,0))</f>
        <v>57.16</v>
      </c>
      <c r="AW108" s="41">
        <f>INDEX('[2]End - Use Prices'!$C$6:$AL$89,MATCH($C108,'[2]End - Use Prices'!$A$6:$A$89,0)+MATCH($D108,'[2]End - Use Prices'!$B$9:$B$11,0)-1,MATCH(AW$1,'[2]End - Use Prices'!$C$7:$AL$7,0))</f>
        <v>57.35</v>
      </c>
      <c r="AX108" s="41">
        <f>INDEX('[2]End - Use Prices'!$C$6:$AL$89,MATCH($C108,'[2]End - Use Prices'!$A$6:$A$89,0)+MATCH($D108,'[2]End - Use Prices'!$B$9:$B$11,0)-1,MATCH(AX$1,'[2]End - Use Prices'!$C$7:$AL$7,0))</f>
        <v>57.53</v>
      </c>
      <c r="AY108" s="41">
        <f>INDEX('[2]End - Use Prices'!$C$6:$AL$89,MATCH($C108,'[2]End - Use Prices'!$A$6:$A$89,0)+MATCH($D108,'[2]End - Use Prices'!$B$9:$B$11,0)-1,MATCH(AY$1,'[2]End - Use Prices'!$C$7:$AL$7,0))</f>
        <v>57.72</v>
      </c>
      <c r="AZ108" s="41">
        <f>INDEX('[2]End - Use Prices'!$C$6:$AL$89,MATCH($C108,'[2]End - Use Prices'!$A$6:$A$89,0)+MATCH($D108,'[2]End - Use Prices'!$B$9:$B$11,0)-1,MATCH(AZ$1,'[2]End - Use Prices'!$C$7:$AL$7,0))</f>
        <v>57.91</v>
      </c>
      <c r="BA108" s="41">
        <f>INDEX('[2]End - Use Prices'!$C$6:$AL$89,MATCH($C108,'[2]End - Use Prices'!$A$6:$A$89,0)+MATCH($D108,'[2]End - Use Prices'!$B$9:$B$11,0)-1,MATCH(BA$1,'[2]End - Use Prices'!$C$7:$AL$7,0))</f>
        <v>58.09</v>
      </c>
      <c r="BB108" s="41">
        <f>INDEX('[2]End - Use Prices'!$C$6:$AL$89,MATCH($C108,'[2]End - Use Prices'!$A$6:$A$89,0)+MATCH($D108,'[2]End - Use Prices'!$B$9:$B$11,0)-1,MATCH(BB$1,'[2]End - Use Prices'!$C$7:$AL$7,0))</f>
        <v>58.28</v>
      </c>
      <c r="BC108" s="41">
        <f>INDEX('[2]End - Use Prices'!$C$6:$AL$89,MATCH($C108,'[2]End - Use Prices'!$A$6:$A$89,0)+MATCH($D108,'[2]End - Use Prices'!$B$9:$B$11,0)-1,MATCH(BC$1,'[2]End - Use Prices'!$C$7:$AL$7,0))</f>
        <v>58.47</v>
      </c>
      <c r="BD108" s="41">
        <f>INDEX('[2]End - Use Prices'!$C$6:$AL$89,MATCH($C108,'[2]End - Use Prices'!$A$6:$A$89,0)+MATCH($D108,'[2]End - Use Prices'!$B$9:$B$11,0)-1,MATCH(BD$1,'[2]End - Use Prices'!$C$7:$AL$7,0))</f>
        <v>58.66</v>
      </c>
      <c r="BE108" s="41">
        <f>INDEX('[2]End - Use Prices'!$C$6:$AL$89,MATCH($C108,'[2]End - Use Prices'!$A$6:$A$89,0)+MATCH($D108,'[2]End - Use Prices'!$B$9:$B$11,0)-1,MATCH(BE$1,'[2]End - Use Prices'!$C$7:$AL$7,0))</f>
        <v>58.85</v>
      </c>
      <c r="BF108" s="41">
        <f>INDEX('[2]End - Use Prices'!$C$6:$AL$89,MATCH($C108,'[2]End - Use Prices'!$A$6:$A$89,0)+MATCH($D108,'[2]End - Use Prices'!$B$9:$B$11,0)-1,MATCH(BF$1,'[2]End - Use Prices'!$C$7:$AL$7,0))</f>
        <v>59.04</v>
      </c>
      <c r="BG108" s="41">
        <f>INDEX('[2]End - Use Prices'!$C$6:$AL$89,MATCH($C108,'[2]End - Use Prices'!$A$6:$A$89,0)+MATCH($D108,'[2]End - Use Prices'!$B$9:$B$11,0)-1,MATCH(BG$1,'[2]End - Use Prices'!$C$7:$AL$7,0))</f>
        <v>59.23</v>
      </c>
      <c r="BR108" s="39"/>
      <c r="BS108" s="39"/>
      <c r="BT108" s="39"/>
      <c r="BU108" s="39"/>
      <c r="BV108" s="39"/>
      <c r="BW108" s="39"/>
      <c r="BX108" s="39"/>
      <c r="BY108" s="39"/>
      <c r="BZ108" s="39"/>
      <c r="CA108" s="39"/>
    </row>
    <row r="109" spans="1:79">
      <c r="A109" s="5"/>
      <c r="B109" s="3"/>
      <c r="C109" s="25" t="s">
        <v>86</v>
      </c>
      <c r="D109" s="25" t="s">
        <v>2</v>
      </c>
      <c r="E109" s="25" t="s">
        <v>277</v>
      </c>
      <c r="F109" s="67" t="s">
        <v>275</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INDEX('[2]End - Use Prices'!$C$6:$AL$89,MATCH($C109,'[2]End - Use Prices'!$A$6:$A$89,0)+MATCH($D109,'[2]End - Use Prices'!$B$9:$B$11,0)-1,MATCH(X$1,'[2]End - Use Prices'!$C$7:$AL$7,0))</f>
        <v>37.270000000000003</v>
      </c>
      <c r="Y109" s="41">
        <f>INDEX('[2]End - Use Prices'!$C$6:$AL$89,MATCH($C109,'[2]End - Use Prices'!$A$6:$A$89,0)+MATCH($D109,'[2]End - Use Prices'!$B$9:$B$11,0)-1,MATCH(Y$1,'[2]End - Use Prices'!$C$7:$AL$7,0))</f>
        <v>41.5</v>
      </c>
      <c r="Z109" s="41">
        <f>INDEX('[2]End - Use Prices'!$C$6:$AL$89,MATCH($C109,'[2]End - Use Prices'!$A$6:$A$89,0)+MATCH($D109,'[2]End - Use Prices'!$B$9:$B$11,0)-1,MATCH(Z$1,'[2]End - Use Prices'!$C$7:$AL$7,0))</f>
        <v>38.799999999999997</v>
      </c>
      <c r="AA109" s="41">
        <f>INDEX('[2]End - Use Prices'!$C$6:$AL$89,MATCH($C109,'[2]End - Use Prices'!$A$6:$A$89,0)+MATCH($D109,'[2]End - Use Prices'!$B$9:$B$11,0)-1,MATCH(AA$1,'[2]End - Use Prices'!$C$7:$AL$7,0))</f>
        <v>36.950000000000003</v>
      </c>
      <c r="AB109" s="41">
        <f>INDEX('[2]End - Use Prices'!$C$6:$AL$89,MATCH($C109,'[2]End - Use Prices'!$A$6:$A$89,0)+MATCH($D109,'[2]End - Use Prices'!$B$9:$B$11,0)-1,MATCH(AB$1,'[2]End - Use Prices'!$C$7:$AL$7,0))</f>
        <v>44.6</v>
      </c>
      <c r="AC109" s="41">
        <f>INDEX('[2]End - Use Prices'!$C$6:$AL$89,MATCH($C109,'[2]End - Use Prices'!$A$6:$A$89,0)+MATCH($D109,'[2]End - Use Prices'!$B$9:$B$11,0)-1,MATCH(AC$1,'[2]End - Use Prices'!$C$7:$AL$7,0))</f>
        <v>40.32</v>
      </c>
      <c r="AD109" s="41">
        <f>INDEX('[2]End - Use Prices'!$C$6:$AL$89,MATCH($C109,'[2]End - Use Prices'!$A$6:$A$89,0)+MATCH($D109,'[2]End - Use Prices'!$B$9:$B$11,0)-1,MATCH(AD$1,'[2]End - Use Prices'!$C$7:$AL$7,0))</f>
        <v>41.27</v>
      </c>
      <c r="AE109" s="41">
        <f>INDEX('[2]End - Use Prices'!$C$6:$AL$89,MATCH($C109,'[2]End - Use Prices'!$A$6:$A$89,0)+MATCH($D109,'[2]End - Use Prices'!$B$9:$B$11,0)-1,MATCH(AE$1,'[2]End - Use Prices'!$C$7:$AL$7,0))</f>
        <v>44.94</v>
      </c>
      <c r="AF109" s="41">
        <f>INDEX('[2]End - Use Prices'!$C$6:$AL$89,MATCH($C109,'[2]End - Use Prices'!$A$6:$A$89,0)+MATCH($D109,'[2]End - Use Prices'!$B$9:$B$11,0)-1,MATCH(AF$1,'[2]End - Use Prices'!$C$7:$AL$7,0))</f>
        <v>45.5</v>
      </c>
      <c r="AG109" s="41">
        <f>INDEX('[2]End - Use Prices'!$C$6:$AL$89,MATCH($C109,'[2]End - Use Prices'!$A$6:$A$89,0)+MATCH($D109,'[2]End - Use Prices'!$B$9:$B$11,0)-1,MATCH(AG$1,'[2]End - Use Prices'!$C$7:$AL$7,0))</f>
        <v>46.34</v>
      </c>
      <c r="AH109" s="41">
        <f>INDEX('[2]End - Use Prices'!$C$6:$AL$89,MATCH($C109,'[2]End - Use Prices'!$A$6:$A$89,0)+MATCH($D109,'[2]End - Use Prices'!$B$9:$B$11,0)-1,MATCH(AH$1,'[2]End - Use Prices'!$C$7:$AL$7,0))</f>
        <v>46.71</v>
      </c>
      <c r="AI109" s="41">
        <f>INDEX('[2]End - Use Prices'!$C$6:$AL$89,MATCH($C109,'[2]End - Use Prices'!$A$6:$A$89,0)+MATCH($D109,'[2]End - Use Prices'!$B$9:$B$11,0)-1,MATCH(AI$1,'[2]End - Use Prices'!$C$7:$AL$7,0))</f>
        <v>46.01</v>
      </c>
      <c r="AJ109" s="41">
        <f>INDEX('[2]End - Use Prices'!$C$6:$AL$89,MATCH($C109,'[2]End - Use Prices'!$A$6:$A$89,0)+MATCH($D109,'[2]End - Use Prices'!$B$9:$B$11,0)-1,MATCH(AJ$1,'[2]End - Use Prices'!$C$7:$AL$7,0))</f>
        <v>46.61</v>
      </c>
      <c r="AK109" s="41">
        <f>INDEX('[2]End - Use Prices'!$C$6:$AL$89,MATCH($C109,'[2]End - Use Prices'!$A$6:$A$89,0)+MATCH($D109,'[2]End - Use Prices'!$B$9:$B$11,0)-1,MATCH(AK$1,'[2]End - Use Prices'!$C$7:$AL$7,0))</f>
        <v>47.54</v>
      </c>
      <c r="AL109" s="41">
        <f>INDEX('[2]End - Use Prices'!$C$6:$AL$89,MATCH($C109,'[2]End - Use Prices'!$A$6:$A$89,0)+MATCH($D109,'[2]End - Use Prices'!$B$9:$B$11,0)-1,MATCH(AL$1,'[2]End - Use Prices'!$C$7:$AL$7,0))</f>
        <v>48.44</v>
      </c>
      <c r="AM109" s="41">
        <f>INDEX('[2]End - Use Prices'!$C$6:$AL$89,MATCH($C109,'[2]End - Use Prices'!$A$6:$A$89,0)+MATCH($D109,'[2]End - Use Prices'!$B$9:$B$11,0)-1,MATCH(AM$1,'[2]End - Use Prices'!$C$7:$AL$7,0))</f>
        <v>49.31</v>
      </c>
      <c r="AN109" s="41">
        <f>INDEX('[2]End - Use Prices'!$C$6:$AL$89,MATCH($C109,'[2]End - Use Prices'!$A$6:$A$89,0)+MATCH($D109,'[2]End - Use Prices'!$B$9:$B$11,0)-1,MATCH(AN$1,'[2]End - Use Prices'!$C$7:$AL$7,0))</f>
        <v>50.14</v>
      </c>
      <c r="AO109" s="41">
        <f>INDEX('[2]End - Use Prices'!$C$6:$AL$89,MATCH($C109,'[2]End - Use Prices'!$A$6:$A$89,0)+MATCH($D109,'[2]End - Use Prices'!$B$9:$B$11,0)-1,MATCH(AO$1,'[2]End - Use Prices'!$C$7:$AL$7,0))</f>
        <v>50.94</v>
      </c>
      <c r="AP109" s="41">
        <f>INDEX('[2]End - Use Prices'!$C$6:$AL$89,MATCH($C109,'[2]End - Use Prices'!$A$6:$A$89,0)+MATCH($D109,'[2]End - Use Prices'!$B$9:$B$11,0)-1,MATCH(AP$1,'[2]End - Use Prices'!$C$7:$AL$7,0))</f>
        <v>51.71</v>
      </c>
      <c r="AQ109" s="41">
        <f>INDEX('[2]End - Use Prices'!$C$6:$AL$89,MATCH($C109,'[2]End - Use Prices'!$A$6:$A$89,0)+MATCH($D109,'[2]End - Use Prices'!$B$9:$B$11,0)-1,MATCH(AQ$1,'[2]End - Use Prices'!$C$7:$AL$7,0))</f>
        <v>52.45</v>
      </c>
      <c r="AR109" s="41">
        <f>INDEX('[2]End - Use Prices'!$C$6:$AL$89,MATCH($C109,'[2]End - Use Prices'!$A$6:$A$89,0)+MATCH($D109,'[2]End - Use Prices'!$B$9:$B$11,0)-1,MATCH(AR$1,'[2]End - Use Prices'!$C$7:$AL$7,0))</f>
        <v>53.15</v>
      </c>
      <c r="AS109" s="41">
        <f>INDEX('[2]End - Use Prices'!$C$6:$AL$89,MATCH($C109,'[2]End - Use Prices'!$A$6:$A$89,0)+MATCH($D109,'[2]End - Use Prices'!$B$9:$B$11,0)-1,MATCH(AS$1,'[2]End - Use Prices'!$C$7:$AL$7,0))</f>
        <v>53.81</v>
      </c>
      <c r="AT109" s="41">
        <f>INDEX('[2]End - Use Prices'!$C$6:$AL$89,MATCH($C109,'[2]End - Use Prices'!$A$6:$A$89,0)+MATCH($D109,'[2]End - Use Prices'!$B$9:$B$11,0)-1,MATCH(AT$1,'[2]End - Use Prices'!$C$7:$AL$7,0))</f>
        <v>54.43</v>
      </c>
      <c r="AU109" s="41">
        <f>INDEX('[2]End - Use Prices'!$C$6:$AL$89,MATCH($C109,'[2]End - Use Prices'!$A$6:$A$89,0)+MATCH($D109,'[2]End - Use Prices'!$B$9:$B$11,0)-1,MATCH(AU$1,'[2]End - Use Prices'!$C$7:$AL$7,0))</f>
        <v>55.02</v>
      </c>
      <c r="AV109" s="41">
        <f>INDEX('[2]End - Use Prices'!$C$6:$AL$89,MATCH($C109,'[2]End - Use Prices'!$A$6:$A$89,0)+MATCH($D109,'[2]End - Use Prices'!$B$9:$B$11,0)-1,MATCH(AV$1,'[2]End - Use Prices'!$C$7:$AL$7,0))</f>
        <v>55.56</v>
      </c>
      <c r="AW109" s="41">
        <f>INDEX('[2]End - Use Prices'!$C$6:$AL$89,MATCH($C109,'[2]End - Use Prices'!$A$6:$A$89,0)+MATCH($D109,'[2]End - Use Prices'!$B$9:$B$11,0)-1,MATCH(AW$1,'[2]End - Use Prices'!$C$7:$AL$7,0))</f>
        <v>56.07</v>
      </c>
      <c r="AX109" s="41">
        <f>INDEX('[2]End - Use Prices'!$C$6:$AL$89,MATCH($C109,'[2]End - Use Prices'!$A$6:$A$89,0)+MATCH($D109,'[2]End - Use Prices'!$B$9:$B$11,0)-1,MATCH(AX$1,'[2]End - Use Prices'!$C$7:$AL$7,0))</f>
        <v>56.53</v>
      </c>
      <c r="AY109" s="41">
        <f>INDEX('[2]End - Use Prices'!$C$6:$AL$89,MATCH($C109,'[2]End - Use Prices'!$A$6:$A$89,0)+MATCH($D109,'[2]End - Use Prices'!$B$9:$B$11,0)-1,MATCH(AY$1,'[2]End - Use Prices'!$C$7:$AL$7,0))</f>
        <v>56.95</v>
      </c>
      <c r="AZ109" s="41">
        <f>INDEX('[2]End - Use Prices'!$C$6:$AL$89,MATCH($C109,'[2]End - Use Prices'!$A$6:$A$89,0)+MATCH($D109,'[2]End - Use Prices'!$B$9:$B$11,0)-1,MATCH(AZ$1,'[2]End - Use Prices'!$C$7:$AL$7,0))</f>
        <v>57.32</v>
      </c>
      <c r="BA109" s="41">
        <f>INDEX('[2]End - Use Prices'!$C$6:$AL$89,MATCH($C109,'[2]End - Use Prices'!$A$6:$A$89,0)+MATCH($D109,'[2]End - Use Prices'!$B$9:$B$11,0)-1,MATCH(BA$1,'[2]End - Use Prices'!$C$7:$AL$7,0))</f>
        <v>57.65</v>
      </c>
      <c r="BB109" s="41">
        <f>INDEX('[2]End - Use Prices'!$C$6:$AL$89,MATCH($C109,'[2]End - Use Prices'!$A$6:$A$89,0)+MATCH($D109,'[2]End - Use Prices'!$B$9:$B$11,0)-1,MATCH(BB$1,'[2]End - Use Prices'!$C$7:$AL$7,0))</f>
        <v>57.94</v>
      </c>
      <c r="BC109" s="41">
        <f>INDEX('[2]End - Use Prices'!$C$6:$AL$89,MATCH($C109,'[2]End - Use Prices'!$A$6:$A$89,0)+MATCH($D109,'[2]End - Use Prices'!$B$9:$B$11,0)-1,MATCH(BC$1,'[2]End - Use Prices'!$C$7:$AL$7,0))</f>
        <v>58.17</v>
      </c>
      <c r="BD109" s="41">
        <f>INDEX('[2]End - Use Prices'!$C$6:$AL$89,MATCH($C109,'[2]End - Use Prices'!$A$6:$A$89,0)+MATCH($D109,'[2]End - Use Prices'!$B$9:$B$11,0)-1,MATCH(BD$1,'[2]End - Use Prices'!$C$7:$AL$7,0))</f>
        <v>58.36</v>
      </c>
      <c r="BE109" s="41">
        <f>INDEX('[2]End - Use Prices'!$C$6:$AL$89,MATCH($C109,'[2]End - Use Prices'!$A$6:$A$89,0)+MATCH($D109,'[2]End - Use Prices'!$B$9:$B$11,0)-1,MATCH(BE$1,'[2]End - Use Prices'!$C$7:$AL$7,0))</f>
        <v>58.5</v>
      </c>
      <c r="BF109" s="41">
        <f>INDEX('[2]End - Use Prices'!$C$6:$AL$89,MATCH($C109,'[2]End - Use Prices'!$A$6:$A$89,0)+MATCH($D109,'[2]End - Use Prices'!$B$9:$B$11,0)-1,MATCH(BF$1,'[2]End - Use Prices'!$C$7:$AL$7,0))</f>
        <v>58.59</v>
      </c>
      <c r="BG109" s="41">
        <f>INDEX('[2]End - Use Prices'!$C$6:$AL$89,MATCH($C109,'[2]End - Use Prices'!$A$6:$A$89,0)+MATCH($D109,'[2]End - Use Prices'!$B$9:$B$11,0)-1,MATCH(BG$1,'[2]End - Use Prices'!$C$7:$AL$7,0))</f>
        <v>58.62</v>
      </c>
      <c r="BR109" s="39"/>
      <c r="BS109" s="39"/>
      <c r="BT109" s="39"/>
      <c r="BU109" s="39"/>
      <c r="BV109" s="39"/>
      <c r="BW109" s="39"/>
      <c r="BX109" s="39"/>
      <c r="BY109" s="39"/>
      <c r="BZ109" s="39"/>
      <c r="CA109" s="39"/>
    </row>
    <row r="110" spans="1:79">
      <c r="A110" s="5"/>
      <c r="B110" s="3"/>
      <c r="C110" s="25" t="s">
        <v>87</v>
      </c>
      <c r="D110" s="25" t="s">
        <v>2</v>
      </c>
      <c r="E110" s="25" t="s">
        <v>277</v>
      </c>
      <c r="F110" s="67" t="s">
        <v>275</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INDEX('[2]End - Use Prices'!$C$6:$AL$89,MATCH($C110,'[2]End - Use Prices'!$A$6:$A$89,0)+MATCH($D110,'[2]End - Use Prices'!$B$9:$B$11,0)-1,MATCH(X$1,'[2]End - Use Prices'!$C$7:$AL$7,0))</f>
        <v>35.630000000000003</v>
      </c>
      <c r="Y110" s="41">
        <f>INDEX('[2]End - Use Prices'!$C$6:$AL$89,MATCH($C110,'[2]End - Use Prices'!$A$6:$A$89,0)+MATCH($D110,'[2]End - Use Prices'!$B$9:$B$11,0)-1,MATCH(Y$1,'[2]End - Use Prices'!$C$7:$AL$7,0))</f>
        <v>40.94</v>
      </c>
      <c r="Z110" s="41">
        <f>INDEX('[2]End - Use Prices'!$C$6:$AL$89,MATCH($C110,'[2]End - Use Prices'!$A$6:$A$89,0)+MATCH($D110,'[2]End - Use Prices'!$B$9:$B$11,0)-1,MATCH(Z$1,'[2]End - Use Prices'!$C$7:$AL$7,0))</f>
        <v>42.23</v>
      </c>
      <c r="AA110" s="41">
        <f>INDEX('[2]End - Use Prices'!$C$6:$AL$89,MATCH($C110,'[2]End - Use Prices'!$A$6:$A$89,0)+MATCH($D110,'[2]End - Use Prices'!$B$9:$B$11,0)-1,MATCH(AA$1,'[2]End - Use Prices'!$C$7:$AL$7,0))</f>
        <v>41.92</v>
      </c>
      <c r="AB110" s="41">
        <f>INDEX('[2]End - Use Prices'!$C$6:$AL$89,MATCH($C110,'[2]End - Use Prices'!$A$6:$A$89,0)+MATCH($D110,'[2]End - Use Prices'!$B$9:$B$11,0)-1,MATCH(AB$1,'[2]End - Use Prices'!$C$7:$AL$7,0))</f>
        <v>43.47</v>
      </c>
      <c r="AC110" s="41">
        <f>INDEX('[2]End - Use Prices'!$C$6:$AL$89,MATCH($C110,'[2]End - Use Prices'!$A$6:$A$89,0)+MATCH($D110,'[2]End - Use Prices'!$B$9:$B$11,0)-1,MATCH(AC$1,'[2]End - Use Prices'!$C$7:$AL$7,0))</f>
        <v>42.27</v>
      </c>
      <c r="AD110" s="41">
        <f>INDEX('[2]End - Use Prices'!$C$6:$AL$89,MATCH($C110,'[2]End - Use Prices'!$A$6:$A$89,0)+MATCH($D110,'[2]End - Use Prices'!$B$9:$B$11,0)-1,MATCH(AD$1,'[2]End - Use Prices'!$C$7:$AL$7,0))</f>
        <v>41.5</v>
      </c>
      <c r="AE110" s="41">
        <f>INDEX('[2]End - Use Prices'!$C$6:$AL$89,MATCH($C110,'[2]End - Use Prices'!$A$6:$A$89,0)+MATCH($D110,'[2]End - Use Prices'!$B$9:$B$11,0)-1,MATCH(AE$1,'[2]End - Use Prices'!$C$7:$AL$7,0))</f>
        <v>41</v>
      </c>
      <c r="AF110" s="41">
        <f>INDEX('[2]End - Use Prices'!$C$6:$AL$89,MATCH($C110,'[2]End - Use Prices'!$A$6:$A$89,0)+MATCH($D110,'[2]End - Use Prices'!$B$9:$B$11,0)-1,MATCH(AF$1,'[2]End - Use Prices'!$C$7:$AL$7,0))</f>
        <v>40.340000000000003</v>
      </c>
      <c r="AG110" s="41">
        <f>INDEX('[2]End - Use Prices'!$C$6:$AL$89,MATCH($C110,'[2]End - Use Prices'!$A$6:$A$89,0)+MATCH($D110,'[2]End - Use Prices'!$B$9:$B$11,0)-1,MATCH(AG$1,'[2]End - Use Prices'!$C$7:$AL$7,0))</f>
        <v>40.39</v>
      </c>
      <c r="AH110" s="41">
        <f>INDEX('[2]End - Use Prices'!$C$6:$AL$89,MATCH($C110,'[2]End - Use Prices'!$A$6:$A$89,0)+MATCH($D110,'[2]End - Use Prices'!$B$9:$B$11,0)-1,MATCH(AH$1,'[2]End - Use Prices'!$C$7:$AL$7,0))</f>
        <v>41.52</v>
      </c>
      <c r="AI110" s="41">
        <f>INDEX('[2]End - Use Prices'!$C$6:$AL$89,MATCH($C110,'[2]End - Use Prices'!$A$6:$A$89,0)+MATCH($D110,'[2]End - Use Prices'!$B$9:$B$11,0)-1,MATCH(AI$1,'[2]End - Use Prices'!$C$7:$AL$7,0))</f>
        <v>42.28</v>
      </c>
      <c r="AJ110" s="41">
        <f>INDEX('[2]End - Use Prices'!$C$6:$AL$89,MATCH($C110,'[2]End - Use Prices'!$A$6:$A$89,0)+MATCH($D110,'[2]End - Use Prices'!$B$9:$B$11,0)-1,MATCH(AJ$1,'[2]End - Use Prices'!$C$7:$AL$7,0))</f>
        <v>42.82</v>
      </c>
      <c r="AK110" s="41">
        <f>INDEX('[2]End - Use Prices'!$C$6:$AL$89,MATCH($C110,'[2]End - Use Prices'!$A$6:$A$89,0)+MATCH($D110,'[2]End - Use Prices'!$B$9:$B$11,0)-1,MATCH(AK$1,'[2]End - Use Prices'!$C$7:$AL$7,0))</f>
        <v>43.37</v>
      </c>
      <c r="AL110" s="41">
        <f>INDEX('[2]End - Use Prices'!$C$6:$AL$89,MATCH($C110,'[2]End - Use Prices'!$A$6:$A$89,0)+MATCH($D110,'[2]End - Use Prices'!$B$9:$B$11,0)-1,MATCH(AL$1,'[2]End - Use Prices'!$C$7:$AL$7,0))</f>
        <v>43.92</v>
      </c>
      <c r="AM110" s="41">
        <f>INDEX('[2]End - Use Prices'!$C$6:$AL$89,MATCH($C110,'[2]End - Use Prices'!$A$6:$A$89,0)+MATCH($D110,'[2]End - Use Prices'!$B$9:$B$11,0)-1,MATCH(AM$1,'[2]End - Use Prices'!$C$7:$AL$7,0))</f>
        <v>44.47</v>
      </c>
      <c r="AN110" s="41">
        <f>INDEX('[2]End - Use Prices'!$C$6:$AL$89,MATCH($C110,'[2]End - Use Prices'!$A$6:$A$89,0)+MATCH($D110,'[2]End - Use Prices'!$B$9:$B$11,0)-1,MATCH(AN$1,'[2]End - Use Prices'!$C$7:$AL$7,0))</f>
        <v>45.04</v>
      </c>
      <c r="AO110" s="41">
        <f>INDEX('[2]End - Use Prices'!$C$6:$AL$89,MATCH($C110,'[2]End - Use Prices'!$A$6:$A$89,0)+MATCH($D110,'[2]End - Use Prices'!$B$9:$B$11,0)-1,MATCH(AO$1,'[2]End - Use Prices'!$C$7:$AL$7,0))</f>
        <v>45.61</v>
      </c>
      <c r="AP110" s="41">
        <f>INDEX('[2]End - Use Prices'!$C$6:$AL$89,MATCH($C110,'[2]End - Use Prices'!$A$6:$A$89,0)+MATCH($D110,'[2]End - Use Prices'!$B$9:$B$11,0)-1,MATCH(AP$1,'[2]End - Use Prices'!$C$7:$AL$7,0))</f>
        <v>46.19</v>
      </c>
      <c r="AQ110" s="41">
        <f>INDEX('[2]End - Use Prices'!$C$6:$AL$89,MATCH($C110,'[2]End - Use Prices'!$A$6:$A$89,0)+MATCH($D110,'[2]End - Use Prices'!$B$9:$B$11,0)-1,MATCH(AQ$1,'[2]End - Use Prices'!$C$7:$AL$7,0))</f>
        <v>46.78</v>
      </c>
      <c r="AR110" s="41">
        <f>INDEX('[2]End - Use Prices'!$C$6:$AL$89,MATCH($C110,'[2]End - Use Prices'!$A$6:$A$89,0)+MATCH($D110,'[2]End - Use Prices'!$B$9:$B$11,0)-1,MATCH(AR$1,'[2]End - Use Prices'!$C$7:$AL$7,0))</f>
        <v>47.37</v>
      </c>
      <c r="AS110" s="41">
        <f>INDEX('[2]End - Use Prices'!$C$6:$AL$89,MATCH($C110,'[2]End - Use Prices'!$A$6:$A$89,0)+MATCH($D110,'[2]End - Use Prices'!$B$9:$B$11,0)-1,MATCH(AS$1,'[2]End - Use Prices'!$C$7:$AL$7,0))</f>
        <v>47.97</v>
      </c>
      <c r="AT110" s="41">
        <f>INDEX('[2]End - Use Prices'!$C$6:$AL$89,MATCH($C110,'[2]End - Use Prices'!$A$6:$A$89,0)+MATCH($D110,'[2]End - Use Prices'!$B$9:$B$11,0)-1,MATCH(AT$1,'[2]End - Use Prices'!$C$7:$AL$7,0))</f>
        <v>48.58</v>
      </c>
      <c r="AU110" s="41">
        <f>INDEX('[2]End - Use Prices'!$C$6:$AL$89,MATCH($C110,'[2]End - Use Prices'!$A$6:$A$89,0)+MATCH($D110,'[2]End - Use Prices'!$B$9:$B$11,0)-1,MATCH(AU$1,'[2]End - Use Prices'!$C$7:$AL$7,0))</f>
        <v>49.2</v>
      </c>
      <c r="AV110" s="41">
        <f>INDEX('[2]End - Use Prices'!$C$6:$AL$89,MATCH($C110,'[2]End - Use Prices'!$A$6:$A$89,0)+MATCH($D110,'[2]End - Use Prices'!$B$9:$B$11,0)-1,MATCH(AV$1,'[2]End - Use Prices'!$C$7:$AL$7,0))</f>
        <v>49.82</v>
      </c>
      <c r="AW110" s="41">
        <f>INDEX('[2]End - Use Prices'!$C$6:$AL$89,MATCH($C110,'[2]End - Use Prices'!$A$6:$A$89,0)+MATCH($D110,'[2]End - Use Prices'!$B$9:$B$11,0)-1,MATCH(AW$1,'[2]End - Use Prices'!$C$7:$AL$7,0))</f>
        <v>50.45</v>
      </c>
      <c r="AX110" s="41">
        <f>INDEX('[2]End - Use Prices'!$C$6:$AL$89,MATCH($C110,'[2]End - Use Prices'!$A$6:$A$89,0)+MATCH($D110,'[2]End - Use Prices'!$B$9:$B$11,0)-1,MATCH(AX$1,'[2]End - Use Prices'!$C$7:$AL$7,0))</f>
        <v>51.09</v>
      </c>
      <c r="AY110" s="41">
        <f>INDEX('[2]End - Use Prices'!$C$6:$AL$89,MATCH($C110,'[2]End - Use Prices'!$A$6:$A$89,0)+MATCH($D110,'[2]End - Use Prices'!$B$9:$B$11,0)-1,MATCH(AY$1,'[2]End - Use Prices'!$C$7:$AL$7,0))</f>
        <v>51.74</v>
      </c>
      <c r="AZ110" s="41">
        <f>INDEX('[2]End - Use Prices'!$C$6:$AL$89,MATCH($C110,'[2]End - Use Prices'!$A$6:$A$89,0)+MATCH($D110,'[2]End - Use Prices'!$B$9:$B$11,0)-1,MATCH(AZ$1,'[2]End - Use Prices'!$C$7:$AL$7,0))</f>
        <v>52.4</v>
      </c>
      <c r="BA110" s="41">
        <f>INDEX('[2]End - Use Prices'!$C$6:$AL$89,MATCH($C110,'[2]End - Use Prices'!$A$6:$A$89,0)+MATCH($D110,'[2]End - Use Prices'!$B$9:$B$11,0)-1,MATCH(BA$1,'[2]End - Use Prices'!$C$7:$AL$7,0))</f>
        <v>53.07</v>
      </c>
      <c r="BB110" s="41">
        <f>INDEX('[2]End - Use Prices'!$C$6:$AL$89,MATCH($C110,'[2]End - Use Prices'!$A$6:$A$89,0)+MATCH($D110,'[2]End - Use Prices'!$B$9:$B$11,0)-1,MATCH(BB$1,'[2]End - Use Prices'!$C$7:$AL$7,0))</f>
        <v>53.74</v>
      </c>
      <c r="BC110" s="41">
        <f>INDEX('[2]End - Use Prices'!$C$6:$AL$89,MATCH($C110,'[2]End - Use Prices'!$A$6:$A$89,0)+MATCH($D110,'[2]End - Use Prices'!$B$9:$B$11,0)-1,MATCH(BC$1,'[2]End - Use Prices'!$C$7:$AL$7,0))</f>
        <v>54.42</v>
      </c>
      <c r="BD110" s="41">
        <f>INDEX('[2]End - Use Prices'!$C$6:$AL$89,MATCH($C110,'[2]End - Use Prices'!$A$6:$A$89,0)+MATCH($D110,'[2]End - Use Prices'!$B$9:$B$11,0)-1,MATCH(BD$1,'[2]End - Use Prices'!$C$7:$AL$7,0))</f>
        <v>55.11</v>
      </c>
      <c r="BE110" s="41">
        <f>INDEX('[2]End - Use Prices'!$C$6:$AL$89,MATCH($C110,'[2]End - Use Prices'!$A$6:$A$89,0)+MATCH($D110,'[2]End - Use Prices'!$B$9:$B$11,0)-1,MATCH(BE$1,'[2]End - Use Prices'!$C$7:$AL$7,0))</f>
        <v>55.81</v>
      </c>
      <c r="BF110" s="41">
        <f>INDEX('[2]End - Use Prices'!$C$6:$AL$89,MATCH($C110,'[2]End - Use Prices'!$A$6:$A$89,0)+MATCH($D110,'[2]End - Use Prices'!$B$9:$B$11,0)-1,MATCH(BF$1,'[2]End - Use Prices'!$C$7:$AL$7,0))</f>
        <v>56.52</v>
      </c>
      <c r="BG110" s="41">
        <f>INDEX('[2]End - Use Prices'!$C$6:$AL$89,MATCH($C110,'[2]End - Use Prices'!$A$6:$A$89,0)+MATCH($D110,'[2]End - Use Prices'!$B$9:$B$11,0)-1,MATCH(BG$1,'[2]End - Use Prices'!$C$7:$AL$7,0))</f>
        <v>57.24</v>
      </c>
      <c r="BR110" s="39"/>
      <c r="BS110" s="39"/>
      <c r="BT110" s="39"/>
      <c r="BU110" s="39"/>
      <c r="BV110" s="39"/>
      <c r="BW110" s="39"/>
      <c r="BX110" s="39"/>
      <c r="BY110" s="39"/>
      <c r="BZ110" s="39"/>
      <c r="CA110" s="39"/>
    </row>
    <row r="111" spans="1:79">
      <c r="A111" s="5"/>
      <c r="B111" s="3"/>
      <c r="C111" s="25" t="s">
        <v>88</v>
      </c>
      <c r="D111" s="25" t="s">
        <v>2</v>
      </c>
      <c r="E111" s="25" t="s">
        <v>277</v>
      </c>
      <c r="F111" s="67" t="s">
        <v>275</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INDEX('[2]End - Use Prices'!$C$6:$AL$89,MATCH($C111,'[2]End - Use Prices'!$A$6:$A$89,0)+MATCH($D111,'[2]End - Use Prices'!$B$9:$B$11,0)-1,MATCH(X$1,'[2]End - Use Prices'!$C$7:$AL$7,0))</f>
        <v>23.05</v>
      </c>
      <c r="Y111" s="41">
        <f>INDEX('[2]End - Use Prices'!$C$6:$AL$89,MATCH($C111,'[2]End - Use Prices'!$A$6:$A$89,0)+MATCH($D111,'[2]End - Use Prices'!$B$9:$B$11,0)-1,MATCH(Y$1,'[2]End - Use Prices'!$C$7:$AL$7,0))</f>
        <v>26.62</v>
      </c>
      <c r="Z111" s="41">
        <f>INDEX('[2]End - Use Prices'!$C$6:$AL$89,MATCH($C111,'[2]End - Use Prices'!$A$6:$A$89,0)+MATCH($D111,'[2]End - Use Prices'!$B$9:$B$11,0)-1,MATCH(Z$1,'[2]End - Use Prices'!$C$7:$AL$7,0))</f>
        <v>25.75</v>
      </c>
      <c r="AA111" s="41">
        <f>INDEX('[2]End - Use Prices'!$C$6:$AL$89,MATCH($C111,'[2]End - Use Prices'!$A$6:$A$89,0)+MATCH($D111,'[2]End - Use Prices'!$B$9:$B$11,0)-1,MATCH(AA$1,'[2]End - Use Prices'!$C$7:$AL$7,0))</f>
        <v>24.75</v>
      </c>
      <c r="AB111" s="41">
        <f>INDEX('[2]End - Use Prices'!$C$6:$AL$89,MATCH($C111,'[2]End - Use Prices'!$A$6:$A$89,0)+MATCH($D111,'[2]End - Use Prices'!$B$9:$B$11,0)-1,MATCH(AB$1,'[2]End - Use Prices'!$C$7:$AL$7,0))</f>
        <v>25.57</v>
      </c>
      <c r="AC111" s="41">
        <f>INDEX('[2]End - Use Prices'!$C$6:$AL$89,MATCH($C111,'[2]End - Use Prices'!$A$6:$A$89,0)+MATCH($D111,'[2]End - Use Prices'!$B$9:$B$11,0)-1,MATCH(AC$1,'[2]End - Use Prices'!$C$7:$AL$7,0))</f>
        <v>24.86</v>
      </c>
      <c r="AD111" s="41">
        <f>INDEX('[2]End - Use Prices'!$C$6:$AL$89,MATCH($C111,'[2]End - Use Prices'!$A$6:$A$89,0)+MATCH($D111,'[2]End - Use Prices'!$B$9:$B$11,0)-1,MATCH(AD$1,'[2]End - Use Prices'!$C$7:$AL$7,0))</f>
        <v>24.33</v>
      </c>
      <c r="AE111" s="41">
        <f>INDEX('[2]End - Use Prices'!$C$6:$AL$89,MATCH($C111,'[2]End - Use Prices'!$A$6:$A$89,0)+MATCH($D111,'[2]End - Use Prices'!$B$9:$B$11,0)-1,MATCH(AE$1,'[2]End - Use Prices'!$C$7:$AL$7,0))</f>
        <v>24.26</v>
      </c>
      <c r="AF111" s="41">
        <f>INDEX('[2]End - Use Prices'!$C$6:$AL$89,MATCH($C111,'[2]End - Use Prices'!$A$6:$A$89,0)+MATCH($D111,'[2]End - Use Prices'!$B$9:$B$11,0)-1,MATCH(AF$1,'[2]End - Use Prices'!$C$7:$AL$7,0))</f>
        <v>24.24</v>
      </c>
      <c r="AG111" s="41">
        <f>INDEX('[2]End - Use Prices'!$C$6:$AL$89,MATCH($C111,'[2]End - Use Prices'!$A$6:$A$89,0)+MATCH($D111,'[2]End - Use Prices'!$B$9:$B$11,0)-1,MATCH(AG$1,'[2]End - Use Prices'!$C$7:$AL$7,0))</f>
        <v>24.48</v>
      </c>
      <c r="AH111" s="41">
        <f>INDEX('[2]End - Use Prices'!$C$6:$AL$89,MATCH($C111,'[2]End - Use Prices'!$A$6:$A$89,0)+MATCH($D111,'[2]End - Use Prices'!$B$9:$B$11,0)-1,MATCH(AH$1,'[2]End - Use Prices'!$C$7:$AL$7,0))</f>
        <v>25.13</v>
      </c>
      <c r="AI111" s="41">
        <f>INDEX('[2]End - Use Prices'!$C$6:$AL$89,MATCH($C111,'[2]End - Use Prices'!$A$6:$A$89,0)+MATCH($D111,'[2]End - Use Prices'!$B$9:$B$11,0)-1,MATCH(AI$1,'[2]End - Use Prices'!$C$7:$AL$7,0))</f>
        <v>25.1</v>
      </c>
      <c r="AJ111" s="41">
        <f>INDEX('[2]End - Use Prices'!$C$6:$AL$89,MATCH($C111,'[2]End - Use Prices'!$A$6:$A$89,0)+MATCH($D111,'[2]End - Use Prices'!$B$9:$B$11,0)-1,MATCH(AJ$1,'[2]End - Use Prices'!$C$7:$AL$7,0))</f>
        <v>25.35</v>
      </c>
      <c r="AK111" s="41">
        <f>INDEX('[2]End - Use Prices'!$C$6:$AL$89,MATCH($C111,'[2]End - Use Prices'!$A$6:$A$89,0)+MATCH($D111,'[2]End - Use Prices'!$B$9:$B$11,0)-1,MATCH(AK$1,'[2]End - Use Prices'!$C$7:$AL$7,0))</f>
        <v>25.6</v>
      </c>
      <c r="AL111" s="41">
        <f>INDEX('[2]End - Use Prices'!$C$6:$AL$89,MATCH($C111,'[2]End - Use Prices'!$A$6:$A$89,0)+MATCH($D111,'[2]End - Use Prices'!$B$9:$B$11,0)-1,MATCH(AL$1,'[2]End - Use Prices'!$C$7:$AL$7,0))</f>
        <v>25.86</v>
      </c>
      <c r="AM111" s="41">
        <f>INDEX('[2]End - Use Prices'!$C$6:$AL$89,MATCH($C111,'[2]End - Use Prices'!$A$6:$A$89,0)+MATCH($D111,'[2]End - Use Prices'!$B$9:$B$11,0)-1,MATCH(AM$1,'[2]End - Use Prices'!$C$7:$AL$7,0))</f>
        <v>26.11</v>
      </c>
      <c r="AN111" s="41">
        <f>INDEX('[2]End - Use Prices'!$C$6:$AL$89,MATCH($C111,'[2]End - Use Prices'!$A$6:$A$89,0)+MATCH($D111,'[2]End - Use Prices'!$B$9:$B$11,0)-1,MATCH(AN$1,'[2]End - Use Prices'!$C$7:$AL$7,0))</f>
        <v>26.37</v>
      </c>
      <c r="AO111" s="41">
        <f>INDEX('[2]End - Use Prices'!$C$6:$AL$89,MATCH($C111,'[2]End - Use Prices'!$A$6:$A$89,0)+MATCH($D111,'[2]End - Use Prices'!$B$9:$B$11,0)-1,MATCH(AO$1,'[2]End - Use Prices'!$C$7:$AL$7,0))</f>
        <v>26.64</v>
      </c>
      <c r="AP111" s="41">
        <f>INDEX('[2]End - Use Prices'!$C$6:$AL$89,MATCH($C111,'[2]End - Use Prices'!$A$6:$A$89,0)+MATCH($D111,'[2]End - Use Prices'!$B$9:$B$11,0)-1,MATCH(AP$1,'[2]End - Use Prices'!$C$7:$AL$7,0))</f>
        <v>26.9</v>
      </c>
      <c r="AQ111" s="41">
        <f>INDEX('[2]End - Use Prices'!$C$6:$AL$89,MATCH($C111,'[2]End - Use Prices'!$A$6:$A$89,0)+MATCH($D111,'[2]End - Use Prices'!$B$9:$B$11,0)-1,MATCH(AQ$1,'[2]End - Use Prices'!$C$7:$AL$7,0))</f>
        <v>27.17</v>
      </c>
      <c r="AR111" s="41">
        <f>INDEX('[2]End - Use Prices'!$C$6:$AL$89,MATCH($C111,'[2]End - Use Prices'!$A$6:$A$89,0)+MATCH($D111,'[2]End - Use Prices'!$B$9:$B$11,0)-1,MATCH(AR$1,'[2]End - Use Prices'!$C$7:$AL$7,0))</f>
        <v>27.44</v>
      </c>
      <c r="AS111" s="41">
        <f>INDEX('[2]End - Use Prices'!$C$6:$AL$89,MATCH($C111,'[2]End - Use Prices'!$A$6:$A$89,0)+MATCH($D111,'[2]End - Use Prices'!$B$9:$B$11,0)-1,MATCH(AS$1,'[2]End - Use Prices'!$C$7:$AL$7,0))</f>
        <v>27.72</v>
      </c>
      <c r="AT111" s="41">
        <f>INDEX('[2]End - Use Prices'!$C$6:$AL$89,MATCH($C111,'[2]End - Use Prices'!$A$6:$A$89,0)+MATCH($D111,'[2]End - Use Prices'!$B$9:$B$11,0)-1,MATCH(AT$1,'[2]End - Use Prices'!$C$7:$AL$7,0))</f>
        <v>27.99</v>
      </c>
      <c r="AU111" s="41">
        <f>INDEX('[2]End - Use Prices'!$C$6:$AL$89,MATCH($C111,'[2]End - Use Prices'!$A$6:$A$89,0)+MATCH($D111,'[2]End - Use Prices'!$B$9:$B$11,0)-1,MATCH(AU$1,'[2]End - Use Prices'!$C$7:$AL$7,0))</f>
        <v>28.27</v>
      </c>
      <c r="AV111" s="41">
        <f>INDEX('[2]End - Use Prices'!$C$6:$AL$89,MATCH($C111,'[2]End - Use Prices'!$A$6:$A$89,0)+MATCH($D111,'[2]End - Use Prices'!$B$9:$B$11,0)-1,MATCH(AV$1,'[2]End - Use Prices'!$C$7:$AL$7,0))</f>
        <v>28.55</v>
      </c>
      <c r="AW111" s="41">
        <f>INDEX('[2]End - Use Prices'!$C$6:$AL$89,MATCH($C111,'[2]End - Use Prices'!$A$6:$A$89,0)+MATCH($D111,'[2]End - Use Prices'!$B$9:$B$11,0)-1,MATCH(AW$1,'[2]End - Use Prices'!$C$7:$AL$7,0))</f>
        <v>28.84</v>
      </c>
      <c r="AX111" s="41">
        <f>INDEX('[2]End - Use Prices'!$C$6:$AL$89,MATCH($C111,'[2]End - Use Prices'!$A$6:$A$89,0)+MATCH($D111,'[2]End - Use Prices'!$B$9:$B$11,0)-1,MATCH(AX$1,'[2]End - Use Prices'!$C$7:$AL$7,0))</f>
        <v>29.12</v>
      </c>
      <c r="AY111" s="41">
        <f>INDEX('[2]End - Use Prices'!$C$6:$AL$89,MATCH($C111,'[2]End - Use Prices'!$A$6:$A$89,0)+MATCH($D111,'[2]End - Use Prices'!$B$9:$B$11,0)-1,MATCH(AY$1,'[2]End - Use Prices'!$C$7:$AL$7,0))</f>
        <v>29.41</v>
      </c>
      <c r="AZ111" s="41">
        <f>INDEX('[2]End - Use Prices'!$C$6:$AL$89,MATCH($C111,'[2]End - Use Prices'!$A$6:$A$89,0)+MATCH($D111,'[2]End - Use Prices'!$B$9:$B$11,0)-1,MATCH(AZ$1,'[2]End - Use Prices'!$C$7:$AL$7,0))</f>
        <v>29.71</v>
      </c>
      <c r="BA111" s="41">
        <f>INDEX('[2]End - Use Prices'!$C$6:$AL$89,MATCH($C111,'[2]End - Use Prices'!$A$6:$A$89,0)+MATCH($D111,'[2]End - Use Prices'!$B$9:$B$11,0)-1,MATCH(BA$1,'[2]End - Use Prices'!$C$7:$AL$7,0))</f>
        <v>30</v>
      </c>
      <c r="BB111" s="41">
        <f>INDEX('[2]End - Use Prices'!$C$6:$AL$89,MATCH($C111,'[2]End - Use Prices'!$A$6:$A$89,0)+MATCH($D111,'[2]End - Use Prices'!$B$9:$B$11,0)-1,MATCH(BB$1,'[2]End - Use Prices'!$C$7:$AL$7,0))</f>
        <v>30.3</v>
      </c>
      <c r="BC111" s="41">
        <f>INDEX('[2]End - Use Prices'!$C$6:$AL$89,MATCH($C111,'[2]End - Use Prices'!$A$6:$A$89,0)+MATCH($D111,'[2]End - Use Prices'!$B$9:$B$11,0)-1,MATCH(BC$1,'[2]End - Use Prices'!$C$7:$AL$7,0))</f>
        <v>30.6</v>
      </c>
      <c r="BD111" s="41">
        <f>INDEX('[2]End - Use Prices'!$C$6:$AL$89,MATCH($C111,'[2]End - Use Prices'!$A$6:$A$89,0)+MATCH($D111,'[2]End - Use Prices'!$B$9:$B$11,0)-1,MATCH(BD$1,'[2]End - Use Prices'!$C$7:$AL$7,0))</f>
        <v>30.91</v>
      </c>
      <c r="BE111" s="41">
        <f>INDEX('[2]End - Use Prices'!$C$6:$AL$89,MATCH($C111,'[2]End - Use Prices'!$A$6:$A$89,0)+MATCH($D111,'[2]End - Use Prices'!$B$9:$B$11,0)-1,MATCH(BE$1,'[2]End - Use Prices'!$C$7:$AL$7,0))</f>
        <v>31.22</v>
      </c>
      <c r="BF111" s="41">
        <f>INDEX('[2]End - Use Prices'!$C$6:$AL$89,MATCH($C111,'[2]End - Use Prices'!$A$6:$A$89,0)+MATCH($D111,'[2]End - Use Prices'!$B$9:$B$11,0)-1,MATCH(BF$1,'[2]End - Use Prices'!$C$7:$AL$7,0))</f>
        <v>31.53</v>
      </c>
      <c r="BG111" s="41">
        <f>INDEX('[2]End - Use Prices'!$C$6:$AL$89,MATCH($C111,'[2]End - Use Prices'!$A$6:$A$89,0)+MATCH($D111,'[2]End - Use Prices'!$B$9:$B$11,0)-1,MATCH(BG$1,'[2]End - Use Prices'!$C$7:$AL$7,0))</f>
        <v>31.84</v>
      </c>
      <c r="BR111" s="39"/>
      <c r="BS111" s="39"/>
      <c r="BT111" s="39"/>
      <c r="BU111" s="39"/>
      <c r="BV111" s="39"/>
      <c r="BW111" s="39"/>
      <c r="BX111" s="39"/>
      <c r="BY111" s="39"/>
      <c r="BZ111" s="39"/>
      <c r="CA111" s="39"/>
    </row>
    <row r="112" spans="1:79">
      <c r="A112" s="5"/>
      <c r="B112" s="3"/>
      <c r="C112" s="25" t="s">
        <v>89</v>
      </c>
      <c r="D112" s="25" t="s">
        <v>2</v>
      </c>
      <c r="E112" s="25" t="s">
        <v>277</v>
      </c>
      <c r="F112" s="67" t="s">
        <v>275</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INDEX('[2]End - Use Prices'!$C$6:$AL$89,MATCH($C112,'[2]End - Use Prices'!$A$6:$A$89,0)+MATCH($D112,'[2]End - Use Prices'!$B$9:$B$11,0)-1,MATCH(X$1,'[2]End - Use Prices'!$C$7:$AL$7,0))</f>
        <v>36.92</v>
      </c>
      <c r="Y112" s="41">
        <f>INDEX('[2]End - Use Prices'!$C$6:$AL$89,MATCH($C112,'[2]End - Use Prices'!$A$6:$A$89,0)+MATCH($D112,'[2]End - Use Prices'!$B$9:$B$11,0)-1,MATCH(Y$1,'[2]End - Use Prices'!$C$7:$AL$7,0))</f>
        <v>40.86</v>
      </c>
      <c r="Z112" s="41">
        <f>INDEX('[2]End - Use Prices'!$C$6:$AL$89,MATCH($C112,'[2]End - Use Prices'!$A$6:$A$89,0)+MATCH($D112,'[2]End - Use Prices'!$B$9:$B$11,0)-1,MATCH(Z$1,'[2]End - Use Prices'!$C$7:$AL$7,0))</f>
        <v>40.64</v>
      </c>
      <c r="AA112" s="41">
        <f>INDEX('[2]End - Use Prices'!$C$6:$AL$89,MATCH($C112,'[2]End - Use Prices'!$A$6:$A$89,0)+MATCH($D112,'[2]End - Use Prices'!$B$9:$B$11,0)-1,MATCH(AA$1,'[2]End - Use Prices'!$C$7:$AL$7,0))</f>
        <v>37.31</v>
      </c>
      <c r="AB112" s="41">
        <f>INDEX('[2]End - Use Prices'!$C$6:$AL$89,MATCH($C112,'[2]End - Use Prices'!$A$6:$A$89,0)+MATCH($D112,'[2]End - Use Prices'!$B$9:$B$11,0)-1,MATCH(AB$1,'[2]End - Use Prices'!$C$7:$AL$7,0))</f>
        <v>39.53</v>
      </c>
      <c r="AC112" s="41">
        <f>INDEX('[2]End - Use Prices'!$C$6:$AL$89,MATCH($C112,'[2]End - Use Prices'!$A$6:$A$89,0)+MATCH($D112,'[2]End - Use Prices'!$B$9:$B$11,0)-1,MATCH(AC$1,'[2]End - Use Prices'!$C$7:$AL$7,0))</f>
        <v>39.14</v>
      </c>
      <c r="AD112" s="41">
        <f>INDEX('[2]End - Use Prices'!$C$6:$AL$89,MATCH($C112,'[2]End - Use Prices'!$A$6:$A$89,0)+MATCH($D112,'[2]End - Use Prices'!$B$9:$B$11,0)-1,MATCH(AD$1,'[2]End - Use Prices'!$C$7:$AL$7,0))</f>
        <v>40.4</v>
      </c>
      <c r="AE112" s="41">
        <f>INDEX('[2]End - Use Prices'!$C$6:$AL$89,MATCH($C112,'[2]End - Use Prices'!$A$6:$A$89,0)+MATCH($D112,'[2]End - Use Prices'!$B$9:$B$11,0)-1,MATCH(AE$1,'[2]End - Use Prices'!$C$7:$AL$7,0))</f>
        <v>42.06</v>
      </c>
      <c r="AF112" s="41">
        <f>INDEX('[2]End - Use Prices'!$C$6:$AL$89,MATCH($C112,'[2]End - Use Prices'!$A$6:$A$89,0)+MATCH($D112,'[2]End - Use Prices'!$B$9:$B$11,0)-1,MATCH(AF$1,'[2]End - Use Prices'!$C$7:$AL$7,0))</f>
        <v>42.96</v>
      </c>
      <c r="AG112" s="41">
        <f>INDEX('[2]End - Use Prices'!$C$6:$AL$89,MATCH($C112,'[2]End - Use Prices'!$A$6:$A$89,0)+MATCH($D112,'[2]End - Use Prices'!$B$9:$B$11,0)-1,MATCH(AG$1,'[2]End - Use Prices'!$C$7:$AL$7,0))</f>
        <v>46.39</v>
      </c>
      <c r="AH112" s="41">
        <f>INDEX('[2]End - Use Prices'!$C$6:$AL$89,MATCH($C112,'[2]End - Use Prices'!$A$6:$A$89,0)+MATCH($D112,'[2]End - Use Prices'!$B$9:$B$11,0)-1,MATCH(AH$1,'[2]End - Use Prices'!$C$7:$AL$7,0))</f>
        <v>48.73</v>
      </c>
      <c r="AI112" s="41">
        <f>INDEX('[2]End - Use Prices'!$C$6:$AL$89,MATCH($C112,'[2]End - Use Prices'!$A$6:$A$89,0)+MATCH($D112,'[2]End - Use Prices'!$B$9:$B$11,0)-1,MATCH(AI$1,'[2]End - Use Prices'!$C$7:$AL$7,0))</f>
        <v>58.38</v>
      </c>
      <c r="AJ112" s="41">
        <f>INDEX('[2]End - Use Prices'!$C$6:$AL$89,MATCH($C112,'[2]End - Use Prices'!$A$6:$A$89,0)+MATCH($D112,'[2]End - Use Prices'!$B$9:$B$11,0)-1,MATCH(AJ$1,'[2]End - Use Prices'!$C$7:$AL$7,0))</f>
        <v>58.96</v>
      </c>
      <c r="AK112" s="41">
        <f>INDEX('[2]End - Use Prices'!$C$6:$AL$89,MATCH($C112,'[2]End - Use Prices'!$A$6:$A$89,0)+MATCH($D112,'[2]End - Use Prices'!$B$9:$B$11,0)-1,MATCH(AK$1,'[2]End - Use Prices'!$C$7:$AL$7,0))</f>
        <v>59.62</v>
      </c>
      <c r="AL112" s="41">
        <f>INDEX('[2]End - Use Prices'!$C$6:$AL$89,MATCH($C112,'[2]End - Use Prices'!$A$6:$A$89,0)+MATCH($D112,'[2]End - Use Prices'!$B$9:$B$11,0)-1,MATCH(AL$1,'[2]End - Use Prices'!$C$7:$AL$7,0))</f>
        <v>60.27</v>
      </c>
      <c r="AM112" s="41">
        <f>INDEX('[2]End - Use Prices'!$C$6:$AL$89,MATCH($C112,'[2]End - Use Prices'!$A$6:$A$89,0)+MATCH($D112,'[2]End - Use Prices'!$B$9:$B$11,0)-1,MATCH(AM$1,'[2]End - Use Prices'!$C$7:$AL$7,0))</f>
        <v>60.89</v>
      </c>
      <c r="AN112" s="41">
        <f>INDEX('[2]End - Use Prices'!$C$6:$AL$89,MATCH($C112,'[2]End - Use Prices'!$A$6:$A$89,0)+MATCH($D112,'[2]End - Use Prices'!$B$9:$B$11,0)-1,MATCH(AN$1,'[2]End - Use Prices'!$C$7:$AL$7,0))</f>
        <v>61.51</v>
      </c>
      <c r="AO112" s="41">
        <f>INDEX('[2]End - Use Prices'!$C$6:$AL$89,MATCH($C112,'[2]End - Use Prices'!$A$6:$A$89,0)+MATCH($D112,'[2]End - Use Prices'!$B$9:$B$11,0)-1,MATCH(AO$1,'[2]End - Use Prices'!$C$7:$AL$7,0))</f>
        <v>62.1</v>
      </c>
      <c r="AP112" s="41">
        <f>INDEX('[2]End - Use Prices'!$C$6:$AL$89,MATCH($C112,'[2]End - Use Prices'!$A$6:$A$89,0)+MATCH($D112,'[2]End - Use Prices'!$B$9:$B$11,0)-1,MATCH(AP$1,'[2]End - Use Prices'!$C$7:$AL$7,0))</f>
        <v>62.68</v>
      </c>
      <c r="AQ112" s="41">
        <f>INDEX('[2]End - Use Prices'!$C$6:$AL$89,MATCH($C112,'[2]End - Use Prices'!$A$6:$A$89,0)+MATCH($D112,'[2]End - Use Prices'!$B$9:$B$11,0)-1,MATCH(AQ$1,'[2]End - Use Prices'!$C$7:$AL$7,0))</f>
        <v>63.25</v>
      </c>
      <c r="AR112" s="41">
        <f>INDEX('[2]End - Use Prices'!$C$6:$AL$89,MATCH($C112,'[2]End - Use Prices'!$A$6:$A$89,0)+MATCH($D112,'[2]End - Use Prices'!$B$9:$B$11,0)-1,MATCH(AR$1,'[2]End - Use Prices'!$C$7:$AL$7,0))</f>
        <v>63.81</v>
      </c>
      <c r="AS112" s="41">
        <f>INDEX('[2]End - Use Prices'!$C$6:$AL$89,MATCH($C112,'[2]End - Use Prices'!$A$6:$A$89,0)+MATCH($D112,'[2]End - Use Prices'!$B$9:$B$11,0)-1,MATCH(AS$1,'[2]End - Use Prices'!$C$7:$AL$7,0))</f>
        <v>64.36</v>
      </c>
      <c r="AT112" s="41">
        <f>INDEX('[2]End - Use Prices'!$C$6:$AL$89,MATCH($C112,'[2]End - Use Prices'!$A$6:$A$89,0)+MATCH($D112,'[2]End - Use Prices'!$B$9:$B$11,0)-1,MATCH(AT$1,'[2]End - Use Prices'!$C$7:$AL$7,0))</f>
        <v>64.900000000000006</v>
      </c>
      <c r="AU112" s="41">
        <f>INDEX('[2]End - Use Prices'!$C$6:$AL$89,MATCH($C112,'[2]End - Use Prices'!$A$6:$A$89,0)+MATCH($D112,'[2]End - Use Prices'!$B$9:$B$11,0)-1,MATCH(AU$1,'[2]End - Use Prices'!$C$7:$AL$7,0))</f>
        <v>65.430000000000007</v>
      </c>
      <c r="AV112" s="41">
        <f>INDEX('[2]End - Use Prices'!$C$6:$AL$89,MATCH($C112,'[2]End - Use Prices'!$A$6:$A$89,0)+MATCH($D112,'[2]End - Use Prices'!$B$9:$B$11,0)-1,MATCH(AV$1,'[2]End - Use Prices'!$C$7:$AL$7,0))</f>
        <v>65.95</v>
      </c>
      <c r="AW112" s="41">
        <f>INDEX('[2]End - Use Prices'!$C$6:$AL$89,MATCH($C112,'[2]End - Use Prices'!$A$6:$A$89,0)+MATCH($D112,'[2]End - Use Prices'!$B$9:$B$11,0)-1,MATCH(AW$1,'[2]End - Use Prices'!$C$7:$AL$7,0))</f>
        <v>66.47</v>
      </c>
      <c r="AX112" s="41">
        <f>INDEX('[2]End - Use Prices'!$C$6:$AL$89,MATCH($C112,'[2]End - Use Prices'!$A$6:$A$89,0)+MATCH($D112,'[2]End - Use Prices'!$B$9:$B$11,0)-1,MATCH(AX$1,'[2]End - Use Prices'!$C$7:$AL$7,0))</f>
        <v>66.989999999999995</v>
      </c>
      <c r="AY112" s="41">
        <f>INDEX('[2]End - Use Prices'!$C$6:$AL$89,MATCH($C112,'[2]End - Use Prices'!$A$6:$A$89,0)+MATCH($D112,'[2]End - Use Prices'!$B$9:$B$11,0)-1,MATCH(AY$1,'[2]End - Use Prices'!$C$7:$AL$7,0))</f>
        <v>67.510000000000005</v>
      </c>
      <c r="AZ112" s="41">
        <f>INDEX('[2]End - Use Prices'!$C$6:$AL$89,MATCH($C112,'[2]End - Use Prices'!$A$6:$A$89,0)+MATCH($D112,'[2]End - Use Prices'!$B$9:$B$11,0)-1,MATCH(AZ$1,'[2]End - Use Prices'!$C$7:$AL$7,0))</f>
        <v>68.02</v>
      </c>
      <c r="BA112" s="41">
        <f>INDEX('[2]End - Use Prices'!$C$6:$AL$89,MATCH($C112,'[2]End - Use Prices'!$A$6:$A$89,0)+MATCH($D112,'[2]End - Use Prices'!$B$9:$B$11,0)-1,MATCH(BA$1,'[2]End - Use Prices'!$C$7:$AL$7,0))</f>
        <v>68.53</v>
      </c>
      <c r="BB112" s="41">
        <f>INDEX('[2]End - Use Prices'!$C$6:$AL$89,MATCH($C112,'[2]End - Use Prices'!$A$6:$A$89,0)+MATCH($D112,'[2]End - Use Prices'!$B$9:$B$11,0)-1,MATCH(BB$1,'[2]End - Use Prices'!$C$7:$AL$7,0))</f>
        <v>69.05</v>
      </c>
      <c r="BC112" s="41">
        <f>INDEX('[2]End - Use Prices'!$C$6:$AL$89,MATCH($C112,'[2]End - Use Prices'!$A$6:$A$89,0)+MATCH($D112,'[2]End - Use Prices'!$B$9:$B$11,0)-1,MATCH(BC$1,'[2]End - Use Prices'!$C$7:$AL$7,0))</f>
        <v>69.569999999999993</v>
      </c>
      <c r="BD112" s="41">
        <f>INDEX('[2]End - Use Prices'!$C$6:$AL$89,MATCH($C112,'[2]End - Use Prices'!$A$6:$A$89,0)+MATCH($D112,'[2]End - Use Prices'!$B$9:$B$11,0)-1,MATCH(BD$1,'[2]End - Use Prices'!$C$7:$AL$7,0))</f>
        <v>70.09</v>
      </c>
      <c r="BE112" s="41">
        <f>INDEX('[2]End - Use Prices'!$C$6:$AL$89,MATCH($C112,'[2]End - Use Prices'!$A$6:$A$89,0)+MATCH($D112,'[2]End - Use Prices'!$B$9:$B$11,0)-1,MATCH(BE$1,'[2]End - Use Prices'!$C$7:$AL$7,0))</f>
        <v>70.62</v>
      </c>
      <c r="BF112" s="41">
        <f>INDEX('[2]End - Use Prices'!$C$6:$AL$89,MATCH($C112,'[2]End - Use Prices'!$A$6:$A$89,0)+MATCH($D112,'[2]End - Use Prices'!$B$9:$B$11,0)-1,MATCH(BF$1,'[2]End - Use Prices'!$C$7:$AL$7,0))</f>
        <v>71.150000000000006</v>
      </c>
      <c r="BG112" s="41">
        <f>INDEX('[2]End - Use Prices'!$C$6:$AL$89,MATCH($C112,'[2]End - Use Prices'!$A$6:$A$89,0)+MATCH($D112,'[2]End - Use Prices'!$B$9:$B$11,0)-1,MATCH(BG$1,'[2]End - Use Prices'!$C$7:$AL$7,0))</f>
        <v>71.69</v>
      </c>
      <c r="BR112" s="39"/>
      <c r="BS112" s="39"/>
      <c r="BT112" s="39"/>
      <c r="BU112" s="39"/>
      <c r="BV112" s="39"/>
      <c r="BW112" s="39"/>
      <c r="BX112" s="39"/>
      <c r="BY112" s="39"/>
      <c r="BZ112" s="39"/>
      <c r="CA112" s="39"/>
    </row>
    <row r="113" spans="1:79">
      <c r="A113" s="5"/>
      <c r="B113" s="3"/>
      <c r="C113" s="25" t="s">
        <v>90</v>
      </c>
      <c r="D113" s="25" t="s">
        <v>2</v>
      </c>
      <c r="E113" s="25" t="s">
        <v>277</v>
      </c>
      <c r="F113" s="67" t="s">
        <v>275</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INDEX('[2]End - Use Prices'!$C$6:$AL$89,MATCH($C113,'[2]End - Use Prices'!$A$6:$A$89,0)+MATCH($D113,'[2]End - Use Prices'!$B$9:$B$11,0)-1,MATCH(X$1,'[2]End - Use Prices'!$C$7:$AL$7,0))</f>
        <v>23.08</v>
      </c>
      <c r="Y113" s="41">
        <f>INDEX('[2]End - Use Prices'!$C$6:$AL$89,MATCH($C113,'[2]End - Use Prices'!$A$6:$A$89,0)+MATCH($D113,'[2]End - Use Prices'!$B$9:$B$11,0)-1,MATCH(Y$1,'[2]End - Use Prices'!$C$7:$AL$7,0))</f>
        <v>23.95</v>
      </c>
      <c r="Z113" s="41">
        <f>INDEX('[2]End - Use Prices'!$C$6:$AL$89,MATCH($C113,'[2]End - Use Prices'!$A$6:$A$89,0)+MATCH($D113,'[2]End - Use Prices'!$B$9:$B$11,0)-1,MATCH(Z$1,'[2]End - Use Prices'!$C$7:$AL$7,0))</f>
        <v>23.39</v>
      </c>
      <c r="AA113" s="41">
        <f>INDEX('[2]End - Use Prices'!$C$6:$AL$89,MATCH($C113,'[2]End - Use Prices'!$A$6:$A$89,0)+MATCH($D113,'[2]End - Use Prices'!$B$9:$B$11,0)-1,MATCH(AA$1,'[2]End - Use Prices'!$C$7:$AL$7,0))</f>
        <v>22.1</v>
      </c>
      <c r="AB113" s="41">
        <f>INDEX('[2]End - Use Prices'!$C$6:$AL$89,MATCH($C113,'[2]End - Use Prices'!$A$6:$A$89,0)+MATCH($D113,'[2]End - Use Prices'!$B$9:$B$11,0)-1,MATCH(AB$1,'[2]End - Use Prices'!$C$7:$AL$7,0))</f>
        <v>24.37</v>
      </c>
      <c r="AC113" s="41">
        <f>INDEX('[2]End - Use Prices'!$C$6:$AL$89,MATCH($C113,'[2]End - Use Prices'!$A$6:$A$89,0)+MATCH($D113,'[2]End - Use Prices'!$B$9:$B$11,0)-1,MATCH(AC$1,'[2]End - Use Prices'!$C$7:$AL$7,0))</f>
        <v>24.17</v>
      </c>
      <c r="AD113" s="41">
        <f>INDEX('[2]End - Use Prices'!$C$6:$AL$89,MATCH($C113,'[2]End - Use Prices'!$A$6:$A$89,0)+MATCH($D113,'[2]End - Use Prices'!$B$9:$B$11,0)-1,MATCH(AD$1,'[2]End - Use Prices'!$C$7:$AL$7,0))</f>
        <v>24.13</v>
      </c>
      <c r="AE113" s="41">
        <f>INDEX('[2]End - Use Prices'!$C$6:$AL$89,MATCH($C113,'[2]End - Use Prices'!$A$6:$A$89,0)+MATCH($D113,'[2]End - Use Prices'!$B$9:$B$11,0)-1,MATCH(AE$1,'[2]End - Use Prices'!$C$7:$AL$7,0))</f>
        <v>24.35</v>
      </c>
      <c r="AF113" s="41">
        <f>INDEX('[2]End - Use Prices'!$C$6:$AL$89,MATCH($C113,'[2]End - Use Prices'!$A$6:$A$89,0)+MATCH($D113,'[2]End - Use Prices'!$B$9:$B$11,0)-1,MATCH(AF$1,'[2]End - Use Prices'!$C$7:$AL$7,0))</f>
        <v>24.49</v>
      </c>
      <c r="AG113" s="41">
        <f>INDEX('[2]End - Use Prices'!$C$6:$AL$89,MATCH($C113,'[2]End - Use Prices'!$A$6:$A$89,0)+MATCH($D113,'[2]End - Use Prices'!$B$9:$B$11,0)-1,MATCH(AG$1,'[2]End - Use Prices'!$C$7:$AL$7,0))</f>
        <v>25.11</v>
      </c>
      <c r="AH113" s="41">
        <f>INDEX('[2]End - Use Prices'!$C$6:$AL$89,MATCH($C113,'[2]End - Use Prices'!$A$6:$A$89,0)+MATCH($D113,'[2]End - Use Prices'!$B$9:$B$11,0)-1,MATCH(AH$1,'[2]End - Use Prices'!$C$7:$AL$7,0))</f>
        <v>26.03</v>
      </c>
      <c r="AI113" s="41">
        <f>INDEX('[2]End - Use Prices'!$C$6:$AL$89,MATCH($C113,'[2]End - Use Prices'!$A$6:$A$89,0)+MATCH($D113,'[2]End - Use Prices'!$B$9:$B$11,0)-1,MATCH(AI$1,'[2]End - Use Prices'!$C$7:$AL$7,0))</f>
        <v>26.89</v>
      </c>
      <c r="AJ113" s="41">
        <f>INDEX('[2]End - Use Prices'!$C$6:$AL$89,MATCH($C113,'[2]End - Use Prices'!$A$6:$A$89,0)+MATCH($D113,'[2]End - Use Prices'!$B$9:$B$11,0)-1,MATCH(AJ$1,'[2]End - Use Prices'!$C$7:$AL$7,0))</f>
        <v>27.19</v>
      </c>
      <c r="AK113" s="41">
        <f>INDEX('[2]End - Use Prices'!$C$6:$AL$89,MATCH($C113,'[2]End - Use Prices'!$A$6:$A$89,0)+MATCH($D113,'[2]End - Use Prices'!$B$9:$B$11,0)-1,MATCH(AK$1,'[2]End - Use Prices'!$C$7:$AL$7,0))</f>
        <v>27.53</v>
      </c>
      <c r="AL113" s="41">
        <f>INDEX('[2]End - Use Prices'!$C$6:$AL$89,MATCH($C113,'[2]End - Use Prices'!$A$6:$A$89,0)+MATCH($D113,'[2]End - Use Prices'!$B$9:$B$11,0)-1,MATCH(AL$1,'[2]End - Use Prices'!$C$7:$AL$7,0))</f>
        <v>27.88</v>
      </c>
      <c r="AM113" s="41">
        <f>INDEX('[2]End - Use Prices'!$C$6:$AL$89,MATCH($C113,'[2]End - Use Prices'!$A$6:$A$89,0)+MATCH($D113,'[2]End - Use Prices'!$B$9:$B$11,0)-1,MATCH(AM$1,'[2]End - Use Prices'!$C$7:$AL$7,0))</f>
        <v>28.24</v>
      </c>
      <c r="AN113" s="41">
        <f>INDEX('[2]End - Use Prices'!$C$6:$AL$89,MATCH($C113,'[2]End - Use Prices'!$A$6:$A$89,0)+MATCH($D113,'[2]End - Use Prices'!$B$9:$B$11,0)-1,MATCH(AN$1,'[2]End - Use Prices'!$C$7:$AL$7,0))</f>
        <v>28.59</v>
      </c>
      <c r="AO113" s="41">
        <f>INDEX('[2]End - Use Prices'!$C$6:$AL$89,MATCH($C113,'[2]End - Use Prices'!$A$6:$A$89,0)+MATCH($D113,'[2]End - Use Prices'!$B$9:$B$11,0)-1,MATCH(AO$1,'[2]End - Use Prices'!$C$7:$AL$7,0))</f>
        <v>28.94</v>
      </c>
      <c r="AP113" s="41">
        <f>INDEX('[2]End - Use Prices'!$C$6:$AL$89,MATCH($C113,'[2]End - Use Prices'!$A$6:$A$89,0)+MATCH($D113,'[2]End - Use Prices'!$B$9:$B$11,0)-1,MATCH(AP$1,'[2]End - Use Prices'!$C$7:$AL$7,0))</f>
        <v>29.29</v>
      </c>
      <c r="AQ113" s="41">
        <f>INDEX('[2]End - Use Prices'!$C$6:$AL$89,MATCH($C113,'[2]End - Use Prices'!$A$6:$A$89,0)+MATCH($D113,'[2]End - Use Prices'!$B$9:$B$11,0)-1,MATCH(AQ$1,'[2]End - Use Prices'!$C$7:$AL$7,0))</f>
        <v>29.64</v>
      </c>
      <c r="AR113" s="41">
        <f>INDEX('[2]End - Use Prices'!$C$6:$AL$89,MATCH($C113,'[2]End - Use Prices'!$A$6:$A$89,0)+MATCH($D113,'[2]End - Use Prices'!$B$9:$B$11,0)-1,MATCH(AR$1,'[2]End - Use Prices'!$C$7:$AL$7,0))</f>
        <v>29.99</v>
      </c>
      <c r="AS113" s="41">
        <f>INDEX('[2]End - Use Prices'!$C$6:$AL$89,MATCH($C113,'[2]End - Use Prices'!$A$6:$A$89,0)+MATCH($D113,'[2]End - Use Prices'!$B$9:$B$11,0)-1,MATCH(AS$1,'[2]End - Use Prices'!$C$7:$AL$7,0))</f>
        <v>30.32</v>
      </c>
      <c r="AT113" s="41">
        <f>INDEX('[2]End - Use Prices'!$C$6:$AL$89,MATCH($C113,'[2]End - Use Prices'!$A$6:$A$89,0)+MATCH($D113,'[2]End - Use Prices'!$B$9:$B$11,0)-1,MATCH(AT$1,'[2]End - Use Prices'!$C$7:$AL$7,0))</f>
        <v>30.65</v>
      </c>
      <c r="AU113" s="41">
        <f>INDEX('[2]End - Use Prices'!$C$6:$AL$89,MATCH($C113,'[2]End - Use Prices'!$A$6:$A$89,0)+MATCH($D113,'[2]End - Use Prices'!$B$9:$B$11,0)-1,MATCH(AU$1,'[2]End - Use Prices'!$C$7:$AL$7,0))</f>
        <v>30.97</v>
      </c>
      <c r="AV113" s="41">
        <f>INDEX('[2]End - Use Prices'!$C$6:$AL$89,MATCH($C113,'[2]End - Use Prices'!$A$6:$A$89,0)+MATCH($D113,'[2]End - Use Prices'!$B$9:$B$11,0)-1,MATCH(AV$1,'[2]End - Use Prices'!$C$7:$AL$7,0))</f>
        <v>31.28</v>
      </c>
      <c r="AW113" s="41">
        <f>INDEX('[2]End - Use Prices'!$C$6:$AL$89,MATCH($C113,'[2]End - Use Prices'!$A$6:$A$89,0)+MATCH($D113,'[2]End - Use Prices'!$B$9:$B$11,0)-1,MATCH(AW$1,'[2]End - Use Prices'!$C$7:$AL$7,0))</f>
        <v>31.58</v>
      </c>
      <c r="AX113" s="41">
        <f>INDEX('[2]End - Use Prices'!$C$6:$AL$89,MATCH($C113,'[2]End - Use Prices'!$A$6:$A$89,0)+MATCH($D113,'[2]End - Use Prices'!$B$9:$B$11,0)-1,MATCH(AX$1,'[2]End - Use Prices'!$C$7:$AL$7,0))</f>
        <v>31.86</v>
      </c>
      <c r="AY113" s="41">
        <f>INDEX('[2]End - Use Prices'!$C$6:$AL$89,MATCH($C113,'[2]End - Use Prices'!$A$6:$A$89,0)+MATCH($D113,'[2]End - Use Prices'!$B$9:$B$11,0)-1,MATCH(AY$1,'[2]End - Use Prices'!$C$7:$AL$7,0))</f>
        <v>32.130000000000003</v>
      </c>
      <c r="AZ113" s="41">
        <f>INDEX('[2]End - Use Prices'!$C$6:$AL$89,MATCH($C113,'[2]End - Use Prices'!$A$6:$A$89,0)+MATCH($D113,'[2]End - Use Prices'!$B$9:$B$11,0)-1,MATCH(AZ$1,'[2]End - Use Prices'!$C$7:$AL$7,0))</f>
        <v>32.380000000000003</v>
      </c>
      <c r="BA113" s="41">
        <f>INDEX('[2]End - Use Prices'!$C$6:$AL$89,MATCH($C113,'[2]End - Use Prices'!$A$6:$A$89,0)+MATCH($D113,'[2]End - Use Prices'!$B$9:$B$11,0)-1,MATCH(BA$1,'[2]End - Use Prices'!$C$7:$AL$7,0))</f>
        <v>32.61</v>
      </c>
      <c r="BB113" s="41">
        <f>INDEX('[2]End - Use Prices'!$C$6:$AL$89,MATCH($C113,'[2]End - Use Prices'!$A$6:$A$89,0)+MATCH($D113,'[2]End - Use Prices'!$B$9:$B$11,0)-1,MATCH(BB$1,'[2]End - Use Prices'!$C$7:$AL$7,0))</f>
        <v>32.82</v>
      </c>
      <c r="BC113" s="41">
        <f>INDEX('[2]End - Use Prices'!$C$6:$AL$89,MATCH($C113,'[2]End - Use Prices'!$A$6:$A$89,0)+MATCH($D113,'[2]End - Use Prices'!$B$9:$B$11,0)-1,MATCH(BC$1,'[2]End - Use Prices'!$C$7:$AL$7,0))</f>
        <v>33.01</v>
      </c>
      <c r="BD113" s="41">
        <f>INDEX('[2]End - Use Prices'!$C$6:$AL$89,MATCH($C113,'[2]End - Use Prices'!$A$6:$A$89,0)+MATCH($D113,'[2]End - Use Prices'!$B$9:$B$11,0)-1,MATCH(BD$1,'[2]End - Use Prices'!$C$7:$AL$7,0))</f>
        <v>33.17</v>
      </c>
      <c r="BE113" s="41">
        <f>INDEX('[2]End - Use Prices'!$C$6:$AL$89,MATCH($C113,'[2]End - Use Prices'!$A$6:$A$89,0)+MATCH($D113,'[2]End - Use Prices'!$B$9:$B$11,0)-1,MATCH(BE$1,'[2]End - Use Prices'!$C$7:$AL$7,0))</f>
        <v>33.31</v>
      </c>
      <c r="BF113" s="41">
        <f>INDEX('[2]End - Use Prices'!$C$6:$AL$89,MATCH($C113,'[2]End - Use Prices'!$A$6:$A$89,0)+MATCH($D113,'[2]End - Use Prices'!$B$9:$B$11,0)-1,MATCH(BF$1,'[2]End - Use Prices'!$C$7:$AL$7,0))</f>
        <v>33.43</v>
      </c>
      <c r="BG113" s="41">
        <f>INDEX('[2]End - Use Prices'!$C$6:$AL$89,MATCH($C113,'[2]End - Use Prices'!$A$6:$A$89,0)+MATCH($D113,'[2]End - Use Prices'!$B$9:$B$11,0)-1,MATCH(BG$1,'[2]End - Use Prices'!$C$7:$AL$7,0))</f>
        <v>33.51</v>
      </c>
      <c r="BR113" s="39"/>
      <c r="BS113" s="39"/>
      <c r="BT113" s="39"/>
      <c r="BU113" s="39"/>
      <c r="BV113" s="39"/>
      <c r="BW113" s="39"/>
      <c r="BX113" s="39"/>
      <c r="BY113" s="39"/>
      <c r="BZ113" s="39"/>
      <c r="CA113" s="39"/>
    </row>
    <row r="114" spans="1:79">
      <c r="A114" s="5"/>
      <c r="B114" s="3"/>
      <c r="C114" s="25" t="s">
        <v>91</v>
      </c>
      <c r="D114" s="25" t="s">
        <v>2</v>
      </c>
      <c r="E114" s="25" t="s">
        <v>277</v>
      </c>
      <c r="F114" s="67" t="s">
        <v>275</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INDEX('[2]End - Use Prices'!$C$6:$AL$89,MATCH($C114,'[2]End - Use Prices'!$A$6:$A$89,0)+MATCH($D114,'[2]End - Use Prices'!$B$9:$B$11,0)-1,MATCH(X$1,'[2]End - Use Prices'!$C$7:$AL$7,0))</f>
        <v>36.07</v>
      </c>
      <c r="Y114" s="41">
        <f>INDEX('[2]End - Use Prices'!$C$6:$AL$89,MATCH($C114,'[2]End - Use Prices'!$A$6:$A$89,0)+MATCH($D114,'[2]End - Use Prices'!$B$9:$B$11,0)-1,MATCH(Y$1,'[2]End - Use Prices'!$C$7:$AL$7,0))</f>
        <v>42.3</v>
      </c>
      <c r="Z114" s="41">
        <f>INDEX('[2]End - Use Prices'!$C$6:$AL$89,MATCH($C114,'[2]End - Use Prices'!$A$6:$A$89,0)+MATCH($D114,'[2]End - Use Prices'!$B$9:$B$11,0)-1,MATCH(Z$1,'[2]End - Use Prices'!$C$7:$AL$7,0))</f>
        <v>41.68</v>
      </c>
      <c r="AA114" s="41">
        <f>INDEX('[2]End - Use Prices'!$C$6:$AL$89,MATCH($C114,'[2]End - Use Prices'!$A$6:$A$89,0)+MATCH($D114,'[2]End - Use Prices'!$B$9:$B$11,0)-1,MATCH(AA$1,'[2]End - Use Prices'!$C$7:$AL$7,0))</f>
        <v>39.369999999999997</v>
      </c>
      <c r="AB114" s="41">
        <f>INDEX('[2]End - Use Prices'!$C$6:$AL$89,MATCH($C114,'[2]End - Use Prices'!$A$6:$A$89,0)+MATCH($D114,'[2]End - Use Prices'!$B$9:$B$11,0)-1,MATCH(AB$1,'[2]End - Use Prices'!$C$7:$AL$7,0))</f>
        <v>40.299999999999997</v>
      </c>
      <c r="AC114" s="41">
        <f>INDEX('[2]End - Use Prices'!$C$6:$AL$89,MATCH($C114,'[2]End - Use Prices'!$A$6:$A$89,0)+MATCH($D114,'[2]End - Use Prices'!$B$9:$B$11,0)-1,MATCH(AC$1,'[2]End - Use Prices'!$C$7:$AL$7,0))</f>
        <v>42.93</v>
      </c>
      <c r="AD114" s="41">
        <f>INDEX('[2]End - Use Prices'!$C$6:$AL$89,MATCH($C114,'[2]End - Use Prices'!$A$6:$A$89,0)+MATCH($D114,'[2]End - Use Prices'!$B$9:$B$11,0)-1,MATCH(AD$1,'[2]End - Use Prices'!$C$7:$AL$7,0))</f>
        <v>43.6</v>
      </c>
      <c r="AE114" s="41">
        <f>INDEX('[2]End - Use Prices'!$C$6:$AL$89,MATCH($C114,'[2]End - Use Prices'!$A$6:$A$89,0)+MATCH($D114,'[2]End - Use Prices'!$B$9:$B$11,0)-1,MATCH(AE$1,'[2]End - Use Prices'!$C$7:$AL$7,0))</f>
        <v>43.08</v>
      </c>
      <c r="AF114" s="41">
        <f>INDEX('[2]End - Use Prices'!$C$6:$AL$89,MATCH($C114,'[2]End - Use Prices'!$A$6:$A$89,0)+MATCH($D114,'[2]End - Use Prices'!$B$9:$B$11,0)-1,MATCH(AF$1,'[2]End - Use Prices'!$C$7:$AL$7,0))</f>
        <v>44.44</v>
      </c>
      <c r="AG114" s="41">
        <f>INDEX('[2]End - Use Prices'!$C$6:$AL$89,MATCH($C114,'[2]End - Use Prices'!$A$6:$A$89,0)+MATCH($D114,'[2]End - Use Prices'!$B$9:$B$11,0)-1,MATCH(AG$1,'[2]End - Use Prices'!$C$7:$AL$7,0))</f>
        <v>46.3</v>
      </c>
      <c r="AH114" s="41">
        <f>INDEX('[2]End - Use Prices'!$C$6:$AL$89,MATCH($C114,'[2]End - Use Prices'!$A$6:$A$89,0)+MATCH($D114,'[2]End - Use Prices'!$B$9:$B$11,0)-1,MATCH(AH$1,'[2]End - Use Prices'!$C$7:$AL$7,0))</f>
        <v>48.06</v>
      </c>
      <c r="AI114" s="41">
        <f>INDEX('[2]End - Use Prices'!$C$6:$AL$89,MATCH($C114,'[2]End - Use Prices'!$A$6:$A$89,0)+MATCH($D114,'[2]End - Use Prices'!$B$9:$B$11,0)-1,MATCH(AI$1,'[2]End - Use Prices'!$C$7:$AL$7,0))</f>
        <v>48.66</v>
      </c>
      <c r="AJ114" s="41">
        <f>INDEX('[2]End - Use Prices'!$C$6:$AL$89,MATCH($C114,'[2]End - Use Prices'!$A$6:$A$89,0)+MATCH($D114,'[2]End - Use Prices'!$B$9:$B$11,0)-1,MATCH(AJ$1,'[2]End - Use Prices'!$C$7:$AL$7,0))</f>
        <v>49.42</v>
      </c>
      <c r="AK114" s="41">
        <f>INDEX('[2]End - Use Prices'!$C$6:$AL$89,MATCH($C114,'[2]End - Use Prices'!$A$6:$A$89,0)+MATCH($D114,'[2]End - Use Prices'!$B$9:$B$11,0)-1,MATCH(AK$1,'[2]End - Use Prices'!$C$7:$AL$7,0))</f>
        <v>50.31</v>
      </c>
      <c r="AL114" s="41">
        <f>INDEX('[2]End - Use Prices'!$C$6:$AL$89,MATCH($C114,'[2]End - Use Prices'!$A$6:$A$89,0)+MATCH($D114,'[2]End - Use Prices'!$B$9:$B$11,0)-1,MATCH(AL$1,'[2]End - Use Prices'!$C$7:$AL$7,0))</f>
        <v>51.11</v>
      </c>
      <c r="AM114" s="41">
        <f>INDEX('[2]End - Use Prices'!$C$6:$AL$89,MATCH($C114,'[2]End - Use Prices'!$A$6:$A$89,0)+MATCH($D114,'[2]End - Use Prices'!$B$9:$B$11,0)-1,MATCH(AM$1,'[2]End - Use Prices'!$C$7:$AL$7,0))</f>
        <v>51.84</v>
      </c>
      <c r="AN114" s="41">
        <f>INDEX('[2]End - Use Prices'!$C$6:$AL$89,MATCH($C114,'[2]End - Use Prices'!$A$6:$A$89,0)+MATCH($D114,'[2]End - Use Prices'!$B$9:$B$11,0)-1,MATCH(AN$1,'[2]End - Use Prices'!$C$7:$AL$7,0))</f>
        <v>52.5</v>
      </c>
      <c r="AO114" s="41">
        <f>INDEX('[2]End - Use Prices'!$C$6:$AL$89,MATCH($C114,'[2]End - Use Prices'!$A$6:$A$89,0)+MATCH($D114,'[2]End - Use Prices'!$B$9:$B$11,0)-1,MATCH(AO$1,'[2]End - Use Prices'!$C$7:$AL$7,0))</f>
        <v>53.11</v>
      </c>
      <c r="AP114" s="41">
        <f>INDEX('[2]End - Use Prices'!$C$6:$AL$89,MATCH($C114,'[2]End - Use Prices'!$A$6:$A$89,0)+MATCH($D114,'[2]End - Use Prices'!$B$9:$B$11,0)-1,MATCH(AP$1,'[2]End - Use Prices'!$C$7:$AL$7,0))</f>
        <v>53.65</v>
      </c>
      <c r="AQ114" s="41">
        <f>INDEX('[2]End - Use Prices'!$C$6:$AL$89,MATCH($C114,'[2]End - Use Prices'!$A$6:$A$89,0)+MATCH($D114,'[2]End - Use Prices'!$B$9:$B$11,0)-1,MATCH(AQ$1,'[2]End - Use Prices'!$C$7:$AL$7,0))</f>
        <v>54.15</v>
      </c>
      <c r="AR114" s="41">
        <f>INDEX('[2]End - Use Prices'!$C$6:$AL$89,MATCH($C114,'[2]End - Use Prices'!$A$6:$A$89,0)+MATCH($D114,'[2]End - Use Prices'!$B$9:$B$11,0)-1,MATCH(AR$1,'[2]End - Use Prices'!$C$7:$AL$7,0))</f>
        <v>54.59</v>
      </c>
      <c r="AS114" s="41">
        <f>INDEX('[2]End - Use Prices'!$C$6:$AL$89,MATCH($C114,'[2]End - Use Prices'!$A$6:$A$89,0)+MATCH($D114,'[2]End - Use Prices'!$B$9:$B$11,0)-1,MATCH(AS$1,'[2]End - Use Prices'!$C$7:$AL$7,0))</f>
        <v>55</v>
      </c>
      <c r="AT114" s="41">
        <f>INDEX('[2]End - Use Prices'!$C$6:$AL$89,MATCH($C114,'[2]End - Use Prices'!$A$6:$A$89,0)+MATCH($D114,'[2]End - Use Prices'!$B$9:$B$11,0)-1,MATCH(AT$1,'[2]End - Use Prices'!$C$7:$AL$7,0))</f>
        <v>55.38</v>
      </c>
      <c r="AU114" s="41">
        <f>INDEX('[2]End - Use Prices'!$C$6:$AL$89,MATCH($C114,'[2]End - Use Prices'!$A$6:$A$89,0)+MATCH($D114,'[2]End - Use Prices'!$B$9:$B$11,0)-1,MATCH(AU$1,'[2]End - Use Prices'!$C$7:$AL$7,0))</f>
        <v>55.73</v>
      </c>
      <c r="AV114" s="41">
        <f>INDEX('[2]End - Use Prices'!$C$6:$AL$89,MATCH($C114,'[2]End - Use Prices'!$A$6:$A$89,0)+MATCH($D114,'[2]End - Use Prices'!$B$9:$B$11,0)-1,MATCH(AV$1,'[2]End - Use Prices'!$C$7:$AL$7,0))</f>
        <v>56.05</v>
      </c>
      <c r="AW114" s="41">
        <f>INDEX('[2]End - Use Prices'!$C$6:$AL$89,MATCH($C114,'[2]End - Use Prices'!$A$6:$A$89,0)+MATCH($D114,'[2]End - Use Prices'!$B$9:$B$11,0)-1,MATCH(AW$1,'[2]End - Use Prices'!$C$7:$AL$7,0))</f>
        <v>56.35</v>
      </c>
      <c r="AX114" s="41">
        <f>INDEX('[2]End - Use Prices'!$C$6:$AL$89,MATCH($C114,'[2]End - Use Prices'!$A$6:$A$89,0)+MATCH($D114,'[2]End - Use Prices'!$B$9:$B$11,0)-1,MATCH(AX$1,'[2]End - Use Prices'!$C$7:$AL$7,0))</f>
        <v>56.65</v>
      </c>
      <c r="AY114" s="41">
        <f>INDEX('[2]End - Use Prices'!$C$6:$AL$89,MATCH($C114,'[2]End - Use Prices'!$A$6:$A$89,0)+MATCH($D114,'[2]End - Use Prices'!$B$9:$B$11,0)-1,MATCH(AY$1,'[2]End - Use Prices'!$C$7:$AL$7,0))</f>
        <v>56.93</v>
      </c>
      <c r="AZ114" s="41">
        <f>INDEX('[2]End - Use Prices'!$C$6:$AL$89,MATCH($C114,'[2]End - Use Prices'!$A$6:$A$89,0)+MATCH($D114,'[2]End - Use Prices'!$B$9:$B$11,0)-1,MATCH(AZ$1,'[2]End - Use Prices'!$C$7:$AL$7,0))</f>
        <v>57.22</v>
      </c>
      <c r="BA114" s="41">
        <f>INDEX('[2]End - Use Prices'!$C$6:$AL$89,MATCH($C114,'[2]End - Use Prices'!$A$6:$A$89,0)+MATCH($D114,'[2]End - Use Prices'!$B$9:$B$11,0)-1,MATCH(BA$1,'[2]End - Use Prices'!$C$7:$AL$7,0))</f>
        <v>57.51</v>
      </c>
      <c r="BB114" s="41">
        <f>INDEX('[2]End - Use Prices'!$C$6:$AL$89,MATCH($C114,'[2]End - Use Prices'!$A$6:$A$89,0)+MATCH($D114,'[2]End - Use Prices'!$B$9:$B$11,0)-1,MATCH(BB$1,'[2]End - Use Prices'!$C$7:$AL$7,0))</f>
        <v>57.81</v>
      </c>
      <c r="BC114" s="41">
        <f>INDEX('[2]End - Use Prices'!$C$6:$AL$89,MATCH($C114,'[2]End - Use Prices'!$A$6:$A$89,0)+MATCH($D114,'[2]End - Use Prices'!$B$9:$B$11,0)-1,MATCH(BC$1,'[2]End - Use Prices'!$C$7:$AL$7,0))</f>
        <v>58.13</v>
      </c>
      <c r="BD114" s="41">
        <f>INDEX('[2]End - Use Prices'!$C$6:$AL$89,MATCH($C114,'[2]End - Use Prices'!$A$6:$A$89,0)+MATCH($D114,'[2]End - Use Prices'!$B$9:$B$11,0)-1,MATCH(BD$1,'[2]End - Use Prices'!$C$7:$AL$7,0))</f>
        <v>58.47</v>
      </c>
      <c r="BE114" s="41">
        <f>INDEX('[2]End - Use Prices'!$C$6:$AL$89,MATCH($C114,'[2]End - Use Prices'!$A$6:$A$89,0)+MATCH($D114,'[2]End - Use Prices'!$B$9:$B$11,0)-1,MATCH(BE$1,'[2]End - Use Prices'!$C$7:$AL$7,0))</f>
        <v>58.83</v>
      </c>
      <c r="BF114" s="41">
        <f>INDEX('[2]End - Use Prices'!$C$6:$AL$89,MATCH($C114,'[2]End - Use Prices'!$A$6:$A$89,0)+MATCH($D114,'[2]End - Use Prices'!$B$9:$B$11,0)-1,MATCH(BF$1,'[2]End - Use Prices'!$C$7:$AL$7,0))</f>
        <v>59.23</v>
      </c>
      <c r="BG114" s="41">
        <f>INDEX('[2]End - Use Prices'!$C$6:$AL$89,MATCH($C114,'[2]End - Use Prices'!$A$6:$A$89,0)+MATCH($D114,'[2]End - Use Prices'!$B$9:$B$11,0)-1,MATCH(BG$1,'[2]End - Use Prices'!$C$7:$AL$7,0))</f>
        <v>59.66</v>
      </c>
      <c r="BR114" s="39"/>
      <c r="BS114" s="39"/>
      <c r="BT114" s="39"/>
      <c r="BU114" s="39"/>
      <c r="BV114" s="39"/>
      <c r="BW114" s="39"/>
      <c r="BX114" s="39"/>
      <c r="BY114" s="39"/>
      <c r="BZ114" s="39"/>
      <c r="CA114" s="39"/>
    </row>
    <row r="115" spans="1:79">
      <c r="A115" s="5"/>
      <c r="B115" s="3"/>
      <c r="C115" s="25" t="s">
        <v>5</v>
      </c>
      <c r="D115" s="25" t="s">
        <v>2</v>
      </c>
      <c r="E115" s="25" t="s">
        <v>277</v>
      </c>
      <c r="F115" s="67" t="s">
        <v>275</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INDEX('[2]End - Use Prices'!$C$6:$AL$89,MATCH($C115,'[2]End - Use Prices'!$A$6:$A$89,0)+MATCH($D115,'[2]End - Use Prices'!$B$9:$B$11,0)-1,MATCH(X$1,'[2]End - Use Prices'!$C$7:$AL$7,0))</f>
        <v>30.07</v>
      </c>
      <c r="Y115" s="41">
        <f>INDEX('[2]End - Use Prices'!$C$6:$AL$89,MATCH($C115,'[2]End - Use Prices'!$A$6:$A$89,0)+MATCH($D115,'[2]End - Use Prices'!$B$9:$B$11,0)-1,MATCH(Y$1,'[2]End - Use Prices'!$C$7:$AL$7,0))</f>
        <v>35.659999999999997</v>
      </c>
      <c r="Z115" s="41">
        <f>INDEX('[2]End - Use Prices'!$C$6:$AL$89,MATCH($C115,'[2]End - Use Prices'!$A$6:$A$89,0)+MATCH($D115,'[2]End - Use Prices'!$B$9:$B$11,0)-1,MATCH(Z$1,'[2]End - Use Prices'!$C$7:$AL$7,0))</f>
        <v>38.57</v>
      </c>
      <c r="AA115" s="41">
        <f>INDEX('[2]End - Use Prices'!$C$6:$AL$89,MATCH($C115,'[2]End - Use Prices'!$A$6:$A$89,0)+MATCH($D115,'[2]End - Use Prices'!$B$9:$B$11,0)-1,MATCH(AA$1,'[2]End - Use Prices'!$C$7:$AL$7,0))</f>
        <v>42.28</v>
      </c>
      <c r="AB115" s="41">
        <f>INDEX('[2]End - Use Prices'!$C$6:$AL$89,MATCH($C115,'[2]End - Use Prices'!$A$6:$A$89,0)+MATCH($D115,'[2]End - Use Prices'!$B$9:$B$11,0)-1,MATCH(AB$1,'[2]End - Use Prices'!$C$7:$AL$7,0))</f>
        <v>36.1</v>
      </c>
      <c r="AC115" s="41">
        <f>INDEX('[2]End - Use Prices'!$C$6:$AL$89,MATCH($C115,'[2]End - Use Prices'!$A$6:$A$89,0)+MATCH($D115,'[2]End - Use Prices'!$B$9:$B$11,0)-1,MATCH(AC$1,'[2]End - Use Prices'!$C$7:$AL$7,0))</f>
        <v>31.25</v>
      </c>
      <c r="AD115" s="41">
        <f>INDEX('[2]End - Use Prices'!$C$6:$AL$89,MATCH($C115,'[2]End - Use Prices'!$A$6:$A$89,0)+MATCH($D115,'[2]End - Use Prices'!$B$9:$B$11,0)-1,MATCH(AD$1,'[2]End - Use Prices'!$C$7:$AL$7,0))</f>
        <v>51.38</v>
      </c>
      <c r="AE115" s="41">
        <f>INDEX('[2]End - Use Prices'!$C$6:$AL$89,MATCH($C115,'[2]End - Use Prices'!$A$6:$A$89,0)+MATCH($D115,'[2]End - Use Prices'!$B$9:$B$11,0)-1,MATCH(AE$1,'[2]End - Use Prices'!$C$7:$AL$7,0))</f>
        <v>40.17</v>
      </c>
      <c r="AF115" s="41">
        <f>INDEX('[2]End - Use Prices'!$C$6:$AL$89,MATCH($C115,'[2]End - Use Prices'!$A$6:$A$89,0)+MATCH($D115,'[2]End - Use Prices'!$B$9:$B$11,0)-1,MATCH(AF$1,'[2]End - Use Prices'!$C$7:$AL$7,0))</f>
        <v>42.35</v>
      </c>
      <c r="AG115" s="41">
        <f>INDEX('[2]End - Use Prices'!$C$6:$AL$89,MATCH($C115,'[2]End - Use Prices'!$A$6:$A$89,0)+MATCH($D115,'[2]End - Use Prices'!$B$9:$B$11,0)-1,MATCH(AG$1,'[2]End - Use Prices'!$C$7:$AL$7,0))</f>
        <v>36.65</v>
      </c>
      <c r="AH115" s="41">
        <f>INDEX('[2]End - Use Prices'!$C$6:$AL$89,MATCH($C115,'[2]End - Use Prices'!$A$6:$A$89,0)+MATCH($D115,'[2]End - Use Prices'!$B$9:$B$11,0)-1,MATCH(AH$1,'[2]End - Use Prices'!$C$7:$AL$7,0))</f>
        <v>33.81</v>
      </c>
      <c r="AI115" s="41">
        <f>INDEX('[2]End - Use Prices'!$C$6:$AL$89,MATCH($C115,'[2]End - Use Prices'!$A$6:$A$89,0)+MATCH($D115,'[2]End - Use Prices'!$B$9:$B$11,0)-1,MATCH(AI$1,'[2]End - Use Prices'!$C$7:$AL$7,0))</f>
        <v>30.08</v>
      </c>
      <c r="AJ115" s="41">
        <f>INDEX('[2]End - Use Prices'!$C$6:$AL$89,MATCH($C115,'[2]End - Use Prices'!$A$6:$A$89,0)+MATCH($D115,'[2]End - Use Prices'!$B$9:$B$11,0)-1,MATCH(AJ$1,'[2]End - Use Prices'!$C$7:$AL$7,0))</f>
        <v>30.5</v>
      </c>
      <c r="AK115" s="41">
        <f>INDEX('[2]End - Use Prices'!$C$6:$AL$89,MATCH($C115,'[2]End - Use Prices'!$A$6:$A$89,0)+MATCH($D115,'[2]End - Use Prices'!$B$9:$B$11,0)-1,MATCH(AK$1,'[2]End - Use Prices'!$C$7:$AL$7,0))</f>
        <v>31.18</v>
      </c>
      <c r="AL115" s="41">
        <f>INDEX('[2]End - Use Prices'!$C$6:$AL$89,MATCH($C115,'[2]End - Use Prices'!$A$6:$A$89,0)+MATCH($D115,'[2]End - Use Prices'!$B$9:$B$11,0)-1,MATCH(AL$1,'[2]End - Use Prices'!$C$7:$AL$7,0))</f>
        <v>31.86</v>
      </c>
      <c r="AM115" s="41">
        <f>INDEX('[2]End - Use Prices'!$C$6:$AL$89,MATCH($C115,'[2]End - Use Prices'!$A$6:$A$89,0)+MATCH($D115,'[2]End - Use Prices'!$B$9:$B$11,0)-1,MATCH(AM$1,'[2]End - Use Prices'!$C$7:$AL$7,0))</f>
        <v>32.520000000000003</v>
      </c>
      <c r="AN115" s="41">
        <f>INDEX('[2]End - Use Prices'!$C$6:$AL$89,MATCH($C115,'[2]End - Use Prices'!$A$6:$A$89,0)+MATCH($D115,'[2]End - Use Prices'!$B$9:$B$11,0)-1,MATCH(AN$1,'[2]End - Use Prices'!$C$7:$AL$7,0))</f>
        <v>33.159999999999997</v>
      </c>
      <c r="AO115" s="41">
        <f>INDEX('[2]End - Use Prices'!$C$6:$AL$89,MATCH($C115,'[2]End - Use Prices'!$A$6:$A$89,0)+MATCH($D115,'[2]End - Use Prices'!$B$9:$B$11,0)-1,MATCH(AO$1,'[2]End - Use Prices'!$C$7:$AL$7,0))</f>
        <v>33.78</v>
      </c>
      <c r="AP115" s="41">
        <f>INDEX('[2]End - Use Prices'!$C$6:$AL$89,MATCH($C115,'[2]End - Use Prices'!$A$6:$A$89,0)+MATCH($D115,'[2]End - Use Prices'!$B$9:$B$11,0)-1,MATCH(AP$1,'[2]End - Use Prices'!$C$7:$AL$7,0))</f>
        <v>34.369999999999997</v>
      </c>
      <c r="AQ115" s="41">
        <f>INDEX('[2]End - Use Prices'!$C$6:$AL$89,MATCH($C115,'[2]End - Use Prices'!$A$6:$A$89,0)+MATCH($D115,'[2]End - Use Prices'!$B$9:$B$11,0)-1,MATCH(AQ$1,'[2]End - Use Prices'!$C$7:$AL$7,0))</f>
        <v>34.94</v>
      </c>
      <c r="AR115" s="41">
        <f>INDEX('[2]End - Use Prices'!$C$6:$AL$89,MATCH($C115,'[2]End - Use Prices'!$A$6:$A$89,0)+MATCH($D115,'[2]End - Use Prices'!$B$9:$B$11,0)-1,MATCH(AR$1,'[2]End - Use Prices'!$C$7:$AL$7,0))</f>
        <v>35.47</v>
      </c>
      <c r="AS115" s="41">
        <f>INDEX('[2]End - Use Prices'!$C$6:$AL$89,MATCH($C115,'[2]End - Use Prices'!$A$6:$A$89,0)+MATCH($D115,'[2]End - Use Prices'!$B$9:$B$11,0)-1,MATCH(AS$1,'[2]End - Use Prices'!$C$7:$AL$7,0))</f>
        <v>35.97</v>
      </c>
      <c r="AT115" s="41">
        <f>INDEX('[2]End - Use Prices'!$C$6:$AL$89,MATCH($C115,'[2]End - Use Prices'!$A$6:$A$89,0)+MATCH($D115,'[2]End - Use Prices'!$B$9:$B$11,0)-1,MATCH(AT$1,'[2]End - Use Prices'!$C$7:$AL$7,0))</f>
        <v>36.44</v>
      </c>
      <c r="AU115" s="41">
        <f>INDEX('[2]End - Use Prices'!$C$6:$AL$89,MATCH($C115,'[2]End - Use Prices'!$A$6:$A$89,0)+MATCH($D115,'[2]End - Use Prices'!$B$9:$B$11,0)-1,MATCH(AU$1,'[2]End - Use Prices'!$C$7:$AL$7,0))</f>
        <v>36.86</v>
      </c>
      <c r="AV115" s="41">
        <f>INDEX('[2]End - Use Prices'!$C$6:$AL$89,MATCH($C115,'[2]End - Use Prices'!$A$6:$A$89,0)+MATCH($D115,'[2]End - Use Prices'!$B$9:$B$11,0)-1,MATCH(AV$1,'[2]End - Use Prices'!$C$7:$AL$7,0))</f>
        <v>37.24</v>
      </c>
      <c r="AW115" s="41">
        <f>INDEX('[2]End - Use Prices'!$C$6:$AL$89,MATCH($C115,'[2]End - Use Prices'!$A$6:$A$89,0)+MATCH($D115,'[2]End - Use Prices'!$B$9:$B$11,0)-1,MATCH(AW$1,'[2]End - Use Prices'!$C$7:$AL$7,0))</f>
        <v>37.57</v>
      </c>
      <c r="AX115" s="41">
        <f>INDEX('[2]End - Use Prices'!$C$6:$AL$89,MATCH($C115,'[2]End - Use Prices'!$A$6:$A$89,0)+MATCH($D115,'[2]End - Use Prices'!$B$9:$B$11,0)-1,MATCH(AX$1,'[2]End - Use Prices'!$C$7:$AL$7,0))</f>
        <v>37.85</v>
      </c>
      <c r="AY115" s="41">
        <f>INDEX('[2]End - Use Prices'!$C$6:$AL$89,MATCH($C115,'[2]End - Use Prices'!$A$6:$A$89,0)+MATCH($D115,'[2]End - Use Prices'!$B$9:$B$11,0)-1,MATCH(AY$1,'[2]End - Use Prices'!$C$7:$AL$7,0))</f>
        <v>38.07</v>
      </c>
      <c r="AZ115" s="41">
        <f>INDEX('[2]End - Use Prices'!$C$6:$AL$89,MATCH($C115,'[2]End - Use Prices'!$A$6:$A$89,0)+MATCH($D115,'[2]End - Use Prices'!$B$9:$B$11,0)-1,MATCH(AZ$1,'[2]End - Use Prices'!$C$7:$AL$7,0))</f>
        <v>38.24</v>
      </c>
      <c r="BA115" s="41">
        <f>INDEX('[2]End - Use Prices'!$C$6:$AL$89,MATCH($C115,'[2]End - Use Prices'!$A$6:$A$89,0)+MATCH($D115,'[2]End - Use Prices'!$B$9:$B$11,0)-1,MATCH(BA$1,'[2]End - Use Prices'!$C$7:$AL$7,0))</f>
        <v>38.35</v>
      </c>
      <c r="BB115" s="41">
        <f>INDEX('[2]End - Use Prices'!$C$6:$AL$89,MATCH($C115,'[2]End - Use Prices'!$A$6:$A$89,0)+MATCH($D115,'[2]End - Use Prices'!$B$9:$B$11,0)-1,MATCH(BB$1,'[2]End - Use Prices'!$C$7:$AL$7,0))</f>
        <v>38.39</v>
      </c>
      <c r="BC115" s="41">
        <f>INDEX('[2]End - Use Prices'!$C$6:$AL$89,MATCH($C115,'[2]End - Use Prices'!$A$6:$A$89,0)+MATCH($D115,'[2]End - Use Prices'!$B$9:$B$11,0)-1,MATCH(BC$1,'[2]End - Use Prices'!$C$7:$AL$7,0))</f>
        <v>38.369999999999997</v>
      </c>
      <c r="BD115" s="41">
        <f>INDEX('[2]End - Use Prices'!$C$6:$AL$89,MATCH($C115,'[2]End - Use Prices'!$A$6:$A$89,0)+MATCH($D115,'[2]End - Use Prices'!$B$9:$B$11,0)-1,MATCH(BD$1,'[2]End - Use Prices'!$C$7:$AL$7,0))</f>
        <v>38.270000000000003</v>
      </c>
      <c r="BE115" s="41">
        <f>INDEX('[2]End - Use Prices'!$C$6:$AL$89,MATCH($C115,'[2]End - Use Prices'!$A$6:$A$89,0)+MATCH($D115,'[2]End - Use Prices'!$B$9:$B$11,0)-1,MATCH(BE$1,'[2]End - Use Prices'!$C$7:$AL$7,0))</f>
        <v>38.11</v>
      </c>
      <c r="BF115" s="41">
        <f>INDEX('[2]End - Use Prices'!$C$6:$AL$89,MATCH($C115,'[2]End - Use Prices'!$A$6:$A$89,0)+MATCH($D115,'[2]End - Use Prices'!$B$9:$B$11,0)-1,MATCH(BF$1,'[2]End - Use Prices'!$C$7:$AL$7,0))</f>
        <v>37.86</v>
      </c>
      <c r="BG115" s="41">
        <f>INDEX('[2]End - Use Prices'!$C$6:$AL$89,MATCH($C115,'[2]End - Use Prices'!$A$6:$A$89,0)+MATCH($D115,'[2]End - Use Prices'!$B$9:$B$11,0)-1,MATCH(BG$1,'[2]End - Use Prices'!$C$7:$AL$7,0))</f>
        <v>37.54</v>
      </c>
      <c r="BR115" s="39"/>
      <c r="BS115" s="39"/>
      <c r="BT115" s="39"/>
      <c r="BU115" s="39"/>
      <c r="BV115" s="39"/>
      <c r="BW115" s="39"/>
      <c r="BX115" s="39"/>
      <c r="BY115" s="39"/>
      <c r="BZ115" s="39"/>
      <c r="CA115" s="39"/>
    </row>
    <row r="116" spans="1:79">
      <c r="A116" s="5"/>
      <c r="B116" s="3"/>
      <c r="C116" s="25" t="s">
        <v>60</v>
      </c>
      <c r="D116" s="25" t="s">
        <v>2</v>
      </c>
      <c r="E116" s="25" t="s">
        <v>277</v>
      </c>
      <c r="F116" s="67" t="s">
        <v>275</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INDEX('[2]End - Use Prices'!$C$6:$AL$89,MATCH($C116,'[2]End - Use Prices'!$A$6:$A$89,0)+MATCH($D116,'[2]End - Use Prices'!$B$9:$B$11,0)-1,MATCH(X$1,'[2]End - Use Prices'!$C$7:$AL$7,0))</f>
        <v>22.24</v>
      </c>
      <c r="Y116" s="41">
        <f>INDEX('[2]End - Use Prices'!$C$6:$AL$89,MATCH($C116,'[2]End - Use Prices'!$A$6:$A$89,0)+MATCH($D116,'[2]End - Use Prices'!$B$9:$B$11,0)-1,MATCH(Y$1,'[2]End - Use Prices'!$C$7:$AL$7,0))</f>
        <v>23.07</v>
      </c>
      <c r="Z116" s="41">
        <f>INDEX('[2]End - Use Prices'!$C$6:$AL$89,MATCH($C116,'[2]End - Use Prices'!$A$6:$A$89,0)+MATCH($D116,'[2]End - Use Prices'!$B$9:$B$11,0)-1,MATCH(Z$1,'[2]End - Use Prices'!$C$7:$AL$7,0))</f>
        <v>22.79</v>
      </c>
      <c r="AA116" s="41">
        <f>INDEX('[2]End - Use Prices'!$C$6:$AL$89,MATCH($C116,'[2]End - Use Prices'!$A$6:$A$89,0)+MATCH($D116,'[2]End - Use Prices'!$B$9:$B$11,0)-1,MATCH(AA$1,'[2]End - Use Prices'!$C$7:$AL$7,0))</f>
        <v>22.61</v>
      </c>
      <c r="AB116" s="41">
        <f>INDEX('[2]End - Use Prices'!$C$6:$AL$89,MATCH($C116,'[2]End - Use Prices'!$A$6:$A$89,0)+MATCH($D116,'[2]End - Use Prices'!$B$9:$B$11,0)-1,MATCH(AB$1,'[2]End - Use Prices'!$C$7:$AL$7,0))</f>
        <v>23.66</v>
      </c>
      <c r="AC116" s="41">
        <f>INDEX('[2]End - Use Prices'!$C$6:$AL$89,MATCH($C116,'[2]End - Use Prices'!$A$6:$A$89,0)+MATCH($D116,'[2]End - Use Prices'!$B$9:$B$11,0)-1,MATCH(AC$1,'[2]End - Use Prices'!$C$7:$AL$7,0))</f>
        <v>25.9</v>
      </c>
      <c r="AD116" s="41">
        <f>INDEX('[2]End - Use Prices'!$C$6:$AL$89,MATCH($C116,'[2]End - Use Prices'!$A$6:$A$89,0)+MATCH($D116,'[2]End - Use Prices'!$B$9:$B$11,0)-1,MATCH(AD$1,'[2]End - Use Prices'!$C$7:$AL$7,0))</f>
        <v>25.46</v>
      </c>
      <c r="AE116" s="41">
        <f>INDEX('[2]End - Use Prices'!$C$6:$AL$89,MATCH($C116,'[2]End - Use Prices'!$A$6:$A$89,0)+MATCH($D116,'[2]End - Use Prices'!$B$9:$B$11,0)-1,MATCH(AE$1,'[2]End - Use Prices'!$C$7:$AL$7,0))</f>
        <v>28.65</v>
      </c>
      <c r="AF116" s="41">
        <f>INDEX('[2]End - Use Prices'!$C$6:$AL$89,MATCH($C116,'[2]End - Use Prices'!$A$6:$A$89,0)+MATCH($D116,'[2]End - Use Prices'!$B$9:$B$11,0)-1,MATCH(AF$1,'[2]End - Use Prices'!$C$7:$AL$7,0))</f>
        <v>27.24</v>
      </c>
      <c r="AG116" s="41">
        <f>INDEX('[2]End - Use Prices'!$C$6:$AL$89,MATCH($C116,'[2]End - Use Prices'!$A$6:$A$89,0)+MATCH($D116,'[2]End - Use Prices'!$B$9:$B$11,0)-1,MATCH(AG$1,'[2]End - Use Prices'!$C$7:$AL$7,0))</f>
        <v>28.61</v>
      </c>
      <c r="AH116" s="41">
        <f>INDEX('[2]End - Use Prices'!$C$6:$AL$89,MATCH($C116,'[2]End - Use Prices'!$A$6:$A$89,0)+MATCH($D116,'[2]End - Use Prices'!$B$9:$B$11,0)-1,MATCH(AH$1,'[2]End - Use Prices'!$C$7:$AL$7,0))</f>
        <v>30.53</v>
      </c>
      <c r="AI116" s="41">
        <f>INDEX('[2]End - Use Prices'!$C$6:$AL$89,MATCH($C116,'[2]End - Use Prices'!$A$6:$A$89,0)+MATCH($D116,'[2]End - Use Prices'!$B$9:$B$11,0)-1,MATCH(AI$1,'[2]End - Use Prices'!$C$7:$AL$7,0))</f>
        <v>31.55</v>
      </c>
      <c r="AJ116" s="41">
        <f>INDEX('[2]End - Use Prices'!$C$6:$AL$89,MATCH($C116,'[2]End - Use Prices'!$A$6:$A$89,0)+MATCH($D116,'[2]End - Use Prices'!$B$9:$B$11,0)-1,MATCH(AJ$1,'[2]End - Use Prices'!$C$7:$AL$7,0))</f>
        <v>31.68</v>
      </c>
      <c r="AK116" s="41">
        <f>INDEX('[2]End - Use Prices'!$C$6:$AL$89,MATCH($C116,'[2]End - Use Prices'!$A$6:$A$89,0)+MATCH($D116,'[2]End - Use Prices'!$B$9:$B$11,0)-1,MATCH(AK$1,'[2]End - Use Prices'!$C$7:$AL$7,0))</f>
        <v>31.78</v>
      </c>
      <c r="AL116" s="41">
        <f>INDEX('[2]End - Use Prices'!$C$6:$AL$89,MATCH($C116,'[2]End - Use Prices'!$A$6:$A$89,0)+MATCH($D116,'[2]End - Use Prices'!$B$9:$B$11,0)-1,MATCH(AL$1,'[2]End - Use Prices'!$C$7:$AL$7,0))</f>
        <v>31.88</v>
      </c>
      <c r="AM116" s="41">
        <f>INDEX('[2]End - Use Prices'!$C$6:$AL$89,MATCH($C116,'[2]End - Use Prices'!$A$6:$A$89,0)+MATCH($D116,'[2]End - Use Prices'!$B$9:$B$11,0)-1,MATCH(AM$1,'[2]End - Use Prices'!$C$7:$AL$7,0))</f>
        <v>31.99</v>
      </c>
      <c r="AN116" s="41">
        <f>INDEX('[2]End - Use Prices'!$C$6:$AL$89,MATCH($C116,'[2]End - Use Prices'!$A$6:$A$89,0)+MATCH($D116,'[2]End - Use Prices'!$B$9:$B$11,0)-1,MATCH(AN$1,'[2]End - Use Prices'!$C$7:$AL$7,0))</f>
        <v>32.1</v>
      </c>
      <c r="AO116" s="41">
        <f>INDEX('[2]End - Use Prices'!$C$6:$AL$89,MATCH($C116,'[2]End - Use Prices'!$A$6:$A$89,0)+MATCH($D116,'[2]End - Use Prices'!$B$9:$B$11,0)-1,MATCH(AO$1,'[2]End - Use Prices'!$C$7:$AL$7,0))</f>
        <v>32.229999999999997</v>
      </c>
      <c r="AP116" s="41">
        <f>INDEX('[2]End - Use Prices'!$C$6:$AL$89,MATCH($C116,'[2]End - Use Prices'!$A$6:$A$89,0)+MATCH($D116,'[2]End - Use Prices'!$B$9:$B$11,0)-1,MATCH(AP$1,'[2]End - Use Prices'!$C$7:$AL$7,0))</f>
        <v>32.35</v>
      </c>
      <c r="AQ116" s="41">
        <f>INDEX('[2]End - Use Prices'!$C$6:$AL$89,MATCH($C116,'[2]End - Use Prices'!$A$6:$A$89,0)+MATCH($D116,'[2]End - Use Prices'!$B$9:$B$11,0)-1,MATCH(AQ$1,'[2]End - Use Prices'!$C$7:$AL$7,0))</f>
        <v>32.479999999999997</v>
      </c>
      <c r="AR116" s="41">
        <f>INDEX('[2]End - Use Prices'!$C$6:$AL$89,MATCH($C116,'[2]End - Use Prices'!$A$6:$A$89,0)+MATCH($D116,'[2]End - Use Prices'!$B$9:$B$11,0)-1,MATCH(AR$1,'[2]End - Use Prices'!$C$7:$AL$7,0))</f>
        <v>32.61</v>
      </c>
      <c r="AS116" s="41">
        <f>INDEX('[2]End - Use Prices'!$C$6:$AL$89,MATCH($C116,'[2]End - Use Prices'!$A$6:$A$89,0)+MATCH($D116,'[2]End - Use Prices'!$B$9:$B$11,0)-1,MATCH(AS$1,'[2]End - Use Prices'!$C$7:$AL$7,0))</f>
        <v>32.74</v>
      </c>
      <c r="AT116" s="41">
        <f>INDEX('[2]End - Use Prices'!$C$6:$AL$89,MATCH($C116,'[2]End - Use Prices'!$A$6:$A$89,0)+MATCH($D116,'[2]End - Use Prices'!$B$9:$B$11,0)-1,MATCH(AT$1,'[2]End - Use Prices'!$C$7:$AL$7,0))</f>
        <v>32.869999999999997</v>
      </c>
      <c r="AU116" s="41">
        <f>INDEX('[2]End - Use Prices'!$C$6:$AL$89,MATCH($C116,'[2]End - Use Prices'!$A$6:$A$89,0)+MATCH($D116,'[2]End - Use Prices'!$B$9:$B$11,0)-1,MATCH(AU$1,'[2]End - Use Prices'!$C$7:$AL$7,0))</f>
        <v>33</v>
      </c>
      <c r="AV116" s="41">
        <f>INDEX('[2]End - Use Prices'!$C$6:$AL$89,MATCH($C116,'[2]End - Use Prices'!$A$6:$A$89,0)+MATCH($D116,'[2]End - Use Prices'!$B$9:$B$11,0)-1,MATCH(AV$1,'[2]End - Use Prices'!$C$7:$AL$7,0))</f>
        <v>33.130000000000003</v>
      </c>
      <c r="AW116" s="41">
        <f>INDEX('[2]End - Use Prices'!$C$6:$AL$89,MATCH($C116,'[2]End - Use Prices'!$A$6:$A$89,0)+MATCH($D116,'[2]End - Use Prices'!$B$9:$B$11,0)-1,MATCH(AW$1,'[2]End - Use Prices'!$C$7:$AL$7,0))</f>
        <v>33.25</v>
      </c>
      <c r="AX116" s="41">
        <f>INDEX('[2]End - Use Prices'!$C$6:$AL$89,MATCH($C116,'[2]End - Use Prices'!$A$6:$A$89,0)+MATCH($D116,'[2]End - Use Prices'!$B$9:$B$11,0)-1,MATCH(AX$1,'[2]End - Use Prices'!$C$7:$AL$7,0))</f>
        <v>33.369999999999997</v>
      </c>
      <c r="AY116" s="41">
        <f>INDEX('[2]End - Use Prices'!$C$6:$AL$89,MATCH($C116,'[2]End - Use Prices'!$A$6:$A$89,0)+MATCH($D116,'[2]End - Use Prices'!$B$9:$B$11,0)-1,MATCH(AY$1,'[2]End - Use Prices'!$C$7:$AL$7,0))</f>
        <v>33.479999999999997</v>
      </c>
      <c r="AZ116" s="41">
        <f>INDEX('[2]End - Use Prices'!$C$6:$AL$89,MATCH($C116,'[2]End - Use Prices'!$A$6:$A$89,0)+MATCH($D116,'[2]End - Use Prices'!$B$9:$B$11,0)-1,MATCH(AZ$1,'[2]End - Use Prices'!$C$7:$AL$7,0))</f>
        <v>33.58</v>
      </c>
      <c r="BA116" s="41">
        <f>INDEX('[2]End - Use Prices'!$C$6:$AL$89,MATCH($C116,'[2]End - Use Prices'!$A$6:$A$89,0)+MATCH($D116,'[2]End - Use Prices'!$B$9:$B$11,0)-1,MATCH(BA$1,'[2]End - Use Prices'!$C$7:$AL$7,0))</f>
        <v>33.68</v>
      </c>
      <c r="BB116" s="41">
        <f>INDEX('[2]End - Use Prices'!$C$6:$AL$89,MATCH($C116,'[2]End - Use Prices'!$A$6:$A$89,0)+MATCH($D116,'[2]End - Use Prices'!$B$9:$B$11,0)-1,MATCH(BB$1,'[2]End - Use Prices'!$C$7:$AL$7,0))</f>
        <v>33.76</v>
      </c>
      <c r="BC116" s="41">
        <f>INDEX('[2]End - Use Prices'!$C$6:$AL$89,MATCH($C116,'[2]End - Use Prices'!$A$6:$A$89,0)+MATCH($D116,'[2]End - Use Prices'!$B$9:$B$11,0)-1,MATCH(BC$1,'[2]End - Use Prices'!$C$7:$AL$7,0))</f>
        <v>33.840000000000003</v>
      </c>
      <c r="BD116" s="41">
        <f>INDEX('[2]End - Use Prices'!$C$6:$AL$89,MATCH($C116,'[2]End - Use Prices'!$A$6:$A$89,0)+MATCH($D116,'[2]End - Use Prices'!$B$9:$B$11,0)-1,MATCH(BD$1,'[2]End - Use Prices'!$C$7:$AL$7,0))</f>
        <v>33.9</v>
      </c>
      <c r="BE116" s="41">
        <f>INDEX('[2]End - Use Prices'!$C$6:$AL$89,MATCH($C116,'[2]End - Use Prices'!$A$6:$A$89,0)+MATCH($D116,'[2]End - Use Prices'!$B$9:$B$11,0)-1,MATCH(BE$1,'[2]End - Use Prices'!$C$7:$AL$7,0))</f>
        <v>33.950000000000003</v>
      </c>
      <c r="BF116" s="41">
        <f>INDEX('[2]End - Use Prices'!$C$6:$AL$89,MATCH($C116,'[2]End - Use Prices'!$A$6:$A$89,0)+MATCH($D116,'[2]End - Use Prices'!$B$9:$B$11,0)-1,MATCH(BF$1,'[2]End - Use Prices'!$C$7:$AL$7,0))</f>
        <v>33.979999999999997</v>
      </c>
      <c r="BG116" s="41">
        <f>INDEX('[2]End - Use Prices'!$C$6:$AL$89,MATCH($C116,'[2]End - Use Prices'!$A$6:$A$89,0)+MATCH($D116,'[2]End - Use Prices'!$B$9:$B$11,0)-1,MATCH(BG$1,'[2]End - Use Prices'!$C$7:$AL$7,0))</f>
        <v>34</v>
      </c>
      <c r="BR116" s="39"/>
      <c r="BS116" s="39"/>
      <c r="BT116" s="39"/>
      <c r="BU116" s="39"/>
      <c r="BV116" s="39"/>
      <c r="BW116" s="39"/>
      <c r="BX116" s="39"/>
      <c r="BY116" s="39"/>
      <c r="BZ116" s="39"/>
      <c r="CA116" s="39"/>
    </row>
    <row r="117" spans="1:79">
      <c r="A117" s="5"/>
      <c r="B117" s="3"/>
      <c r="C117" s="25" t="s">
        <v>92</v>
      </c>
      <c r="D117" s="25" t="s">
        <v>2</v>
      </c>
      <c r="E117" s="25" t="s">
        <v>277</v>
      </c>
      <c r="F117" s="67" t="s">
        <v>275</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INDEX('[2]End - Use Prices'!$C$6:$AL$89,MATCH($C117,'[2]End - Use Prices'!$A$6:$A$89,0)+MATCH($D117,'[2]End - Use Prices'!$B$9:$B$11,0)-1,MATCH(X$1,'[2]End - Use Prices'!$C$7:$AL$7,0))</f>
        <v>33.479999999999997</v>
      </c>
      <c r="Y117" s="41">
        <f>INDEX('[2]End - Use Prices'!$C$6:$AL$89,MATCH($C117,'[2]End - Use Prices'!$A$6:$A$89,0)+MATCH($D117,'[2]End - Use Prices'!$B$9:$B$11,0)-1,MATCH(Y$1,'[2]End - Use Prices'!$C$7:$AL$7,0))</f>
        <v>34.72</v>
      </c>
      <c r="Z117" s="41">
        <f>INDEX('[2]End - Use Prices'!$C$6:$AL$89,MATCH($C117,'[2]End - Use Prices'!$A$6:$A$89,0)+MATCH($D117,'[2]End - Use Prices'!$B$9:$B$11,0)-1,MATCH(Z$1,'[2]End - Use Prices'!$C$7:$AL$7,0))</f>
        <v>34.299999999999997</v>
      </c>
      <c r="AA117" s="41">
        <f>INDEX('[2]End - Use Prices'!$C$6:$AL$89,MATCH($C117,'[2]End - Use Prices'!$A$6:$A$89,0)+MATCH($D117,'[2]End - Use Prices'!$B$9:$B$11,0)-1,MATCH(AA$1,'[2]End - Use Prices'!$C$7:$AL$7,0))</f>
        <v>34</v>
      </c>
      <c r="AB117" s="41">
        <f>INDEX('[2]End - Use Prices'!$C$6:$AL$89,MATCH($C117,'[2]End - Use Prices'!$A$6:$A$89,0)+MATCH($D117,'[2]End - Use Prices'!$B$9:$B$11,0)-1,MATCH(AB$1,'[2]End - Use Prices'!$C$7:$AL$7,0))</f>
        <v>35.590000000000003</v>
      </c>
      <c r="AC117" s="41">
        <f>INDEX('[2]End - Use Prices'!$C$6:$AL$89,MATCH($C117,'[2]End - Use Prices'!$A$6:$A$89,0)+MATCH($D117,'[2]End - Use Prices'!$B$9:$B$11,0)-1,MATCH(AC$1,'[2]End - Use Prices'!$C$7:$AL$7,0))</f>
        <v>37.69</v>
      </c>
      <c r="AD117" s="41">
        <f>INDEX('[2]End - Use Prices'!$C$6:$AL$89,MATCH($C117,'[2]End - Use Prices'!$A$6:$A$89,0)+MATCH($D117,'[2]End - Use Prices'!$B$9:$B$11,0)-1,MATCH(AD$1,'[2]End - Use Prices'!$C$7:$AL$7,0))</f>
        <v>35.89</v>
      </c>
      <c r="AE117" s="41">
        <f>INDEX('[2]End - Use Prices'!$C$6:$AL$89,MATCH($C117,'[2]End - Use Prices'!$A$6:$A$89,0)+MATCH($D117,'[2]End - Use Prices'!$B$9:$B$11,0)-1,MATCH(AE$1,'[2]End - Use Prices'!$C$7:$AL$7,0))</f>
        <v>40.39</v>
      </c>
      <c r="AF117" s="41">
        <f>INDEX('[2]End - Use Prices'!$C$6:$AL$89,MATCH($C117,'[2]End - Use Prices'!$A$6:$A$89,0)+MATCH($D117,'[2]End - Use Prices'!$B$9:$B$11,0)-1,MATCH(AF$1,'[2]End - Use Prices'!$C$7:$AL$7,0))</f>
        <v>40.28</v>
      </c>
      <c r="AG117" s="41">
        <f>INDEX('[2]End - Use Prices'!$C$6:$AL$89,MATCH($C117,'[2]End - Use Prices'!$A$6:$A$89,0)+MATCH($D117,'[2]End - Use Prices'!$B$9:$B$11,0)-1,MATCH(AG$1,'[2]End - Use Prices'!$C$7:$AL$7,0))</f>
        <v>47.35</v>
      </c>
      <c r="AH117" s="41">
        <f>INDEX('[2]End - Use Prices'!$C$6:$AL$89,MATCH($C117,'[2]End - Use Prices'!$A$6:$A$89,0)+MATCH($D117,'[2]End - Use Prices'!$B$9:$B$11,0)-1,MATCH(AH$1,'[2]End - Use Prices'!$C$7:$AL$7,0))</f>
        <v>47.73</v>
      </c>
      <c r="AI117" s="41">
        <f>INDEX('[2]End - Use Prices'!$C$6:$AL$89,MATCH($C117,'[2]End - Use Prices'!$A$6:$A$89,0)+MATCH($D117,'[2]End - Use Prices'!$B$9:$B$11,0)-1,MATCH(AI$1,'[2]End - Use Prices'!$C$7:$AL$7,0))</f>
        <v>47.43</v>
      </c>
      <c r="AJ117" s="41">
        <f>INDEX('[2]End - Use Prices'!$C$6:$AL$89,MATCH($C117,'[2]End - Use Prices'!$A$6:$A$89,0)+MATCH($D117,'[2]End - Use Prices'!$B$9:$B$11,0)-1,MATCH(AJ$1,'[2]End - Use Prices'!$C$7:$AL$7,0))</f>
        <v>47.71</v>
      </c>
      <c r="AK117" s="41">
        <f>INDEX('[2]End - Use Prices'!$C$6:$AL$89,MATCH($C117,'[2]End - Use Prices'!$A$6:$A$89,0)+MATCH($D117,'[2]End - Use Prices'!$B$9:$B$11,0)-1,MATCH(AK$1,'[2]End - Use Prices'!$C$7:$AL$7,0))</f>
        <v>47.86</v>
      </c>
      <c r="AL117" s="41">
        <f>INDEX('[2]End - Use Prices'!$C$6:$AL$89,MATCH($C117,'[2]End - Use Prices'!$A$6:$A$89,0)+MATCH($D117,'[2]End - Use Prices'!$B$9:$B$11,0)-1,MATCH(AL$1,'[2]End - Use Prices'!$C$7:$AL$7,0))</f>
        <v>48.02</v>
      </c>
      <c r="AM117" s="41">
        <f>INDEX('[2]End - Use Prices'!$C$6:$AL$89,MATCH($C117,'[2]End - Use Prices'!$A$6:$A$89,0)+MATCH($D117,'[2]End - Use Prices'!$B$9:$B$11,0)-1,MATCH(AM$1,'[2]End - Use Prices'!$C$7:$AL$7,0))</f>
        <v>48.18</v>
      </c>
      <c r="AN117" s="41">
        <f>INDEX('[2]End - Use Prices'!$C$6:$AL$89,MATCH($C117,'[2]End - Use Prices'!$A$6:$A$89,0)+MATCH($D117,'[2]End - Use Prices'!$B$9:$B$11,0)-1,MATCH(AN$1,'[2]End - Use Prices'!$C$7:$AL$7,0))</f>
        <v>48.35</v>
      </c>
      <c r="AO117" s="41">
        <f>INDEX('[2]End - Use Prices'!$C$6:$AL$89,MATCH($C117,'[2]End - Use Prices'!$A$6:$A$89,0)+MATCH($D117,'[2]End - Use Prices'!$B$9:$B$11,0)-1,MATCH(AO$1,'[2]End - Use Prices'!$C$7:$AL$7,0))</f>
        <v>48.52</v>
      </c>
      <c r="AP117" s="41">
        <f>INDEX('[2]End - Use Prices'!$C$6:$AL$89,MATCH($C117,'[2]End - Use Prices'!$A$6:$A$89,0)+MATCH($D117,'[2]End - Use Prices'!$B$9:$B$11,0)-1,MATCH(AP$1,'[2]End - Use Prices'!$C$7:$AL$7,0))</f>
        <v>48.69</v>
      </c>
      <c r="AQ117" s="41">
        <f>INDEX('[2]End - Use Prices'!$C$6:$AL$89,MATCH($C117,'[2]End - Use Prices'!$A$6:$A$89,0)+MATCH($D117,'[2]End - Use Prices'!$B$9:$B$11,0)-1,MATCH(AQ$1,'[2]End - Use Prices'!$C$7:$AL$7,0))</f>
        <v>48.86</v>
      </c>
      <c r="AR117" s="41">
        <f>INDEX('[2]End - Use Prices'!$C$6:$AL$89,MATCH($C117,'[2]End - Use Prices'!$A$6:$A$89,0)+MATCH($D117,'[2]End - Use Prices'!$B$9:$B$11,0)-1,MATCH(AR$1,'[2]End - Use Prices'!$C$7:$AL$7,0))</f>
        <v>49.04</v>
      </c>
      <c r="AS117" s="41">
        <f>INDEX('[2]End - Use Prices'!$C$6:$AL$89,MATCH($C117,'[2]End - Use Prices'!$A$6:$A$89,0)+MATCH($D117,'[2]End - Use Prices'!$B$9:$B$11,0)-1,MATCH(AS$1,'[2]End - Use Prices'!$C$7:$AL$7,0))</f>
        <v>49.22</v>
      </c>
      <c r="AT117" s="41">
        <f>INDEX('[2]End - Use Prices'!$C$6:$AL$89,MATCH($C117,'[2]End - Use Prices'!$A$6:$A$89,0)+MATCH($D117,'[2]End - Use Prices'!$B$9:$B$11,0)-1,MATCH(AT$1,'[2]End - Use Prices'!$C$7:$AL$7,0))</f>
        <v>49.41</v>
      </c>
      <c r="AU117" s="41">
        <f>INDEX('[2]End - Use Prices'!$C$6:$AL$89,MATCH($C117,'[2]End - Use Prices'!$A$6:$A$89,0)+MATCH($D117,'[2]End - Use Prices'!$B$9:$B$11,0)-1,MATCH(AU$1,'[2]End - Use Prices'!$C$7:$AL$7,0))</f>
        <v>49.59</v>
      </c>
      <c r="AV117" s="41">
        <f>INDEX('[2]End - Use Prices'!$C$6:$AL$89,MATCH($C117,'[2]End - Use Prices'!$A$6:$A$89,0)+MATCH($D117,'[2]End - Use Prices'!$B$9:$B$11,0)-1,MATCH(AV$1,'[2]End - Use Prices'!$C$7:$AL$7,0))</f>
        <v>49.78</v>
      </c>
      <c r="AW117" s="41">
        <f>INDEX('[2]End - Use Prices'!$C$6:$AL$89,MATCH($C117,'[2]End - Use Prices'!$A$6:$A$89,0)+MATCH($D117,'[2]End - Use Prices'!$B$9:$B$11,0)-1,MATCH(AW$1,'[2]End - Use Prices'!$C$7:$AL$7,0))</f>
        <v>49.97</v>
      </c>
      <c r="AX117" s="41">
        <f>INDEX('[2]End - Use Prices'!$C$6:$AL$89,MATCH($C117,'[2]End - Use Prices'!$A$6:$A$89,0)+MATCH($D117,'[2]End - Use Prices'!$B$9:$B$11,0)-1,MATCH(AX$1,'[2]End - Use Prices'!$C$7:$AL$7,0))</f>
        <v>50.16</v>
      </c>
      <c r="AY117" s="41">
        <f>INDEX('[2]End - Use Prices'!$C$6:$AL$89,MATCH($C117,'[2]End - Use Prices'!$A$6:$A$89,0)+MATCH($D117,'[2]End - Use Prices'!$B$9:$B$11,0)-1,MATCH(AY$1,'[2]End - Use Prices'!$C$7:$AL$7,0))</f>
        <v>50.35</v>
      </c>
      <c r="AZ117" s="41">
        <f>INDEX('[2]End - Use Prices'!$C$6:$AL$89,MATCH($C117,'[2]End - Use Prices'!$A$6:$A$89,0)+MATCH($D117,'[2]End - Use Prices'!$B$9:$B$11,0)-1,MATCH(AZ$1,'[2]End - Use Prices'!$C$7:$AL$7,0))</f>
        <v>50.54</v>
      </c>
      <c r="BA117" s="41">
        <f>INDEX('[2]End - Use Prices'!$C$6:$AL$89,MATCH($C117,'[2]End - Use Prices'!$A$6:$A$89,0)+MATCH($D117,'[2]End - Use Prices'!$B$9:$B$11,0)-1,MATCH(BA$1,'[2]End - Use Prices'!$C$7:$AL$7,0))</f>
        <v>50.73</v>
      </c>
      <c r="BB117" s="41">
        <f>INDEX('[2]End - Use Prices'!$C$6:$AL$89,MATCH($C117,'[2]End - Use Prices'!$A$6:$A$89,0)+MATCH($D117,'[2]End - Use Prices'!$B$9:$B$11,0)-1,MATCH(BB$1,'[2]End - Use Prices'!$C$7:$AL$7,0))</f>
        <v>50.92</v>
      </c>
      <c r="BC117" s="41">
        <f>INDEX('[2]End - Use Prices'!$C$6:$AL$89,MATCH($C117,'[2]End - Use Prices'!$A$6:$A$89,0)+MATCH($D117,'[2]End - Use Prices'!$B$9:$B$11,0)-1,MATCH(BC$1,'[2]End - Use Prices'!$C$7:$AL$7,0))</f>
        <v>51.11</v>
      </c>
      <c r="BD117" s="41">
        <f>INDEX('[2]End - Use Prices'!$C$6:$AL$89,MATCH($C117,'[2]End - Use Prices'!$A$6:$A$89,0)+MATCH($D117,'[2]End - Use Prices'!$B$9:$B$11,0)-1,MATCH(BD$1,'[2]End - Use Prices'!$C$7:$AL$7,0))</f>
        <v>51.3</v>
      </c>
      <c r="BE117" s="41">
        <f>INDEX('[2]End - Use Prices'!$C$6:$AL$89,MATCH($C117,'[2]End - Use Prices'!$A$6:$A$89,0)+MATCH($D117,'[2]End - Use Prices'!$B$9:$B$11,0)-1,MATCH(BE$1,'[2]End - Use Prices'!$C$7:$AL$7,0))</f>
        <v>51.48</v>
      </c>
      <c r="BF117" s="41">
        <f>INDEX('[2]End - Use Prices'!$C$6:$AL$89,MATCH($C117,'[2]End - Use Prices'!$A$6:$A$89,0)+MATCH($D117,'[2]End - Use Prices'!$B$9:$B$11,0)-1,MATCH(BF$1,'[2]End - Use Prices'!$C$7:$AL$7,0))</f>
        <v>51.67</v>
      </c>
      <c r="BG117" s="41">
        <f>INDEX('[2]End - Use Prices'!$C$6:$AL$89,MATCH($C117,'[2]End - Use Prices'!$A$6:$A$89,0)+MATCH($D117,'[2]End - Use Prices'!$B$9:$B$11,0)-1,MATCH(BG$1,'[2]End - Use Prices'!$C$7:$AL$7,0))</f>
        <v>51.85</v>
      </c>
      <c r="BR117" s="39"/>
      <c r="BS117" s="39"/>
      <c r="BT117" s="39"/>
      <c r="BU117" s="39"/>
      <c r="BV117" s="39"/>
      <c r="BW117" s="39"/>
      <c r="BX117" s="39"/>
      <c r="BY117" s="39"/>
      <c r="BZ117" s="39"/>
      <c r="CA117" s="39"/>
    </row>
    <row r="118" spans="1:79">
      <c r="A118" s="5"/>
      <c r="B118" s="3"/>
      <c r="C118" s="25" t="s">
        <v>94</v>
      </c>
      <c r="D118" s="25" t="s">
        <v>2</v>
      </c>
      <c r="E118" s="25" t="s">
        <v>277</v>
      </c>
      <c r="F118" s="67" t="s">
        <v>275</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INDEX('[2]End - Use Prices'!$C$6:$AL$89,MATCH($C118,'[2]End - Use Prices'!$A$6:$A$89,0)+MATCH($D118,'[2]End - Use Prices'!$B$9:$B$11,0)-1,MATCH(X$1,'[2]End - Use Prices'!$C$7:$AL$7,0))</f>
        <v>80.930000000000007</v>
      </c>
      <c r="Y118" s="41">
        <f>INDEX('[2]End - Use Prices'!$C$6:$AL$89,MATCH($C118,'[2]End - Use Prices'!$A$6:$A$89,0)+MATCH($D118,'[2]End - Use Prices'!$B$9:$B$11,0)-1,MATCH(Y$1,'[2]End - Use Prices'!$C$7:$AL$7,0))</f>
        <v>83.41</v>
      </c>
      <c r="Z118" s="41">
        <f>INDEX('[2]End - Use Prices'!$C$6:$AL$89,MATCH($C118,'[2]End - Use Prices'!$A$6:$A$89,0)+MATCH($D118,'[2]End - Use Prices'!$B$9:$B$11,0)-1,MATCH(Z$1,'[2]End - Use Prices'!$C$7:$AL$7,0))</f>
        <v>82.56</v>
      </c>
      <c r="AA118" s="41">
        <f>INDEX('[2]End - Use Prices'!$C$6:$AL$89,MATCH($C118,'[2]End - Use Prices'!$A$6:$A$89,0)+MATCH($D118,'[2]End - Use Prices'!$B$9:$B$11,0)-1,MATCH(AA$1,'[2]End - Use Prices'!$C$7:$AL$7,0))</f>
        <v>81.98</v>
      </c>
      <c r="AB118" s="41">
        <f>INDEX('[2]End - Use Prices'!$C$6:$AL$89,MATCH($C118,'[2]End - Use Prices'!$A$6:$A$89,0)+MATCH($D118,'[2]End - Use Prices'!$B$9:$B$11,0)-1,MATCH(AB$1,'[2]End - Use Prices'!$C$7:$AL$7,0))</f>
        <v>85.14</v>
      </c>
      <c r="AC118" s="41">
        <f>INDEX('[2]End - Use Prices'!$C$6:$AL$89,MATCH($C118,'[2]End - Use Prices'!$A$6:$A$89,0)+MATCH($D118,'[2]End - Use Prices'!$B$9:$B$11,0)-1,MATCH(AC$1,'[2]End - Use Prices'!$C$7:$AL$7,0))</f>
        <v>89.34</v>
      </c>
      <c r="AD118" s="41">
        <f>INDEX('[2]End - Use Prices'!$C$6:$AL$89,MATCH($C118,'[2]End - Use Prices'!$A$6:$A$89,0)+MATCH($D118,'[2]End - Use Prices'!$B$9:$B$11,0)-1,MATCH(AD$1,'[2]End - Use Prices'!$C$7:$AL$7,0))</f>
        <v>85.75</v>
      </c>
      <c r="AE118" s="41">
        <f>INDEX('[2]End - Use Prices'!$C$6:$AL$89,MATCH($C118,'[2]End - Use Prices'!$A$6:$A$89,0)+MATCH($D118,'[2]End - Use Prices'!$B$9:$B$11,0)-1,MATCH(AE$1,'[2]End - Use Prices'!$C$7:$AL$7,0))</f>
        <v>94.73</v>
      </c>
      <c r="AF118" s="41">
        <f>INDEX('[2]End - Use Prices'!$C$6:$AL$89,MATCH($C118,'[2]End - Use Prices'!$A$6:$A$89,0)+MATCH($D118,'[2]End - Use Prices'!$B$9:$B$11,0)-1,MATCH(AF$1,'[2]End - Use Prices'!$C$7:$AL$7,0))</f>
        <v>94.52</v>
      </c>
      <c r="AG118" s="41">
        <f>INDEX('[2]End - Use Prices'!$C$6:$AL$89,MATCH($C118,'[2]End - Use Prices'!$A$6:$A$89,0)+MATCH($D118,'[2]End - Use Prices'!$B$9:$B$11,0)-1,MATCH(AG$1,'[2]End - Use Prices'!$C$7:$AL$7,0))</f>
        <v>94.52</v>
      </c>
      <c r="AH118" s="41">
        <f>INDEX('[2]End - Use Prices'!$C$6:$AL$89,MATCH($C118,'[2]End - Use Prices'!$A$6:$A$89,0)+MATCH($D118,'[2]End - Use Prices'!$B$9:$B$11,0)-1,MATCH(AH$1,'[2]End - Use Prices'!$C$7:$AL$7,0))</f>
        <v>95.28</v>
      </c>
      <c r="AI118" s="41">
        <f>INDEX('[2]End - Use Prices'!$C$6:$AL$89,MATCH($C118,'[2]End - Use Prices'!$A$6:$A$89,0)+MATCH($D118,'[2]End - Use Prices'!$B$9:$B$11,0)-1,MATCH(AI$1,'[2]End - Use Prices'!$C$7:$AL$7,0))</f>
        <v>94.69</v>
      </c>
      <c r="AJ118" s="41">
        <f>INDEX('[2]End - Use Prices'!$C$6:$AL$89,MATCH($C118,'[2]End - Use Prices'!$A$6:$A$89,0)+MATCH($D118,'[2]End - Use Prices'!$B$9:$B$11,0)-1,MATCH(AJ$1,'[2]End - Use Prices'!$C$7:$AL$7,0))</f>
        <v>95.56</v>
      </c>
      <c r="AK118" s="41">
        <f>INDEX('[2]End - Use Prices'!$C$6:$AL$89,MATCH($C118,'[2]End - Use Prices'!$A$6:$A$89,0)+MATCH($D118,'[2]End - Use Prices'!$B$9:$B$11,0)-1,MATCH(AK$1,'[2]End - Use Prices'!$C$7:$AL$7,0))</f>
        <v>96.01</v>
      </c>
      <c r="AL118" s="41">
        <f>INDEX('[2]End - Use Prices'!$C$6:$AL$89,MATCH($C118,'[2]End - Use Prices'!$A$6:$A$89,0)+MATCH($D118,'[2]End - Use Prices'!$B$9:$B$11,0)-1,MATCH(AL$1,'[2]End - Use Prices'!$C$7:$AL$7,0))</f>
        <v>96.45</v>
      </c>
      <c r="AM118" s="41">
        <f>INDEX('[2]End - Use Prices'!$C$6:$AL$89,MATCH($C118,'[2]End - Use Prices'!$A$6:$A$89,0)+MATCH($D118,'[2]End - Use Prices'!$B$9:$B$11,0)-1,MATCH(AM$1,'[2]End - Use Prices'!$C$7:$AL$7,0))</f>
        <v>96.87</v>
      </c>
      <c r="AN118" s="41">
        <f>INDEX('[2]End - Use Prices'!$C$6:$AL$89,MATCH($C118,'[2]End - Use Prices'!$A$6:$A$89,0)+MATCH($D118,'[2]End - Use Prices'!$B$9:$B$11,0)-1,MATCH(AN$1,'[2]End - Use Prices'!$C$7:$AL$7,0))</f>
        <v>97.29</v>
      </c>
      <c r="AO118" s="41">
        <f>INDEX('[2]End - Use Prices'!$C$6:$AL$89,MATCH($C118,'[2]End - Use Prices'!$A$6:$A$89,0)+MATCH($D118,'[2]End - Use Prices'!$B$9:$B$11,0)-1,MATCH(AO$1,'[2]End - Use Prices'!$C$7:$AL$7,0))</f>
        <v>97.69</v>
      </c>
      <c r="AP118" s="41">
        <f>INDEX('[2]End - Use Prices'!$C$6:$AL$89,MATCH($C118,'[2]End - Use Prices'!$A$6:$A$89,0)+MATCH($D118,'[2]End - Use Prices'!$B$9:$B$11,0)-1,MATCH(AP$1,'[2]End - Use Prices'!$C$7:$AL$7,0))</f>
        <v>98.09</v>
      </c>
      <c r="AQ118" s="41">
        <f>INDEX('[2]End - Use Prices'!$C$6:$AL$89,MATCH($C118,'[2]End - Use Prices'!$A$6:$A$89,0)+MATCH($D118,'[2]End - Use Prices'!$B$9:$B$11,0)-1,MATCH(AQ$1,'[2]End - Use Prices'!$C$7:$AL$7,0))</f>
        <v>98.48</v>
      </c>
      <c r="AR118" s="41">
        <f>INDEX('[2]End - Use Prices'!$C$6:$AL$89,MATCH($C118,'[2]End - Use Prices'!$A$6:$A$89,0)+MATCH($D118,'[2]End - Use Prices'!$B$9:$B$11,0)-1,MATCH(AR$1,'[2]End - Use Prices'!$C$7:$AL$7,0))</f>
        <v>98.86</v>
      </c>
      <c r="AS118" s="41">
        <f>INDEX('[2]End - Use Prices'!$C$6:$AL$89,MATCH($C118,'[2]End - Use Prices'!$A$6:$A$89,0)+MATCH($D118,'[2]End - Use Prices'!$B$9:$B$11,0)-1,MATCH(AS$1,'[2]End - Use Prices'!$C$7:$AL$7,0))</f>
        <v>99.23</v>
      </c>
      <c r="AT118" s="41">
        <f>INDEX('[2]End - Use Prices'!$C$6:$AL$89,MATCH($C118,'[2]End - Use Prices'!$A$6:$A$89,0)+MATCH($D118,'[2]End - Use Prices'!$B$9:$B$11,0)-1,MATCH(AT$1,'[2]End - Use Prices'!$C$7:$AL$7,0))</f>
        <v>99.6</v>
      </c>
      <c r="AU118" s="41">
        <f>INDEX('[2]End - Use Prices'!$C$6:$AL$89,MATCH($C118,'[2]End - Use Prices'!$A$6:$A$89,0)+MATCH($D118,'[2]End - Use Prices'!$B$9:$B$11,0)-1,MATCH(AU$1,'[2]End - Use Prices'!$C$7:$AL$7,0))</f>
        <v>99.97</v>
      </c>
      <c r="AV118" s="41">
        <f>INDEX('[2]End - Use Prices'!$C$6:$AL$89,MATCH($C118,'[2]End - Use Prices'!$A$6:$A$89,0)+MATCH($D118,'[2]End - Use Prices'!$B$9:$B$11,0)-1,MATCH(AV$1,'[2]End - Use Prices'!$C$7:$AL$7,0))</f>
        <v>100.34</v>
      </c>
      <c r="AW118" s="41">
        <f>INDEX('[2]End - Use Prices'!$C$6:$AL$89,MATCH($C118,'[2]End - Use Prices'!$A$6:$A$89,0)+MATCH($D118,'[2]End - Use Prices'!$B$9:$B$11,0)-1,MATCH(AW$1,'[2]End - Use Prices'!$C$7:$AL$7,0))</f>
        <v>100.71</v>
      </c>
      <c r="AX118" s="41">
        <f>INDEX('[2]End - Use Prices'!$C$6:$AL$89,MATCH($C118,'[2]End - Use Prices'!$A$6:$A$89,0)+MATCH($D118,'[2]End - Use Prices'!$B$9:$B$11,0)-1,MATCH(AX$1,'[2]End - Use Prices'!$C$7:$AL$7,0))</f>
        <v>101.08</v>
      </c>
      <c r="AY118" s="41">
        <f>INDEX('[2]End - Use Prices'!$C$6:$AL$89,MATCH($C118,'[2]End - Use Prices'!$A$6:$A$89,0)+MATCH($D118,'[2]End - Use Prices'!$B$9:$B$11,0)-1,MATCH(AY$1,'[2]End - Use Prices'!$C$7:$AL$7,0))</f>
        <v>101.45</v>
      </c>
      <c r="AZ118" s="41">
        <f>INDEX('[2]End - Use Prices'!$C$6:$AL$89,MATCH($C118,'[2]End - Use Prices'!$A$6:$A$89,0)+MATCH($D118,'[2]End - Use Prices'!$B$9:$B$11,0)-1,MATCH(AZ$1,'[2]End - Use Prices'!$C$7:$AL$7,0))</f>
        <v>101.83</v>
      </c>
      <c r="BA118" s="41">
        <f>INDEX('[2]End - Use Prices'!$C$6:$AL$89,MATCH($C118,'[2]End - Use Prices'!$A$6:$A$89,0)+MATCH($D118,'[2]End - Use Prices'!$B$9:$B$11,0)-1,MATCH(BA$1,'[2]End - Use Prices'!$C$7:$AL$7,0))</f>
        <v>102.21</v>
      </c>
      <c r="BB118" s="41">
        <f>INDEX('[2]End - Use Prices'!$C$6:$AL$89,MATCH($C118,'[2]End - Use Prices'!$A$6:$A$89,0)+MATCH($D118,'[2]End - Use Prices'!$B$9:$B$11,0)-1,MATCH(BB$1,'[2]End - Use Prices'!$C$7:$AL$7,0))</f>
        <v>102.6</v>
      </c>
      <c r="BC118" s="41">
        <f>INDEX('[2]End - Use Prices'!$C$6:$AL$89,MATCH($C118,'[2]End - Use Prices'!$A$6:$A$89,0)+MATCH($D118,'[2]End - Use Prices'!$B$9:$B$11,0)-1,MATCH(BC$1,'[2]End - Use Prices'!$C$7:$AL$7,0))</f>
        <v>103</v>
      </c>
      <c r="BD118" s="41">
        <f>INDEX('[2]End - Use Prices'!$C$6:$AL$89,MATCH($C118,'[2]End - Use Prices'!$A$6:$A$89,0)+MATCH($D118,'[2]End - Use Prices'!$B$9:$B$11,0)-1,MATCH(BD$1,'[2]End - Use Prices'!$C$7:$AL$7,0))</f>
        <v>103.4</v>
      </c>
      <c r="BE118" s="41">
        <f>INDEX('[2]End - Use Prices'!$C$6:$AL$89,MATCH($C118,'[2]End - Use Prices'!$A$6:$A$89,0)+MATCH($D118,'[2]End - Use Prices'!$B$9:$B$11,0)-1,MATCH(BE$1,'[2]End - Use Prices'!$C$7:$AL$7,0))</f>
        <v>103.82</v>
      </c>
      <c r="BF118" s="41">
        <f>INDEX('[2]End - Use Prices'!$C$6:$AL$89,MATCH($C118,'[2]End - Use Prices'!$A$6:$A$89,0)+MATCH($D118,'[2]End - Use Prices'!$B$9:$B$11,0)-1,MATCH(BF$1,'[2]End - Use Prices'!$C$7:$AL$7,0))</f>
        <v>104.25</v>
      </c>
      <c r="BG118" s="41">
        <f>INDEX('[2]End - Use Prices'!$C$6:$AL$89,MATCH($C118,'[2]End - Use Prices'!$A$6:$A$89,0)+MATCH($D118,'[2]End - Use Prices'!$B$9:$B$11,0)-1,MATCH(BG$1,'[2]End - Use Prices'!$C$7:$AL$7,0))</f>
        <v>104.69</v>
      </c>
      <c r="BR118" s="39"/>
      <c r="BS118" s="39"/>
      <c r="BT118" s="39"/>
      <c r="BU118" s="39"/>
      <c r="BV118" s="39"/>
      <c r="BW118" s="39"/>
      <c r="BX118" s="39"/>
      <c r="BY118" s="39"/>
      <c r="BZ118" s="39"/>
      <c r="CA118" s="39"/>
    </row>
    <row r="119" spans="1:79">
      <c r="A119" s="5"/>
      <c r="B119" s="3"/>
      <c r="C119" s="25" t="s">
        <v>93</v>
      </c>
      <c r="D119" s="25" t="s">
        <v>2</v>
      </c>
      <c r="E119" s="25" t="s">
        <v>277</v>
      </c>
      <c r="F119" s="67" t="s">
        <v>275</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INDEX('[2]End - Use Prices'!$C$6:$AL$89,MATCH($C119,'[2]End - Use Prices'!$A$6:$A$89,0)+MATCH($D119,'[2]End - Use Prices'!$B$9:$B$11,0)-1,MATCH(X$1,'[2]End - Use Prices'!$C$7:$AL$7,0))</f>
        <v>83.79</v>
      </c>
      <c r="Y119" s="41">
        <f>INDEX('[2]End - Use Prices'!$C$6:$AL$89,MATCH($C119,'[2]End - Use Prices'!$A$6:$A$89,0)+MATCH($D119,'[2]End - Use Prices'!$B$9:$B$11,0)-1,MATCH(Y$1,'[2]End - Use Prices'!$C$7:$AL$7,0))</f>
        <v>86.36</v>
      </c>
      <c r="Z119" s="41">
        <f>INDEX('[2]End - Use Prices'!$C$6:$AL$89,MATCH($C119,'[2]End - Use Prices'!$A$6:$A$89,0)+MATCH($D119,'[2]End - Use Prices'!$B$9:$B$11,0)-1,MATCH(Z$1,'[2]End - Use Prices'!$C$7:$AL$7,0))</f>
        <v>85.49</v>
      </c>
      <c r="AA119" s="41">
        <f>INDEX('[2]End - Use Prices'!$C$6:$AL$89,MATCH($C119,'[2]End - Use Prices'!$A$6:$A$89,0)+MATCH($D119,'[2]End - Use Prices'!$B$9:$B$11,0)-1,MATCH(AA$1,'[2]End - Use Prices'!$C$7:$AL$7,0))</f>
        <v>84.88</v>
      </c>
      <c r="AB119" s="41">
        <f>INDEX('[2]End - Use Prices'!$C$6:$AL$89,MATCH($C119,'[2]End - Use Prices'!$A$6:$A$89,0)+MATCH($D119,'[2]End - Use Prices'!$B$9:$B$11,0)-1,MATCH(AB$1,'[2]End - Use Prices'!$C$7:$AL$7,0))</f>
        <v>88.16</v>
      </c>
      <c r="AC119" s="41">
        <f>INDEX('[2]End - Use Prices'!$C$6:$AL$89,MATCH($C119,'[2]End - Use Prices'!$A$6:$A$89,0)+MATCH($D119,'[2]End - Use Prices'!$B$9:$B$11,0)-1,MATCH(AC$1,'[2]End - Use Prices'!$C$7:$AL$7,0))</f>
        <v>92.5</v>
      </c>
      <c r="AD119" s="41">
        <f>INDEX('[2]End - Use Prices'!$C$6:$AL$89,MATCH($C119,'[2]End - Use Prices'!$A$6:$A$89,0)+MATCH($D119,'[2]End - Use Prices'!$B$9:$B$11,0)-1,MATCH(AD$1,'[2]End - Use Prices'!$C$7:$AL$7,0))</f>
        <v>88.79</v>
      </c>
      <c r="AE119" s="41">
        <f>INDEX('[2]End - Use Prices'!$C$6:$AL$89,MATCH($C119,'[2]End - Use Prices'!$A$6:$A$89,0)+MATCH($D119,'[2]End - Use Prices'!$B$9:$B$11,0)-1,MATCH(AE$1,'[2]End - Use Prices'!$C$7:$AL$7,0))</f>
        <v>98.09</v>
      </c>
      <c r="AF119" s="41">
        <f>INDEX('[2]End - Use Prices'!$C$6:$AL$89,MATCH($C119,'[2]End - Use Prices'!$A$6:$A$89,0)+MATCH($D119,'[2]End - Use Prices'!$B$9:$B$11,0)-1,MATCH(AF$1,'[2]End - Use Prices'!$C$7:$AL$7,0))</f>
        <v>97.87</v>
      </c>
      <c r="AG119" s="41">
        <f>INDEX('[2]End - Use Prices'!$C$6:$AL$89,MATCH($C119,'[2]End - Use Prices'!$A$6:$A$89,0)+MATCH($D119,'[2]End - Use Prices'!$B$9:$B$11,0)-1,MATCH(AG$1,'[2]End - Use Prices'!$C$7:$AL$7,0))</f>
        <v>97.87</v>
      </c>
      <c r="AH119" s="41">
        <f>INDEX('[2]End - Use Prices'!$C$6:$AL$89,MATCH($C119,'[2]End - Use Prices'!$A$6:$A$89,0)+MATCH($D119,'[2]End - Use Prices'!$B$9:$B$11,0)-1,MATCH(AH$1,'[2]End - Use Prices'!$C$7:$AL$7,0))</f>
        <v>98.65</v>
      </c>
      <c r="AI119" s="41">
        <f>INDEX('[2]End - Use Prices'!$C$6:$AL$89,MATCH($C119,'[2]End - Use Prices'!$A$6:$A$89,0)+MATCH($D119,'[2]End - Use Prices'!$B$9:$B$11,0)-1,MATCH(AI$1,'[2]End - Use Prices'!$C$7:$AL$7,0))</f>
        <v>98.04</v>
      </c>
      <c r="AJ119" s="41">
        <f>INDEX('[2]End - Use Prices'!$C$6:$AL$89,MATCH($C119,'[2]End - Use Prices'!$A$6:$A$89,0)+MATCH($D119,'[2]End - Use Prices'!$B$9:$B$11,0)-1,MATCH(AJ$1,'[2]End - Use Prices'!$C$7:$AL$7,0))</f>
        <v>98.81</v>
      </c>
      <c r="AK119" s="41">
        <f>INDEX('[2]End - Use Prices'!$C$6:$AL$89,MATCH($C119,'[2]End - Use Prices'!$A$6:$A$89,0)+MATCH($D119,'[2]End - Use Prices'!$B$9:$B$11,0)-1,MATCH(AK$1,'[2]End - Use Prices'!$C$7:$AL$7,0))</f>
        <v>98.94</v>
      </c>
      <c r="AL119" s="41">
        <f>INDEX('[2]End - Use Prices'!$C$6:$AL$89,MATCH($C119,'[2]End - Use Prices'!$A$6:$A$89,0)+MATCH($D119,'[2]End - Use Prices'!$B$9:$B$11,0)-1,MATCH(AL$1,'[2]End - Use Prices'!$C$7:$AL$7,0))</f>
        <v>99.05</v>
      </c>
      <c r="AM119" s="41">
        <f>INDEX('[2]End - Use Prices'!$C$6:$AL$89,MATCH($C119,'[2]End - Use Prices'!$A$6:$A$89,0)+MATCH($D119,'[2]End - Use Prices'!$B$9:$B$11,0)-1,MATCH(AM$1,'[2]End - Use Prices'!$C$7:$AL$7,0))</f>
        <v>99.14</v>
      </c>
      <c r="AN119" s="41">
        <f>INDEX('[2]End - Use Prices'!$C$6:$AL$89,MATCH($C119,'[2]End - Use Prices'!$A$6:$A$89,0)+MATCH($D119,'[2]End - Use Prices'!$B$9:$B$11,0)-1,MATCH(AN$1,'[2]End - Use Prices'!$C$7:$AL$7,0))</f>
        <v>99.2</v>
      </c>
      <c r="AO119" s="41">
        <f>INDEX('[2]End - Use Prices'!$C$6:$AL$89,MATCH($C119,'[2]End - Use Prices'!$A$6:$A$89,0)+MATCH($D119,'[2]End - Use Prices'!$B$9:$B$11,0)-1,MATCH(AO$1,'[2]End - Use Prices'!$C$7:$AL$7,0))</f>
        <v>99.25</v>
      </c>
      <c r="AP119" s="41">
        <f>INDEX('[2]End - Use Prices'!$C$6:$AL$89,MATCH($C119,'[2]End - Use Prices'!$A$6:$A$89,0)+MATCH($D119,'[2]End - Use Prices'!$B$9:$B$11,0)-1,MATCH(AP$1,'[2]End - Use Prices'!$C$7:$AL$7,0))</f>
        <v>99.28</v>
      </c>
      <c r="AQ119" s="41">
        <f>INDEX('[2]End - Use Prices'!$C$6:$AL$89,MATCH($C119,'[2]End - Use Prices'!$A$6:$A$89,0)+MATCH($D119,'[2]End - Use Prices'!$B$9:$B$11,0)-1,MATCH(AQ$1,'[2]End - Use Prices'!$C$7:$AL$7,0))</f>
        <v>99.3</v>
      </c>
      <c r="AR119" s="41">
        <f>INDEX('[2]End - Use Prices'!$C$6:$AL$89,MATCH($C119,'[2]End - Use Prices'!$A$6:$A$89,0)+MATCH($D119,'[2]End - Use Prices'!$B$9:$B$11,0)-1,MATCH(AR$1,'[2]End - Use Prices'!$C$7:$AL$7,0))</f>
        <v>99.31</v>
      </c>
      <c r="AS119" s="41">
        <f>INDEX('[2]End - Use Prices'!$C$6:$AL$89,MATCH($C119,'[2]End - Use Prices'!$A$6:$A$89,0)+MATCH($D119,'[2]End - Use Prices'!$B$9:$B$11,0)-1,MATCH(AS$1,'[2]End - Use Prices'!$C$7:$AL$7,0))</f>
        <v>99.3</v>
      </c>
      <c r="AT119" s="41">
        <f>INDEX('[2]End - Use Prices'!$C$6:$AL$89,MATCH($C119,'[2]End - Use Prices'!$A$6:$A$89,0)+MATCH($D119,'[2]End - Use Prices'!$B$9:$B$11,0)-1,MATCH(AT$1,'[2]End - Use Prices'!$C$7:$AL$7,0))</f>
        <v>99.29</v>
      </c>
      <c r="AU119" s="41">
        <f>INDEX('[2]End - Use Prices'!$C$6:$AL$89,MATCH($C119,'[2]End - Use Prices'!$A$6:$A$89,0)+MATCH($D119,'[2]End - Use Prices'!$B$9:$B$11,0)-1,MATCH(AU$1,'[2]End - Use Prices'!$C$7:$AL$7,0))</f>
        <v>99.27</v>
      </c>
      <c r="AV119" s="41">
        <f>INDEX('[2]End - Use Prices'!$C$6:$AL$89,MATCH($C119,'[2]End - Use Prices'!$A$6:$A$89,0)+MATCH($D119,'[2]End - Use Prices'!$B$9:$B$11,0)-1,MATCH(AV$1,'[2]End - Use Prices'!$C$7:$AL$7,0))</f>
        <v>99.25</v>
      </c>
      <c r="AW119" s="41">
        <f>INDEX('[2]End - Use Prices'!$C$6:$AL$89,MATCH($C119,'[2]End - Use Prices'!$A$6:$A$89,0)+MATCH($D119,'[2]End - Use Prices'!$B$9:$B$11,0)-1,MATCH(AW$1,'[2]End - Use Prices'!$C$7:$AL$7,0))</f>
        <v>99.23</v>
      </c>
      <c r="AX119" s="41">
        <f>INDEX('[2]End - Use Prices'!$C$6:$AL$89,MATCH($C119,'[2]End - Use Prices'!$A$6:$A$89,0)+MATCH($D119,'[2]End - Use Prices'!$B$9:$B$11,0)-1,MATCH(AX$1,'[2]End - Use Prices'!$C$7:$AL$7,0))</f>
        <v>99.2</v>
      </c>
      <c r="AY119" s="41">
        <f>INDEX('[2]End - Use Prices'!$C$6:$AL$89,MATCH($C119,'[2]End - Use Prices'!$A$6:$A$89,0)+MATCH($D119,'[2]End - Use Prices'!$B$9:$B$11,0)-1,MATCH(AY$1,'[2]End - Use Prices'!$C$7:$AL$7,0))</f>
        <v>99.18</v>
      </c>
      <c r="AZ119" s="41">
        <f>INDEX('[2]End - Use Prices'!$C$6:$AL$89,MATCH($C119,'[2]End - Use Prices'!$A$6:$A$89,0)+MATCH($D119,'[2]End - Use Prices'!$B$9:$B$11,0)-1,MATCH(AZ$1,'[2]End - Use Prices'!$C$7:$AL$7,0))</f>
        <v>99.16</v>
      </c>
      <c r="BA119" s="41">
        <f>INDEX('[2]End - Use Prices'!$C$6:$AL$89,MATCH($C119,'[2]End - Use Prices'!$A$6:$A$89,0)+MATCH($D119,'[2]End - Use Prices'!$B$9:$B$11,0)-1,MATCH(BA$1,'[2]End - Use Prices'!$C$7:$AL$7,0))</f>
        <v>99.15</v>
      </c>
      <c r="BB119" s="41">
        <f>INDEX('[2]End - Use Prices'!$C$6:$AL$89,MATCH($C119,'[2]End - Use Prices'!$A$6:$A$89,0)+MATCH($D119,'[2]End - Use Prices'!$B$9:$B$11,0)-1,MATCH(BB$1,'[2]End - Use Prices'!$C$7:$AL$7,0))</f>
        <v>99.15</v>
      </c>
      <c r="BC119" s="41">
        <f>INDEX('[2]End - Use Prices'!$C$6:$AL$89,MATCH($C119,'[2]End - Use Prices'!$A$6:$A$89,0)+MATCH($D119,'[2]End - Use Prices'!$B$9:$B$11,0)-1,MATCH(BC$1,'[2]End - Use Prices'!$C$7:$AL$7,0))</f>
        <v>99.15</v>
      </c>
      <c r="BD119" s="41">
        <f>INDEX('[2]End - Use Prices'!$C$6:$AL$89,MATCH($C119,'[2]End - Use Prices'!$A$6:$A$89,0)+MATCH($D119,'[2]End - Use Prices'!$B$9:$B$11,0)-1,MATCH(BD$1,'[2]End - Use Prices'!$C$7:$AL$7,0))</f>
        <v>99.17</v>
      </c>
      <c r="BE119" s="41">
        <f>INDEX('[2]End - Use Prices'!$C$6:$AL$89,MATCH($C119,'[2]End - Use Prices'!$A$6:$A$89,0)+MATCH($D119,'[2]End - Use Prices'!$B$9:$B$11,0)-1,MATCH(BE$1,'[2]End - Use Prices'!$C$7:$AL$7,0))</f>
        <v>99.2</v>
      </c>
      <c r="BF119" s="41">
        <f>INDEX('[2]End - Use Prices'!$C$6:$AL$89,MATCH($C119,'[2]End - Use Prices'!$A$6:$A$89,0)+MATCH($D119,'[2]End - Use Prices'!$B$9:$B$11,0)-1,MATCH(BF$1,'[2]End - Use Prices'!$C$7:$AL$7,0))</f>
        <v>99.25</v>
      </c>
      <c r="BG119" s="41">
        <f>INDEX('[2]End - Use Prices'!$C$6:$AL$89,MATCH($C119,'[2]End - Use Prices'!$A$6:$A$89,0)+MATCH($D119,'[2]End - Use Prices'!$B$9:$B$11,0)-1,MATCH(BG$1,'[2]End - Use Prices'!$C$7:$AL$7,0))</f>
        <v>99.32</v>
      </c>
      <c r="BR119" s="39"/>
      <c r="BS119" s="39"/>
      <c r="BT119" s="39"/>
      <c r="BU119" s="39"/>
      <c r="BV119" s="39"/>
      <c r="BW119" s="39"/>
      <c r="BX119" s="39"/>
      <c r="BY119" s="39"/>
      <c r="BZ119" s="39"/>
      <c r="CA119" s="39"/>
    </row>
    <row r="120" spans="1:79">
      <c r="A120" s="5"/>
      <c r="B120" s="3"/>
      <c r="C120" s="25" t="s">
        <v>47</v>
      </c>
      <c r="D120" s="25" t="s">
        <v>13</v>
      </c>
      <c r="E120" s="25" t="s">
        <v>277</v>
      </c>
      <c r="F120" s="67" t="s">
        <v>275</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INDEX('[2]End - Use Prices'!$C$6:$AL$89,MATCH($C120,'[2]End - Use Prices'!$A$6:$A$89,0)+MATCH($D120,'[2]End - Use Prices'!$B$9:$B$11,0)-1,MATCH(X$1,'[2]End - Use Prices'!$C$7:$AL$7,0))</f>
        <v>15.81</v>
      </c>
      <c r="Y120" s="41">
        <f>INDEX('[2]End - Use Prices'!$C$6:$AL$89,MATCH($C120,'[2]End - Use Prices'!$A$6:$A$89,0)+MATCH($D120,'[2]End - Use Prices'!$B$9:$B$11,0)-1,MATCH(Y$1,'[2]End - Use Prices'!$C$7:$AL$7,0))</f>
        <v>16.04</v>
      </c>
      <c r="Z120" s="41">
        <f>INDEX('[2]End - Use Prices'!$C$6:$AL$89,MATCH($C120,'[2]End - Use Prices'!$A$6:$A$89,0)+MATCH($D120,'[2]End - Use Prices'!$B$9:$B$11,0)-1,MATCH(Z$1,'[2]End - Use Prices'!$C$7:$AL$7,0))</f>
        <v>14.76</v>
      </c>
      <c r="AA120" s="41">
        <f>INDEX('[2]End - Use Prices'!$C$6:$AL$89,MATCH($C120,'[2]End - Use Prices'!$A$6:$A$89,0)+MATCH($D120,'[2]End - Use Prices'!$B$9:$B$11,0)-1,MATCH(AA$1,'[2]End - Use Prices'!$C$7:$AL$7,0))</f>
        <v>14.82</v>
      </c>
      <c r="AB120" s="41">
        <f>INDEX('[2]End - Use Prices'!$C$6:$AL$89,MATCH($C120,'[2]End - Use Prices'!$A$6:$A$89,0)+MATCH($D120,'[2]End - Use Prices'!$B$9:$B$11,0)-1,MATCH(AB$1,'[2]End - Use Prices'!$C$7:$AL$7,0))</f>
        <v>12.89</v>
      </c>
      <c r="AC120" s="41">
        <f>INDEX('[2]End - Use Prices'!$C$6:$AL$89,MATCH($C120,'[2]End - Use Prices'!$A$6:$A$89,0)+MATCH($D120,'[2]End - Use Prices'!$B$9:$B$11,0)-1,MATCH(AC$1,'[2]End - Use Prices'!$C$7:$AL$7,0))</f>
        <v>12.69</v>
      </c>
      <c r="AD120" s="41">
        <f>INDEX('[2]End - Use Prices'!$C$6:$AL$89,MATCH($C120,'[2]End - Use Prices'!$A$6:$A$89,0)+MATCH($D120,'[2]End - Use Prices'!$B$9:$B$11,0)-1,MATCH(AD$1,'[2]End - Use Prices'!$C$7:$AL$7,0))</f>
        <v>11.75</v>
      </c>
      <c r="AE120" s="41">
        <f>INDEX('[2]End - Use Prices'!$C$6:$AL$89,MATCH($C120,'[2]End - Use Prices'!$A$6:$A$89,0)+MATCH($D120,'[2]End - Use Prices'!$B$9:$B$11,0)-1,MATCH(AE$1,'[2]End - Use Prices'!$C$7:$AL$7,0))</f>
        <v>10.82</v>
      </c>
      <c r="AF120" s="41">
        <f>INDEX('[2]End - Use Prices'!$C$6:$AL$89,MATCH($C120,'[2]End - Use Prices'!$A$6:$A$89,0)+MATCH($D120,'[2]End - Use Prices'!$B$9:$B$11,0)-1,MATCH(AF$1,'[2]End - Use Prices'!$C$7:$AL$7,0))</f>
        <v>10.77</v>
      </c>
      <c r="AG120" s="41">
        <f>INDEX('[2]End - Use Prices'!$C$6:$AL$89,MATCH($C120,'[2]End - Use Prices'!$A$6:$A$89,0)+MATCH($D120,'[2]End - Use Prices'!$B$9:$B$11,0)-1,MATCH(AG$1,'[2]End - Use Prices'!$C$7:$AL$7,0))</f>
        <v>11.71</v>
      </c>
      <c r="AH120" s="41">
        <f>INDEX('[2]End - Use Prices'!$C$6:$AL$89,MATCH($C120,'[2]End - Use Prices'!$A$6:$A$89,0)+MATCH($D120,'[2]End - Use Prices'!$B$9:$B$11,0)-1,MATCH(AH$1,'[2]End - Use Prices'!$C$7:$AL$7,0))</f>
        <v>10.65</v>
      </c>
      <c r="AI120" s="41">
        <f>INDEX('[2]End - Use Prices'!$C$6:$AL$89,MATCH($C120,'[2]End - Use Prices'!$A$6:$A$89,0)+MATCH($D120,'[2]End - Use Prices'!$B$9:$B$11,0)-1,MATCH(AI$1,'[2]End - Use Prices'!$C$7:$AL$7,0))</f>
        <v>8.93</v>
      </c>
      <c r="AJ120" s="41">
        <f>INDEX('[2]End - Use Prices'!$C$6:$AL$89,MATCH($C120,'[2]End - Use Prices'!$A$6:$A$89,0)+MATCH($D120,'[2]End - Use Prices'!$B$9:$B$11,0)-1,MATCH(AJ$1,'[2]End - Use Prices'!$C$7:$AL$7,0))</f>
        <v>10.82</v>
      </c>
      <c r="AK120" s="41">
        <f>INDEX('[2]End - Use Prices'!$C$6:$AL$89,MATCH($C120,'[2]End - Use Prices'!$A$6:$A$89,0)+MATCH($D120,'[2]End - Use Prices'!$B$9:$B$11,0)-1,MATCH(AK$1,'[2]End - Use Prices'!$C$7:$AL$7,0))</f>
        <v>9.86</v>
      </c>
      <c r="AL120" s="41">
        <f>INDEX('[2]End - Use Prices'!$C$6:$AL$89,MATCH($C120,'[2]End - Use Prices'!$A$6:$A$89,0)+MATCH($D120,'[2]End - Use Prices'!$B$9:$B$11,0)-1,MATCH(AL$1,'[2]End - Use Prices'!$C$7:$AL$7,0))</f>
        <v>9.5299999999999994</v>
      </c>
      <c r="AM120" s="41">
        <f>INDEX('[2]End - Use Prices'!$C$6:$AL$89,MATCH($C120,'[2]End - Use Prices'!$A$6:$A$89,0)+MATCH($D120,'[2]End - Use Prices'!$B$9:$B$11,0)-1,MATCH(AM$1,'[2]End - Use Prices'!$C$7:$AL$7,0))</f>
        <v>9.67</v>
      </c>
      <c r="AN120" s="41">
        <f>INDEX('[2]End - Use Prices'!$C$6:$AL$89,MATCH($C120,'[2]End - Use Prices'!$A$6:$A$89,0)+MATCH($D120,'[2]End - Use Prices'!$B$9:$B$11,0)-1,MATCH(AN$1,'[2]End - Use Prices'!$C$7:$AL$7,0))</f>
        <v>9.8699999999999992</v>
      </c>
      <c r="AO120" s="41">
        <f>INDEX('[2]End - Use Prices'!$C$6:$AL$89,MATCH($C120,'[2]End - Use Prices'!$A$6:$A$89,0)+MATCH($D120,'[2]End - Use Prices'!$B$9:$B$11,0)-1,MATCH(AO$1,'[2]End - Use Prices'!$C$7:$AL$7,0))</f>
        <v>10.19</v>
      </c>
      <c r="AP120" s="41">
        <f>INDEX('[2]End - Use Prices'!$C$6:$AL$89,MATCH($C120,'[2]End - Use Prices'!$A$6:$A$89,0)+MATCH($D120,'[2]End - Use Prices'!$B$9:$B$11,0)-1,MATCH(AP$1,'[2]End - Use Prices'!$C$7:$AL$7,0))</f>
        <v>10.44</v>
      </c>
      <c r="AQ120" s="41">
        <f>INDEX('[2]End - Use Prices'!$C$6:$AL$89,MATCH($C120,'[2]End - Use Prices'!$A$6:$A$89,0)+MATCH($D120,'[2]End - Use Prices'!$B$9:$B$11,0)-1,MATCH(AQ$1,'[2]End - Use Prices'!$C$7:$AL$7,0))</f>
        <v>10.53</v>
      </c>
      <c r="AR120" s="41">
        <f>INDEX('[2]End - Use Prices'!$C$6:$AL$89,MATCH($C120,'[2]End - Use Prices'!$A$6:$A$89,0)+MATCH($D120,'[2]End - Use Prices'!$B$9:$B$11,0)-1,MATCH(AR$1,'[2]End - Use Prices'!$C$7:$AL$7,0))</f>
        <v>10.64</v>
      </c>
      <c r="AS120" s="41">
        <f>INDEX('[2]End - Use Prices'!$C$6:$AL$89,MATCH($C120,'[2]End - Use Prices'!$A$6:$A$89,0)+MATCH($D120,'[2]End - Use Prices'!$B$9:$B$11,0)-1,MATCH(AS$1,'[2]End - Use Prices'!$C$7:$AL$7,0))</f>
        <v>10.82</v>
      </c>
      <c r="AT120" s="41">
        <f>INDEX('[2]End - Use Prices'!$C$6:$AL$89,MATCH($C120,'[2]End - Use Prices'!$A$6:$A$89,0)+MATCH($D120,'[2]End - Use Prices'!$B$9:$B$11,0)-1,MATCH(AT$1,'[2]End - Use Prices'!$C$7:$AL$7,0))</f>
        <v>10.85</v>
      </c>
      <c r="AU120" s="41">
        <f>INDEX('[2]End - Use Prices'!$C$6:$AL$89,MATCH($C120,'[2]End - Use Prices'!$A$6:$A$89,0)+MATCH($D120,'[2]End - Use Prices'!$B$9:$B$11,0)-1,MATCH(AU$1,'[2]End - Use Prices'!$C$7:$AL$7,0))</f>
        <v>10.9</v>
      </c>
      <c r="AV120" s="41">
        <f>INDEX('[2]End - Use Prices'!$C$6:$AL$89,MATCH($C120,'[2]End - Use Prices'!$A$6:$A$89,0)+MATCH($D120,'[2]End - Use Prices'!$B$9:$B$11,0)-1,MATCH(AV$1,'[2]End - Use Prices'!$C$7:$AL$7,0))</f>
        <v>10.96</v>
      </c>
      <c r="AW120" s="41">
        <f>INDEX('[2]End - Use Prices'!$C$6:$AL$89,MATCH($C120,'[2]End - Use Prices'!$A$6:$A$89,0)+MATCH($D120,'[2]End - Use Prices'!$B$9:$B$11,0)-1,MATCH(AW$1,'[2]End - Use Prices'!$C$7:$AL$7,0))</f>
        <v>11.02</v>
      </c>
      <c r="AX120" s="41">
        <f>INDEX('[2]End - Use Prices'!$C$6:$AL$89,MATCH($C120,'[2]End - Use Prices'!$A$6:$A$89,0)+MATCH($D120,'[2]End - Use Prices'!$B$9:$B$11,0)-1,MATCH(AX$1,'[2]End - Use Prices'!$C$7:$AL$7,0))</f>
        <v>11.09</v>
      </c>
      <c r="AY120" s="41">
        <f>INDEX('[2]End - Use Prices'!$C$6:$AL$89,MATCH($C120,'[2]End - Use Prices'!$A$6:$A$89,0)+MATCH($D120,'[2]End - Use Prices'!$B$9:$B$11,0)-1,MATCH(AY$1,'[2]End - Use Prices'!$C$7:$AL$7,0))</f>
        <v>11.18</v>
      </c>
      <c r="AZ120" s="41">
        <f>INDEX('[2]End - Use Prices'!$C$6:$AL$89,MATCH($C120,'[2]End - Use Prices'!$A$6:$A$89,0)+MATCH($D120,'[2]End - Use Prices'!$B$9:$B$11,0)-1,MATCH(AZ$1,'[2]End - Use Prices'!$C$7:$AL$7,0))</f>
        <v>11.28</v>
      </c>
      <c r="BA120" s="41">
        <f>INDEX('[2]End - Use Prices'!$C$6:$AL$89,MATCH($C120,'[2]End - Use Prices'!$A$6:$A$89,0)+MATCH($D120,'[2]End - Use Prices'!$B$9:$B$11,0)-1,MATCH(BA$1,'[2]End - Use Prices'!$C$7:$AL$7,0))</f>
        <v>11.33</v>
      </c>
      <c r="BB120" s="41">
        <f>INDEX('[2]End - Use Prices'!$C$6:$AL$89,MATCH($C120,'[2]End - Use Prices'!$A$6:$A$89,0)+MATCH($D120,'[2]End - Use Prices'!$B$9:$B$11,0)-1,MATCH(BB$1,'[2]End - Use Prices'!$C$7:$AL$7,0))</f>
        <v>11.37</v>
      </c>
      <c r="BC120" s="41">
        <f>INDEX('[2]End - Use Prices'!$C$6:$AL$89,MATCH($C120,'[2]End - Use Prices'!$A$6:$A$89,0)+MATCH($D120,'[2]End - Use Prices'!$B$9:$B$11,0)-1,MATCH(BC$1,'[2]End - Use Prices'!$C$7:$AL$7,0))</f>
        <v>11.41</v>
      </c>
      <c r="BD120" s="41">
        <f>INDEX('[2]End - Use Prices'!$C$6:$AL$89,MATCH($C120,'[2]End - Use Prices'!$A$6:$A$89,0)+MATCH($D120,'[2]End - Use Prices'!$B$9:$B$11,0)-1,MATCH(BD$1,'[2]End - Use Prices'!$C$7:$AL$7,0))</f>
        <v>11.43</v>
      </c>
      <c r="BE120" s="41">
        <f>INDEX('[2]End - Use Prices'!$C$6:$AL$89,MATCH($C120,'[2]End - Use Prices'!$A$6:$A$89,0)+MATCH($D120,'[2]End - Use Prices'!$B$9:$B$11,0)-1,MATCH(BE$1,'[2]End - Use Prices'!$C$7:$AL$7,0))</f>
        <v>11.43</v>
      </c>
      <c r="BF120" s="41">
        <f>INDEX('[2]End - Use Prices'!$C$6:$AL$89,MATCH($C120,'[2]End - Use Prices'!$A$6:$A$89,0)+MATCH($D120,'[2]End - Use Prices'!$B$9:$B$11,0)-1,MATCH(BF$1,'[2]End - Use Prices'!$C$7:$AL$7,0))</f>
        <v>11.44</v>
      </c>
      <c r="BG120" s="41">
        <f>INDEX('[2]End - Use Prices'!$C$6:$AL$89,MATCH($C120,'[2]End - Use Prices'!$A$6:$A$89,0)+MATCH($D120,'[2]End - Use Prices'!$B$9:$B$11,0)-1,MATCH(BG$1,'[2]End - Use Prices'!$C$7:$AL$7,0))</f>
        <v>11.44</v>
      </c>
      <c r="BR120" s="39"/>
      <c r="BS120" s="39"/>
      <c r="BT120" s="39"/>
      <c r="BU120" s="39"/>
      <c r="BV120" s="39"/>
      <c r="BW120" s="39"/>
      <c r="BX120" s="39"/>
      <c r="BY120" s="39"/>
      <c r="BZ120" s="39"/>
      <c r="CA120" s="39"/>
    </row>
    <row r="121" spans="1:79">
      <c r="A121" s="5"/>
      <c r="B121" s="3"/>
      <c r="C121" s="25" t="s">
        <v>84</v>
      </c>
      <c r="D121" s="25" t="s">
        <v>13</v>
      </c>
      <c r="E121" s="25" t="s">
        <v>277</v>
      </c>
      <c r="F121" s="67" t="s">
        <v>275</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INDEX('[2]End - Use Prices'!$C$6:$AL$89,MATCH($C121,'[2]End - Use Prices'!$A$6:$A$89,0)+MATCH($D121,'[2]End - Use Prices'!$B$9:$B$11,0)-1,MATCH(X$1,'[2]End - Use Prices'!$C$7:$AL$7,0))</f>
        <v>18.899999999999999</v>
      </c>
      <c r="Y121" s="41">
        <f>INDEX('[2]End - Use Prices'!$C$6:$AL$89,MATCH($C121,'[2]End - Use Prices'!$A$6:$A$89,0)+MATCH($D121,'[2]End - Use Prices'!$B$9:$B$11,0)-1,MATCH(Y$1,'[2]End - Use Prices'!$C$7:$AL$7,0))</f>
        <v>18.940000000000001</v>
      </c>
      <c r="Z121" s="41">
        <f>INDEX('[2]End - Use Prices'!$C$6:$AL$89,MATCH($C121,'[2]End - Use Prices'!$A$6:$A$89,0)+MATCH($D121,'[2]End - Use Prices'!$B$9:$B$11,0)-1,MATCH(Z$1,'[2]End - Use Prices'!$C$7:$AL$7,0))</f>
        <v>11.86</v>
      </c>
      <c r="AA121" s="41">
        <f>INDEX('[2]End - Use Prices'!$C$6:$AL$89,MATCH($C121,'[2]End - Use Prices'!$A$6:$A$89,0)+MATCH($D121,'[2]End - Use Prices'!$B$9:$B$11,0)-1,MATCH(AA$1,'[2]End - Use Prices'!$C$7:$AL$7,0))</f>
        <v>14.01</v>
      </c>
      <c r="AB121" s="41">
        <f>INDEX('[2]End - Use Prices'!$C$6:$AL$89,MATCH($C121,'[2]End - Use Prices'!$A$6:$A$89,0)+MATCH($D121,'[2]End - Use Prices'!$B$9:$B$11,0)-1,MATCH(AB$1,'[2]End - Use Prices'!$C$7:$AL$7,0))</f>
        <v>14.6</v>
      </c>
      <c r="AC121" s="41">
        <f>INDEX('[2]End - Use Prices'!$C$6:$AL$89,MATCH($C121,'[2]End - Use Prices'!$A$6:$A$89,0)+MATCH($D121,'[2]End - Use Prices'!$B$9:$B$11,0)-1,MATCH(AC$1,'[2]End - Use Prices'!$C$7:$AL$7,0))</f>
        <v>20.09</v>
      </c>
      <c r="AD121" s="41">
        <f>INDEX('[2]End - Use Prices'!$C$6:$AL$89,MATCH($C121,'[2]End - Use Prices'!$A$6:$A$89,0)+MATCH($D121,'[2]End - Use Prices'!$B$9:$B$11,0)-1,MATCH(AD$1,'[2]End - Use Prices'!$C$7:$AL$7,0))</f>
        <v>17.2</v>
      </c>
      <c r="AE121" s="41">
        <f>INDEX('[2]End - Use Prices'!$C$6:$AL$89,MATCH($C121,'[2]End - Use Prices'!$A$6:$A$89,0)+MATCH($D121,'[2]End - Use Prices'!$B$9:$B$11,0)-1,MATCH(AE$1,'[2]End - Use Prices'!$C$7:$AL$7,0))</f>
        <v>17.59</v>
      </c>
      <c r="AF121" s="41">
        <f>INDEX('[2]End - Use Prices'!$C$6:$AL$89,MATCH($C121,'[2]End - Use Prices'!$A$6:$A$89,0)+MATCH($D121,'[2]End - Use Prices'!$B$9:$B$11,0)-1,MATCH(AF$1,'[2]End - Use Prices'!$C$7:$AL$7,0))</f>
        <v>18.75</v>
      </c>
      <c r="AG121" s="41">
        <f>INDEX('[2]End - Use Prices'!$C$6:$AL$89,MATCH($C121,'[2]End - Use Prices'!$A$6:$A$89,0)+MATCH($D121,'[2]End - Use Prices'!$B$9:$B$11,0)-1,MATCH(AG$1,'[2]End - Use Prices'!$C$7:$AL$7,0))</f>
        <v>18.48</v>
      </c>
      <c r="AH121" s="41">
        <f>INDEX('[2]End - Use Prices'!$C$6:$AL$89,MATCH($C121,'[2]End - Use Prices'!$A$6:$A$89,0)+MATCH($D121,'[2]End - Use Prices'!$B$9:$B$11,0)-1,MATCH(AH$1,'[2]End - Use Prices'!$C$7:$AL$7,0))</f>
        <v>13.86</v>
      </c>
      <c r="AI121" s="41">
        <f>INDEX('[2]End - Use Prices'!$C$6:$AL$89,MATCH($C121,'[2]End - Use Prices'!$A$6:$A$89,0)+MATCH($D121,'[2]End - Use Prices'!$B$9:$B$11,0)-1,MATCH(AI$1,'[2]End - Use Prices'!$C$7:$AL$7,0))</f>
        <v>9.4700000000000006</v>
      </c>
      <c r="AJ121" s="41">
        <f>INDEX('[2]End - Use Prices'!$C$6:$AL$89,MATCH($C121,'[2]End - Use Prices'!$A$6:$A$89,0)+MATCH($D121,'[2]End - Use Prices'!$B$9:$B$11,0)-1,MATCH(AJ$1,'[2]End - Use Prices'!$C$7:$AL$7,0))</f>
        <v>10.75</v>
      </c>
      <c r="AK121" s="41">
        <f>INDEX('[2]End - Use Prices'!$C$6:$AL$89,MATCH($C121,'[2]End - Use Prices'!$A$6:$A$89,0)+MATCH($D121,'[2]End - Use Prices'!$B$9:$B$11,0)-1,MATCH(AK$1,'[2]End - Use Prices'!$C$7:$AL$7,0))</f>
        <v>10.63</v>
      </c>
      <c r="AL121" s="41">
        <f>INDEX('[2]End - Use Prices'!$C$6:$AL$89,MATCH($C121,'[2]End - Use Prices'!$A$6:$A$89,0)+MATCH($D121,'[2]End - Use Prices'!$B$9:$B$11,0)-1,MATCH(AL$1,'[2]End - Use Prices'!$C$7:$AL$7,0))</f>
        <v>10.61</v>
      </c>
      <c r="AM121" s="41">
        <f>INDEX('[2]End - Use Prices'!$C$6:$AL$89,MATCH($C121,'[2]End - Use Prices'!$A$6:$A$89,0)+MATCH($D121,'[2]End - Use Prices'!$B$9:$B$11,0)-1,MATCH(AM$1,'[2]End - Use Prices'!$C$7:$AL$7,0))</f>
        <v>10.91</v>
      </c>
      <c r="AN121" s="41">
        <f>INDEX('[2]End - Use Prices'!$C$6:$AL$89,MATCH($C121,'[2]End - Use Prices'!$A$6:$A$89,0)+MATCH($D121,'[2]End - Use Prices'!$B$9:$B$11,0)-1,MATCH(AN$1,'[2]End - Use Prices'!$C$7:$AL$7,0))</f>
        <v>11.07</v>
      </c>
      <c r="AO121" s="41">
        <f>INDEX('[2]End - Use Prices'!$C$6:$AL$89,MATCH($C121,'[2]End - Use Prices'!$A$6:$A$89,0)+MATCH($D121,'[2]End - Use Prices'!$B$9:$B$11,0)-1,MATCH(AO$1,'[2]End - Use Prices'!$C$7:$AL$7,0))</f>
        <v>11.22</v>
      </c>
      <c r="AP121" s="41">
        <f>INDEX('[2]End - Use Prices'!$C$6:$AL$89,MATCH($C121,'[2]End - Use Prices'!$A$6:$A$89,0)+MATCH($D121,'[2]End - Use Prices'!$B$9:$B$11,0)-1,MATCH(AP$1,'[2]End - Use Prices'!$C$7:$AL$7,0))</f>
        <v>11.35</v>
      </c>
      <c r="AQ121" s="41">
        <f>INDEX('[2]End - Use Prices'!$C$6:$AL$89,MATCH($C121,'[2]End - Use Prices'!$A$6:$A$89,0)+MATCH($D121,'[2]End - Use Prices'!$B$9:$B$11,0)-1,MATCH(AQ$1,'[2]End - Use Prices'!$C$7:$AL$7,0))</f>
        <v>11.35</v>
      </c>
      <c r="AR121" s="41">
        <f>INDEX('[2]End - Use Prices'!$C$6:$AL$89,MATCH($C121,'[2]End - Use Prices'!$A$6:$A$89,0)+MATCH($D121,'[2]End - Use Prices'!$B$9:$B$11,0)-1,MATCH(AR$1,'[2]End - Use Prices'!$C$7:$AL$7,0))</f>
        <v>11.38</v>
      </c>
      <c r="AS121" s="41">
        <f>INDEX('[2]End - Use Prices'!$C$6:$AL$89,MATCH($C121,'[2]End - Use Prices'!$A$6:$A$89,0)+MATCH($D121,'[2]End - Use Prices'!$B$9:$B$11,0)-1,MATCH(AS$1,'[2]End - Use Prices'!$C$7:$AL$7,0))</f>
        <v>11.48</v>
      </c>
      <c r="AT121" s="41">
        <f>INDEX('[2]End - Use Prices'!$C$6:$AL$89,MATCH($C121,'[2]End - Use Prices'!$A$6:$A$89,0)+MATCH($D121,'[2]End - Use Prices'!$B$9:$B$11,0)-1,MATCH(AT$1,'[2]End - Use Prices'!$C$7:$AL$7,0))</f>
        <v>11.57</v>
      </c>
      <c r="AU121" s="41">
        <f>INDEX('[2]End - Use Prices'!$C$6:$AL$89,MATCH($C121,'[2]End - Use Prices'!$A$6:$A$89,0)+MATCH($D121,'[2]End - Use Prices'!$B$9:$B$11,0)-1,MATCH(AU$1,'[2]End - Use Prices'!$C$7:$AL$7,0))</f>
        <v>11.67</v>
      </c>
      <c r="AV121" s="41">
        <f>INDEX('[2]End - Use Prices'!$C$6:$AL$89,MATCH($C121,'[2]End - Use Prices'!$A$6:$A$89,0)+MATCH($D121,'[2]End - Use Prices'!$B$9:$B$11,0)-1,MATCH(AV$1,'[2]End - Use Prices'!$C$7:$AL$7,0))</f>
        <v>11.79</v>
      </c>
      <c r="AW121" s="41">
        <f>INDEX('[2]End - Use Prices'!$C$6:$AL$89,MATCH($C121,'[2]End - Use Prices'!$A$6:$A$89,0)+MATCH($D121,'[2]End - Use Prices'!$B$9:$B$11,0)-1,MATCH(AW$1,'[2]End - Use Prices'!$C$7:$AL$7,0))</f>
        <v>11.9</v>
      </c>
      <c r="AX121" s="41">
        <f>INDEX('[2]End - Use Prices'!$C$6:$AL$89,MATCH($C121,'[2]End - Use Prices'!$A$6:$A$89,0)+MATCH($D121,'[2]End - Use Prices'!$B$9:$B$11,0)-1,MATCH(AX$1,'[2]End - Use Prices'!$C$7:$AL$7,0))</f>
        <v>12.02</v>
      </c>
      <c r="AY121" s="41">
        <f>INDEX('[2]End - Use Prices'!$C$6:$AL$89,MATCH($C121,'[2]End - Use Prices'!$A$6:$A$89,0)+MATCH($D121,'[2]End - Use Prices'!$B$9:$B$11,0)-1,MATCH(AY$1,'[2]End - Use Prices'!$C$7:$AL$7,0))</f>
        <v>12.15</v>
      </c>
      <c r="AZ121" s="41">
        <f>INDEX('[2]End - Use Prices'!$C$6:$AL$89,MATCH($C121,'[2]End - Use Prices'!$A$6:$A$89,0)+MATCH($D121,'[2]End - Use Prices'!$B$9:$B$11,0)-1,MATCH(AZ$1,'[2]End - Use Prices'!$C$7:$AL$7,0))</f>
        <v>12.3</v>
      </c>
      <c r="BA121" s="41">
        <f>INDEX('[2]End - Use Prices'!$C$6:$AL$89,MATCH($C121,'[2]End - Use Prices'!$A$6:$A$89,0)+MATCH($D121,'[2]End - Use Prices'!$B$9:$B$11,0)-1,MATCH(BA$1,'[2]End - Use Prices'!$C$7:$AL$7,0))</f>
        <v>12.38</v>
      </c>
      <c r="BB121" s="41">
        <f>INDEX('[2]End - Use Prices'!$C$6:$AL$89,MATCH($C121,'[2]End - Use Prices'!$A$6:$A$89,0)+MATCH($D121,'[2]End - Use Prices'!$B$9:$B$11,0)-1,MATCH(BB$1,'[2]End - Use Prices'!$C$7:$AL$7,0))</f>
        <v>12.45</v>
      </c>
      <c r="BC121" s="41">
        <f>INDEX('[2]End - Use Prices'!$C$6:$AL$89,MATCH($C121,'[2]End - Use Prices'!$A$6:$A$89,0)+MATCH($D121,'[2]End - Use Prices'!$B$9:$B$11,0)-1,MATCH(BC$1,'[2]End - Use Prices'!$C$7:$AL$7,0))</f>
        <v>12.52</v>
      </c>
      <c r="BD121" s="41">
        <f>INDEX('[2]End - Use Prices'!$C$6:$AL$89,MATCH($C121,'[2]End - Use Prices'!$A$6:$A$89,0)+MATCH($D121,'[2]End - Use Prices'!$B$9:$B$11,0)-1,MATCH(BD$1,'[2]End - Use Prices'!$C$7:$AL$7,0))</f>
        <v>12.57</v>
      </c>
      <c r="BE121" s="41">
        <f>INDEX('[2]End - Use Prices'!$C$6:$AL$89,MATCH($C121,'[2]End - Use Prices'!$A$6:$A$89,0)+MATCH($D121,'[2]End - Use Prices'!$B$9:$B$11,0)-1,MATCH(BE$1,'[2]End - Use Prices'!$C$7:$AL$7,0))</f>
        <v>12.6</v>
      </c>
      <c r="BF121" s="41">
        <f>INDEX('[2]End - Use Prices'!$C$6:$AL$89,MATCH($C121,'[2]End - Use Prices'!$A$6:$A$89,0)+MATCH($D121,'[2]End - Use Prices'!$B$9:$B$11,0)-1,MATCH(BF$1,'[2]End - Use Prices'!$C$7:$AL$7,0))</f>
        <v>12.64</v>
      </c>
      <c r="BG121" s="41">
        <f>INDEX('[2]End - Use Prices'!$C$6:$AL$89,MATCH($C121,'[2]End - Use Prices'!$A$6:$A$89,0)+MATCH($D121,'[2]End - Use Prices'!$B$9:$B$11,0)-1,MATCH(BG$1,'[2]End - Use Prices'!$C$7:$AL$7,0))</f>
        <v>12.67</v>
      </c>
      <c r="BR121" s="39"/>
      <c r="BS121" s="39"/>
      <c r="BT121" s="39"/>
      <c r="BU121" s="39"/>
      <c r="BV121" s="39"/>
      <c r="BW121" s="39"/>
      <c r="BX121" s="39"/>
      <c r="BY121" s="39"/>
      <c r="BZ121" s="39"/>
      <c r="CA121" s="39"/>
    </row>
    <row r="122" spans="1:79">
      <c r="A122" s="5"/>
      <c r="B122" s="3"/>
      <c r="C122" s="25" t="s">
        <v>85</v>
      </c>
      <c r="D122" s="25" t="s">
        <v>13</v>
      </c>
      <c r="E122" s="25" t="s">
        <v>277</v>
      </c>
      <c r="F122" s="67" t="s">
        <v>275</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INDEX('[2]End - Use Prices'!$C$6:$AL$89,MATCH($C122,'[2]End - Use Prices'!$A$6:$A$89,0)+MATCH($D122,'[2]End - Use Prices'!$B$9:$B$11,0)-1,MATCH(X$1,'[2]End - Use Prices'!$C$7:$AL$7,0))</f>
        <v>18.899999999999999</v>
      </c>
      <c r="Y122" s="41">
        <f>INDEX('[2]End - Use Prices'!$C$6:$AL$89,MATCH($C122,'[2]End - Use Prices'!$A$6:$A$89,0)+MATCH($D122,'[2]End - Use Prices'!$B$9:$B$11,0)-1,MATCH(Y$1,'[2]End - Use Prices'!$C$7:$AL$7,0))</f>
        <v>18.940000000000001</v>
      </c>
      <c r="Z122" s="41">
        <f>INDEX('[2]End - Use Prices'!$C$6:$AL$89,MATCH($C122,'[2]End - Use Prices'!$A$6:$A$89,0)+MATCH($D122,'[2]End - Use Prices'!$B$9:$B$11,0)-1,MATCH(Z$1,'[2]End - Use Prices'!$C$7:$AL$7,0))</f>
        <v>11.86</v>
      </c>
      <c r="AA122" s="41">
        <f>INDEX('[2]End - Use Prices'!$C$6:$AL$89,MATCH($C122,'[2]End - Use Prices'!$A$6:$A$89,0)+MATCH($D122,'[2]End - Use Prices'!$B$9:$B$11,0)-1,MATCH(AA$1,'[2]End - Use Prices'!$C$7:$AL$7,0))</f>
        <v>14.01</v>
      </c>
      <c r="AB122" s="41">
        <f>INDEX('[2]End - Use Prices'!$C$6:$AL$89,MATCH($C122,'[2]End - Use Prices'!$A$6:$A$89,0)+MATCH($D122,'[2]End - Use Prices'!$B$9:$B$11,0)-1,MATCH(AB$1,'[2]End - Use Prices'!$C$7:$AL$7,0))</f>
        <v>14.6</v>
      </c>
      <c r="AC122" s="41">
        <f>INDEX('[2]End - Use Prices'!$C$6:$AL$89,MATCH($C122,'[2]End - Use Prices'!$A$6:$A$89,0)+MATCH($D122,'[2]End - Use Prices'!$B$9:$B$11,0)-1,MATCH(AC$1,'[2]End - Use Prices'!$C$7:$AL$7,0))</f>
        <v>20.09</v>
      </c>
      <c r="AD122" s="41">
        <f>INDEX('[2]End - Use Prices'!$C$6:$AL$89,MATCH($C122,'[2]End - Use Prices'!$A$6:$A$89,0)+MATCH($D122,'[2]End - Use Prices'!$B$9:$B$11,0)-1,MATCH(AD$1,'[2]End - Use Prices'!$C$7:$AL$7,0))</f>
        <v>17.2</v>
      </c>
      <c r="AE122" s="41">
        <f>INDEX('[2]End - Use Prices'!$C$6:$AL$89,MATCH($C122,'[2]End - Use Prices'!$A$6:$A$89,0)+MATCH($D122,'[2]End - Use Prices'!$B$9:$B$11,0)-1,MATCH(AE$1,'[2]End - Use Prices'!$C$7:$AL$7,0))</f>
        <v>17.59</v>
      </c>
      <c r="AF122" s="41">
        <f>INDEX('[2]End - Use Prices'!$C$6:$AL$89,MATCH($C122,'[2]End - Use Prices'!$A$6:$A$89,0)+MATCH($D122,'[2]End - Use Prices'!$B$9:$B$11,0)-1,MATCH(AF$1,'[2]End - Use Prices'!$C$7:$AL$7,0))</f>
        <v>18.38</v>
      </c>
      <c r="AG122" s="41">
        <f>INDEX('[2]End - Use Prices'!$C$6:$AL$89,MATCH($C122,'[2]End - Use Prices'!$A$6:$A$89,0)+MATCH($D122,'[2]End - Use Prices'!$B$9:$B$11,0)-1,MATCH(AG$1,'[2]End - Use Prices'!$C$7:$AL$7,0))</f>
        <v>18.48</v>
      </c>
      <c r="AH122" s="41">
        <f>INDEX('[2]End - Use Prices'!$C$6:$AL$89,MATCH($C122,'[2]End - Use Prices'!$A$6:$A$89,0)+MATCH($D122,'[2]End - Use Prices'!$B$9:$B$11,0)-1,MATCH(AH$1,'[2]End - Use Prices'!$C$7:$AL$7,0))</f>
        <v>10.53</v>
      </c>
      <c r="AI122" s="41">
        <f>INDEX('[2]End - Use Prices'!$C$6:$AL$89,MATCH($C122,'[2]End - Use Prices'!$A$6:$A$89,0)+MATCH($D122,'[2]End - Use Prices'!$B$9:$B$11,0)-1,MATCH(AI$1,'[2]End - Use Prices'!$C$7:$AL$7,0))</f>
        <v>9.49</v>
      </c>
      <c r="AJ122" s="41">
        <f>INDEX('[2]End - Use Prices'!$C$6:$AL$89,MATCH($C122,'[2]End - Use Prices'!$A$6:$A$89,0)+MATCH($D122,'[2]End - Use Prices'!$B$9:$B$11,0)-1,MATCH(AJ$1,'[2]End - Use Prices'!$C$7:$AL$7,0))</f>
        <v>10.75</v>
      </c>
      <c r="AK122" s="41">
        <f>INDEX('[2]End - Use Prices'!$C$6:$AL$89,MATCH($C122,'[2]End - Use Prices'!$A$6:$A$89,0)+MATCH($D122,'[2]End - Use Prices'!$B$9:$B$11,0)-1,MATCH(AK$1,'[2]End - Use Prices'!$C$7:$AL$7,0))</f>
        <v>10.63</v>
      </c>
      <c r="AL122" s="41">
        <f>INDEX('[2]End - Use Prices'!$C$6:$AL$89,MATCH($C122,'[2]End - Use Prices'!$A$6:$A$89,0)+MATCH($D122,'[2]End - Use Prices'!$B$9:$B$11,0)-1,MATCH(AL$1,'[2]End - Use Prices'!$C$7:$AL$7,0))</f>
        <v>10.61</v>
      </c>
      <c r="AM122" s="41">
        <f>INDEX('[2]End - Use Prices'!$C$6:$AL$89,MATCH($C122,'[2]End - Use Prices'!$A$6:$A$89,0)+MATCH($D122,'[2]End - Use Prices'!$B$9:$B$11,0)-1,MATCH(AM$1,'[2]End - Use Prices'!$C$7:$AL$7,0))</f>
        <v>10.91</v>
      </c>
      <c r="AN122" s="41">
        <f>INDEX('[2]End - Use Prices'!$C$6:$AL$89,MATCH($C122,'[2]End - Use Prices'!$A$6:$A$89,0)+MATCH($D122,'[2]End - Use Prices'!$B$9:$B$11,0)-1,MATCH(AN$1,'[2]End - Use Prices'!$C$7:$AL$7,0))</f>
        <v>11.07</v>
      </c>
      <c r="AO122" s="41">
        <f>INDEX('[2]End - Use Prices'!$C$6:$AL$89,MATCH($C122,'[2]End - Use Prices'!$A$6:$A$89,0)+MATCH($D122,'[2]End - Use Prices'!$B$9:$B$11,0)-1,MATCH(AO$1,'[2]End - Use Prices'!$C$7:$AL$7,0))</f>
        <v>11.22</v>
      </c>
      <c r="AP122" s="41">
        <f>INDEX('[2]End - Use Prices'!$C$6:$AL$89,MATCH($C122,'[2]End - Use Prices'!$A$6:$A$89,0)+MATCH($D122,'[2]End - Use Prices'!$B$9:$B$11,0)-1,MATCH(AP$1,'[2]End - Use Prices'!$C$7:$AL$7,0))</f>
        <v>11.35</v>
      </c>
      <c r="AQ122" s="41">
        <f>INDEX('[2]End - Use Prices'!$C$6:$AL$89,MATCH($C122,'[2]End - Use Prices'!$A$6:$A$89,0)+MATCH($D122,'[2]End - Use Prices'!$B$9:$B$11,0)-1,MATCH(AQ$1,'[2]End - Use Prices'!$C$7:$AL$7,0))</f>
        <v>11.35</v>
      </c>
      <c r="AR122" s="41">
        <f>INDEX('[2]End - Use Prices'!$C$6:$AL$89,MATCH($C122,'[2]End - Use Prices'!$A$6:$A$89,0)+MATCH($D122,'[2]End - Use Prices'!$B$9:$B$11,0)-1,MATCH(AR$1,'[2]End - Use Prices'!$C$7:$AL$7,0))</f>
        <v>11.38</v>
      </c>
      <c r="AS122" s="41">
        <f>INDEX('[2]End - Use Prices'!$C$6:$AL$89,MATCH($C122,'[2]End - Use Prices'!$A$6:$A$89,0)+MATCH($D122,'[2]End - Use Prices'!$B$9:$B$11,0)-1,MATCH(AS$1,'[2]End - Use Prices'!$C$7:$AL$7,0))</f>
        <v>11.48</v>
      </c>
      <c r="AT122" s="41">
        <f>INDEX('[2]End - Use Prices'!$C$6:$AL$89,MATCH($C122,'[2]End - Use Prices'!$A$6:$A$89,0)+MATCH($D122,'[2]End - Use Prices'!$B$9:$B$11,0)-1,MATCH(AT$1,'[2]End - Use Prices'!$C$7:$AL$7,0))</f>
        <v>11.57</v>
      </c>
      <c r="AU122" s="41">
        <f>INDEX('[2]End - Use Prices'!$C$6:$AL$89,MATCH($C122,'[2]End - Use Prices'!$A$6:$A$89,0)+MATCH($D122,'[2]End - Use Prices'!$B$9:$B$11,0)-1,MATCH(AU$1,'[2]End - Use Prices'!$C$7:$AL$7,0))</f>
        <v>11.67</v>
      </c>
      <c r="AV122" s="41">
        <f>INDEX('[2]End - Use Prices'!$C$6:$AL$89,MATCH($C122,'[2]End - Use Prices'!$A$6:$A$89,0)+MATCH($D122,'[2]End - Use Prices'!$B$9:$B$11,0)-1,MATCH(AV$1,'[2]End - Use Prices'!$C$7:$AL$7,0))</f>
        <v>11.79</v>
      </c>
      <c r="AW122" s="41">
        <f>INDEX('[2]End - Use Prices'!$C$6:$AL$89,MATCH($C122,'[2]End - Use Prices'!$A$6:$A$89,0)+MATCH($D122,'[2]End - Use Prices'!$B$9:$B$11,0)-1,MATCH(AW$1,'[2]End - Use Prices'!$C$7:$AL$7,0))</f>
        <v>11.9</v>
      </c>
      <c r="AX122" s="41">
        <f>INDEX('[2]End - Use Prices'!$C$6:$AL$89,MATCH($C122,'[2]End - Use Prices'!$A$6:$A$89,0)+MATCH($D122,'[2]End - Use Prices'!$B$9:$B$11,0)-1,MATCH(AX$1,'[2]End - Use Prices'!$C$7:$AL$7,0))</f>
        <v>12.02</v>
      </c>
      <c r="AY122" s="41">
        <f>INDEX('[2]End - Use Prices'!$C$6:$AL$89,MATCH($C122,'[2]End - Use Prices'!$A$6:$A$89,0)+MATCH($D122,'[2]End - Use Prices'!$B$9:$B$11,0)-1,MATCH(AY$1,'[2]End - Use Prices'!$C$7:$AL$7,0))</f>
        <v>12.15</v>
      </c>
      <c r="AZ122" s="41">
        <f>INDEX('[2]End - Use Prices'!$C$6:$AL$89,MATCH($C122,'[2]End - Use Prices'!$A$6:$A$89,0)+MATCH($D122,'[2]End - Use Prices'!$B$9:$B$11,0)-1,MATCH(AZ$1,'[2]End - Use Prices'!$C$7:$AL$7,0))</f>
        <v>12.3</v>
      </c>
      <c r="BA122" s="41">
        <f>INDEX('[2]End - Use Prices'!$C$6:$AL$89,MATCH($C122,'[2]End - Use Prices'!$A$6:$A$89,0)+MATCH($D122,'[2]End - Use Prices'!$B$9:$B$11,0)-1,MATCH(BA$1,'[2]End - Use Prices'!$C$7:$AL$7,0))</f>
        <v>12.38</v>
      </c>
      <c r="BB122" s="41">
        <f>INDEX('[2]End - Use Prices'!$C$6:$AL$89,MATCH($C122,'[2]End - Use Prices'!$A$6:$A$89,0)+MATCH($D122,'[2]End - Use Prices'!$B$9:$B$11,0)-1,MATCH(BB$1,'[2]End - Use Prices'!$C$7:$AL$7,0))</f>
        <v>12.45</v>
      </c>
      <c r="BC122" s="41">
        <f>INDEX('[2]End - Use Prices'!$C$6:$AL$89,MATCH($C122,'[2]End - Use Prices'!$A$6:$A$89,0)+MATCH($D122,'[2]End - Use Prices'!$B$9:$B$11,0)-1,MATCH(BC$1,'[2]End - Use Prices'!$C$7:$AL$7,0))</f>
        <v>12.52</v>
      </c>
      <c r="BD122" s="41">
        <f>INDEX('[2]End - Use Prices'!$C$6:$AL$89,MATCH($C122,'[2]End - Use Prices'!$A$6:$A$89,0)+MATCH($D122,'[2]End - Use Prices'!$B$9:$B$11,0)-1,MATCH(BD$1,'[2]End - Use Prices'!$C$7:$AL$7,0))</f>
        <v>12.57</v>
      </c>
      <c r="BE122" s="41">
        <f>INDEX('[2]End - Use Prices'!$C$6:$AL$89,MATCH($C122,'[2]End - Use Prices'!$A$6:$A$89,0)+MATCH($D122,'[2]End - Use Prices'!$B$9:$B$11,0)-1,MATCH(BE$1,'[2]End - Use Prices'!$C$7:$AL$7,0))</f>
        <v>12.6</v>
      </c>
      <c r="BF122" s="41">
        <f>INDEX('[2]End - Use Prices'!$C$6:$AL$89,MATCH($C122,'[2]End - Use Prices'!$A$6:$A$89,0)+MATCH($D122,'[2]End - Use Prices'!$B$9:$B$11,0)-1,MATCH(BF$1,'[2]End - Use Prices'!$C$7:$AL$7,0))</f>
        <v>12.64</v>
      </c>
      <c r="BG122" s="41">
        <f>INDEX('[2]End - Use Prices'!$C$6:$AL$89,MATCH($C122,'[2]End - Use Prices'!$A$6:$A$89,0)+MATCH($D122,'[2]End - Use Prices'!$B$9:$B$11,0)-1,MATCH(BG$1,'[2]End - Use Prices'!$C$7:$AL$7,0))</f>
        <v>12.67</v>
      </c>
      <c r="BR122" s="39"/>
      <c r="BS122" s="39"/>
      <c r="BT122" s="39"/>
      <c r="BU122" s="39"/>
      <c r="BV122" s="39"/>
      <c r="BW122" s="39"/>
      <c r="BX122" s="39"/>
      <c r="BY122" s="39"/>
      <c r="BZ122" s="39"/>
      <c r="CA122" s="39"/>
    </row>
    <row r="123" spans="1:79">
      <c r="A123" s="5"/>
      <c r="B123" s="3"/>
      <c r="C123" s="25" t="s">
        <v>86</v>
      </c>
      <c r="D123" s="25" t="s">
        <v>13</v>
      </c>
      <c r="E123" s="25" t="s">
        <v>277</v>
      </c>
      <c r="F123" s="67" t="s">
        <v>275</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INDEX('[2]End - Use Prices'!$C$6:$AL$89,MATCH($C123,'[2]End - Use Prices'!$A$6:$A$89,0)+MATCH($D123,'[2]End - Use Prices'!$B$9:$B$11,0)-1,MATCH(X$1,'[2]End - Use Prices'!$C$7:$AL$7,0))</f>
        <v>48.47</v>
      </c>
      <c r="Y123" s="41">
        <f>INDEX('[2]End - Use Prices'!$C$6:$AL$89,MATCH($C123,'[2]End - Use Prices'!$A$6:$A$89,0)+MATCH($D123,'[2]End - Use Prices'!$B$9:$B$11,0)-1,MATCH(Y$1,'[2]End - Use Prices'!$C$7:$AL$7,0))</f>
        <v>44.05</v>
      </c>
      <c r="Z123" s="41">
        <f>INDEX('[2]End - Use Prices'!$C$6:$AL$89,MATCH($C123,'[2]End - Use Prices'!$A$6:$A$89,0)+MATCH($D123,'[2]End - Use Prices'!$B$9:$B$11,0)-1,MATCH(Z$1,'[2]End - Use Prices'!$C$7:$AL$7,0))</f>
        <v>40.97</v>
      </c>
      <c r="AA123" s="41">
        <f>INDEX('[2]End - Use Prices'!$C$6:$AL$89,MATCH($C123,'[2]End - Use Prices'!$A$6:$A$89,0)+MATCH($D123,'[2]End - Use Prices'!$B$9:$B$11,0)-1,MATCH(AA$1,'[2]End - Use Prices'!$C$7:$AL$7,0))</f>
        <v>39.74</v>
      </c>
      <c r="AB123" s="41">
        <f>INDEX('[2]End - Use Prices'!$C$6:$AL$89,MATCH($C123,'[2]End - Use Prices'!$A$6:$A$89,0)+MATCH($D123,'[2]End - Use Prices'!$B$9:$B$11,0)-1,MATCH(AB$1,'[2]End - Use Prices'!$C$7:$AL$7,0))</f>
        <v>38.31</v>
      </c>
      <c r="AC123" s="41">
        <f>INDEX('[2]End - Use Prices'!$C$6:$AL$89,MATCH($C123,'[2]End - Use Prices'!$A$6:$A$89,0)+MATCH($D123,'[2]End - Use Prices'!$B$9:$B$11,0)-1,MATCH(AC$1,'[2]End - Use Prices'!$C$7:$AL$7,0))</f>
        <v>36.06</v>
      </c>
      <c r="AD123" s="41">
        <f>INDEX('[2]End - Use Prices'!$C$6:$AL$89,MATCH($C123,'[2]End - Use Prices'!$A$6:$A$89,0)+MATCH($D123,'[2]End - Use Prices'!$B$9:$B$11,0)-1,MATCH(AD$1,'[2]End - Use Prices'!$C$7:$AL$7,0))</f>
        <v>33.869999999999997</v>
      </c>
      <c r="AE123" s="41">
        <f>INDEX('[2]End - Use Prices'!$C$6:$AL$89,MATCH($C123,'[2]End - Use Prices'!$A$6:$A$89,0)+MATCH($D123,'[2]End - Use Prices'!$B$9:$B$11,0)-1,MATCH(AE$1,'[2]End - Use Prices'!$C$7:$AL$7,0))</f>
        <v>32.549999999999997</v>
      </c>
      <c r="AF123" s="41">
        <f>INDEX('[2]End - Use Prices'!$C$6:$AL$89,MATCH($C123,'[2]End - Use Prices'!$A$6:$A$89,0)+MATCH($D123,'[2]End - Use Prices'!$B$9:$B$11,0)-1,MATCH(AF$1,'[2]End - Use Prices'!$C$7:$AL$7,0))</f>
        <v>25.3</v>
      </c>
      <c r="AG123" s="41">
        <f>INDEX('[2]End - Use Prices'!$C$6:$AL$89,MATCH($C123,'[2]End - Use Prices'!$A$6:$A$89,0)+MATCH($D123,'[2]End - Use Prices'!$B$9:$B$11,0)-1,MATCH(AG$1,'[2]End - Use Prices'!$C$7:$AL$7,0))</f>
        <v>26.06</v>
      </c>
      <c r="AH123" s="41">
        <f>INDEX('[2]End - Use Prices'!$C$6:$AL$89,MATCH($C123,'[2]End - Use Prices'!$A$6:$A$89,0)+MATCH($D123,'[2]End - Use Prices'!$B$9:$B$11,0)-1,MATCH(AH$1,'[2]End - Use Prices'!$C$7:$AL$7,0))</f>
        <v>30.99</v>
      </c>
      <c r="AI123" s="41">
        <f>INDEX('[2]End - Use Prices'!$C$6:$AL$89,MATCH($C123,'[2]End - Use Prices'!$A$6:$A$89,0)+MATCH($D123,'[2]End - Use Prices'!$B$9:$B$11,0)-1,MATCH(AI$1,'[2]End - Use Prices'!$C$7:$AL$7,0))</f>
        <v>27.98</v>
      </c>
      <c r="AJ123" s="41">
        <f>INDEX('[2]End - Use Prices'!$C$6:$AL$89,MATCH($C123,'[2]End - Use Prices'!$A$6:$A$89,0)+MATCH($D123,'[2]End - Use Prices'!$B$9:$B$11,0)-1,MATCH(AJ$1,'[2]End - Use Prices'!$C$7:$AL$7,0))</f>
        <v>25.3</v>
      </c>
      <c r="AK123" s="41">
        <f>INDEX('[2]End - Use Prices'!$C$6:$AL$89,MATCH($C123,'[2]End - Use Prices'!$A$6:$A$89,0)+MATCH($D123,'[2]End - Use Prices'!$B$9:$B$11,0)-1,MATCH(AK$1,'[2]End - Use Prices'!$C$7:$AL$7,0))</f>
        <v>25.21</v>
      </c>
      <c r="AL123" s="41">
        <f>INDEX('[2]End - Use Prices'!$C$6:$AL$89,MATCH($C123,'[2]End - Use Prices'!$A$6:$A$89,0)+MATCH($D123,'[2]End - Use Prices'!$B$9:$B$11,0)-1,MATCH(AL$1,'[2]End - Use Prices'!$C$7:$AL$7,0))</f>
        <v>25.2</v>
      </c>
      <c r="AM123" s="41">
        <f>INDEX('[2]End - Use Prices'!$C$6:$AL$89,MATCH($C123,'[2]End - Use Prices'!$A$6:$A$89,0)+MATCH($D123,'[2]End - Use Prices'!$B$9:$B$11,0)-1,MATCH(AM$1,'[2]End - Use Prices'!$C$7:$AL$7,0))</f>
        <v>25.99</v>
      </c>
      <c r="AN123" s="41">
        <f>INDEX('[2]End - Use Prices'!$C$6:$AL$89,MATCH($C123,'[2]End - Use Prices'!$A$6:$A$89,0)+MATCH($D123,'[2]End - Use Prices'!$B$9:$B$11,0)-1,MATCH(AN$1,'[2]End - Use Prices'!$C$7:$AL$7,0))</f>
        <v>26.36</v>
      </c>
      <c r="AO123" s="41">
        <f>INDEX('[2]End - Use Prices'!$C$6:$AL$89,MATCH($C123,'[2]End - Use Prices'!$A$6:$A$89,0)+MATCH($D123,'[2]End - Use Prices'!$B$9:$B$11,0)-1,MATCH(AO$1,'[2]End - Use Prices'!$C$7:$AL$7,0))</f>
        <v>26.71</v>
      </c>
      <c r="AP123" s="41">
        <f>INDEX('[2]End - Use Prices'!$C$6:$AL$89,MATCH($C123,'[2]End - Use Prices'!$A$6:$A$89,0)+MATCH($D123,'[2]End - Use Prices'!$B$9:$B$11,0)-1,MATCH(AP$1,'[2]End - Use Prices'!$C$7:$AL$7,0))</f>
        <v>27.03</v>
      </c>
      <c r="AQ123" s="41">
        <f>INDEX('[2]End - Use Prices'!$C$6:$AL$89,MATCH($C123,'[2]End - Use Prices'!$A$6:$A$89,0)+MATCH($D123,'[2]End - Use Prices'!$B$9:$B$11,0)-1,MATCH(AQ$1,'[2]End - Use Prices'!$C$7:$AL$7,0))</f>
        <v>26.98</v>
      </c>
      <c r="AR123" s="41">
        <f>INDEX('[2]End - Use Prices'!$C$6:$AL$89,MATCH($C123,'[2]End - Use Prices'!$A$6:$A$89,0)+MATCH($D123,'[2]End - Use Prices'!$B$9:$B$11,0)-1,MATCH(AR$1,'[2]End - Use Prices'!$C$7:$AL$7,0))</f>
        <v>26.97</v>
      </c>
      <c r="AS123" s="41">
        <f>INDEX('[2]End - Use Prices'!$C$6:$AL$89,MATCH($C123,'[2]End - Use Prices'!$A$6:$A$89,0)+MATCH($D123,'[2]End - Use Prices'!$B$9:$B$11,0)-1,MATCH(AS$1,'[2]End - Use Prices'!$C$7:$AL$7,0))</f>
        <v>27.01</v>
      </c>
      <c r="AT123" s="41">
        <f>INDEX('[2]End - Use Prices'!$C$6:$AL$89,MATCH($C123,'[2]End - Use Prices'!$A$6:$A$89,0)+MATCH($D123,'[2]End - Use Prices'!$B$9:$B$11,0)-1,MATCH(AT$1,'[2]End - Use Prices'!$C$7:$AL$7,0))</f>
        <v>27.04</v>
      </c>
      <c r="AU123" s="41">
        <f>INDEX('[2]End - Use Prices'!$C$6:$AL$89,MATCH($C123,'[2]End - Use Prices'!$A$6:$A$89,0)+MATCH($D123,'[2]End - Use Prices'!$B$9:$B$11,0)-1,MATCH(AU$1,'[2]End - Use Prices'!$C$7:$AL$7,0))</f>
        <v>27.1</v>
      </c>
      <c r="AV123" s="41">
        <f>INDEX('[2]End - Use Prices'!$C$6:$AL$89,MATCH($C123,'[2]End - Use Prices'!$A$6:$A$89,0)+MATCH($D123,'[2]End - Use Prices'!$B$9:$B$11,0)-1,MATCH(AV$1,'[2]End - Use Prices'!$C$7:$AL$7,0))</f>
        <v>27.16</v>
      </c>
      <c r="AW123" s="41">
        <f>INDEX('[2]End - Use Prices'!$C$6:$AL$89,MATCH($C123,'[2]End - Use Prices'!$A$6:$A$89,0)+MATCH($D123,'[2]End - Use Prices'!$B$9:$B$11,0)-1,MATCH(AW$1,'[2]End - Use Prices'!$C$7:$AL$7,0))</f>
        <v>27.22</v>
      </c>
      <c r="AX123" s="41">
        <f>INDEX('[2]End - Use Prices'!$C$6:$AL$89,MATCH($C123,'[2]End - Use Prices'!$A$6:$A$89,0)+MATCH($D123,'[2]End - Use Prices'!$B$9:$B$11,0)-1,MATCH(AX$1,'[2]End - Use Prices'!$C$7:$AL$7,0))</f>
        <v>27.29</v>
      </c>
      <c r="AY123" s="41">
        <f>INDEX('[2]End - Use Prices'!$C$6:$AL$89,MATCH($C123,'[2]End - Use Prices'!$A$6:$A$89,0)+MATCH($D123,'[2]End - Use Prices'!$B$9:$B$11,0)-1,MATCH(AY$1,'[2]End - Use Prices'!$C$7:$AL$7,0))</f>
        <v>27.37</v>
      </c>
      <c r="AZ123" s="41">
        <f>INDEX('[2]End - Use Prices'!$C$6:$AL$89,MATCH($C123,'[2]End - Use Prices'!$A$6:$A$89,0)+MATCH($D123,'[2]End - Use Prices'!$B$9:$B$11,0)-1,MATCH(AZ$1,'[2]End - Use Prices'!$C$7:$AL$7,0))</f>
        <v>27.46</v>
      </c>
      <c r="BA123" s="41">
        <f>INDEX('[2]End - Use Prices'!$C$6:$AL$89,MATCH($C123,'[2]End - Use Prices'!$A$6:$A$89,0)+MATCH($D123,'[2]End - Use Prices'!$B$9:$B$11,0)-1,MATCH(BA$1,'[2]End - Use Prices'!$C$7:$AL$7,0))</f>
        <v>27.51</v>
      </c>
      <c r="BB123" s="41">
        <f>INDEX('[2]End - Use Prices'!$C$6:$AL$89,MATCH($C123,'[2]End - Use Prices'!$A$6:$A$89,0)+MATCH($D123,'[2]End - Use Prices'!$B$9:$B$11,0)-1,MATCH(BB$1,'[2]End - Use Prices'!$C$7:$AL$7,0))</f>
        <v>27.55</v>
      </c>
      <c r="BC123" s="41">
        <f>INDEX('[2]End - Use Prices'!$C$6:$AL$89,MATCH($C123,'[2]End - Use Prices'!$A$6:$A$89,0)+MATCH($D123,'[2]End - Use Prices'!$B$9:$B$11,0)-1,MATCH(BC$1,'[2]End - Use Prices'!$C$7:$AL$7,0))</f>
        <v>27.58</v>
      </c>
      <c r="BD123" s="41">
        <f>INDEX('[2]End - Use Prices'!$C$6:$AL$89,MATCH($C123,'[2]End - Use Prices'!$A$6:$A$89,0)+MATCH($D123,'[2]End - Use Prices'!$B$9:$B$11,0)-1,MATCH(BD$1,'[2]End - Use Prices'!$C$7:$AL$7,0))</f>
        <v>27.6</v>
      </c>
      <c r="BE123" s="41">
        <f>INDEX('[2]End - Use Prices'!$C$6:$AL$89,MATCH($C123,'[2]End - Use Prices'!$A$6:$A$89,0)+MATCH($D123,'[2]End - Use Prices'!$B$9:$B$11,0)-1,MATCH(BE$1,'[2]End - Use Prices'!$C$7:$AL$7,0))</f>
        <v>27.61</v>
      </c>
      <c r="BF123" s="41">
        <f>INDEX('[2]End - Use Prices'!$C$6:$AL$89,MATCH($C123,'[2]End - Use Prices'!$A$6:$A$89,0)+MATCH($D123,'[2]End - Use Prices'!$B$9:$B$11,0)-1,MATCH(BF$1,'[2]End - Use Prices'!$C$7:$AL$7,0))</f>
        <v>27.62</v>
      </c>
      <c r="BG123" s="41">
        <f>INDEX('[2]End - Use Prices'!$C$6:$AL$89,MATCH($C123,'[2]End - Use Prices'!$A$6:$A$89,0)+MATCH($D123,'[2]End - Use Prices'!$B$9:$B$11,0)-1,MATCH(BG$1,'[2]End - Use Prices'!$C$7:$AL$7,0))</f>
        <v>27.62</v>
      </c>
      <c r="BR123" s="39"/>
      <c r="BS123" s="39"/>
      <c r="BT123" s="39"/>
      <c r="BU123" s="39"/>
      <c r="BV123" s="39"/>
      <c r="BW123" s="39"/>
      <c r="BX123" s="39"/>
      <c r="BY123" s="39"/>
      <c r="BZ123" s="39"/>
      <c r="CA123" s="39"/>
    </row>
    <row r="124" spans="1:79">
      <c r="A124" s="5"/>
      <c r="B124" s="3"/>
      <c r="C124" s="25" t="s">
        <v>87</v>
      </c>
      <c r="D124" s="25" t="s">
        <v>13</v>
      </c>
      <c r="E124" s="25" t="s">
        <v>277</v>
      </c>
      <c r="F124" s="67" t="s">
        <v>275</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INDEX('[2]End - Use Prices'!$C$6:$AL$89,MATCH($C124,'[2]End - Use Prices'!$A$6:$A$89,0)+MATCH($D124,'[2]End - Use Prices'!$B$9:$B$11,0)-1,MATCH(X$1,'[2]End - Use Prices'!$C$7:$AL$7,0))</f>
        <v>18.899999999999999</v>
      </c>
      <c r="Y124" s="41">
        <f>INDEX('[2]End - Use Prices'!$C$6:$AL$89,MATCH($C124,'[2]End - Use Prices'!$A$6:$A$89,0)+MATCH($D124,'[2]End - Use Prices'!$B$9:$B$11,0)-1,MATCH(Y$1,'[2]End - Use Prices'!$C$7:$AL$7,0))</f>
        <v>18.940000000000001</v>
      </c>
      <c r="Z124" s="41">
        <f>INDEX('[2]End - Use Prices'!$C$6:$AL$89,MATCH($C124,'[2]End - Use Prices'!$A$6:$A$89,0)+MATCH($D124,'[2]End - Use Prices'!$B$9:$B$11,0)-1,MATCH(Z$1,'[2]End - Use Prices'!$C$7:$AL$7,0))</f>
        <v>11.86</v>
      </c>
      <c r="AA124" s="41">
        <f>INDEX('[2]End - Use Prices'!$C$6:$AL$89,MATCH($C124,'[2]End - Use Prices'!$A$6:$A$89,0)+MATCH($D124,'[2]End - Use Prices'!$B$9:$B$11,0)-1,MATCH(AA$1,'[2]End - Use Prices'!$C$7:$AL$7,0))</f>
        <v>14.01</v>
      </c>
      <c r="AB124" s="41">
        <f>INDEX('[2]End - Use Prices'!$C$6:$AL$89,MATCH($C124,'[2]End - Use Prices'!$A$6:$A$89,0)+MATCH($D124,'[2]End - Use Prices'!$B$9:$B$11,0)-1,MATCH(AB$1,'[2]End - Use Prices'!$C$7:$AL$7,0))</f>
        <v>14.6</v>
      </c>
      <c r="AC124" s="41">
        <f>INDEX('[2]End - Use Prices'!$C$6:$AL$89,MATCH($C124,'[2]End - Use Prices'!$A$6:$A$89,0)+MATCH($D124,'[2]End - Use Prices'!$B$9:$B$11,0)-1,MATCH(AC$1,'[2]End - Use Prices'!$C$7:$AL$7,0))</f>
        <v>20.09</v>
      </c>
      <c r="AD124" s="41">
        <f>INDEX('[2]End - Use Prices'!$C$6:$AL$89,MATCH($C124,'[2]End - Use Prices'!$A$6:$A$89,0)+MATCH($D124,'[2]End - Use Prices'!$B$9:$B$11,0)-1,MATCH(AD$1,'[2]End - Use Prices'!$C$7:$AL$7,0))</f>
        <v>17.2</v>
      </c>
      <c r="AE124" s="41">
        <f>INDEX('[2]End - Use Prices'!$C$6:$AL$89,MATCH($C124,'[2]End - Use Prices'!$A$6:$A$89,0)+MATCH($D124,'[2]End - Use Prices'!$B$9:$B$11,0)-1,MATCH(AE$1,'[2]End - Use Prices'!$C$7:$AL$7,0))</f>
        <v>17.59</v>
      </c>
      <c r="AF124" s="41">
        <f>INDEX('[2]End - Use Prices'!$C$6:$AL$89,MATCH($C124,'[2]End - Use Prices'!$A$6:$A$89,0)+MATCH($D124,'[2]End - Use Prices'!$B$9:$B$11,0)-1,MATCH(AF$1,'[2]End - Use Prices'!$C$7:$AL$7,0))</f>
        <v>18.75</v>
      </c>
      <c r="AG124" s="41">
        <f>INDEX('[2]End - Use Prices'!$C$6:$AL$89,MATCH($C124,'[2]End - Use Prices'!$A$6:$A$89,0)+MATCH($D124,'[2]End - Use Prices'!$B$9:$B$11,0)-1,MATCH(AG$1,'[2]End - Use Prices'!$C$7:$AL$7,0))</f>
        <v>18.48</v>
      </c>
      <c r="AH124" s="41">
        <f>INDEX('[2]End - Use Prices'!$C$6:$AL$89,MATCH($C124,'[2]End - Use Prices'!$A$6:$A$89,0)+MATCH($D124,'[2]End - Use Prices'!$B$9:$B$11,0)-1,MATCH(AH$1,'[2]End - Use Prices'!$C$7:$AL$7,0))</f>
        <v>13.86</v>
      </c>
      <c r="AI124" s="41">
        <f>INDEX('[2]End - Use Prices'!$C$6:$AL$89,MATCH($C124,'[2]End - Use Prices'!$A$6:$A$89,0)+MATCH($D124,'[2]End - Use Prices'!$B$9:$B$11,0)-1,MATCH(AI$1,'[2]End - Use Prices'!$C$7:$AL$7,0))</f>
        <v>9.4700000000000006</v>
      </c>
      <c r="AJ124" s="41">
        <f>INDEX('[2]End - Use Prices'!$C$6:$AL$89,MATCH($C124,'[2]End - Use Prices'!$A$6:$A$89,0)+MATCH($D124,'[2]End - Use Prices'!$B$9:$B$11,0)-1,MATCH(AJ$1,'[2]End - Use Prices'!$C$7:$AL$7,0))</f>
        <v>10.75</v>
      </c>
      <c r="AK124" s="41">
        <f>INDEX('[2]End - Use Prices'!$C$6:$AL$89,MATCH($C124,'[2]End - Use Prices'!$A$6:$A$89,0)+MATCH($D124,'[2]End - Use Prices'!$B$9:$B$11,0)-1,MATCH(AK$1,'[2]End - Use Prices'!$C$7:$AL$7,0))</f>
        <v>10.63</v>
      </c>
      <c r="AL124" s="41">
        <f>INDEX('[2]End - Use Prices'!$C$6:$AL$89,MATCH($C124,'[2]End - Use Prices'!$A$6:$A$89,0)+MATCH($D124,'[2]End - Use Prices'!$B$9:$B$11,0)-1,MATCH(AL$1,'[2]End - Use Prices'!$C$7:$AL$7,0))</f>
        <v>10.61</v>
      </c>
      <c r="AM124" s="41">
        <f>INDEX('[2]End - Use Prices'!$C$6:$AL$89,MATCH($C124,'[2]End - Use Prices'!$A$6:$A$89,0)+MATCH($D124,'[2]End - Use Prices'!$B$9:$B$11,0)-1,MATCH(AM$1,'[2]End - Use Prices'!$C$7:$AL$7,0))</f>
        <v>11.56</v>
      </c>
      <c r="AN124" s="41">
        <f>INDEX('[2]End - Use Prices'!$C$6:$AL$89,MATCH($C124,'[2]End - Use Prices'!$A$6:$A$89,0)+MATCH($D124,'[2]End - Use Prices'!$B$9:$B$11,0)-1,MATCH(AN$1,'[2]End - Use Prices'!$C$7:$AL$7,0))</f>
        <v>12.01</v>
      </c>
      <c r="AO124" s="41">
        <f>INDEX('[2]End - Use Prices'!$C$6:$AL$89,MATCH($C124,'[2]End - Use Prices'!$A$6:$A$89,0)+MATCH($D124,'[2]End - Use Prices'!$B$9:$B$11,0)-1,MATCH(AO$1,'[2]End - Use Prices'!$C$7:$AL$7,0))</f>
        <v>12.44</v>
      </c>
      <c r="AP124" s="41">
        <f>INDEX('[2]End - Use Prices'!$C$6:$AL$89,MATCH($C124,'[2]End - Use Prices'!$A$6:$A$89,0)+MATCH($D124,'[2]End - Use Prices'!$B$9:$B$11,0)-1,MATCH(AP$1,'[2]End - Use Prices'!$C$7:$AL$7,0))</f>
        <v>12.83</v>
      </c>
      <c r="AQ124" s="41">
        <f>INDEX('[2]End - Use Prices'!$C$6:$AL$89,MATCH($C124,'[2]End - Use Prices'!$A$6:$A$89,0)+MATCH($D124,'[2]End - Use Prices'!$B$9:$B$11,0)-1,MATCH(AQ$1,'[2]End - Use Prices'!$C$7:$AL$7,0))</f>
        <v>12.77</v>
      </c>
      <c r="AR124" s="41">
        <f>INDEX('[2]End - Use Prices'!$C$6:$AL$89,MATCH($C124,'[2]End - Use Prices'!$A$6:$A$89,0)+MATCH($D124,'[2]End - Use Prices'!$B$9:$B$11,0)-1,MATCH(AR$1,'[2]End - Use Prices'!$C$7:$AL$7,0))</f>
        <v>12.76</v>
      </c>
      <c r="AS124" s="41">
        <f>INDEX('[2]End - Use Prices'!$C$6:$AL$89,MATCH($C124,'[2]End - Use Prices'!$A$6:$A$89,0)+MATCH($D124,'[2]End - Use Prices'!$B$9:$B$11,0)-1,MATCH(AS$1,'[2]End - Use Prices'!$C$7:$AL$7,0))</f>
        <v>12.82</v>
      </c>
      <c r="AT124" s="41">
        <f>INDEX('[2]End - Use Prices'!$C$6:$AL$89,MATCH($C124,'[2]End - Use Prices'!$A$6:$A$89,0)+MATCH($D124,'[2]End - Use Prices'!$B$9:$B$11,0)-1,MATCH(AT$1,'[2]End - Use Prices'!$C$7:$AL$7,0))</f>
        <v>12.87</v>
      </c>
      <c r="AU124" s="41">
        <f>INDEX('[2]End - Use Prices'!$C$6:$AL$89,MATCH($C124,'[2]End - Use Prices'!$A$6:$A$89,0)+MATCH($D124,'[2]End - Use Prices'!$B$9:$B$11,0)-1,MATCH(AU$1,'[2]End - Use Prices'!$C$7:$AL$7,0))</f>
        <v>12.94</v>
      </c>
      <c r="AV124" s="41">
        <f>INDEX('[2]End - Use Prices'!$C$6:$AL$89,MATCH($C124,'[2]End - Use Prices'!$A$6:$A$89,0)+MATCH($D124,'[2]End - Use Prices'!$B$9:$B$11,0)-1,MATCH(AV$1,'[2]End - Use Prices'!$C$7:$AL$7,0))</f>
        <v>13.03</v>
      </c>
      <c r="AW124" s="41">
        <f>INDEX('[2]End - Use Prices'!$C$6:$AL$89,MATCH($C124,'[2]End - Use Prices'!$A$6:$A$89,0)+MATCH($D124,'[2]End - Use Prices'!$B$9:$B$11,0)-1,MATCH(AW$1,'[2]End - Use Prices'!$C$7:$AL$7,0))</f>
        <v>13.11</v>
      </c>
      <c r="AX124" s="41">
        <f>INDEX('[2]End - Use Prices'!$C$6:$AL$89,MATCH($C124,'[2]End - Use Prices'!$A$6:$A$89,0)+MATCH($D124,'[2]End - Use Prices'!$B$9:$B$11,0)-1,MATCH(AX$1,'[2]End - Use Prices'!$C$7:$AL$7,0))</f>
        <v>13.21</v>
      </c>
      <c r="AY124" s="41">
        <f>INDEX('[2]End - Use Prices'!$C$6:$AL$89,MATCH($C124,'[2]End - Use Prices'!$A$6:$A$89,0)+MATCH($D124,'[2]End - Use Prices'!$B$9:$B$11,0)-1,MATCH(AY$1,'[2]End - Use Prices'!$C$7:$AL$7,0))</f>
        <v>13.32</v>
      </c>
      <c r="AZ124" s="41">
        <f>INDEX('[2]End - Use Prices'!$C$6:$AL$89,MATCH($C124,'[2]End - Use Prices'!$A$6:$A$89,0)+MATCH($D124,'[2]End - Use Prices'!$B$9:$B$11,0)-1,MATCH(AZ$1,'[2]End - Use Prices'!$C$7:$AL$7,0))</f>
        <v>13.44</v>
      </c>
      <c r="BA124" s="41">
        <f>INDEX('[2]End - Use Prices'!$C$6:$AL$89,MATCH($C124,'[2]End - Use Prices'!$A$6:$A$89,0)+MATCH($D124,'[2]End - Use Prices'!$B$9:$B$11,0)-1,MATCH(BA$1,'[2]End - Use Prices'!$C$7:$AL$7,0))</f>
        <v>13.5</v>
      </c>
      <c r="BB124" s="41">
        <f>INDEX('[2]End - Use Prices'!$C$6:$AL$89,MATCH($C124,'[2]End - Use Prices'!$A$6:$A$89,0)+MATCH($D124,'[2]End - Use Prices'!$B$9:$B$11,0)-1,MATCH(BB$1,'[2]End - Use Prices'!$C$7:$AL$7,0))</f>
        <v>13.55</v>
      </c>
      <c r="BC124" s="41">
        <f>INDEX('[2]End - Use Prices'!$C$6:$AL$89,MATCH($C124,'[2]End - Use Prices'!$A$6:$A$89,0)+MATCH($D124,'[2]End - Use Prices'!$B$9:$B$11,0)-1,MATCH(BC$1,'[2]End - Use Prices'!$C$7:$AL$7,0))</f>
        <v>13.6</v>
      </c>
      <c r="BD124" s="41">
        <f>INDEX('[2]End - Use Prices'!$C$6:$AL$89,MATCH($C124,'[2]End - Use Prices'!$A$6:$A$89,0)+MATCH($D124,'[2]End - Use Prices'!$B$9:$B$11,0)-1,MATCH(BD$1,'[2]End - Use Prices'!$C$7:$AL$7,0))</f>
        <v>13.63</v>
      </c>
      <c r="BE124" s="41">
        <f>INDEX('[2]End - Use Prices'!$C$6:$AL$89,MATCH($C124,'[2]End - Use Prices'!$A$6:$A$89,0)+MATCH($D124,'[2]End - Use Prices'!$B$9:$B$11,0)-1,MATCH(BE$1,'[2]End - Use Prices'!$C$7:$AL$7,0))</f>
        <v>13.64</v>
      </c>
      <c r="BF124" s="41">
        <f>INDEX('[2]End - Use Prices'!$C$6:$AL$89,MATCH($C124,'[2]End - Use Prices'!$A$6:$A$89,0)+MATCH($D124,'[2]End - Use Prices'!$B$9:$B$11,0)-1,MATCH(BF$1,'[2]End - Use Prices'!$C$7:$AL$7,0))</f>
        <v>13.66</v>
      </c>
      <c r="BG124" s="41">
        <f>INDEX('[2]End - Use Prices'!$C$6:$AL$89,MATCH($C124,'[2]End - Use Prices'!$A$6:$A$89,0)+MATCH($D124,'[2]End - Use Prices'!$B$9:$B$11,0)-1,MATCH(BG$1,'[2]End - Use Prices'!$C$7:$AL$7,0))</f>
        <v>13.67</v>
      </c>
      <c r="BR124" s="39"/>
      <c r="BS124" s="39"/>
      <c r="BT124" s="39"/>
      <c r="BU124" s="39"/>
      <c r="BV124" s="39"/>
      <c r="BW124" s="39"/>
      <c r="BX124" s="39"/>
      <c r="BY124" s="39"/>
      <c r="BZ124" s="39"/>
      <c r="CA124" s="39"/>
    </row>
    <row r="125" spans="1:79">
      <c r="A125" s="5"/>
      <c r="B125" s="3"/>
      <c r="C125" s="25" t="s">
        <v>88</v>
      </c>
      <c r="D125" s="25" t="s">
        <v>13</v>
      </c>
      <c r="E125" s="25" t="s">
        <v>277</v>
      </c>
      <c r="F125" s="67" t="s">
        <v>275</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INDEX('[2]End - Use Prices'!$C$6:$AL$89,MATCH($C125,'[2]End - Use Prices'!$A$6:$A$89,0)+MATCH($D125,'[2]End - Use Prices'!$B$9:$B$11,0)-1,MATCH(X$1,'[2]End - Use Prices'!$C$7:$AL$7,0))</f>
        <v>20.32</v>
      </c>
      <c r="Y125" s="41">
        <f>INDEX('[2]End - Use Prices'!$C$6:$AL$89,MATCH($C125,'[2]End - Use Prices'!$A$6:$A$89,0)+MATCH($D125,'[2]End - Use Prices'!$B$9:$B$11,0)-1,MATCH(Y$1,'[2]End - Use Prices'!$C$7:$AL$7,0))</f>
        <v>20.36</v>
      </c>
      <c r="Z125" s="41">
        <f>INDEX('[2]End - Use Prices'!$C$6:$AL$89,MATCH($C125,'[2]End - Use Prices'!$A$6:$A$89,0)+MATCH($D125,'[2]End - Use Prices'!$B$9:$B$11,0)-1,MATCH(Z$1,'[2]End - Use Prices'!$C$7:$AL$7,0))</f>
        <v>19</v>
      </c>
      <c r="AA125" s="41">
        <f>INDEX('[2]End - Use Prices'!$C$6:$AL$89,MATCH($C125,'[2]End - Use Prices'!$A$6:$A$89,0)+MATCH($D125,'[2]End - Use Prices'!$B$9:$B$11,0)-1,MATCH(AA$1,'[2]End - Use Prices'!$C$7:$AL$7,0))</f>
        <v>19.5</v>
      </c>
      <c r="AB125" s="41">
        <f>INDEX('[2]End - Use Prices'!$C$6:$AL$89,MATCH($C125,'[2]End - Use Prices'!$A$6:$A$89,0)+MATCH($D125,'[2]End - Use Prices'!$B$9:$B$11,0)-1,MATCH(AB$1,'[2]End - Use Prices'!$C$7:$AL$7,0))</f>
        <v>18.579999999999998</v>
      </c>
      <c r="AC125" s="41">
        <f>INDEX('[2]End - Use Prices'!$C$6:$AL$89,MATCH($C125,'[2]End - Use Prices'!$A$6:$A$89,0)+MATCH($D125,'[2]End - Use Prices'!$B$9:$B$11,0)-1,MATCH(AC$1,'[2]End - Use Prices'!$C$7:$AL$7,0))</f>
        <v>18.399999999999999</v>
      </c>
      <c r="AD125" s="41">
        <f>INDEX('[2]End - Use Prices'!$C$6:$AL$89,MATCH($C125,'[2]End - Use Prices'!$A$6:$A$89,0)+MATCH($D125,'[2]End - Use Prices'!$B$9:$B$11,0)-1,MATCH(AD$1,'[2]End - Use Prices'!$C$7:$AL$7,0))</f>
        <v>17.54</v>
      </c>
      <c r="AE125" s="41">
        <f>INDEX('[2]End - Use Prices'!$C$6:$AL$89,MATCH($C125,'[2]End - Use Prices'!$A$6:$A$89,0)+MATCH($D125,'[2]End - Use Prices'!$B$9:$B$11,0)-1,MATCH(AE$1,'[2]End - Use Prices'!$C$7:$AL$7,0))</f>
        <v>17.05</v>
      </c>
      <c r="AF125" s="41">
        <f>INDEX('[2]End - Use Prices'!$C$6:$AL$89,MATCH($C125,'[2]End - Use Prices'!$A$6:$A$89,0)+MATCH($D125,'[2]End - Use Prices'!$B$9:$B$11,0)-1,MATCH(AF$1,'[2]End - Use Prices'!$C$7:$AL$7,0))</f>
        <v>15.49</v>
      </c>
      <c r="AG125" s="41">
        <f>INDEX('[2]End - Use Prices'!$C$6:$AL$89,MATCH($C125,'[2]End - Use Prices'!$A$6:$A$89,0)+MATCH($D125,'[2]End - Use Prices'!$B$9:$B$11,0)-1,MATCH(AG$1,'[2]End - Use Prices'!$C$7:$AL$7,0))</f>
        <v>16.84</v>
      </c>
      <c r="AH125" s="41">
        <f>INDEX('[2]End - Use Prices'!$C$6:$AL$89,MATCH($C125,'[2]End - Use Prices'!$A$6:$A$89,0)+MATCH($D125,'[2]End - Use Prices'!$B$9:$B$11,0)-1,MATCH(AH$1,'[2]End - Use Prices'!$C$7:$AL$7,0))</f>
        <v>15.95</v>
      </c>
      <c r="AI125" s="41">
        <f>INDEX('[2]End - Use Prices'!$C$6:$AL$89,MATCH($C125,'[2]End - Use Prices'!$A$6:$A$89,0)+MATCH($D125,'[2]End - Use Prices'!$B$9:$B$11,0)-1,MATCH(AI$1,'[2]End - Use Prices'!$C$7:$AL$7,0))</f>
        <v>14.86</v>
      </c>
      <c r="AJ125" s="41">
        <f>INDEX('[2]End - Use Prices'!$C$6:$AL$89,MATCH($C125,'[2]End - Use Prices'!$A$6:$A$89,0)+MATCH($D125,'[2]End - Use Prices'!$B$9:$B$11,0)-1,MATCH(AJ$1,'[2]End - Use Prices'!$C$7:$AL$7,0))</f>
        <v>15.15</v>
      </c>
      <c r="AK125" s="41">
        <f>INDEX('[2]End - Use Prices'!$C$6:$AL$89,MATCH($C125,'[2]End - Use Prices'!$A$6:$A$89,0)+MATCH($D125,'[2]End - Use Prices'!$B$9:$B$11,0)-1,MATCH(AK$1,'[2]End - Use Prices'!$C$7:$AL$7,0))</f>
        <v>15</v>
      </c>
      <c r="AL125" s="41">
        <f>INDEX('[2]End - Use Prices'!$C$6:$AL$89,MATCH($C125,'[2]End - Use Prices'!$A$6:$A$89,0)+MATCH($D125,'[2]End - Use Prices'!$B$9:$B$11,0)-1,MATCH(AL$1,'[2]End - Use Prices'!$C$7:$AL$7,0))</f>
        <v>14.94</v>
      </c>
      <c r="AM125" s="41">
        <f>INDEX('[2]End - Use Prices'!$C$6:$AL$89,MATCH($C125,'[2]End - Use Prices'!$A$6:$A$89,0)+MATCH($D125,'[2]End - Use Prices'!$B$9:$B$11,0)-1,MATCH(AM$1,'[2]End - Use Prices'!$C$7:$AL$7,0))</f>
        <v>15</v>
      </c>
      <c r="AN125" s="41">
        <f>INDEX('[2]End - Use Prices'!$C$6:$AL$89,MATCH($C125,'[2]End - Use Prices'!$A$6:$A$89,0)+MATCH($D125,'[2]End - Use Prices'!$B$9:$B$11,0)-1,MATCH(AN$1,'[2]End - Use Prices'!$C$7:$AL$7,0))</f>
        <v>15.24</v>
      </c>
      <c r="AO125" s="41">
        <f>INDEX('[2]End - Use Prices'!$C$6:$AL$89,MATCH($C125,'[2]End - Use Prices'!$A$6:$A$89,0)+MATCH($D125,'[2]End - Use Prices'!$B$9:$B$11,0)-1,MATCH(AO$1,'[2]End - Use Prices'!$C$7:$AL$7,0))</f>
        <v>15.47</v>
      </c>
      <c r="AP125" s="41">
        <f>INDEX('[2]End - Use Prices'!$C$6:$AL$89,MATCH($C125,'[2]End - Use Prices'!$A$6:$A$89,0)+MATCH($D125,'[2]End - Use Prices'!$B$9:$B$11,0)-1,MATCH(AP$1,'[2]End - Use Prices'!$C$7:$AL$7,0))</f>
        <v>15.66</v>
      </c>
      <c r="AQ125" s="41">
        <f>INDEX('[2]End - Use Prices'!$C$6:$AL$89,MATCH($C125,'[2]End - Use Prices'!$A$6:$A$89,0)+MATCH($D125,'[2]End - Use Prices'!$B$9:$B$11,0)-1,MATCH(AQ$1,'[2]End - Use Prices'!$C$7:$AL$7,0))</f>
        <v>15.86</v>
      </c>
      <c r="AR125" s="41">
        <f>INDEX('[2]End - Use Prices'!$C$6:$AL$89,MATCH($C125,'[2]End - Use Prices'!$A$6:$A$89,0)+MATCH($D125,'[2]End - Use Prices'!$B$9:$B$11,0)-1,MATCH(AR$1,'[2]End - Use Prices'!$C$7:$AL$7,0))</f>
        <v>16.07</v>
      </c>
      <c r="AS125" s="41">
        <f>INDEX('[2]End - Use Prices'!$C$6:$AL$89,MATCH($C125,'[2]End - Use Prices'!$A$6:$A$89,0)+MATCH($D125,'[2]End - Use Prices'!$B$9:$B$11,0)-1,MATCH(AS$1,'[2]End - Use Prices'!$C$7:$AL$7,0))</f>
        <v>16.350000000000001</v>
      </c>
      <c r="AT125" s="41">
        <f>INDEX('[2]End - Use Prices'!$C$6:$AL$89,MATCH($C125,'[2]End - Use Prices'!$A$6:$A$89,0)+MATCH($D125,'[2]End - Use Prices'!$B$9:$B$11,0)-1,MATCH(AT$1,'[2]End - Use Prices'!$C$7:$AL$7,0))</f>
        <v>16.36</v>
      </c>
      <c r="AU125" s="41">
        <f>INDEX('[2]End - Use Prices'!$C$6:$AL$89,MATCH($C125,'[2]End - Use Prices'!$A$6:$A$89,0)+MATCH($D125,'[2]End - Use Prices'!$B$9:$B$11,0)-1,MATCH(AU$1,'[2]End - Use Prices'!$C$7:$AL$7,0))</f>
        <v>16.399999999999999</v>
      </c>
      <c r="AV125" s="41">
        <f>INDEX('[2]End - Use Prices'!$C$6:$AL$89,MATCH($C125,'[2]End - Use Prices'!$A$6:$A$89,0)+MATCH($D125,'[2]End - Use Prices'!$B$9:$B$11,0)-1,MATCH(AV$1,'[2]End - Use Prices'!$C$7:$AL$7,0))</f>
        <v>16.45</v>
      </c>
      <c r="AW125" s="41">
        <f>INDEX('[2]End - Use Prices'!$C$6:$AL$89,MATCH($C125,'[2]End - Use Prices'!$A$6:$A$89,0)+MATCH($D125,'[2]End - Use Prices'!$B$9:$B$11,0)-1,MATCH(AW$1,'[2]End - Use Prices'!$C$7:$AL$7,0))</f>
        <v>16.5</v>
      </c>
      <c r="AX125" s="41">
        <f>INDEX('[2]End - Use Prices'!$C$6:$AL$89,MATCH($C125,'[2]End - Use Prices'!$A$6:$A$89,0)+MATCH($D125,'[2]End - Use Prices'!$B$9:$B$11,0)-1,MATCH(AX$1,'[2]End - Use Prices'!$C$7:$AL$7,0))</f>
        <v>16.57</v>
      </c>
      <c r="AY125" s="41">
        <f>INDEX('[2]End - Use Prices'!$C$6:$AL$89,MATCH($C125,'[2]End - Use Prices'!$A$6:$A$89,0)+MATCH($D125,'[2]End - Use Prices'!$B$9:$B$11,0)-1,MATCH(AY$1,'[2]End - Use Prices'!$C$7:$AL$7,0))</f>
        <v>16.649999999999999</v>
      </c>
      <c r="AZ125" s="41">
        <f>INDEX('[2]End - Use Prices'!$C$6:$AL$89,MATCH($C125,'[2]End - Use Prices'!$A$6:$A$89,0)+MATCH($D125,'[2]End - Use Prices'!$B$9:$B$11,0)-1,MATCH(AZ$1,'[2]End - Use Prices'!$C$7:$AL$7,0))</f>
        <v>16.739999999999998</v>
      </c>
      <c r="BA125" s="41">
        <f>INDEX('[2]End - Use Prices'!$C$6:$AL$89,MATCH($C125,'[2]End - Use Prices'!$A$6:$A$89,0)+MATCH($D125,'[2]End - Use Prices'!$B$9:$B$11,0)-1,MATCH(BA$1,'[2]End - Use Prices'!$C$7:$AL$7,0))</f>
        <v>16.77</v>
      </c>
      <c r="BB125" s="41">
        <f>INDEX('[2]End - Use Prices'!$C$6:$AL$89,MATCH($C125,'[2]End - Use Prices'!$A$6:$A$89,0)+MATCH($D125,'[2]End - Use Prices'!$B$9:$B$11,0)-1,MATCH(BB$1,'[2]End - Use Prices'!$C$7:$AL$7,0))</f>
        <v>16.809999999999999</v>
      </c>
      <c r="BC125" s="41">
        <f>INDEX('[2]End - Use Prices'!$C$6:$AL$89,MATCH($C125,'[2]End - Use Prices'!$A$6:$A$89,0)+MATCH($D125,'[2]End - Use Prices'!$B$9:$B$11,0)-1,MATCH(BC$1,'[2]End - Use Prices'!$C$7:$AL$7,0))</f>
        <v>16.829999999999998</v>
      </c>
      <c r="BD125" s="41">
        <f>INDEX('[2]End - Use Prices'!$C$6:$AL$89,MATCH($C125,'[2]End - Use Prices'!$A$6:$A$89,0)+MATCH($D125,'[2]End - Use Prices'!$B$9:$B$11,0)-1,MATCH(BD$1,'[2]End - Use Prices'!$C$7:$AL$7,0))</f>
        <v>16.829999999999998</v>
      </c>
      <c r="BE125" s="41">
        <f>INDEX('[2]End - Use Prices'!$C$6:$AL$89,MATCH($C125,'[2]End - Use Prices'!$A$6:$A$89,0)+MATCH($D125,'[2]End - Use Prices'!$B$9:$B$11,0)-1,MATCH(BE$1,'[2]End - Use Prices'!$C$7:$AL$7,0))</f>
        <v>16.829999999999998</v>
      </c>
      <c r="BF125" s="41">
        <f>INDEX('[2]End - Use Prices'!$C$6:$AL$89,MATCH($C125,'[2]End - Use Prices'!$A$6:$A$89,0)+MATCH($D125,'[2]End - Use Prices'!$B$9:$B$11,0)-1,MATCH(BF$1,'[2]End - Use Prices'!$C$7:$AL$7,0))</f>
        <v>16.82</v>
      </c>
      <c r="BG125" s="41">
        <f>INDEX('[2]End - Use Prices'!$C$6:$AL$89,MATCH($C125,'[2]End - Use Prices'!$A$6:$A$89,0)+MATCH($D125,'[2]End - Use Prices'!$B$9:$B$11,0)-1,MATCH(BG$1,'[2]End - Use Prices'!$C$7:$AL$7,0))</f>
        <v>16.809999999999999</v>
      </c>
      <c r="BR125" s="39"/>
      <c r="BS125" s="39"/>
      <c r="BT125" s="39"/>
      <c r="BU125" s="39"/>
      <c r="BV125" s="39"/>
      <c r="BW125" s="39"/>
      <c r="BX125" s="39"/>
      <c r="BY125" s="39"/>
      <c r="BZ125" s="39"/>
      <c r="CA125" s="39"/>
    </row>
    <row r="126" spans="1:79">
      <c r="A126" s="5"/>
      <c r="B126" s="3"/>
      <c r="C126" s="25" t="s">
        <v>89</v>
      </c>
      <c r="D126" s="25" t="s">
        <v>13</v>
      </c>
      <c r="E126" s="25" t="s">
        <v>277</v>
      </c>
      <c r="F126" s="67" t="s">
        <v>275</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INDEX('[2]End - Use Prices'!$C$6:$AL$89,MATCH($C126,'[2]End - Use Prices'!$A$6:$A$89,0)+MATCH($D126,'[2]End - Use Prices'!$B$9:$B$11,0)-1,MATCH(X$1,'[2]End - Use Prices'!$C$7:$AL$7,0))</f>
        <v>16.739999999999998</v>
      </c>
      <c r="Y126" s="41">
        <f>INDEX('[2]End - Use Prices'!$C$6:$AL$89,MATCH($C126,'[2]End - Use Prices'!$A$6:$A$89,0)+MATCH($D126,'[2]End - Use Prices'!$B$9:$B$11,0)-1,MATCH(Y$1,'[2]End - Use Prices'!$C$7:$AL$7,0))</f>
        <v>17.82</v>
      </c>
      <c r="Z126" s="41">
        <f>INDEX('[2]End - Use Prices'!$C$6:$AL$89,MATCH($C126,'[2]End - Use Prices'!$A$6:$A$89,0)+MATCH($D126,'[2]End - Use Prices'!$B$9:$B$11,0)-1,MATCH(Z$1,'[2]End - Use Prices'!$C$7:$AL$7,0))</f>
        <v>16.100000000000001</v>
      </c>
      <c r="AA126" s="41">
        <f>INDEX('[2]End - Use Prices'!$C$6:$AL$89,MATCH($C126,'[2]End - Use Prices'!$A$6:$A$89,0)+MATCH($D126,'[2]End - Use Prices'!$B$9:$B$11,0)-1,MATCH(AA$1,'[2]End - Use Prices'!$C$7:$AL$7,0))</f>
        <v>16.25</v>
      </c>
      <c r="AB126" s="41">
        <f>INDEX('[2]End - Use Prices'!$C$6:$AL$89,MATCH($C126,'[2]End - Use Prices'!$A$6:$A$89,0)+MATCH($D126,'[2]End - Use Prices'!$B$9:$B$11,0)-1,MATCH(AB$1,'[2]End - Use Prices'!$C$7:$AL$7,0))</f>
        <v>13.76</v>
      </c>
      <c r="AC126" s="41">
        <f>INDEX('[2]End - Use Prices'!$C$6:$AL$89,MATCH($C126,'[2]End - Use Prices'!$A$6:$A$89,0)+MATCH($D126,'[2]End - Use Prices'!$B$9:$B$11,0)-1,MATCH(AC$1,'[2]End - Use Prices'!$C$7:$AL$7,0))</f>
        <v>13.57</v>
      </c>
      <c r="AD126" s="41">
        <f>INDEX('[2]End - Use Prices'!$C$6:$AL$89,MATCH($C126,'[2]End - Use Prices'!$A$6:$A$89,0)+MATCH($D126,'[2]End - Use Prices'!$B$9:$B$11,0)-1,MATCH(AD$1,'[2]End - Use Prices'!$C$7:$AL$7,0))</f>
        <v>11.83</v>
      </c>
      <c r="AE126" s="41">
        <f>INDEX('[2]End - Use Prices'!$C$6:$AL$89,MATCH($C126,'[2]End - Use Prices'!$A$6:$A$89,0)+MATCH($D126,'[2]End - Use Prices'!$B$9:$B$11,0)-1,MATCH(AE$1,'[2]End - Use Prices'!$C$7:$AL$7,0))</f>
        <v>11.22</v>
      </c>
      <c r="AF126" s="41">
        <f>INDEX('[2]End - Use Prices'!$C$6:$AL$89,MATCH($C126,'[2]End - Use Prices'!$A$6:$A$89,0)+MATCH($D126,'[2]End - Use Prices'!$B$9:$B$11,0)-1,MATCH(AF$1,'[2]End - Use Prices'!$C$7:$AL$7,0))</f>
        <v>11.17</v>
      </c>
      <c r="AG126" s="41">
        <f>INDEX('[2]End - Use Prices'!$C$6:$AL$89,MATCH($C126,'[2]End - Use Prices'!$A$6:$A$89,0)+MATCH($D126,'[2]End - Use Prices'!$B$9:$B$11,0)-1,MATCH(AG$1,'[2]End - Use Prices'!$C$7:$AL$7,0))</f>
        <v>12.03</v>
      </c>
      <c r="AH126" s="41">
        <f>INDEX('[2]End - Use Prices'!$C$6:$AL$89,MATCH($C126,'[2]End - Use Prices'!$A$6:$A$89,0)+MATCH($D126,'[2]End - Use Prices'!$B$9:$B$11,0)-1,MATCH(AH$1,'[2]End - Use Prices'!$C$7:$AL$7,0))</f>
        <v>12.15</v>
      </c>
      <c r="AI126" s="41">
        <f>INDEX('[2]End - Use Prices'!$C$6:$AL$89,MATCH($C126,'[2]End - Use Prices'!$A$6:$A$89,0)+MATCH($D126,'[2]End - Use Prices'!$B$9:$B$11,0)-1,MATCH(AI$1,'[2]End - Use Prices'!$C$7:$AL$7,0))</f>
        <v>9.42</v>
      </c>
      <c r="AJ126" s="41">
        <f>INDEX('[2]End - Use Prices'!$C$6:$AL$89,MATCH($C126,'[2]End - Use Prices'!$A$6:$A$89,0)+MATCH($D126,'[2]End - Use Prices'!$B$9:$B$11,0)-1,MATCH(AJ$1,'[2]End - Use Prices'!$C$7:$AL$7,0))</f>
        <v>13.49</v>
      </c>
      <c r="AK126" s="41">
        <f>INDEX('[2]End - Use Prices'!$C$6:$AL$89,MATCH($C126,'[2]End - Use Prices'!$A$6:$A$89,0)+MATCH($D126,'[2]End - Use Prices'!$B$9:$B$11,0)-1,MATCH(AK$1,'[2]End - Use Prices'!$C$7:$AL$7,0))</f>
        <v>10.95</v>
      </c>
      <c r="AL126" s="41">
        <f>INDEX('[2]End - Use Prices'!$C$6:$AL$89,MATCH($C126,'[2]End - Use Prices'!$A$6:$A$89,0)+MATCH($D126,'[2]End - Use Prices'!$B$9:$B$11,0)-1,MATCH(AL$1,'[2]End - Use Prices'!$C$7:$AL$7,0))</f>
        <v>10.029999999999999</v>
      </c>
      <c r="AM126" s="41">
        <f>INDEX('[2]End - Use Prices'!$C$6:$AL$89,MATCH($C126,'[2]End - Use Prices'!$A$6:$A$89,0)+MATCH($D126,'[2]End - Use Prices'!$B$9:$B$11,0)-1,MATCH(AM$1,'[2]End - Use Prices'!$C$7:$AL$7,0))</f>
        <v>10.119999999999999</v>
      </c>
      <c r="AN126" s="41">
        <f>INDEX('[2]End - Use Prices'!$C$6:$AL$89,MATCH($C126,'[2]End - Use Prices'!$A$6:$A$89,0)+MATCH($D126,'[2]End - Use Prices'!$B$9:$B$11,0)-1,MATCH(AN$1,'[2]End - Use Prices'!$C$7:$AL$7,0))</f>
        <v>10.4</v>
      </c>
      <c r="AO126" s="41">
        <f>INDEX('[2]End - Use Prices'!$C$6:$AL$89,MATCH($C126,'[2]End - Use Prices'!$A$6:$A$89,0)+MATCH($D126,'[2]End - Use Prices'!$B$9:$B$11,0)-1,MATCH(AO$1,'[2]End - Use Prices'!$C$7:$AL$7,0))</f>
        <v>10.68</v>
      </c>
      <c r="AP126" s="41">
        <f>INDEX('[2]End - Use Prices'!$C$6:$AL$89,MATCH($C126,'[2]End - Use Prices'!$A$6:$A$89,0)+MATCH($D126,'[2]End - Use Prices'!$B$9:$B$11,0)-1,MATCH(AP$1,'[2]End - Use Prices'!$C$7:$AL$7,0))</f>
        <v>10.91</v>
      </c>
      <c r="AQ126" s="41">
        <f>INDEX('[2]End - Use Prices'!$C$6:$AL$89,MATCH($C126,'[2]End - Use Prices'!$A$6:$A$89,0)+MATCH($D126,'[2]End - Use Prices'!$B$9:$B$11,0)-1,MATCH(AQ$1,'[2]End - Use Prices'!$C$7:$AL$7,0))</f>
        <v>11.15</v>
      </c>
      <c r="AR126" s="41">
        <f>INDEX('[2]End - Use Prices'!$C$6:$AL$89,MATCH($C126,'[2]End - Use Prices'!$A$6:$A$89,0)+MATCH($D126,'[2]End - Use Prices'!$B$9:$B$11,0)-1,MATCH(AR$1,'[2]End - Use Prices'!$C$7:$AL$7,0))</f>
        <v>11.4</v>
      </c>
      <c r="AS126" s="41">
        <f>INDEX('[2]End - Use Prices'!$C$6:$AL$89,MATCH($C126,'[2]End - Use Prices'!$A$6:$A$89,0)+MATCH($D126,'[2]End - Use Prices'!$B$9:$B$11,0)-1,MATCH(AS$1,'[2]End - Use Prices'!$C$7:$AL$7,0))</f>
        <v>11.72</v>
      </c>
      <c r="AT126" s="41">
        <f>INDEX('[2]End - Use Prices'!$C$6:$AL$89,MATCH($C126,'[2]End - Use Prices'!$A$6:$A$89,0)+MATCH($D126,'[2]End - Use Prices'!$B$9:$B$11,0)-1,MATCH(AT$1,'[2]End - Use Prices'!$C$7:$AL$7,0))</f>
        <v>11.76</v>
      </c>
      <c r="AU126" s="41">
        <f>INDEX('[2]End - Use Prices'!$C$6:$AL$89,MATCH($C126,'[2]End - Use Prices'!$A$6:$A$89,0)+MATCH($D126,'[2]End - Use Prices'!$B$9:$B$11,0)-1,MATCH(AU$1,'[2]End - Use Prices'!$C$7:$AL$7,0))</f>
        <v>11.83</v>
      </c>
      <c r="AV126" s="41">
        <f>INDEX('[2]End - Use Prices'!$C$6:$AL$89,MATCH($C126,'[2]End - Use Prices'!$A$6:$A$89,0)+MATCH($D126,'[2]End - Use Prices'!$B$9:$B$11,0)-1,MATCH(AV$1,'[2]End - Use Prices'!$C$7:$AL$7,0))</f>
        <v>11.91</v>
      </c>
      <c r="AW126" s="41">
        <f>INDEX('[2]End - Use Prices'!$C$6:$AL$89,MATCH($C126,'[2]End - Use Prices'!$A$6:$A$89,0)+MATCH($D126,'[2]End - Use Prices'!$B$9:$B$11,0)-1,MATCH(AW$1,'[2]End - Use Prices'!$C$7:$AL$7,0))</f>
        <v>11.98</v>
      </c>
      <c r="AX126" s="41">
        <f>INDEX('[2]End - Use Prices'!$C$6:$AL$89,MATCH($C126,'[2]End - Use Prices'!$A$6:$A$89,0)+MATCH($D126,'[2]End - Use Prices'!$B$9:$B$11,0)-1,MATCH(AX$1,'[2]End - Use Prices'!$C$7:$AL$7,0))</f>
        <v>12.07</v>
      </c>
      <c r="AY126" s="41">
        <f>INDEX('[2]End - Use Prices'!$C$6:$AL$89,MATCH($C126,'[2]End - Use Prices'!$A$6:$A$89,0)+MATCH($D126,'[2]End - Use Prices'!$B$9:$B$11,0)-1,MATCH(AY$1,'[2]End - Use Prices'!$C$7:$AL$7,0))</f>
        <v>12.18</v>
      </c>
      <c r="AZ126" s="41">
        <f>INDEX('[2]End - Use Prices'!$C$6:$AL$89,MATCH($C126,'[2]End - Use Prices'!$A$6:$A$89,0)+MATCH($D126,'[2]End - Use Prices'!$B$9:$B$11,0)-1,MATCH(AZ$1,'[2]End - Use Prices'!$C$7:$AL$7,0))</f>
        <v>12.29</v>
      </c>
      <c r="BA126" s="41">
        <f>INDEX('[2]End - Use Prices'!$C$6:$AL$89,MATCH($C126,'[2]End - Use Prices'!$A$6:$A$89,0)+MATCH($D126,'[2]End - Use Prices'!$B$9:$B$11,0)-1,MATCH(BA$1,'[2]End - Use Prices'!$C$7:$AL$7,0))</f>
        <v>12.35</v>
      </c>
      <c r="BB126" s="41">
        <f>INDEX('[2]End - Use Prices'!$C$6:$AL$89,MATCH($C126,'[2]End - Use Prices'!$A$6:$A$89,0)+MATCH($D126,'[2]End - Use Prices'!$B$9:$B$11,0)-1,MATCH(BB$1,'[2]End - Use Prices'!$C$7:$AL$7,0))</f>
        <v>12.4</v>
      </c>
      <c r="BC126" s="41">
        <f>INDEX('[2]End - Use Prices'!$C$6:$AL$89,MATCH($C126,'[2]End - Use Prices'!$A$6:$A$89,0)+MATCH($D126,'[2]End - Use Prices'!$B$9:$B$11,0)-1,MATCH(BC$1,'[2]End - Use Prices'!$C$7:$AL$7,0))</f>
        <v>12.45</v>
      </c>
      <c r="BD126" s="41">
        <f>INDEX('[2]End - Use Prices'!$C$6:$AL$89,MATCH($C126,'[2]End - Use Prices'!$A$6:$A$89,0)+MATCH($D126,'[2]End - Use Prices'!$B$9:$B$11,0)-1,MATCH(BD$1,'[2]End - Use Prices'!$C$7:$AL$7,0))</f>
        <v>12.48</v>
      </c>
      <c r="BE126" s="41">
        <f>INDEX('[2]End - Use Prices'!$C$6:$AL$89,MATCH($C126,'[2]End - Use Prices'!$A$6:$A$89,0)+MATCH($D126,'[2]End - Use Prices'!$B$9:$B$11,0)-1,MATCH(BE$1,'[2]End - Use Prices'!$C$7:$AL$7,0))</f>
        <v>12.49</v>
      </c>
      <c r="BF126" s="41">
        <f>INDEX('[2]End - Use Prices'!$C$6:$AL$89,MATCH($C126,'[2]End - Use Prices'!$A$6:$A$89,0)+MATCH($D126,'[2]End - Use Prices'!$B$9:$B$11,0)-1,MATCH(BF$1,'[2]End - Use Prices'!$C$7:$AL$7,0))</f>
        <v>12.51</v>
      </c>
      <c r="BG126" s="41">
        <f>INDEX('[2]End - Use Prices'!$C$6:$AL$89,MATCH($C126,'[2]End - Use Prices'!$A$6:$A$89,0)+MATCH($D126,'[2]End - Use Prices'!$B$9:$B$11,0)-1,MATCH(BG$1,'[2]End - Use Prices'!$C$7:$AL$7,0))</f>
        <v>12.52</v>
      </c>
      <c r="BR126" s="39"/>
      <c r="BS126" s="39"/>
      <c r="BT126" s="39"/>
      <c r="BU126" s="39"/>
      <c r="BV126" s="39"/>
      <c r="BW126" s="39"/>
      <c r="BX126" s="39"/>
      <c r="BY126" s="39"/>
      <c r="BZ126" s="39"/>
      <c r="CA126" s="39"/>
    </row>
    <row r="127" spans="1:79">
      <c r="A127" s="5"/>
      <c r="B127" s="3"/>
      <c r="C127" s="25" t="s">
        <v>90</v>
      </c>
      <c r="D127" s="25" t="s">
        <v>13</v>
      </c>
      <c r="E127" s="25" t="s">
        <v>277</v>
      </c>
      <c r="F127" s="67" t="s">
        <v>275</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INDEX('[2]End - Use Prices'!$C$6:$AL$89,MATCH($C127,'[2]End - Use Prices'!$A$6:$A$89,0)+MATCH($D127,'[2]End - Use Prices'!$B$9:$B$11,0)-1,MATCH(X$1,'[2]End - Use Prices'!$C$7:$AL$7,0))</f>
        <v>16.21</v>
      </c>
      <c r="Y127" s="41">
        <f>INDEX('[2]End - Use Prices'!$C$6:$AL$89,MATCH($C127,'[2]End - Use Prices'!$A$6:$A$89,0)+MATCH($D127,'[2]End - Use Prices'!$B$9:$B$11,0)-1,MATCH(Y$1,'[2]End - Use Prices'!$C$7:$AL$7,0))</f>
        <v>15.41</v>
      </c>
      <c r="Z127" s="41">
        <f>INDEX('[2]End - Use Prices'!$C$6:$AL$89,MATCH($C127,'[2]End - Use Prices'!$A$6:$A$89,0)+MATCH($D127,'[2]End - Use Prices'!$B$9:$B$11,0)-1,MATCH(Z$1,'[2]End - Use Prices'!$C$7:$AL$7,0))</f>
        <v>14.81</v>
      </c>
      <c r="AA127" s="41">
        <f>INDEX('[2]End - Use Prices'!$C$6:$AL$89,MATCH($C127,'[2]End - Use Prices'!$A$6:$A$89,0)+MATCH($D127,'[2]End - Use Prices'!$B$9:$B$11,0)-1,MATCH(AA$1,'[2]End - Use Prices'!$C$7:$AL$7,0))</f>
        <v>14.53</v>
      </c>
      <c r="AB127" s="41">
        <f>INDEX('[2]End - Use Prices'!$C$6:$AL$89,MATCH($C127,'[2]End - Use Prices'!$A$6:$A$89,0)+MATCH($D127,'[2]End - Use Prices'!$B$9:$B$11,0)-1,MATCH(AB$1,'[2]End - Use Prices'!$C$7:$AL$7,0))</f>
        <v>14.23</v>
      </c>
      <c r="AC127" s="41">
        <f>INDEX('[2]End - Use Prices'!$C$6:$AL$89,MATCH($C127,'[2]End - Use Prices'!$A$6:$A$89,0)+MATCH($D127,'[2]End - Use Prices'!$B$9:$B$11,0)-1,MATCH(AC$1,'[2]End - Use Prices'!$C$7:$AL$7,0))</f>
        <v>11.7</v>
      </c>
      <c r="AD127" s="41">
        <f>INDEX('[2]End - Use Prices'!$C$6:$AL$89,MATCH($C127,'[2]End - Use Prices'!$A$6:$A$89,0)+MATCH($D127,'[2]End - Use Prices'!$B$9:$B$11,0)-1,MATCH(AD$1,'[2]End - Use Prices'!$C$7:$AL$7,0))</f>
        <v>11.6</v>
      </c>
      <c r="AE127" s="41">
        <f>INDEX('[2]End - Use Prices'!$C$6:$AL$89,MATCH($C127,'[2]End - Use Prices'!$A$6:$A$89,0)+MATCH($D127,'[2]End - Use Prices'!$B$9:$B$11,0)-1,MATCH(AE$1,'[2]End - Use Prices'!$C$7:$AL$7,0))</f>
        <v>10.07</v>
      </c>
      <c r="AF127" s="41">
        <f>INDEX('[2]End - Use Prices'!$C$6:$AL$89,MATCH($C127,'[2]End - Use Prices'!$A$6:$A$89,0)+MATCH($D127,'[2]End - Use Prices'!$B$9:$B$11,0)-1,MATCH(AF$1,'[2]End - Use Prices'!$C$7:$AL$7,0))</f>
        <v>10.41</v>
      </c>
      <c r="AG127" s="41">
        <f>INDEX('[2]End - Use Prices'!$C$6:$AL$89,MATCH($C127,'[2]End - Use Prices'!$A$6:$A$89,0)+MATCH($D127,'[2]End - Use Prices'!$B$9:$B$11,0)-1,MATCH(AG$1,'[2]End - Use Prices'!$C$7:$AL$7,0))</f>
        <v>10.98</v>
      </c>
      <c r="AH127" s="41">
        <f>INDEX('[2]End - Use Prices'!$C$6:$AL$89,MATCH($C127,'[2]End - Use Prices'!$A$6:$A$89,0)+MATCH($D127,'[2]End - Use Prices'!$B$9:$B$11,0)-1,MATCH(AH$1,'[2]End - Use Prices'!$C$7:$AL$7,0))</f>
        <v>11.47</v>
      </c>
      <c r="AI127" s="41">
        <f>INDEX('[2]End - Use Prices'!$C$6:$AL$89,MATCH($C127,'[2]End - Use Prices'!$A$6:$A$89,0)+MATCH($D127,'[2]End - Use Prices'!$B$9:$B$11,0)-1,MATCH(AI$1,'[2]End - Use Prices'!$C$7:$AL$7,0))</f>
        <v>9.65</v>
      </c>
      <c r="AJ127" s="41">
        <f>INDEX('[2]End - Use Prices'!$C$6:$AL$89,MATCH($C127,'[2]End - Use Prices'!$A$6:$A$89,0)+MATCH($D127,'[2]End - Use Prices'!$B$9:$B$11,0)-1,MATCH(AJ$1,'[2]End - Use Prices'!$C$7:$AL$7,0))</f>
        <v>9.7100000000000009</v>
      </c>
      <c r="AK127" s="41">
        <f>INDEX('[2]End - Use Prices'!$C$6:$AL$89,MATCH($C127,'[2]End - Use Prices'!$A$6:$A$89,0)+MATCH($D127,'[2]End - Use Prices'!$B$9:$B$11,0)-1,MATCH(AK$1,'[2]End - Use Prices'!$C$7:$AL$7,0))</f>
        <v>9.6300000000000008</v>
      </c>
      <c r="AL127" s="41">
        <f>INDEX('[2]End - Use Prices'!$C$6:$AL$89,MATCH($C127,'[2]End - Use Prices'!$A$6:$A$89,0)+MATCH($D127,'[2]End - Use Prices'!$B$9:$B$11,0)-1,MATCH(AL$1,'[2]End - Use Prices'!$C$7:$AL$7,0))</f>
        <v>9.6199999999999992</v>
      </c>
      <c r="AM127" s="41">
        <f>INDEX('[2]End - Use Prices'!$C$6:$AL$89,MATCH($C127,'[2]End - Use Prices'!$A$6:$A$89,0)+MATCH($D127,'[2]End - Use Prices'!$B$9:$B$11,0)-1,MATCH(AM$1,'[2]End - Use Prices'!$C$7:$AL$7,0))</f>
        <v>10.53</v>
      </c>
      <c r="AN127" s="41">
        <f>INDEX('[2]End - Use Prices'!$C$6:$AL$89,MATCH($C127,'[2]End - Use Prices'!$A$6:$A$89,0)+MATCH($D127,'[2]End - Use Prices'!$B$9:$B$11,0)-1,MATCH(AN$1,'[2]End - Use Prices'!$C$7:$AL$7,0))</f>
        <v>10.96</v>
      </c>
      <c r="AO127" s="41">
        <f>INDEX('[2]End - Use Prices'!$C$6:$AL$89,MATCH($C127,'[2]End - Use Prices'!$A$6:$A$89,0)+MATCH($D127,'[2]End - Use Prices'!$B$9:$B$11,0)-1,MATCH(AO$1,'[2]End - Use Prices'!$C$7:$AL$7,0))</f>
        <v>11.37</v>
      </c>
      <c r="AP127" s="41">
        <f>INDEX('[2]End - Use Prices'!$C$6:$AL$89,MATCH($C127,'[2]End - Use Prices'!$A$6:$A$89,0)+MATCH($D127,'[2]End - Use Prices'!$B$9:$B$11,0)-1,MATCH(AP$1,'[2]End - Use Prices'!$C$7:$AL$7,0))</f>
        <v>11.74</v>
      </c>
      <c r="AQ127" s="41">
        <f>INDEX('[2]End - Use Prices'!$C$6:$AL$89,MATCH($C127,'[2]End - Use Prices'!$A$6:$A$89,0)+MATCH($D127,'[2]End - Use Prices'!$B$9:$B$11,0)-1,MATCH(AQ$1,'[2]End - Use Prices'!$C$7:$AL$7,0))</f>
        <v>11.76</v>
      </c>
      <c r="AR127" s="41">
        <f>INDEX('[2]End - Use Prices'!$C$6:$AL$89,MATCH($C127,'[2]End - Use Prices'!$A$6:$A$89,0)+MATCH($D127,'[2]End - Use Prices'!$B$9:$B$11,0)-1,MATCH(AR$1,'[2]End - Use Prices'!$C$7:$AL$7,0))</f>
        <v>11.81</v>
      </c>
      <c r="AS127" s="41">
        <f>INDEX('[2]End - Use Prices'!$C$6:$AL$89,MATCH($C127,'[2]End - Use Prices'!$A$6:$A$89,0)+MATCH($D127,'[2]End - Use Prices'!$B$9:$B$11,0)-1,MATCH(AS$1,'[2]End - Use Prices'!$C$7:$AL$7,0))</f>
        <v>11.93</v>
      </c>
      <c r="AT127" s="41">
        <f>INDEX('[2]End - Use Prices'!$C$6:$AL$89,MATCH($C127,'[2]End - Use Prices'!$A$6:$A$89,0)+MATCH($D127,'[2]End - Use Prices'!$B$9:$B$11,0)-1,MATCH(AT$1,'[2]End - Use Prices'!$C$7:$AL$7,0))</f>
        <v>12.04</v>
      </c>
      <c r="AU127" s="41">
        <f>INDEX('[2]End - Use Prices'!$C$6:$AL$89,MATCH($C127,'[2]End - Use Prices'!$A$6:$A$89,0)+MATCH($D127,'[2]End - Use Prices'!$B$9:$B$11,0)-1,MATCH(AU$1,'[2]End - Use Prices'!$C$7:$AL$7,0))</f>
        <v>12.16</v>
      </c>
      <c r="AV127" s="41">
        <f>INDEX('[2]End - Use Prices'!$C$6:$AL$89,MATCH($C127,'[2]End - Use Prices'!$A$6:$A$89,0)+MATCH($D127,'[2]End - Use Prices'!$B$9:$B$11,0)-1,MATCH(AV$1,'[2]End - Use Prices'!$C$7:$AL$7,0))</f>
        <v>12.3</v>
      </c>
      <c r="AW127" s="41">
        <f>INDEX('[2]End - Use Prices'!$C$6:$AL$89,MATCH($C127,'[2]End - Use Prices'!$A$6:$A$89,0)+MATCH($D127,'[2]End - Use Prices'!$B$9:$B$11,0)-1,MATCH(AW$1,'[2]End - Use Prices'!$C$7:$AL$7,0))</f>
        <v>12.43</v>
      </c>
      <c r="AX127" s="41">
        <f>INDEX('[2]End - Use Prices'!$C$6:$AL$89,MATCH($C127,'[2]End - Use Prices'!$A$6:$A$89,0)+MATCH($D127,'[2]End - Use Prices'!$B$9:$B$11,0)-1,MATCH(AX$1,'[2]End - Use Prices'!$C$7:$AL$7,0))</f>
        <v>12.56</v>
      </c>
      <c r="AY127" s="41">
        <f>INDEX('[2]End - Use Prices'!$C$6:$AL$89,MATCH($C127,'[2]End - Use Prices'!$A$6:$A$89,0)+MATCH($D127,'[2]End - Use Prices'!$B$9:$B$11,0)-1,MATCH(AY$1,'[2]End - Use Prices'!$C$7:$AL$7,0))</f>
        <v>12.7</v>
      </c>
      <c r="AZ127" s="41">
        <f>INDEX('[2]End - Use Prices'!$C$6:$AL$89,MATCH($C127,'[2]End - Use Prices'!$A$6:$A$89,0)+MATCH($D127,'[2]End - Use Prices'!$B$9:$B$11,0)-1,MATCH(AZ$1,'[2]End - Use Prices'!$C$7:$AL$7,0))</f>
        <v>12.86</v>
      </c>
      <c r="BA127" s="41">
        <f>INDEX('[2]End - Use Prices'!$C$6:$AL$89,MATCH($C127,'[2]End - Use Prices'!$A$6:$A$89,0)+MATCH($D127,'[2]End - Use Prices'!$B$9:$B$11,0)-1,MATCH(BA$1,'[2]End - Use Prices'!$C$7:$AL$7,0))</f>
        <v>12.95</v>
      </c>
      <c r="BB127" s="41">
        <f>INDEX('[2]End - Use Prices'!$C$6:$AL$89,MATCH($C127,'[2]End - Use Prices'!$A$6:$A$89,0)+MATCH($D127,'[2]End - Use Prices'!$B$9:$B$11,0)-1,MATCH(BB$1,'[2]End - Use Prices'!$C$7:$AL$7,0))</f>
        <v>13.03</v>
      </c>
      <c r="BC127" s="41">
        <f>INDEX('[2]End - Use Prices'!$C$6:$AL$89,MATCH($C127,'[2]End - Use Prices'!$A$6:$A$89,0)+MATCH($D127,'[2]End - Use Prices'!$B$9:$B$11,0)-1,MATCH(BC$1,'[2]End - Use Prices'!$C$7:$AL$7,0))</f>
        <v>13.11</v>
      </c>
      <c r="BD127" s="41">
        <f>INDEX('[2]End - Use Prices'!$C$6:$AL$89,MATCH($C127,'[2]End - Use Prices'!$A$6:$A$89,0)+MATCH($D127,'[2]End - Use Prices'!$B$9:$B$11,0)-1,MATCH(BD$1,'[2]End - Use Prices'!$C$7:$AL$7,0))</f>
        <v>13.17</v>
      </c>
      <c r="BE127" s="41">
        <f>INDEX('[2]End - Use Prices'!$C$6:$AL$89,MATCH($C127,'[2]End - Use Prices'!$A$6:$A$89,0)+MATCH($D127,'[2]End - Use Prices'!$B$9:$B$11,0)-1,MATCH(BE$1,'[2]End - Use Prices'!$C$7:$AL$7,0))</f>
        <v>13.22</v>
      </c>
      <c r="BF127" s="41">
        <f>INDEX('[2]End - Use Prices'!$C$6:$AL$89,MATCH($C127,'[2]End - Use Prices'!$A$6:$A$89,0)+MATCH($D127,'[2]End - Use Prices'!$B$9:$B$11,0)-1,MATCH(BF$1,'[2]End - Use Prices'!$C$7:$AL$7,0))</f>
        <v>13.27</v>
      </c>
      <c r="BG127" s="41">
        <f>INDEX('[2]End - Use Prices'!$C$6:$AL$89,MATCH($C127,'[2]End - Use Prices'!$A$6:$A$89,0)+MATCH($D127,'[2]End - Use Prices'!$B$9:$B$11,0)-1,MATCH(BG$1,'[2]End - Use Prices'!$C$7:$AL$7,0))</f>
        <v>13.31</v>
      </c>
      <c r="BR127" s="39"/>
      <c r="BS127" s="39"/>
      <c r="BT127" s="39"/>
      <c r="BU127" s="39"/>
      <c r="BV127" s="39"/>
      <c r="BW127" s="39"/>
      <c r="BX127" s="39"/>
      <c r="BY127" s="39"/>
      <c r="BZ127" s="39"/>
      <c r="CA127" s="39"/>
    </row>
    <row r="128" spans="1:79">
      <c r="A128" s="5"/>
      <c r="B128" s="3"/>
      <c r="C128" s="25" t="s">
        <v>91</v>
      </c>
      <c r="D128" s="25" t="s">
        <v>13</v>
      </c>
      <c r="E128" s="25" t="s">
        <v>277</v>
      </c>
      <c r="F128" s="67" t="s">
        <v>275</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INDEX('[2]End - Use Prices'!$C$6:$AL$89,MATCH($C128,'[2]End - Use Prices'!$A$6:$A$89,0)+MATCH($D128,'[2]End - Use Prices'!$B$9:$B$11,0)-1,MATCH(X$1,'[2]End - Use Prices'!$C$7:$AL$7,0))</f>
        <v>14.11</v>
      </c>
      <c r="Y128" s="41">
        <f>INDEX('[2]End - Use Prices'!$C$6:$AL$89,MATCH($C128,'[2]End - Use Prices'!$A$6:$A$89,0)+MATCH($D128,'[2]End - Use Prices'!$B$9:$B$11,0)-1,MATCH(Y$1,'[2]End - Use Prices'!$C$7:$AL$7,0))</f>
        <v>13.96</v>
      </c>
      <c r="Z128" s="41">
        <f>INDEX('[2]End - Use Prices'!$C$6:$AL$89,MATCH($C128,'[2]End - Use Prices'!$A$6:$A$89,0)+MATCH($D128,'[2]End - Use Prices'!$B$9:$B$11,0)-1,MATCH(Z$1,'[2]End - Use Prices'!$C$7:$AL$7,0))</f>
        <v>13.58</v>
      </c>
      <c r="AA128" s="41">
        <f>INDEX('[2]End - Use Prices'!$C$6:$AL$89,MATCH($C128,'[2]End - Use Prices'!$A$6:$A$89,0)+MATCH($D128,'[2]End - Use Prices'!$B$9:$B$11,0)-1,MATCH(AA$1,'[2]End - Use Prices'!$C$7:$AL$7,0))</f>
        <v>12.3</v>
      </c>
      <c r="AB128" s="41">
        <f>INDEX('[2]End - Use Prices'!$C$6:$AL$89,MATCH($C128,'[2]End - Use Prices'!$A$6:$A$89,0)+MATCH($D128,'[2]End - Use Prices'!$B$9:$B$11,0)-1,MATCH(AB$1,'[2]End - Use Prices'!$C$7:$AL$7,0))</f>
        <v>14.1</v>
      </c>
      <c r="AC128" s="41">
        <f>INDEX('[2]End - Use Prices'!$C$6:$AL$89,MATCH($C128,'[2]End - Use Prices'!$A$6:$A$89,0)+MATCH($D128,'[2]End - Use Prices'!$B$9:$B$11,0)-1,MATCH(AC$1,'[2]End - Use Prices'!$C$7:$AL$7,0))</f>
        <v>12.28</v>
      </c>
      <c r="AD128" s="41">
        <f>INDEX('[2]End - Use Prices'!$C$6:$AL$89,MATCH($C128,'[2]End - Use Prices'!$A$6:$A$89,0)+MATCH($D128,'[2]End - Use Prices'!$B$9:$B$11,0)-1,MATCH(AD$1,'[2]End - Use Prices'!$C$7:$AL$7,0))</f>
        <v>11.25</v>
      </c>
      <c r="AE128" s="41">
        <f>INDEX('[2]End - Use Prices'!$C$6:$AL$89,MATCH($C128,'[2]End - Use Prices'!$A$6:$A$89,0)+MATCH($D128,'[2]End - Use Prices'!$B$9:$B$11,0)-1,MATCH(AE$1,'[2]End - Use Prices'!$C$7:$AL$7,0))</f>
        <v>10.93</v>
      </c>
      <c r="AF128" s="41">
        <f>INDEX('[2]End - Use Prices'!$C$6:$AL$89,MATCH($C128,'[2]End - Use Prices'!$A$6:$A$89,0)+MATCH($D128,'[2]End - Use Prices'!$B$9:$B$11,0)-1,MATCH(AF$1,'[2]End - Use Prices'!$C$7:$AL$7,0))</f>
        <v>10.61</v>
      </c>
      <c r="AG128" s="41">
        <f>INDEX('[2]End - Use Prices'!$C$6:$AL$89,MATCH($C128,'[2]End - Use Prices'!$A$6:$A$89,0)+MATCH($D128,'[2]End - Use Prices'!$B$9:$B$11,0)-1,MATCH(AG$1,'[2]End - Use Prices'!$C$7:$AL$7,0))</f>
        <v>9.19</v>
      </c>
      <c r="AH128" s="41">
        <f>INDEX('[2]End - Use Prices'!$C$6:$AL$89,MATCH($C128,'[2]End - Use Prices'!$A$6:$A$89,0)+MATCH($D128,'[2]End - Use Prices'!$B$9:$B$11,0)-1,MATCH(AH$1,'[2]End - Use Prices'!$C$7:$AL$7,0))</f>
        <v>11.81</v>
      </c>
      <c r="AI128" s="41">
        <f>INDEX('[2]End - Use Prices'!$C$6:$AL$89,MATCH($C128,'[2]End - Use Prices'!$A$6:$A$89,0)+MATCH($D128,'[2]End - Use Prices'!$B$9:$B$11,0)-1,MATCH(AI$1,'[2]End - Use Prices'!$C$7:$AL$7,0))</f>
        <v>8.8000000000000007</v>
      </c>
      <c r="AJ128" s="41">
        <f>INDEX('[2]End - Use Prices'!$C$6:$AL$89,MATCH($C128,'[2]End - Use Prices'!$A$6:$A$89,0)+MATCH($D128,'[2]End - Use Prices'!$B$9:$B$11,0)-1,MATCH(AJ$1,'[2]End - Use Prices'!$C$7:$AL$7,0))</f>
        <v>7.48</v>
      </c>
      <c r="AK128" s="41">
        <f>INDEX('[2]End - Use Prices'!$C$6:$AL$89,MATCH($C128,'[2]End - Use Prices'!$A$6:$A$89,0)+MATCH($D128,'[2]End - Use Prices'!$B$9:$B$11,0)-1,MATCH(AK$1,'[2]End - Use Prices'!$C$7:$AL$7,0))</f>
        <v>7.4</v>
      </c>
      <c r="AL128" s="41">
        <f>INDEX('[2]End - Use Prices'!$C$6:$AL$89,MATCH($C128,'[2]End - Use Prices'!$A$6:$A$89,0)+MATCH($D128,'[2]End - Use Prices'!$B$9:$B$11,0)-1,MATCH(AL$1,'[2]End - Use Prices'!$C$7:$AL$7,0))</f>
        <v>7.39</v>
      </c>
      <c r="AM128" s="41">
        <f>INDEX('[2]End - Use Prices'!$C$6:$AL$89,MATCH($C128,'[2]End - Use Prices'!$A$6:$A$89,0)+MATCH($D128,'[2]End - Use Prices'!$B$9:$B$11,0)-1,MATCH(AM$1,'[2]End - Use Prices'!$C$7:$AL$7,0))</f>
        <v>8.3000000000000007</v>
      </c>
      <c r="AN128" s="41">
        <f>INDEX('[2]End - Use Prices'!$C$6:$AL$89,MATCH($C128,'[2]End - Use Prices'!$A$6:$A$89,0)+MATCH($D128,'[2]End - Use Prices'!$B$9:$B$11,0)-1,MATCH(AN$1,'[2]End - Use Prices'!$C$7:$AL$7,0))</f>
        <v>8.73</v>
      </c>
      <c r="AO128" s="41">
        <f>INDEX('[2]End - Use Prices'!$C$6:$AL$89,MATCH($C128,'[2]End - Use Prices'!$A$6:$A$89,0)+MATCH($D128,'[2]End - Use Prices'!$B$9:$B$11,0)-1,MATCH(AO$1,'[2]End - Use Prices'!$C$7:$AL$7,0))</f>
        <v>9.14</v>
      </c>
      <c r="AP128" s="41">
        <f>INDEX('[2]End - Use Prices'!$C$6:$AL$89,MATCH($C128,'[2]End - Use Prices'!$A$6:$A$89,0)+MATCH($D128,'[2]End - Use Prices'!$B$9:$B$11,0)-1,MATCH(AP$1,'[2]End - Use Prices'!$C$7:$AL$7,0))</f>
        <v>9.51</v>
      </c>
      <c r="AQ128" s="41">
        <f>INDEX('[2]End - Use Prices'!$C$6:$AL$89,MATCH($C128,'[2]End - Use Prices'!$A$6:$A$89,0)+MATCH($D128,'[2]End - Use Prices'!$B$9:$B$11,0)-1,MATCH(AQ$1,'[2]End - Use Prices'!$C$7:$AL$7,0))</f>
        <v>9.4499999999999993</v>
      </c>
      <c r="AR128" s="41">
        <f>INDEX('[2]End - Use Prices'!$C$6:$AL$89,MATCH($C128,'[2]End - Use Prices'!$A$6:$A$89,0)+MATCH($D128,'[2]End - Use Prices'!$B$9:$B$11,0)-1,MATCH(AR$1,'[2]End - Use Prices'!$C$7:$AL$7,0))</f>
        <v>9.42</v>
      </c>
      <c r="AS128" s="41">
        <f>INDEX('[2]End - Use Prices'!$C$6:$AL$89,MATCH($C128,'[2]End - Use Prices'!$A$6:$A$89,0)+MATCH($D128,'[2]End - Use Prices'!$B$9:$B$11,0)-1,MATCH(AS$1,'[2]End - Use Prices'!$C$7:$AL$7,0))</f>
        <v>9.4600000000000009</v>
      </c>
      <c r="AT128" s="41">
        <f>INDEX('[2]End - Use Prices'!$C$6:$AL$89,MATCH($C128,'[2]End - Use Prices'!$A$6:$A$89,0)+MATCH($D128,'[2]End - Use Prices'!$B$9:$B$11,0)-1,MATCH(AT$1,'[2]End - Use Prices'!$C$7:$AL$7,0))</f>
        <v>9.48</v>
      </c>
      <c r="AU128" s="41">
        <f>INDEX('[2]End - Use Prices'!$C$6:$AL$89,MATCH($C128,'[2]End - Use Prices'!$A$6:$A$89,0)+MATCH($D128,'[2]End - Use Prices'!$B$9:$B$11,0)-1,MATCH(AU$1,'[2]End - Use Prices'!$C$7:$AL$7,0))</f>
        <v>9.52</v>
      </c>
      <c r="AV128" s="41">
        <f>INDEX('[2]End - Use Prices'!$C$6:$AL$89,MATCH($C128,'[2]End - Use Prices'!$A$6:$A$89,0)+MATCH($D128,'[2]End - Use Prices'!$B$9:$B$11,0)-1,MATCH(AV$1,'[2]End - Use Prices'!$C$7:$AL$7,0))</f>
        <v>9.57</v>
      </c>
      <c r="AW128" s="41">
        <f>INDEX('[2]End - Use Prices'!$C$6:$AL$89,MATCH($C128,'[2]End - Use Prices'!$A$6:$A$89,0)+MATCH($D128,'[2]End - Use Prices'!$B$9:$B$11,0)-1,MATCH(AW$1,'[2]End - Use Prices'!$C$7:$AL$7,0))</f>
        <v>9.6199999999999992</v>
      </c>
      <c r="AX128" s="41">
        <f>INDEX('[2]End - Use Prices'!$C$6:$AL$89,MATCH($C128,'[2]End - Use Prices'!$A$6:$A$89,0)+MATCH($D128,'[2]End - Use Prices'!$B$9:$B$11,0)-1,MATCH(AX$1,'[2]End - Use Prices'!$C$7:$AL$7,0))</f>
        <v>9.68</v>
      </c>
      <c r="AY128" s="41">
        <f>INDEX('[2]End - Use Prices'!$C$6:$AL$89,MATCH($C128,'[2]End - Use Prices'!$A$6:$A$89,0)+MATCH($D128,'[2]End - Use Prices'!$B$9:$B$11,0)-1,MATCH(AY$1,'[2]End - Use Prices'!$C$7:$AL$7,0))</f>
        <v>9.75</v>
      </c>
      <c r="AZ128" s="41">
        <f>INDEX('[2]End - Use Prices'!$C$6:$AL$89,MATCH($C128,'[2]End - Use Prices'!$A$6:$A$89,0)+MATCH($D128,'[2]End - Use Prices'!$B$9:$B$11,0)-1,MATCH(AZ$1,'[2]End - Use Prices'!$C$7:$AL$7,0))</f>
        <v>9.83</v>
      </c>
      <c r="BA128" s="41">
        <f>INDEX('[2]End - Use Prices'!$C$6:$AL$89,MATCH($C128,'[2]End - Use Prices'!$A$6:$A$89,0)+MATCH($D128,'[2]End - Use Prices'!$B$9:$B$11,0)-1,MATCH(BA$1,'[2]End - Use Prices'!$C$7:$AL$7,0))</f>
        <v>9.8699999999999992</v>
      </c>
      <c r="BB128" s="41">
        <f>INDEX('[2]End - Use Prices'!$C$6:$AL$89,MATCH($C128,'[2]End - Use Prices'!$A$6:$A$89,0)+MATCH($D128,'[2]End - Use Prices'!$B$9:$B$11,0)-1,MATCH(BB$1,'[2]End - Use Prices'!$C$7:$AL$7,0))</f>
        <v>9.9</v>
      </c>
      <c r="BC128" s="41">
        <f>INDEX('[2]End - Use Prices'!$C$6:$AL$89,MATCH($C128,'[2]End - Use Prices'!$A$6:$A$89,0)+MATCH($D128,'[2]End - Use Prices'!$B$9:$B$11,0)-1,MATCH(BC$1,'[2]End - Use Prices'!$C$7:$AL$7,0))</f>
        <v>9.93</v>
      </c>
      <c r="BD128" s="41">
        <f>INDEX('[2]End - Use Prices'!$C$6:$AL$89,MATCH($C128,'[2]End - Use Prices'!$A$6:$A$89,0)+MATCH($D128,'[2]End - Use Prices'!$B$9:$B$11,0)-1,MATCH(BD$1,'[2]End - Use Prices'!$C$7:$AL$7,0))</f>
        <v>9.94</v>
      </c>
      <c r="BE128" s="41">
        <f>INDEX('[2]End - Use Prices'!$C$6:$AL$89,MATCH($C128,'[2]End - Use Prices'!$A$6:$A$89,0)+MATCH($D128,'[2]End - Use Prices'!$B$9:$B$11,0)-1,MATCH(BE$1,'[2]End - Use Prices'!$C$7:$AL$7,0))</f>
        <v>9.94</v>
      </c>
      <c r="BF128" s="41">
        <f>INDEX('[2]End - Use Prices'!$C$6:$AL$89,MATCH($C128,'[2]End - Use Prices'!$A$6:$A$89,0)+MATCH($D128,'[2]End - Use Prices'!$B$9:$B$11,0)-1,MATCH(BF$1,'[2]End - Use Prices'!$C$7:$AL$7,0))</f>
        <v>9.9499999999999993</v>
      </c>
      <c r="BG128" s="41">
        <f>INDEX('[2]End - Use Prices'!$C$6:$AL$89,MATCH($C128,'[2]End - Use Prices'!$A$6:$A$89,0)+MATCH($D128,'[2]End - Use Prices'!$B$9:$B$11,0)-1,MATCH(BG$1,'[2]End - Use Prices'!$C$7:$AL$7,0))</f>
        <v>9.9499999999999993</v>
      </c>
      <c r="BR128" s="39"/>
      <c r="BS128" s="39"/>
      <c r="BT128" s="39"/>
      <c r="BU128" s="39"/>
      <c r="BV128" s="39"/>
      <c r="BW128" s="39"/>
      <c r="BX128" s="39"/>
      <c r="BY128" s="39"/>
      <c r="BZ128" s="39"/>
      <c r="CA128" s="39"/>
    </row>
    <row r="129" spans="1:79">
      <c r="A129" s="5"/>
      <c r="B129" s="3"/>
      <c r="C129" s="25" t="s">
        <v>5</v>
      </c>
      <c r="D129" s="25" t="s">
        <v>13</v>
      </c>
      <c r="E129" s="25" t="s">
        <v>277</v>
      </c>
      <c r="F129" s="67" t="s">
        <v>275</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INDEX('[2]End - Use Prices'!$C$6:$AL$89,MATCH($C129,'[2]End - Use Prices'!$A$6:$A$89,0)+MATCH($D129,'[2]End - Use Prices'!$B$9:$B$11,0)-1,MATCH(X$1,'[2]End - Use Prices'!$C$7:$AL$7,0))</f>
        <v>12.98</v>
      </c>
      <c r="Y129" s="41">
        <f>INDEX('[2]End - Use Prices'!$C$6:$AL$89,MATCH($C129,'[2]End - Use Prices'!$A$6:$A$89,0)+MATCH($D129,'[2]End - Use Prices'!$B$9:$B$11,0)-1,MATCH(Y$1,'[2]End - Use Prices'!$C$7:$AL$7,0))</f>
        <v>11.76</v>
      </c>
      <c r="Z129" s="41">
        <f>INDEX('[2]End - Use Prices'!$C$6:$AL$89,MATCH($C129,'[2]End - Use Prices'!$A$6:$A$89,0)+MATCH($D129,'[2]End - Use Prices'!$B$9:$B$11,0)-1,MATCH(Z$1,'[2]End - Use Prices'!$C$7:$AL$7,0))</f>
        <v>10.95</v>
      </c>
      <c r="AA129" s="41">
        <f>INDEX('[2]End - Use Prices'!$C$6:$AL$89,MATCH($C129,'[2]End - Use Prices'!$A$6:$A$89,0)+MATCH($D129,'[2]End - Use Prices'!$B$9:$B$11,0)-1,MATCH(AA$1,'[2]End - Use Prices'!$C$7:$AL$7,0))</f>
        <v>11.03</v>
      </c>
      <c r="AB129" s="41">
        <f>INDEX('[2]End - Use Prices'!$C$6:$AL$89,MATCH($C129,'[2]End - Use Prices'!$A$6:$A$89,0)+MATCH($D129,'[2]End - Use Prices'!$B$9:$B$11,0)-1,MATCH(AB$1,'[2]End - Use Prices'!$C$7:$AL$7,0))</f>
        <v>7.77</v>
      </c>
      <c r="AC129" s="41">
        <f>INDEX('[2]End - Use Prices'!$C$6:$AL$89,MATCH($C129,'[2]End - Use Prices'!$A$6:$A$89,0)+MATCH($D129,'[2]End - Use Prices'!$B$9:$B$11,0)-1,MATCH(AC$1,'[2]End - Use Prices'!$C$7:$AL$7,0))</f>
        <v>7.97</v>
      </c>
      <c r="AD129" s="41">
        <f>INDEX('[2]End - Use Prices'!$C$6:$AL$89,MATCH($C129,'[2]End - Use Prices'!$A$6:$A$89,0)+MATCH($D129,'[2]End - Use Prices'!$B$9:$B$11,0)-1,MATCH(AD$1,'[2]End - Use Prices'!$C$7:$AL$7,0))</f>
        <v>8.15</v>
      </c>
      <c r="AE129" s="41">
        <f>INDEX('[2]End - Use Prices'!$C$6:$AL$89,MATCH($C129,'[2]End - Use Prices'!$A$6:$A$89,0)+MATCH($D129,'[2]End - Use Prices'!$B$9:$B$11,0)-1,MATCH(AE$1,'[2]End - Use Prices'!$C$7:$AL$7,0))</f>
        <v>6.63</v>
      </c>
      <c r="AF129" s="41">
        <f>INDEX('[2]End - Use Prices'!$C$6:$AL$89,MATCH($C129,'[2]End - Use Prices'!$A$6:$A$89,0)+MATCH($D129,'[2]End - Use Prices'!$B$9:$B$11,0)-1,MATCH(AF$1,'[2]End - Use Prices'!$C$7:$AL$7,0))</f>
        <v>6.93</v>
      </c>
      <c r="AG129" s="41">
        <f>INDEX('[2]End - Use Prices'!$C$6:$AL$89,MATCH($C129,'[2]End - Use Prices'!$A$6:$A$89,0)+MATCH($D129,'[2]End - Use Prices'!$B$9:$B$11,0)-1,MATCH(AG$1,'[2]End - Use Prices'!$C$7:$AL$7,0))</f>
        <v>8.5399999999999991</v>
      </c>
      <c r="AH129" s="41">
        <f>INDEX('[2]End - Use Prices'!$C$6:$AL$89,MATCH($C129,'[2]End - Use Prices'!$A$6:$A$89,0)+MATCH($D129,'[2]End - Use Prices'!$B$9:$B$11,0)-1,MATCH(AH$1,'[2]End - Use Prices'!$C$7:$AL$7,0))</f>
        <v>3.36</v>
      </c>
      <c r="AI129" s="41">
        <f>INDEX('[2]End - Use Prices'!$C$6:$AL$89,MATCH($C129,'[2]End - Use Prices'!$A$6:$A$89,0)+MATCH($D129,'[2]End - Use Prices'!$B$9:$B$11,0)-1,MATCH(AI$1,'[2]End - Use Prices'!$C$7:$AL$7,0))</f>
        <v>5.3</v>
      </c>
      <c r="AJ129" s="41">
        <f>INDEX('[2]End - Use Prices'!$C$6:$AL$89,MATCH($C129,'[2]End - Use Prices'!$A$6:$A$89,0)+MATCH($D129,'[2]End - Use Prices'!$B$9:$B$11,0)-1,MATCH(AJ$1,'[2]End - Use Prices'!$C$7:$AL$7,0))</f>
        <v>4.5599999999999996</v>
      </c>
      <c r="AK129" s="41">
        <f>INDEX('[2]End - Use Prices'!$C$6:$AL$89,MATCH($C129,'[2]End - Use Prices'!$A$6:$A$89,0)+MATCH($D129,'[2]End - Use Prices'!$B$9:$B$11,0)-1,MATCH(AK$1,'[2]End - Use Prices'!$C$7:$AL$7,0))</f>
        <v>5.99</v>
      </c>
      <c r="AL129" s="41">
        <f>INDEX('[2]End - Use Prices'!$C$6:$AL$89,MATCH($C129,'[2]End - Use Prices'!$A$6:$A$89,0)+MATCH($D129,'[2]End - Use Prices'!$B$9:$B$11,0)-1,MATCH(AL$1,'[2]End - Use Prices'!$C$7:$AL$7,0))</f>
        <v>6.47</v>
      </c>
      <c r="AM129" s="41">
        <f>INDEX('[2]End - Use Prices'!$C$6:$AL$89,MATCH($C129,'[2]End - Use Prices'!$A$6:$A$89,0)+MATCH($D129,'[2]End - Use Prices'!$B$9:$B$11,0)-1,MATCH(AM$1,'[2]End - Use Prices'!$C$7:$AL$7,0))</f>
        <v>6.42</v>
      </c>
      <c r="AN129" s="41">
        <f>INDEX('[2]End - Use Prices'!$C$6:$AL$89,MATCH($C129,'[2]End - Use Prices'!$A$6:$A$89,0)+MATCH($D129,'[2]End - Use Prices'!$B$9:$B$11,0)-1,MATCH(AN$1,'[2]End - Use Prices'!$C$7:$AL$7,0))</f>
        <v>6.38</v>
      </c>
      <c r="AO129" s="41">
        <f>INDEX('[2]End - Use Prices'!$C$6:$AL$89,MATCH($C129,'[2]End - Use Prices'!$A$6:$A$89,0)+MATCH($D129,'[2]End - Use Prices'!$B$9:$B$11,0)-1,MATCH(AO$1,'[2]End - Use Prices'!$C$7:$AL$7,0))</f>
        <v>6.84</v>
      </c>
      <c r="AP129" s="41">
        <f>INDEX('[2]End - Use Prices'!$C$6:$AL$89,MATCH($C129,'[2]End - Use Prices'!$A$6:$A$89,0)+MATCH($D129,'[2]End - Use Prices'!$B$9:$B$11,0)-1,MATCH(AP$1,'[2]End - Use Prices'!$C$7:$AL$7,0))</f>
        <v>7.25</v>
      </c>
      <c r="AQ129" s="41">
        <f>INDEX('[2]End - Use Prices'!$C$6:$AL$89,MATCH($C129,'[2]End - Use Prices'!$A$6:$A$89,0)+MATCH($D129,'[2]End - Use Prices'!$B$9:$B$11,0)-1,MATCH(AQ$1,'[2]End - Use Prices'!$C$7:$AL$7,0))</f>
        <v>7.19</v>
      </c>
      <c r="AR129" s="41">
        <f>INDEX('[2]End - Use Prices'!$C$6:$AL$89,MATCH($C129,'[2]End - Use Prices'!$A$6:$A$89,0)+MATCH($D129,'[2]End - Use Prices'!$B$9:$B$11,0)-1,MATCH(AR$1,'[2]End - Use Prices'!$C$7:$AL$7,0))</f>
        <v>7.15</v>
      </c>
      <c r="AS129" s="41">
        <f>INDEX('[2]End - Use Prices'!$C$6:$AL$89,MATCH($C129,'[2]End - Use Prices'!$A$6:$A$89,0)+MATCH($D129,'[2]End - Use Prices'!$B$9:$B$11,0)-1,MATCH(AS$1,'[2]End - Use Prices'!$C$7:$AL$7,0))</f>
        <v>7.18</v>
      </c>
      <c r="AT129" s="41">
        <f>INDEX('[2]End - Use Prices'!$C$6:$AL$89,MATCH($C129,'[2]End - Use Prices'!$A$6:$A$89,0)+MATCH($D129,'[2]End - Use Prices'!$B$9:$B$11,0)-1,MATCH(AT$1,'[2]End - Use Prices'!$C$7:$AL$7,0))</f>
        <v>7.2</v>
      </c>
      <c r="AU129" s="41">
        <f>INDEX('[2]End - Use Prices'!$C$6:$AL$89,MATCH($C129,'[2]End - Use Prices'!$A$6:$A$89,0)+MATCH($D129,'[2]End - Use Prices'!$B$9:$B$11,0)-1,MATCH(AU$1,'[2]End - Use Prices'!$C$7:$AL$7,0))</f>
        <v>7.23</v>
      </c>
      <c r="AV129" s="41">
        <f>INDEX('[2]End - Use Prices'!$C$6:$AL$89,MATCH($C129,'[2]End - Use Prices'!$A$6:$A$89,0)+MATCH($D129,'[2]End - Use Prices'!$B$9:$B$11,0)-1,MATCH(AV$1,'[2]End - Use Prices'!$C$7:$AL$7,0))</f>
        <v>7.28</v>
      </c>
      <c r="AW129" s="41">
        <f>INDEX('[2]End - Use Prices'!$C$6:$AL$89,MATCH($C129,'[2]End - Use Prices'!$A$6:$A$89,0)+MATCH($D129,'[2]End - Use Prices'!$B$9:$B$11,0)-1,MATCH(AW$1,'[2]End - Use Prices'!$C$7:$AL$7,0))</f>
        <v>7.33</v>
      </c>
      <c r="AX129" s="41">
        <f>INDEX('[2]End - Use Prices'!$C$6:$AL$89,MATCH($C129,'[2]End - Use Prices'!$A$6:$A$89,0)+MATCH($D129,'[2]End - Use Prices'!$B$9:$B$11,0)-1,MATCH(AX$1,'[2]End - Use Prices'!$C$7:$AL$7,0))</f>
        <v>7.38</v>
      </c>
      <c r="AY129" s="41">
        <f>INDEX('[2]End - Use Prices'!$C$6:$AL$89,MATCH($C129,'[2]End - Use Prices'!$A$6:$A$89,0)+MATCH($D129,'[2]End - Use Prices'!$B$9:$B$11,0)-1,MATCH(AY$1,'[2]End - Use Prices'!$C$7:$AL$7,0))</f>
        <v>7.45</v>
      </c>
      <c r="AZ129" s="41">
        <f>INDEX('[2]End - Use Prices'!$C$6:$AL$89,MATCH($C129,'[2]End - Use Prices'!$A$6:$A$89,0)+MATCH($D129,'[2]End - Use Prices'!$B$9:$B$11,0)-1,MATCH(AZ$1,'[2]End - Use Prices'!$C$7:$AL$7,0))</f>
        <v>7.53</v>
      </c>
      <c r="BA129" s="41">
        <f>INDEX('[2]End - Use Prices'!$C$6:$AL$89,MATCH($C129,'[2]End - Use Prices'!$A$6:$A$89,0)+MATCH($D129,'[2]End - Use Prices'!$B$9:$B$11,0)-1,MATCH(BA$1,'[2]End - Use Prices'!$C$7:$AL$7,0))</f>
        <v>7.57</v>
      </c>
      <c r="BB129" s="41">
        <f>INDEX('[2]End - Use Prices'!$C$6:$AL$89,MATCH($C129,'[2]End - Use Prices'!$A$6:$A$89,0)+MATCH($D129,'[2]End - Use Prices'!$B$9:$B$11,0)-1,MATCH(BB$1,'[2]End - Use Prices'!$C$7:$AL$7,0))</f>
        <v>7.6</v>
      </c>
      <c r="BC129" s="41">
        <f>INDEX('[2]End - Use Prices'!$C$6:$AL$89,MATCH($C129,'[2]End - Use Prices'!$A$6:$A$89,0)+MATCH($D129,'[2]End - Use Prices'!$B$9:$B$11,0)-1,MATCH(BC$1,'[2]End - Use Prices'!$C$7:$AL$7,0))</f>
        <v>7.62</v>
      </c>
      <c r="BD129" s="41">
        <f>INDEX('[2]End - Use Prices'!$C$6:$AL$89,MATCH($C129,'[2]End - Use Prices'!$A$6:$A$89,0)+MATCH($D129,'[2]End - Use Prices'!$B$9:$B$11,0)-1,MATCH(BD$1,'[2]End - Use Prices'!$C$7:$AL$7,0))</f>
        <v>7.63</v>
      </c>
      <c r="BE129" s="41">
        <f>INDEX('[2]End - Use Prices'!$C$6:$AL$89,MATCH($C129,'[2]End - Use Prices'!$A$6:$A$89,0)+MATCH($D129,'[2]End - Use Prices'!$B$9:$B$11,0)-1,MATCH(BE$1,'[2]End - Use Prices'!$C$7:$AL$7,0))</f>
        <v>7.63</v>
      </c>
      <c r="BF129" s="41">
        <f>INDEX('[2]End - Use Prices'!$C$6:$AL$89,MATCH($C129,'[2]End - Use Prices'!$A$6:$A$89,0)+MATCH($D129,'[2]End - Use Prices'!$B$9:$B$11,0)-1,MATCH(BF$1,'[2]End - Use Prices'!$C$7:$AL$7,0))</f>
        <v>7.63</v>
      </c>
      <c r="BG129" s="41">
        <f>INDEX('[2]End - Use Prices'!$C$6:$AL$89,MATCH($C129,'[2]End - Use Prices'!$A$6:$A$89,0)+MATCH($D129,'[2]End - Use Prices'!$B$9:$B$11,0)-1,MATCH(BG$1,'[2]End - Use Prices'!$C$7:$AL$7,0))</f>
        <v>7.63</v>
      </c>
      <c r="BR129" s="39"/>
      <c r="BS129" s="39"/>
      <c r="BT129" s="39"/>
      <c r="BU129" s="39"/>
      <c r="BV129" s="39"/>
      <c r="BW129" s="39"/>
      <c r="BX129" s="39"/>
      <c r="BY129" s="39"/>
      <c r="BZ129" s="39"/>
      <c r="CA129" s="39"/>
    </row>
    <row r="130" spans="1:79">
      <c r="A130" s="5"/>
      <c r="B130" s="3"/>
      <c r="C130" s="25" t="s">
        <v>60</v>
      </c>
      <c r="D130" s="25" t="s">
        <v>13</v>
      </c>
      <c r="E130" s="25" t="s">
        <v>277</v>
      </c>
      <c r="F130" s="67" t="s">
        <v>275</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INDEX('[2]End - Use Prices'!$C$6:$AL$89,MATCH($C130,'[2]End - Use Prices'!$A$6:$A$89,0)+MATCH($D130,'[2]End - Use Prices'!$B$9:$B$11,0)-1,MATCH(X$1,'[2]End - Use Prices'!$C$7:$AL$7,0))</f>
        <v>15.71</v>
      </c>
      <c r="Y130" s="41">
        <f>INDEX('[2]End - Use Prices'!$C$6:$AL$89,MATCH($C130,'[2]End - Use Prices'!$A$6:$A$89,0)+MATCH($D130,'[2]End - Use Prices'!$B$9:$B$11,0)-1,MATCH(Y$1,'[2]End - Use Prices'!$C$7:$AL$7,0))</f>
        <v>16.100000000000001</v>
      </c>
      <c r="Z130" s="41">
        <f>INDEX('[2]End - Use Prices'!$C$6:$AL$89,MATCH($C130,'[2]End - Use Prices'!$A$6:$A$89,0)+MATCH($D130,'[2]End - Use Prices'!$B$9:$B$11,0)-1,MATCH(Z$1,'[2]End - Use Prices'!$C$7:$AL$7,0))</f>
        <v>15.95</v>
      </c>
      <c r="AA130" s="41">
        <f>INDEX('[2]End - Use Prices'!$C$6:$AL$89,MATCH($C130,'[2]End - Use Prices'!$A$6:$A$89,0)+MATCH($D130,'[2]End - Use Prices'!$B$9:$B$11,0)-1,MATCH(AA$1,'[2]End - Use Prices'!$C$7:$AL$7,0))</f>
        <v>15.79</v>
      </c>
      <c r="AB130" s="41">
        <f>INDEX('[2]End - Use Prices'!$C$6:$AL$89,MATCH($C130,'[2]End - Use Prices'!$A$6:$A$89,0)+MATCH($D130,'[2]End - Use Prices'!$B$9:$B$11,0)-1,MATCH(AB$1,'[2]End - Use Prices'!$C$7:$AL$7,0))</f>
        <v>16.8</v>
      </c>
      <c r="AC130" s="41">
        <f>INDEX('[2]End - Use Prices'!$C$6:$AL$89,MATCH($C130,'[2]End - Use Prices'!$A$6:$A$89,0)+MATCH($D130,'[2]End - Use Prices'!$B$9:$B$11,0)-1,MATCH(AC$1,'[2]End - Use Prices'!$C$7:$AL$7,0))</f>
        <v>17.63</v>
      </c>
      <c r="AD130" s="41">
        <f>INDEX('[2]End - Use Prices'!$C$6:$AL$89,MATCH($C130,'[2]End - Use Prices'!$A$6:$A$89,0)+MATCH($D130,'[2]End - Use Prices'!$B$9:$B$11,0)-1,MATCH(AD$1,'[2]End - Use Prices'!$C$7:$AL$7,0))</f>
        <v>17.100000000000001</v>
      </c>
      <c r="AE130" s="41">
        <f>INDEX('[2]End - Use Prices'!$C$6:$AL$89,MATCH($C130,'[2]End - Use Prices'!$A$6:$A$89,0)+MATCH($D130,'[2]End - Use Prices'!$B$9:$B$11,0)-1,MATCH(AE$1,'[2]End - Use Prices'!$C$7:$AL$7,0))</f>
        <v>16.28</v>
      </c>
      <c r="AF130" s="41">
        <f>INDEX('[2]End - Use Prices'!$C$6:$AL$89,MATCH($C130,'[2]End - Use Prices'!$A$6:$A$89,0)+MATCH($D130,'[2]End - Use Prices'!$B$9:$B$11,0)-1,MATCH(AF$1,'[2]End - Use Prices'!$C$7:$AL$7,0))</f>
        <v>15.65</v>
      </c>
      <c r="AG130" s="41">
        <f>INDEX('[2]End - Use Prices'!$C$6:$AL$89,MATCH($C130,'[2]End - Use Prices'!$A$6:$A$89,0)+MATCH($D130,'[2]End - Use Prices'!$B$9:$B$11,0)-1,MATCH(AG$1,'[2]End - Use Prices'!$C$7:$AL$7,0))</f>
        <v>16.579999999999998</v>
      </c>
      <c r="AH130" s="41">
        <f>INDEX('[2]End - Use Prices'!$C$6:$AL$89,MATCH($C130,'[2]End - Use Prices'!$A$6:$A$89,0)+MATCH($D130,'[2]End - Use Prices'!$B$9:$B$11,0)-1,MATCH(AH$1,'[2]End - Use Prices'!$C$7:$AL$7,0))</f>
        <v>15.79</v>
      </c>
      <c r="AI130" s="41">
        <f>INDEX('[2]End - Use Prices'!$C$6:$AL$89,MATCH($C130,'[2]End - Use Prices'!$A$6:$A$89,0)+MATCH($D130,'[2]End - Use Prices'!$B$9:$B$11,0)-1,MATCH(AI$1,'[2]End - Use Prices'!$C$7:$AL$7,0))</f>
        <v>12.09</v>
      </c>
      <c r="AJ130" s="41">
        <f>INDEX('[2]End - Use Prices'!$C$6:$AL$89,MATCH($C130,'[2]End - Use Prices'!$A$6:$A$89,0)+MATCH($D130,'[2]End - Use Prices'!$B$9:$B$11,0)-1,MATCH(AJ$1,'[2]End - Use Prices'!$C$7:$AL$7,0))</f>
        <v>12.97</v>
      </c>
      <c r="AK130" s="41">
        <f>INDEX('[2]End - Use Prices'!$C$6:$AL$89,MATCH($C130,'[2]End - Use Prices'!$A$6:$A$89,0)+MATCH($D130,'[2]End - Use Prices'!$B$9:$B$11,0)-1,MATCH(AK$1,'[2]End - Use Prices'!$C$7:$AL$7,0))</f>
        <v>12.73</v>
      </c>
      <c r="AL130" s="41">
        <f>INDEX('[2]End - Use Prices'!$C$6:$AL$89,MATCH($C130,'[2]End - Use Prices'!$A$6:$A$89,0)+MATCH($D130,'[2]End - Use Prices'!$B$9:$B$11,0)-1,MATCH(AL$1,'[2]End - Use Prices'!$C$7:$AL$7,0))</f>
        <v>12.86</v>
      </c>
      <c r="AM130" s="41">
        <f>INDEX('[2]End - Use Prices'!$C$6:$AL$89,MATCH($C130,'[2]End - Use Prices'!$A$6:$A$89,0)+MATCH($D130,'[2]End - Use Prices'!$B$9:$B$11,0)-1,MATCH(AM$1,'[2]End - Use Prices'!$C$7:$AL$7,0))</f>
        <v>13.09</v>
      </c>
      <c r="AN130" s="41">
        <f>INDEX('[2]End - Use Prices'!$C$6:$AL$89,MATCH($C130,'[2]End - Use Prices'!$A$6:$A$89,0)+MATCH($D130,'[2]End - Use Prices'!$B$9:$B$11,0)-1,MATCH(AN$1,'[2]End - Use Prices'!$C$7:$AL$7,0))</f>
        <v>13.29</v>
      </c>
      <c r="AO130" s="41">
        <f>INDEX('[2]End - Use Prices'!$C$6:$AL$89,MATCH($C130,'[2]End - Use Prices'!$A$6:$A$89,0)+MATCH($D130,'[2]End - Use Prices'!$B$9:$B$11,0)-1,MATCH(AO$1,'[2]End - Use Prices'!$C$7:$AL$7,0))</f>
        <v>13.49</v>
      </c>
      <c r="AP130" s="41">
        <f>INDEX('[2]End - Use Prices'!$C$6:$AL$89,MATCH($C130,'[2]End - Use Prices'!$A$6:$A$89,0)+MATCH($D130,'[2]End - Use Prices'!$B$9:$B$11,0)-1,MATCH(AP$1,'[2]End - Use Prices'!$C$7:$AL$7,0))</f>
        <v>13.43</v>
      </c>
      <c r="AQ130" s="41">
        <f>INDEX('[2]End - Use Prices'!$C$6:$AL$89,MATCH($C130,'[2]End - Use Prices'!$A$6:$A$89,0)+MATCH($D130,'[2]End - Use Prices'!$B$9:$B$11,0)-1,MATCH(AQ$1,'[2]End - Use Prices'!$C$7:$AL$7,0))</f>
        <v>13.32</v>
      </c>
      <c r="AR130" s="41">
        <f>INDEX('[2]End - Use Prices'!$C$6:$AL$89,MATCH($C130,'[2]End - Use Prices'!$A$6:$A$89,0)+MATCH($D130,'[2]End - Use Prices'!$B$9:$B$11,0)-1,MATCH(AR$1,'[2]End - Use Prices'!$C$7:$AL$7,0))</f>
        <v>13.24</v>
      </c>
      <c r="AS130" s="41">
        <f>INDEX('[2]End - Use Prices'!$C$6:$AL$89,MATCH($C130,'[2]End - Use Prices'!$A$6:$A$89,0)+MATCH($D130,'[2]End - Use Prices'!$B$9:$B$11,0)-1,MATCH(AS$1,'[2]End - Use Prices'!$C$7:$AL$7,0))</f>
        <v>13.25</v>
      </c>
      <c r="AT130" s="41">
        <f>INDEX('[2]End - Use Prices'!$C$6:$AL$89,MATCH($C130,'[2]End - Use Prices'!$A$6:$A$89,0)+MATCH($D130,'[2]End - Use Prices'!$B$9:$B$11,0)-1,MATCH(AT$1,'[2]End - Use Prices'!$C$7:$AL$7,0))</f>
        <v>13.24</v>
      </c>
      <c r="AU130" s="41">
        <f>INDEX('[2]End - Use Prices'!$C$6:$AL$89,MATCH($C130,'[2]End - Use Prices'!$A$6:$A$89,0)+MATCH($D130,'[2]End - Use Prices'!$B$9:$B$11,0)-1,MATCH(AU$1,'[2]End - Use Prices'!$C$7:$AL$7,0))</f>
        <v>13.26</v>
      </c>
      <c r="AV130" s="41">
        <f>INDEX('[2]End - Use Prices'!$C$6:$AL$89,MATCH($C130,'[2]End - Use Prices'!$A$6:$A$89,0)+MATCH($D130,'[2]End - Use Prices'!$B$9:$B$11,0)-1,MATCH(AV$1,'[2]End - Use Prices'!$C$7:$AL$7,0))</f>
        <v>13.3</v>
      </c>
      <c r="AW130" s="41">
        <f>INDEX('[2]End - Use Prices'!$C$6:$AL$89,MATCH($C130,'[2]End - Use Prices'!$A$6:$A$89,0)+MATCH($D130,'[2]End - Use Prices'!$B$9:$B$11,0)-1,MATCH(AW$1,'[2]End - Use Prices'!$C$7:$AL$7,0))</f>
        <v>13.33</v>
      </c>
      <c r="AX130" s="41">
        <f>INDEX('[2]End - Use Prices'!$C$6:$AL$89,MATCH($C130,'[2]End - Use Prices'!$A$6:$A$89,0)+MATCH($D130,'[2]End - Use Prices'!$B$9:$B$11,0)-1,MATCH(AX$1,'[2]End - Use Prices'!$C$7:$AL$7,0))</f>
        <v>13.38</v>
      </c>
      <c r="AY130" s="41">
        <f>INDEX('[2]End - Use Prices'!$C$6:$AL$89,MATCH($C130,'[2]End - Use Prices'!$A$6:$A$89,0)+MATCH($D130,'[2]End - Use Prices'!$B$9:$B$11,0)-1,MATCH(AY$1,'[2]End - Use Prices'!$C$7:$AL$7,0))</f>
        <v>13.44</v>
      </c>
      <c r="AZ130" s="41">
        <f>INDEX('[2]End - Use Prices'!$C$6:$AL$89,MATCH($C130,'[2]End - Use Prices'!$A$6:$A$89,0)+MATCH($D130,'[2]End - Use Prices'!$B$9:$B$11,0)-1,MATCH(AZ$1,'[2]End - Use Prices'!$C$7:$AL$7,0))</f>
        <v>13.51</v>
      </c>
      <c r="BA130" s="41">
        <f>INDEX('[2]End - Use Prices'!$C$6:$AL$89,MATCH($C130,'[2]End - Use Prices'!$A$6:$A$89,0)+MATCH($D130,'[2]End - Use Prices'!$B$9:$B$11,0)-1,MATCH(BA$1,'[2]End - Use Prices'!$C$7:$AL$7,0))</f>
        <v>13.54</v>
      </c>
      <c r="BB130" s="41">
        <f>INDEX('[2]End - Use Prices'!$C$6:$AL$89,MATCH($C130,'[2]End - Use Prices'!$A$6:$A$89,0)+MATCH($D130,'[2]End - Use Prices'!$B$9:$B$11,0)-1,MATCH(BB$1,'[2]End - Use Prices'!$C$7:$AL$7,0))</f>
        <v>13.56</v>
      </c>
      <c r="BC130" s="41">
        <f>INDEX('[2]End - Use Prices'!$C$6:$AL$89,MATCH($C130,'[2]End - Use Prices'!$A$6:$A$89,0)+MATCH($D130,'[2]End - Use Prices'!$B$9:$B$11,0)-1,MATCH(BC$1,'[2]End - Use Prices'!$C$7:$AL$7,0))</f>
        <v>13.57</v>
      </c>
      <c r="BD130" s="41">
        <f>INDEX('[2]End - Use Prices'!$C$6:$AL$89,MATCH($C130,'[2]End - Use Prices'!$A$6:$A$89,0)+MATCH($D130,'[2]End - Use Prices'!$B$9:$B$11,0)-1,MATCH(BD$1,'[2]End - Use Prices'!$C$7:$AL$7,0))</f>
        <v>13.56</v>
      </c>
      <c r="BE130" s="41">
        <f>INDEX('[2]End - Use Prices'!$C$6:$AL$89,MATCH($C130,'[2]End - Use Prices'!$A$6:$A$89,0)+MATCH($D130,'[2]End - Use Prices'!$B$9:$B$11,0)-1,MATCH(BE$1,'[2]End - Use Prices'!$C$7:$AL$7,0))</f>
        <v>13.54</v>
      </c>
      <c r="BF130" s="41">
        <f>INDEX('[2]End - Use Prices'!$C$6:$AL$89,MATCH($C130,'[2]End - Use Prices'!$A$6:$A$89,0)+MATCH($D130,'[2]End - Use Prices'!$B$9:$B$11,0)-1,MATCH(BF$1,'[2]End - Use Prices'!$C$7:$AL$7,0))</f>
        <v>13.52</v>
      </c>
      <c r="BG130" s="41">
        <f>INDEX('[2]End - Use Prices'!$C$6:$AL$89,MATCH($C130,'[2]End - Use Prices'!$A$6:$A$89,0)+MATCH($D130,'[2]End - Use Prices'!$B$9:$B$11,0)-1,MATCH(BG$1,'[2]End - Use Prices'!$C$7:$AL$7,0))</f>
        <v>13.49</v>
      </c>
      <c r="BR130" s="39"/>
      <c r="BS130" s="39"/>
      <c r="BT130" s="39"/>
      <c r="BU130" s="39"/>
      <c r="BV130" s="39"/>
      <c r="BW130" s="39"/>
      <c r="BX130" s="39"/>
      <c r="BY130" s="39"/>
      <c r="BZ130" s="39"/>
      <c r="CA130" s="39"/>
    </row>
    <row r="131" spans="1:79">
      <c r="A131" s="5"/>
      <c r="B131" s="3"/>
      <c r="C131" s="25" t="s">
        <v>92</v>
      </c>
      <c r="D131" s="25" t="s">
        <v>13</v>
      </c>
      <c r="E131" s="25" t="s">
        <v>277</v>
      </c>
      <c r="F131" s="67" t="s">
        <v>275</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INDEX('[2]End - Use Prices'!$C$6:$AL$89,MATCH($C131,'[2]End - Use Prices'!$A$6:$A$89,0)+MATCH($D131,'[2]End - Use Prices'!$B$9:$B$11,0)-1,MATCH(X$1,'[2]End - Use Prices'!$C$7:$AL$7,0))</f>
        <v>15.71</v>
      </c>
      <c r="Y131" s="41">
        <f>INDEX('[2]End - Use Prices'!$C$6:$AL$89,MATCH($C131,'[2]End - Use Prices'!$A$6:$A$89,0)+MATCH($D131,'[2]End - Use Prices'!$B$9:$B$11,0)-1,MATCH(Y$1,'[2]End - Use Prices'!$C$7:$AL$7,0))</f>
        <v>16.100000000000001</v>
      </c>
      <c r="Z131" s="41">
        <f>INDEX('[2]End - Use Prices'!$C$6:$AL$89,MATCH($C131,'[2]End - Use Prices'!$A$6:$A$89,0)+MATCH($D131,'[2]End - Use Prices'!$B$9:$B$11,0)-1,MATCH(Z$1,'[2]End - Use Prices'!$C$7:$AL$7,0))</f>
        <v>15.74</v>
      </c>
      <c r="AA131" s="41">
        <f>INDEX('[2]End - Use Prices'!$C$6:$AL$89,MATCH($C131,'[2]End - Use Prices'!$A$6:$A$89,0)+MATCH($D131,'[2]End - Use Prices'!$B$9:$B$11,0)-1,MATCH(AA$1,'[2]End - Use Prices'!$C$7:$AL$7,0))</f>
        <v>15.46</v>
      </c>
      <c r="AB131" s="41">
        <f>INDEX('[2]End - Use Prices'!$C$6:$AL$89,MATCH($C131,'[2]End - Use Prices'!$A$6:$A$89,0)+MATCH($D131,'[2]End - Use Prices'!$B$9:$B$11,0)-1,MATCH(AB$1,'[2]End - Use Prices'!$C$7:$AL$7,0))</f>
        <v>15.41</v>
      </c>
      <c r="AC131" s="41">
        <f>INDEX('[2]End - Use Prices'!$C$6:$AL$89,MATCH($C131,'[2]End - Use Prices'!$A$6:$A$89,0)+MATCH($D131,'[2]End - Use Prices'!$B$9:$B$11,0)-1,MATCH(AC$1,'[2]End - Use Prices'!$C$7:$AL$7,0))</f>
        <v>14.92</v>
      </c>
      <c r="AD131" s="41">
        <f>INDEX('[2]End - Use Prices'!$C$6:$AL$89,MATCH($C131,'[2]End - Use Prices'!$A$6:$A$89,0)+MATCH($D131,'[2]End - Use Prices'!$B$9:$B$11,0)-1,MATCH(AD$1,'[2]End - Use Prices'!$C$7:$AL$7,0))</f>
        <v>13.77</v>
      </c>
      <c r="AE131" s="41">
        <f>INDEX('[2]End - Use Prices'!$C$6:$AL$89,MATCH($C131,'[2]End - Use Prices'!$A$6:$A$89,0)+MATCH($D131,'[2]End - Use Prices'!$B$9:$B$11,0)-1,MATCH(AE$1,'[2]End - Use Prices'!$C$7:$AL$7,0))</f>
        <v>12.54</v>
      </c>
      <c r="AF131" s="41">
        <f>INDEX('[2]End - Use Prices'!$C$6:$AL$89,MATCH($C131,'[2]End - Use Prices'!$A$6:$A$89,0)+MATCH($D131,'[2]End - Use Prices'!$B$9:$B$11,0)-1,MATCH(AF$1,'[2]End - Use Prices'!$C$7:$AL$7,0))</f>
        <v>12.18</v>
      </c>
      <c r="AG131" s="41">
        <f>INDEX('[2]End - Use Prices'!$C$6:$AL$89,MATCH($C131,'[2]End - Use Prices'!$A$6:$A$89,0)+MATCH($D131,'[2]End - Use Prices'!$B$9:$B$11,0)-1,MATCH(AG$1,'[2]End - Use Prices'!$C$7:$AL$7,0))</f>
        <v>13.28</v>
      </c>
      <c r="AH131" s="41">
        <f>INDEX('[2]End - Use Prices'!$C$6:$AL$89,MATCH($C131,'[2]End - Use Prices'!$A$6:$A$89,0)+MATCH($D131,'[2]End - Use Prices'!$B$9:$B$11,0)-1,MATCH(AH$1,'[2]End - Use Prices'!$C$7:$AL$7,0))</f>
        <v>12.25</v>
      </c>
      <c r="AI131" s="41">
        <f>INDEX('[2]End - Use Prices'!$C$6:$AL$89,MATCH($C131,'[2]End - Use Prices'!$A$6:$A$89,0)+MATCH($D131,'[2]End - Use Prices'!$B$9:$B$11,0)-1,MATCH(AI$1,'[2]End - Use Prices'!$C$7:$AL$7,0))</f>
        <v>8.43</v>
      </c>
      <c r="AJ131" s="41">
        <f>INDEX('[2]End - Use Prices'!$C$6:$AL$89,MATCH($C131,'[2]End - Use Prices'!$A$6:$A$89,0)+MATCH($D131,'[2]End - Use Prices'!$B$9:$B$11,0)-1,MATCH(AJ$1,'[2]End - Use Prices'!$C$7:$AL$7,0))</f>
        <v>8.91</v>
      </c>
      <c r="AK131" s="41">
        <f>INDEX('[2]End - Use Prices'!$C$6:$AL$89,MATCH($C131,'[2]End - Use Prices'!$A$6:$A$89,0)+MATCH($D131,'[2]End - Use Prices'!$B$9:$B$11,0)-1,MATCH(AK$1,'[2]End - Use Prices'!$C$7:$AL$7,0))</f>
        <v>8.81</v>
      </c>
      <c r="AL131" s="41">
        <f>INDEX('[2]End - Use Prices'!$C$6:$AL$89,MATCH($C131,'[2]End - Use Prices'!$A$6:$A$89,0)+MATCH($D131,'[2]End - Use Prices'!$B$9:$B$11,0)-1,MATCH(AL$1,'[2]End - Use Prices'!$C$7:$AL$7,0))</f>
        <v>8.7899999999999991</v>
      </c>
      <c r="AM131" s="41">
        <f>INDEX('[2]End - Use Prices'!$C$6:$AL$89,MATCH($C131,'[2]End - Use Prices'!$A$6:$A$89,0)+MATCH($D131,'[2]End - Use Prices'!$B$9:$B$11,0)-1,MATCH(AM$1,'[2]End - Use Prices'!$C$7:$AL$7,0))</f>
        <v>9.07</v>
      </c>
      <c r="AN131" s="41">
        <f>INDEX('[2]End - Use Prices'!$C$6:$AL$89,MATCH($C131,'[2]End - Use Prices'!$A$6:$A$89,0)+MATCH($D131,'[2]End - Use Prices'!$B$9:$B$11,0)-1,MATCH(AN$1,'[2]End - Use Prices'!$C$7:$AL$7,0))</f>
        <v>9.2200000000000006</v>
      </c>
      <c r="AO131" s="41">
        <f>INDEX('[2]End - Use Prices'!$C$6:$AL$89,MATCH($C131,'[2]End - Use Prices'!$A$6:$A$89,0)+MATCH($D131,'[2]End - Use Prices'!$B$9:$B$11,0)-1,MATCH(AO$1,'[2]End - Use Prices'!$C$7:$AL$7,0))</f>
        <v>9.36</v>
      </c>
      <c r="AP131" s="41">
        <f>INDEX('[2]End - Use Prices'!$C$6:$AL$89,MATCH($C131,'[2]End - Use Prices'!$A$6:$A$89,0)+MATCH($D131,'[2]End - Use Prices'!$B$9:$B$11,0)-1,MATCH(AP$1,'[2]End - Use Prices'!$C$7:$AL$7,0))</f>
        <v>9.48</v>
      </c>
      <c r="AQ131" s="41">
        <f>INDEX('[2]End - Use Prices'!$C$6:$AL$89,MATCH($C131,'[2]End - Use Prices'!$A$6:$A$89,0)+MATCH($D131,'[2]End - Use Prices'!$B$9:$B$11,0)-1,MATCH(AQ$1,'[2]End - Use Prices'!$C$7:$AL$7,0))</f>
        <v>9.48</v>
      </c>
      <c r="AR131" s="41">
        <f>INDEX('[2]End - Use Prices'!$C$6:$AL$89,MATCH($C131,'[2]End - Use Prices'!$A$6:$A$89,0)+MATCH($D131,'[2]End - Use Prices'!$B$9:$B$11,0)-1,MATCH(AR$1,'[2]End - Use Prices'!$C$7:$AL$7,0))</f>
        <v>9.5</v>
      </c>
      <c r="AS131" s="41">
        <f>INDEX('[2]End - Use Prices'!$C$6:$AL$89,MATCH($C131,'[2]End - Use Prices'!$A$6:$A$89,0)+MATCH($D131,'[2]End - Use Prices'!$B$9:$B$11,0)-1,MATCH(AS$1,'[2]End - Use Prices'!$C$7:$AL$7,0))</f>
        <v>9.58</v>
      </c>
      <c r="AT131" s="41">
        <f>INDEX('[2]End - Use Prices'!$C$6:$AL$89,MATCH($C131,'[2]End - Use Prices'!$A$6:$A$89,0)+MATCH($D131,'[2]End - Use Prices'!$B$9:$B$11,0)-1,MATCH(AT$1,'[2]End - Use Prices'!$C$7:$AL$7,0))</f>
        <v>9.66</v>
      </c>
      <c r="AU131" s="41">
        <f>INDEX('[2]End - Use Prices'!$C$6:$AL$89,MATCH($C131,'[2]End - Use Prices'!$A$6:$A$89,0)+MATCH($D131,'[2]End - Use Prices'!$B$9:$B$11,0)-1,MATCH(AU$1,'[2]End - Use Prices'!$C$7:$AL$7,0))</f>
        <v>9.75</v>
      </c>
      <c r="AV131" s="41">
        <f>INDEX('[2]End - Use Prices'!$C$6:$AL$89,MATCH($C131,'[2]End - Use Prices'!$A$6:$A$89,0)+MATCH($D131,'[2]End - Use Prices'!$B$9:$B$11,0)-1,MATCH(AV$1,'[2]End - Use Prices'!$C$7:$AL$7,0))</f>
        <v>9.85</v>
      </c>
      <c r="AW131" s="41">
        <f>INDEX('[2]End - Use Prices'!$C$6:$AL$89,MATCH($C131,'[2]End - Use Prices'!$A$6:$A$89,0)+MATCH($D131,'[2]End - Use Prices'!$B$9:$B$11,0)-1,MATCH(AW$1,'[2]End - Use Prices'!$C$7:$AL$7,0))</f>
        <v>9.94</v>
      </c>
      <c r="AX131" s="41">
        <f>INDEX('[2]End - Use Prices'!$C$6:$AL$89,MATCH($C131,'[2]End - Use Prices'!$A$6:$A$89,0)+MATCH($D131,'[2]End - Use Prices'!$B$9:$B$11,0)-1,MATCH(AX$1,'[2]End - Use Prices'!$C$7:$AL$7,0))</f>
        <v>10.039999999999999</v>
      </c>
      <c r="AY131" s="41">
        <f>INDEX('[2]End - Use Prices'!$C$6:$AL$89,MATCH($C131,'[2]End - Use Prices'!$A$6:$A$89,0)+MATCH($D131,'[2]End - Use Prices'!$B$9:$B$11,0)-1,MATCH(AY$1,'[2]End - Use Prices'!$C$7:$AL$7,0))</f>
        <v>10.16</v>
      </c>
      <c r="AZ131" s="41">
        <f>INDEX('[2]End - Use Prices'!$C$6:$AL$89,MATCH($C131,'[2]End - Use Prices'!$A$6:$A$89,0)+MATCH($D131,'[2]End - Use Prices'!$B$9:$B$11,0)-1,MATCH(AZ$1,'[2]End - Use Prices'!$C$7:$AL$7,0))</f>
        <v>10.28</v>
      </c>
      <c r="BA131" s="41">
        <f>INDEX('[2]End - Use Prices'!$C$6:$AL$89,MATCH($C131,'[2]End - Use Prices'!$A$6:$A$89,0)+MATCH($D131,'[2]End - Use Prices'!$B$9:$B$11,0)-1,MATCH(BA$1,'[2]End - Use Prices'!$C$7:$AL$7,0))</f>
        <v>10.34</v>
      </c>
      <c r="BB131" s="41">
        <f>INDEX('[2]End - Use Prices'!$C$6:$AL$89,MATCH($C131,'[2]End - Use Prices'!$A$6:$A$89,0)+MATCH($D131,'[2]End - Use Prices'!$B$9:$B$11,0)-1,MATCH(BB$1,'[2]End - Use Prices'!$C$7:$AL$7,0))</f>
        <v>10.41</v>
      </c>
      <c r="BC131" s="41">
        <f>INDEX('[2]End - Use Prices'!$C$6:$AL$89,MATCH($C131,'[2]End - Use Prices'!$A$6:$A$89,0)+MATCH($D131,'[2]End - Use Prices'!$B$9:$B$11,0)-1,MATCH(BC$1,'[2]End - Use Prices'!$C$7:$AL$7,0))</f>
        <v>10.46</v>
      </c>
      <c r="BD131" s="41">
        <f>INDEX('[2]End - Use Prices'!$C$6:$AL$89,MATCH($C131,'[2]End - Use Prices'!$A$6:$A$89,0)+MATCH($D131,'[2]End - Use Prices'!$B$9:$B$11,0)-1,MATCH(BD$1,'[2]End - Use Prices'!$C$7:$AL$7,0))</f>
        <v>10.5</v>
      </c>
      <c r="BE131" s="41">
        <f>INDEX('[2]End - Use Prices'!$C$6:$AL$89,MATCH($C131,'[2]End - Use Prices'!$A$6:$A$89,0)+MATCH($D131,'[2]End - Use Prices'!$B$9:$B$11,0)-1,MATCH(BE$1,'[2]End - Use Prices'!$C$7:$AL$7,0))</f>
        <v>10.54</v>
      </c>
      <c r="BF131" s="41">
        <f>INDEX('[2]End - Use Prices'!$C$6:$AL$89,MATCH($C131,'[2]End - Use Prices'!$A$6:$A$89,0)+MATCH($D131,'[2]End - Use Prices'!$B$9:$B$11,0)-1,MATCH(BF$1,'[2]End - Use Prices'!$C$7:$AL$7,0))</f>
        <v>10.57</v>
      </c>
      <c r="BG131" s="41">
        <f>INDEX('[2]End - Use Prices'!$C$6:$AL$89,MATCH($C131,'[2]End - Use Prices'!$A$6:$A$89,0)+MATCH($D131,'[2]End - Use Prices'!$B$9:$B$11,0)-1,MATCH(BG$1,'[2]End - Use Prices'!$C$7:$AL$7,0))</f>
        <v>10.59</v>
      </c>
      <c r="BR131" s="39"/>
      <c r="BS131" s="39"/>
      <c r="BT131" s="39"/>
      <c r="BU131" s="39"/>
      <c r="BV131" s="39"/>
      <c r="BW131" s="39"/>
      <c r="BX131" s="39"/>
      <c r="BY131" s="39"/>
      <c r="BZ131" s="39"/>
      <c r="CA131" s="39"/>
    </row>
    <row r="132" spans="1:79">
      <c r="A132" s="5"/>
      <c r="B132" s="3"/>
      <c r="C132" s="25" t="s">
        <v>94</v>
      </c>
      <c r="D132" s="25" t="s">
        <v>13</v>
      </c>
      <c r="E132" s="25" t="s">
        <v>277</v>
      </c>
      <c r="F132" s="67" t="s">
        <v>275</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INDEX('[2]End - Use Prices'!$C$6:$AL$89,MATCH($C132,'[2]End - Use Prices'!$A$6:$A$89,0)+MATCH($D132,'[2]End - Use Prices'!$B$9:$B$11,0)-1,MATCH(X$1,'[2]End - Use Prices'!$C$7:$AL$7,0))</f>
        <v>32.04</v>
      </c>
      <c r="Y132" s="41">
        <f>INDEX('[2]End - Use Prices'!$C$6:$AL$89,MATCH($C132,'[2]End - Use Prices'!$A$6:$A$89,0)+MATCH($D132,'[2]End - Use Prices'!$B$9:$B$11,0)-1,MATCH(Y$1,'[2]End - Use Prices'!$C$7:$AL$7,0))</f>
        <v>31.25</v>
      </c>
      <c r="Z132" s="41">
        <f>INDEX('[2]End - Use Prices'!$C$6:$AL$89,MATCH($C132,'[2]End - Use Prices'!$A$6:$A$89,0)+MATCH($D132,'[2]End - Use Prices'!$B$9:$B$11,0)-1,MATCH(Z$1,'[2]End - Use Prices'!$C$7:$AL$7,0))</f>
        <v>32.020000000000003</v>
      </c>
      <c r="AA132" s="41">
        <f>INDEX('[2]End - Use Prices'!$C$6:$AL$89,MATCH($C132,'[2]End - Use Prices'!$A$6:$A$89,0)+MATCH($D132,'[2]End - Use Prices'!$B$9:$B$11,0)-1,MATCH(AA$1,'[2]End - Use Prices'!$C$7:$AL$7,0))</f>
        <v>31.29</v>
      </c>
      <c r="AB132" s="41">
        <f>INDEX('[2]End - Use Prices'!$C$6:$AL$89,MATCH($C132,'[2]End - Use Prices'!$A$6:$A$89,0)+MATCH($D132,'[2]End - Use Prices'!$B$9:$B$11,0)-1,MATCH(AB$1,'[2]End - Use Prices'!$C$7:$AL$7,0))</f>
        <v>30.74</v>
      </c>
      <c r="AC132" s="41">
        <f>INDEX('[2]End - Use Prices'!$C$6:$AL$89,MATCH($C132,'[2]End - Use Prices'!$A$6:$A$89,0)+MATCH($D132,'[2]End - Use Prices'!$B$9:$B$11,0)-1,MATCH(AC$1,'[2]End - Use Prices'!$C$7:$AL$7,0))</f>
        <v>30.65</v>
      </c>
      <c r="AD132" s="41">
        <f>INDEX('[2]End - Use Prices'!$C$6:$AL$89,MATCH($C132,'[2]End - Use Prices'!$A$6:$A$89,0)+MATCH($D132,'[2]End - Use Prices'!$B$9:$B$11,0)-1,MATCH(AD$1,'[2]End - Use Prices'!$C$7:$AL$7,0))</f>
        <v>29.66</v>
      </c>
      <c r="AE132" s="41">
        <f>INDEX('[2]End - Use Prices'!$C$6:$AL$89,MATCH($C132,'[2]End - Use Prices'!$A$6:$A$89,0)+MATCH($D132,'[2]End - Use Prices'!$B$9:$B$11,0)-1,MATCH(AE$1,'[2]End - Use Prices'!$C$7:$AL$7,0))</f>
        <v>33.369999999999997</v>
      </c>
      <c r="AF132" s="41">
        <f>INDEX('[2]End - Use Prices'!$C$6:$AL$89,MATCH($C132,'[2]End - Use Prices'!$A$6:$A$89,0)+MATCH($D132,'[2]End - Use Prices'!$B$9:$B$11,0)-1,MATCH(AF$1,'[2]End - Use Prices'!$C$7:$AL$7,0))</f>
        <v>33.28</v>
      </c>
      <c r="AG132" s="41">
        <f>INDEX('[2]End - Use Prices'!$C$6:$AL$89,MATCH($C132,'[2]End - Use Prices'!$A$6:$A$89,0)+MATCH($D132,'[2]End - Use Prices'!$B$9:$B$11,0)-1,MATCH(AG$1,'[2]End - Use Prices'!$C$7:$AL$7,0))</f>
        <v>39.119999999999997</v>
      </c>
      <c r="AH132" s="41">
        <f>INDEX('[2]End - Use Prices'!$C$6:$AL$89,MATCH($C132,'[2]End - Use Prices'!$A$6:$A$89,0)+MATCH($D132,'[2]End - Use Prices'!$B$9:$B$11,0)-1,MATCH(AH$1,'[2]End - Use Prices'!$C$7:$AL$7,0))</f>
        <v>39.43</v>
      </c>
      <c r="AI132" s="41">
        <f>INDEX('[2]End - Use Prices'!$C$6:$AL$89,MATCH($C132,'[2]End - Use Prices'!$A$6:$A$89,0)+MATCH($D132,'[2]End - Use Prices'!$B$9:$B$11,0)-1,MATCH(AI$1,'[2]End - Use Prices'!$C$7:$AL$7,0))</f>
        <v>39.19</v>
      </c>
      <c r="AJ132" s="41">
        <f>INDEX('[2]End - Use Prices'!$C$6:$AL$89,MATCH($C132,'[2]End - Use Prices'!$A$6:$A$89,0)+MATCH($D132,'[2]End - Use Prices'!$B$9:$B$11,0)-1,MATCH(AJ$1,'[2]End - Use Prices'!$C$7:$AL$7,0))</f>
        <v>39.659999999999997</v>
      </c>
      <c r="AK132" s="41">
        <f>INDEX('[2]End - Use Prices'!$C$6:$AL$89,MATCH($C132,'[2]End - Use Prices'!$A$6:$A$89,0)+MATCH($D132,'[2]End - Use Prices'!$B$9:$B$11,0)-1,MATCH(AK$1,'[2]End - Use Prices'!$C$7:$AL$7,0))</f>
        <v>39.57</v>
      </c>
      <c r="AL132" s="41">
        <f>INDEX('[2]End - Use Prices'!$C$6:$AL$89,MATCH($C132,'[2]End - Use Prices'!$A$6:$A$89,0)+MATCH($D132,'[2]End - Use Prices'!$B$9:$B$11,0)-1,MATCH(AL$1,'[2]End - Use Prices'!$C$7:$AL$7,0))</f>
        <v>39.549999999999997</v>
      </c>
      <c r="AM132" s="41">
        <f>INDEX('[2]End - Use Prices'!$C$6:$AL$89,MATCH($C132,'[2]End - Use Prices'!$A$6:$A$89,0)+MATCH($D132,'[2]End - Use Prices'!$B$9:$B$11,0)-1,MATCH(AM$1,'[2]End - Use Prices'!$C$7:$AL$7,0))</f>
        <v>41.09</v>
      </c>
      <c r="AN132" s="41">
        <f>INDEX('[2]End - Use Prices'!$C$6:$AL$89,MATCH($C132,'[2]End - Use Prices'!$A$6:$A$89,0)+MATCH($D132,'[2]End - Use Prices'!$B$9:$B$11,0)-1,MATCH(AN$1,'[2]End - Use Prices'!$C$7:$AL$7,0))</f>
        <v>41.81</v>
      </c>
      <c r="AO132" s="41">
        <f>INDEX('[2]End - Use Prices'!$C$6:$AL$89,MATCH($C132,'[2]End - Use Prices'!$A$6:$A$89,0)+MATCH($D132,'[2]End - Use Prices'!$B$9:$B$11,0)-1,MATCH(AO$1,'[2]End - Use Prices'!$C$7:$AL$7,0))</f>
        <v>42.49</v>
      </c>
      <c r="AP132" s="41">
        <f>INDEX('[2]End - Use Prices'!$C$6:$AL$89,MATCH($C132,'[2]End - Use Prices'!$A$6:$A$89,0)+MATCH($D132,'[2]End - Use Prices'!$B$9:$B$11,0)-1,MATCH(AP$1,'[2]End - Use Prices'!$C$7:$AL$7,0))</f>
        <v>43.1</v>
      </c>
      <c r="AQ132" s="41">
        <f>INDEX('[2]End - Use Prices'!$C$6:$AL$89,MATCH($C132,'[2]End - Use Prices'!$A$6:$A$89,0)+MATCH($D132,'[2]End - Use Prices'!$B$9:$B$11,0)-1,MATCH(AQ$1,'[2]End - Use Prices'!$C$7:$AL$7,0))</f>
        <v>43</v>
      </c>
      <c r="AR132" s="41">
        <f>INDEX('[2]End - Use Prices'!$C$6:$AL$89,MATCH($C132,'[2]End - Use Prices'!$A$6:$A$89,0)+MATCH($D132,'[2]End - Use Prices'!$B$9:$B$11,0)-1,MATCH(AR$1,'[2]End - Use Prices'!$C$7:$AL$7,0))</f>
        <v>42.93</v>
      </c>
      <c r="AS132" s="41">
        <f>INDEX('[2]End - Use Prices'!$C$6:$AL$89,MATCH($C132,'[2]End - Use Prices'!$A$6:$A$89,0)+MATCH($D132,'[2]End - Use Prices'!$B$9:$B$11,0)-1,MATCH(AS$1,'[2]End - Use Prices'!$C$7:$AL$7,0))</f>
        <v>42.95</v>
      </c>
      <c r="AT132" s="41">
        <f>INDEX('[2]End - Use Prices'!$C$6:$AL$89,MATCH($C132,'[2]End - Use Prices'!$A$6:$A$89,0)+MATCH($D132,'[2]End - Use Prices'!$B$9:$B$11,0)-1,MATCH(AT$1,'[2]End - Use Prices'!$C$7:$AL$7,0))</f>
        <v>42.95</v>
      </c>
      <c r="AU132" s="41">
        <f>INDEX('[2]End - Use Prices'!$C$6:$AL$89,MATCH($C132,'[2]End - Use Prices'!$A$6:$A$89,0)+MATCH($D132,'[2]End - Use Prices'!$B$9:$B$11,0)-1,MATCH(AU$1,'[2]End - Use Prices'!$C$7:$AL$7,0))</f>
        <v>42.97</v>
      </c>
      <c r="AV132" s="41">
        <f>INDEX('[2]End - Use Prices'!$C$6:$AL$89,MATCH($C132,'[2]End - Use Prices'!$A$6:$A$89,0)+MATCH($D132,'[2]End - Use Prices'!$B$9:$B$11,0)-1,MATCH(AV$1,'[2]End - Use Prices'!$C$7:$AL$7,0))</f>
        <v>43.01</v>
      </c>
      <c r="AW132" s="41">
        <f>INDEX('[2]End - Use Prices'!$C$6:$AL$89,MATCH($C132,'[2]End - Use Prices'!$A$6:$A$89,0)+MATCH($D132,'[2]End - Use Prices'!$B$9:$B$11,0)-1,MATCH(AW$1,'[2]End - Use Prices'!$C$7:$AL$7,0))</f>
        <v>43.05</v>
      </c>
      <c r="AX132" s="41">
        <f>INDEX('[2]End - Use Prices'!$C$6:$AL$89,MATCH($C132,'[2]End - Use Prices'!$A$6:$A$89,0)+MATCH($D132,'[2]End - Use Prices'!$B$9:$B$11,0)-1,MATCH(AX$1,'[2]End - Use Prices'!$C$7:$AL$7,0))</f>
        <v>43.1</v>
      </c>
      <c r="AY132" s="41">
        <f>INDEX('[2]End - Use Prices'!$C$6:$AL$89,MATCH($C132,'[2]End - Use Prices'!$A$6:$A$89,0)+MATCH($D132,'[2]End - Use Prices'!$B$9:$B$11,0)-1,MATCH(AY$1,'[2]End - Use Prices'!$C$7:$AL$7,0))</f>
        <v>43.17</v>
      </c>
      <c r="AZ132" s="41">
        <f>INDEX('[2]End - Use Prices'!$C$6:$AL$89,MATCH($C132,'[2]End - Use Prices'!$A$6:$A$89,0)+MATCH($D132,'[2]End - Use Prices'!$B$9:$B$11,0)-1,MATCH(AZ$1,'[2]End - Use Prices'!$C$7:$AL$7,0))</f>
        <v>43.25</v>
      </c>
      <c r="BA132" s="41">
        <f>INDEX('[2]End - Use Prices'!$C$6:$AL$89,MATCH($C132,'[2]End - Use Prices'!$A$6:$A$89,0)+MATCH($D132,'[2]End - Use Prices'!$B$9:$B$11,0)-1,MATCH(BA$1,'[2]End - Use Prices'!$C$7:$AL$7,0))</f>
        <v>43.28</v>
      </c>
      <c r="BB132" s="41">
        <f>INDEX('[2]End - Use Prices'!$C$6:$AL$89,MATCH($C132,'[2]End - Use Prices'!$A$6:$A$89,0)+MATCH($D132,'[2]End - Use Prices'!$B$9:$B$11,0)-1,MATCH(BB$1,'[2]End - Use Prices'!$C$7:$AL$7,0))</f>
        <v>43.31</v>
      </c>
      <c r="BC132" s="41">
        <f>INDEX('[2]End - Use Prices'!$C$6:$AL$89,MATCH($C132,'[2]End - Use Prices'!$A$6:$A$89,0)+MATCH($D132,'[2]End - Use Prices'!$B$9:$B$11,0)-1,MATCH(BC$1,'[2]End - Use Prices'!$C$7:$AL$7,0))</f>
        <v>43.33</v>
      </c>
      <c r="BD132" s="41">
        <f>INDEX('[2]End - Use Prices'!$C$6:$AL$89,MATCH($C132,'[2]End - Use Prices'!$A$6:$A$89,0)+MATCH($D132,'[2]End - Use Prices'!$B$9:$B$11,0)-1,MATCH(BD$1,'[2]End - Use Prices'!$C$7:$AL$7,0))</f>
        <v>43.33</v>
      </c>
      <c r="BE132" s="41">
        <f>INDEX('[2]End - Use Prices'!$C$6:$AL$89,MATCH($C132,'[2]End - Use Prices'!$A$6:$A$89,0)+MATCH($D132,'[2]End - Use Prices'!$B$9:$B$11,0)-1,MATCH(BE$1,'[2]End - Use Prices'!$C$7:$AL$7,0))</f>
        <v>43.31</v>
      </c>
      <c r="BF132" s="41">
        <f>INDEX('[2]End - Use Prices'!$C$6:$AL$89,MATCH($C132,'[2]End - Use Prices'!$A$6:$A$89,0)+MATCH($D132,'[2]End - Use Prices'!$B$9:$B$11,0)-1,MATCH(BF$1,'[2]End - Use Prices'!$C$7:$AL$7,0))</f>
        <v>43.3</v>
      </c>
      <c r="BG132" s="41">
        <f>INDEX('[2]End - Use Prices'!$C$6:$AL$89,MATCH($C132,'[2]End - Use Prices'!$A$6:$A$89,0)+MATCH($D132,'[2]End - Use Prices'!$B$9:$B$11,0)-1,MATCH(BG$1,'[2]End - Use Prices'!$C$7:$AL$7,0))</f>
        <v>43.29</v>
      </c>
      <c r="BR132" s="39"/>
      <c r="BS132" s="39"/>
      <c r="BT132" s="39"/>
      <c r="BU132" s="39"/>
      <c r="BV132" s="39"/>
      <c r="BW132" s="39"/>
      <c r="BX132" s="39"/>
      <c r="BY132" s="39"/>
      <c r="BZ132" s="39"/>
      <c r="CA132" s="39"/>
    </row>
    <row r="133" spans="1:79">
      <c r="A133" s="5"/>
      <c r="B133" s="3"/>
      <c r="C133" s="25" t="s">
        <v>93</v>
      </c>
      <c r="D133" s="25" t="s">
        <v>13</v>
      </c>
      <c r="E133" s="25" t="s">
        <v>277</v>
      </c>
      <c r="F133" s="67" t="s">
        <v>275</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INDEX('[2]End - Use Prices'!$C$6:$AL$89,MATCH($C133,'[2]End - Use Prices'!$A$6:$A$89,0)+MATCH($D133,'[2]End - Use Prices'!$B$9:$B$11,0)-1,MATCH(X$1,'[2]End - Use Prices'!$C$7:$AL$7,0))</f>
        <v>15.71</v>
      </c>
      <c r="Y133" s="41">
        <f>INDEX('[2]End - Use Prices'!$C$6:$AL$89,MATCH($C133,'[2]End - Use Prices'!$A$6:$A$89,0)+MATCH($D133,'[2]End - Use Prices'!$B$9:$B$11,0)-1,MATCH(Y$1,'[2]End - Use Prices'!$C$7:$AL$7,0))</f>
        <v>16.100000000000001</v>
      </c>
      <c r="Z133" s="41">
        <f>INDEX('[2]End - Use Prices'!$C$6:$AL$89,MATCH($C133,'[2]End - Use Prices'!$A$6:$A$89,0)+MATCH($D133,'[2]End - Use Prices'!$B$9:$B$11,0)-1,MATCH(Z$1,'[2]End - Use Prices'!$C$7:$AL$7,0))</f>
        <v>15.74</v>
      </c>
      <c r="AA133" s="41">
        <f>INDEX('[2]End - Use Prices'!$C$6:$AL$89,MATCH($C133,'[2]End - Use Prices'!$A$6:$A$89,0)+MATCH($D133,'[2]End - Use Prices'!$B$9:$B$11,0)-1,MATCH(AA$1,'[2]End - Use Prices'!$C$7:$AL$7,0))</f>
        <v>15.46</v>
      </c>
      <c r="AB133" s="41">
        <f>INDEX('[2]End - Use Prices'!$C$6:$AL$89,MATCH($C133,'[2]End - Use Prices'!$A$6:$A$89,0)+MATCH($D133,'[2]End - Use Prices'!$B$9:$B$11,0)-1,MATCH(AB$1,'[2]End - Use Prices'!$C$7:$AL$7,0))</f>
        <v>15.41</v>
      </c>
      <c r="AC133" s="41">
        <f>INDEX('[2]End - Use Prices'!$C$6:$AL$89,MATCH($C133,'[2]End - Use Prices'!$A$6:$A$89,0)+MATCH($D133,'[2]End - Use Prices'!$B$9:$B$11,0)-1,MATCH(AC$1,'[2]End - Use Prices'!$C$7:$AL$7,0))</f>
        <v>14.92</v>
      </c>
      <c r="AD133" s="41">
        <f>INDEX('[2]End - Use Prices'!$C$6:$AL$89,MATCH($C133,'[2]End - Use Prices'!$A$6:$A$89,0)+MATCH($D133,'[2]End - Use Prices'!$B$9:$B$11,0)-1,MATCH(AD$1,'[2]End - Use Prices'!$C$7:$AL$7,0))</f>
        <v>13.77</v>
      </c>
      <c r="AE133" s="41">
        <f>INDEX('[2]End - Use Prices'!$C$6:$AL$89,MATCH($C133,'[2]End - Use Prices'!$A$6:$A$89,0)+MATCH($D133,'[2]End - Use Prices'!$B$9:$B$11,0)-1,MATCH(AE$1,'[2]End - Use Prices'!$C$7:$AL$7,0))</f>
        <v>12.54</v>
      </c>
      <c r="AF133" s="41">
        <f>INDEX('[2]End - Use Prices'!$C$6:$AL$89,MATCH($C133,'[2]End - Use Prices'!$A$6:$A$89,0)+MATCH($D133,'[2]End - Use Prices'!$B$9:$B$11,0)-1,MATCH(AF$1,'[2]End - Use Prices'!$C$7:$AL$7,0))</f>
        <v>12.18</v>
      </c>
      <c r="AG133" s="41">
        <f>INDEX('[2]End - Use Prices'!$C$6:$AL$89,MATCH($C133,'[2]End - Use Prices'!$A$6:$A$89,0)+MATCH($D133,'[2]End - Use Prices'!$B$9:$B$11,0)-1,MATCH(AG$1,'[2]End - Use Prices'!$C$7:$AL$7,0))</f>
        <v>13.28</v>
      </c>
      <c r="AH133" s="41">
        <f>INDEX('[2]End - Use Prices'!$C$6:$AL$89,MATCH($C133,'[2]End - Use Prices'!$A$6:$A$89,0)+MATCH($D133,'[2]End - Use Prices'!$B$9:$B$11,0)-1,MATCH(AH$1,'[2]End - Use Prices'!$C$7:$AL$7,0))</f>
        <v>12.25</v>
      </c>
      <c r="AI133" s="41">
        <f>INDEX('[2]End - Use Prices'!$C$6:$AL$89,MATCH($C133,'[2]End - Use Prices'!$A$6:$A$89,0)+MATCH($D133,'[2]End - Use Prices'!$B$9:$B$11,0)-1,MATCH(AI$1,'[2]End - Use Prices'!$C$7:$AL$7,0))</f>
        <v>8.43</v>
      </c>
      <c r="AJ133" s="41">
        <f>INDEX('[2]End - Use Prices'!$C$6:$AL$89,MATCH($C133,'[2]End - Use Prices'!$A$6:$A$89,0)+MATCH($D133,'[2]End - Use Prices'!$B$9:$B$11,0)-1,MATCH(AJ$1,'[2]End - Use Prices'!$C$7:$AL$7,0))</f>
        <v>8.91</v>
      </c>
      <c r="AK133" s="41">
        <f>INDEX('[2]End - Use Prices'!$C$6:$AL$89,MATCH($C133,'[2]End - Use Prices'!$A$6:$A$89,0)+MATCH($D133,'[2]End - Use Prices'!$B$9:$B$11,0)-1,MATCH(AK$1,'[2]End - Use Prices'!$C$7:$AL$7,0))</f>
        <v>8.81</v>
      </c>
      <c r="AL133" s="41">
        <f>INDEX('[2]End - Use Prices'!$C$6:$AL$89,MATCH($C133,'[2]End - Use Prices'!$A$6:$A$89,0)+MATCH($D133,'[2]End - Use Prices'!$B$9:$B$11,0)-1,MATCH(AL$1,'[2]End - Use Prices'!$C$7:$AL$7,0))</f>
        <v>8.7899999999999991</v>
      </c>
      <c r="AM133" s="41">
        <f>INDEX('[2]End - Use Prices'!$C$6:$AL$89,MATCH($C133,'[2]End - Use Prices'!$A$6:$A$89,0)+MATCH($D133,'[2]End - Use Prices'!$B$9:$B$11,0)-1,MATCH(AM$1,'[2]End - Use Prices'!$C$7:$AL$7,0))</f>
        <v>9.07</v>
      </c>
      <c r="AN133" s="41">
        <f>INDEX('[2]End - Use Prices'!$C$6:$AL$89,MATCH($C133,'[2]End - Use Prices'!$A$6:$A$89,0)+MATCH($D133,'[2]End - Use Prices'!$B$9:$B$11,0)-1,MATCH(AN$1,'[2]End - Use Prices'!$C$7:$AL$7,0))</f>
        <v>9.2200000000000006</v>
      </c>
      <c r="AO133" s="41">
        <f>INDEX('[2]End - Use Prices'!$C$6:$AL$89,MATCH($C133,'[2]End - Use Prices'!$A$6:$A$89,0)+MATCH($D133,'[2]End - Use Prices'!$B$9:$B$11,0)-1,MATCH(AO$1,'[2]End - Use Prices'!$C$7:$AL$7,0))</f>
        <v>9.36</v>
      </c>
      <c r="AP133" s="41">
        <f>INDEX('[2]End - Use Prices'!$C$6:$AL$89,MATCH($C133,'[2]End - Use Prices'!$A$6:$A$89,0)+MATCH($D133,'[2]End - Use Prices'!$B$9:$B$11,0)-1,MATCH(AP$1,'[2]End - Use Prices'!$C$7:$AL$7,0))</f>
        <v>9.48</v>
      </c>
      <c r="AQ133" s="41">
        <f>INDEX('[2]End - Use Prices'!$C$6:$AL$89,MATCH($C133,'[2]End - Use Prices'!$A$6:$A$89,0)+MATCH($D133,'[2]End - Use Prices'!$B$9:$B$11,0)-1,MATCH(AQ$1,'[2]End - Use Prices'!$C$7:$AL$7,0))</f>
        <v>9.48</v>
      </c>
      <c r="AR133" s="41">
        <f>INDEX('[2]End - Use Prices'!$C$6:$AL$89,MATCH($C133,'[2]End - Use Prices'!$A$6:$A$89,0)+MATCH($D133,'[2]End - Use Prices'!$B$9:$B$11,0)-1,MATCH(AR$1,'[2]End - Use Prices'!$C$7:$AL$7,0))</f>
        <v>9.5</v>
      </c>
      <c r="AS133" s="41">
        <f>INDEX('[2]End - Use Prices'!$C$6:$AL$89,MATCH($C133,'[2]End - Use Prices'!$A$6:$A$89,0)+MATCH($D133,'[2]End - Use Prices'!$B$9:$B$11,0)-1,MATCH(AS$1,'[2]End - Use Prices'!$C$7:$AL$7,0))</f>
        <v>9.58</v>
      </c>
      <c r="AT133" s="41">
        <f>INDEX('[2]End - Use Prices'!$C$6:$AL$89,MATCH($C133,'[2]End - Use Prices'!$A$6:$A$89,0)+MATCH($D133,'[2]End - Use Prices'!$B$9:$B$11,0)-1,MATCH(AT$1,'[2]End - Use Prices'!$C$7:$AL$7,0))</f>
        <v>9.66</v>
      </c>
      <c r="AU133" s="41">
        <f>INDEX('[2]End - Use Prices'!$C$6:$AL$89,MATCH($C133,'[2]End - Use Prices'!$A$6:$A$89,0)+MATCH($D133,'[2]End - Use Prices'!$B$9:$B$11,0)-1,MATCH(AU$1,'[2]End - Use Prices'!$C$7:$AL$7,0))</f>
        <v>9.75</v>
      </c>
      <c r="AV133" s="41">
        <f>INDEX('[2]End - Use Prices'!$C$6:$AL$89,MATCH($C133,'[2]End - Use Prices'!$A$6:$A$89,0)+MATCH($D133,'[2]End - Use Prices'!$B$9:$B$11,0)-1,MATCH(AV$1,'[2]End - Use Prices'!$C$7:$AL$7,0))</f>
        <v>9.85</v>
      </c>
      <c r="AW133" s="41">
        <f>INDEX('[2]End - Use Prices'!$C$6:$AL$89,MATCH($C133,'[2]End - Use Prices'!$A$6:$A$89,0)+MATCH($D133,'[2]End - Use Prices'!$B$9:$B$11,0)-1,MATCH(AW$1,'[2]End - Use Prices'!$C$7:$AL$7,0))</f>
        <v>9.94</v>
      </c>
      <c r="AX133" s="41">
        <f>INDEX('[2]End - Use Prices'!$C$6:$AL$89,MATCH($C133,'[2]End - Use Prices'!$A$6:$A$89,0)+MATCH($D133,'[2]End - Use Prices'!$B$9:$B$11,0)-1,MATCH(AX$1,'[2]End - Use Prices'!$C$7:$AL$7,0))</f>
        <v>10.039999999999999</v>
      </c>
      <c r="AY133" s="41">
        <f>INDEX('[2]End - Use Prices'!$C$6:$AL$89,MATCH($C133,'[2]End - Use Prices'!$A$6:$A$89,0)+MATCH($D133,'[2]End - Use Prices'!$B$9:$B$11,0)-1,MATCH(AY$1,'[2]End - Use Prices'!$C$7:$AL$7,0))</f>
        <v>10.16</v>
      </c>
      <c r="AZ133" s="41">
        <f>INDEX('[2]End - Use Prices'!$C$6:$AL$89,MATCH($C133,'[2]End - Use Prices'!$A$6:$A$89,0)+MATCH($D133,'[2]End - Use Prices'!$B$9:$B$11,0)-1,MATCH(AZ$1,'[2]End - Use Prices'!$C$7:$AL$7,0))</f>
        <v>10.28</v>
      </c>
      <c r="BA133" s="41">
        <f>INDEX('[2]End - Use Prices'!$C$6:$AL$89,MATCH($C133,'[2]End - Use Prices'!$A$6:$A$89,0)+MATCH($D133,'[2]End - Use Prices'!$B$9:$B$11,0)-1,MATCH(BA$1,'[2]End - Use Prices'!$C$7:$AL$7,0))</f>
        <v>10.34</v>
      </c>
      <c r="BB133" s="41">
        <f>INDEX('[2]End - Use Prices'!$C$6:$AL$89,MATCH($C133,'[2]End - Use Prices'!$A$6:$A$89,0)+MATCH($D133,'[2]End - Use Prices'!$B$9:$B$11,0)-1,MATCH(BB$1,'[2]End - Use Prices'!$C$7:$AL$7,0))</f>
        <v>10.41</v>
      </c>
      <c r="BC133" s="41">
        <f>INDEX('[2]End - Use Prices'!$C$6:$AL$89,MATCH($C133,'[2]End - Use Prices'!$A$6:$A$89,0)+MATCH($D133,'[2]End - Use Prices'!$B$9:$B$11,0)-1,MATCH(BC$1,'[2]End - Use Prices'!$C$7:$AL$7,0))</f>
        <v>10.46</v>
      </c>
      <c r="BD133" s="41">
        <f>INDEX('[2]End - Use Prices'!$C$6:$AL$89,MATCH($C133,'[2]End - Use Prices'!$A$6:$A$89,0)+MATCH($D133,'[2]End - Use Prices'!$B$9:$B$11,0)-1,MATCH(BD$1,'[2]End - Use Prices'!$C$7:$AL$7,0))</f>
        <v>10.5</v>
      </c>
      <c r="BE133" s="41">
        <f>INDEX('[2]End - Use Prices'!$C$6:$AL$89,MATCH($C133,'[2]End - Use Prices'!$A$6:$A$89,0)+MATCH($D133,'[2]End - Use Prices'!$B$9:$B$11,0)-1,MATCH(BE$1,'[2]End - Use Prices'!$C$7:$AL$7,0))</f>
        <v>10.54</v>
      </c>
      <c r="BF133" s="41">
        <f>INDEX('[2]End - Use Prices'!$C$6:$AL$89,MATCH($C133,'[2]End - Use Prices'!$A$6:$A$89,0)+MATCH($D133,'[2]End - Use Prices'!$B$9:$B$11,0)-1,MATCH(BF$1,'[2]End - Use Prices'!$C$7:$AL$7,0))</f>
        <v>10.57</v>
      </c>
      <c r="BG133" s="41">
        <f>INDEX('[2]End - Use Prices'!$C$6:$AL$89,MATCH($C133,'[2]End - Use Prices'!$A$6:$A$89,0)+MATCH($D133,'[2]End - Use Prices'!$B$9:$B$11,0)-1,MATCH(BG$1,'[2]End - Use Prices'!$C$7:$AL$7,0))</f>
        <v>10.59</v>
      </c>
      <c r="BR133" s="39"/>
      <c r="BS133" s="39"/>
      <c r="BT133" s="39"/>
      <c r="BU133" s="39"/>
      <c r="BV133" s="39"/>
      <c r="BW133" s="39"/>
      <c r="BX133" s="39"/>
      <c r="BY133" s="39"/>
      <c r="BZ133" s="39"/>
      <c r="CA133" s="39"/>
    </row>
    <row r="134" spans="1:79">
      <c r="A134" s="5"/>
      <c r="B134" s="3"/>
      <c r="C134" s="25" t="s">
        <v>47</v>
      </c>
      <c r="D134" s="25" t="s">
        <v>276</v>
      </c>
      <c r="E134" s="25" t="s">
        <v>277</v>
      </c>
      <c r="F134" s="67" t="s">
        <v>275</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INDEX('[2]End - Use Prices'!$C$6:$AL$89,MATCH($C134,'[2]End - Use Prices'!$A$6:$A$89,0)+MATCH($D134,'[2]End - Use Prices'!$B$9:$B$11,0)-1,MATCH(X$1,'[2]End - Use Prices'!$C$7:$AL$7,0))</f>
        <v>25.71</v>
      </c>
      <c r="Y134" s="41">
        <f>INDEX('[2]End - Use Prices'!$C$6:$AL$89,MATCH($C134,'[2]End - Use Prices'!$A$6:$A$89,0)+MATCH($D134,'[2]End - Use Prices'!$B$9:$B$11,0)-1,MATCH(Y$1,'[2]End - Use Prices'!$C$7:$AL$7,0))</f>
        <v>26.31</v>
      </c>
      <c r="Z134" s="41">
        <f>INDEX('[2]End - Use Prices'!$C$6:$AL$89,MATCH($C134,'[2]End - Use Prices'!$A$6:$A$89,0)+MATCH($D134,'[2]End - Use Prices'!$B$9:$B$11,0)-1,MATCH(Z$1,'[2]End - Use Prices'!$C$7:$AL$7,0))</f>
        <v>26.43</v>
      </c>
      <c r="AA134" s="41">
        <f>INDEX('[2]End - Use Prices'!$C$6:$AL$89,MATCH($C134,'[2]End - Use Prices'!$A$6:$A$89,0)+MATCH($D134,'[2]End - Use Prices'!$B$9:$B$11,0)-1,MATCH(AA$1,'[2]End - Use Prices'!$C$7:$AL$7,0))</f>
        <v>33.200000000000003</v>
      </c>
      <c r="AB134" s="41">
        <f>INDEX('[2]End - Use Prices'!$C$6:$AL$89,MATCH($C134,'[2]End - Use Prices'!$A$6:$A$89,0)+MATCH($D134,'[2]End - Use Prices'!$B$9:$B$11,0)-1,MATCH(AB$1,'[2]End - Use Prices'!$C$7:$AL$7,0))</f>
        <v>23.79</v>
      </c>
      <c r="AC134" s="41">
        <f>INDEX('[2]End - Use Prices'!$C$6:$AL$89,MATCH($C134,'[2]End - Use Prices'!$A$6:$A$89,0)+MATCH($D134,'[2]End - Use Prices'!$B$9:$B$11,0)-1,MATCH(AC$1,'[2]End - Use Prices'!$C$7:$AL$7,0))</f>
        <v>26.91</v>
      </c>
      <c r="AD134" s="41">
        <f>INDEX('[2]End - Use Prices'!$C$6:$AL$89,MATCH($C134,'[2]End - Use Prices'!$A$6:$A$89,0)+MATCH($D134,'[2]End - Use Prices'!$B$9:$B$11,0)-1,MATCH(AD$1,'[2]End - Use Prices'!$C$7:$AL$7,0))</f>
        <v>32.58</v>
      </c>
      <c r="AE134" s="41">
        <f>INDEX('[2]End - Use Prices'!$C$6:$AL$89,MATCH($C134,'[2]End - Use Prices'!$A$6:$A$89,0)+MATCH($D134,'[2]End - Use Prices'!$B$9:$B$11,0)-1,MATCH(AE$1,'[2]End - Use Prices'!$C$7:$AL$7,0))</f>
        <v>33.74</v>
      </c>
      <c r="AF134" s="41">
        <f>INDEX('[2]End - Use Prices'!$C$6:$AL$89,MATCH($C134,'[2]End - Use Prices'!$A$6:$A$89,0)+MATCH($D134,'[2]End - Use Prices'!$B$9:$B$11,0)-1,MATCH(AF$1,'[2]End - Use Prices'!$C$7:$AL$7,0))</f>
        <v>33.31</v>
      </c>
      <c r="AG134" s="41">
        <f>INDEX('[2]End - Use Prices'!$C$6:$AL$89,MATCH($C134,'[2]End - Use Prices'!$A$6:$A$89,0)+MATCH($D134,'[2]End - Use Prices'!$B$9:$B$11,0)-1,MATCH(AG$1,'[2]End - Use Prices'!$C$7:$AL$7,0))</f>
        <v>34.46</v>
      </c>
      <c r="AH134" s="41">
        <f>INDEX('[2]End - Use Prices'!$C$6:$AL$89,MATCH($C134,'[2]End - Use Prices'!$A$6:$A$89,0)+MATCH($D134,'[2]End - Use Prices'!$B$9:$B$11,0)-1,MATCH(AH$1,'[2]End - Use Prices'!$C$7:$AL$7,0))</f>
        <v>28.23</v>
      </c>
      <c r="AI134" s="41">
        <f>INDEX('[2]End - Use Prices'!$C$6:$AL$89,MATCH($C134,'[2]End - Use Prices'!$A$6:$A$89,0)+MATCH($D134,'[2]End - Use Prices'!$B$9:$B$11,0)-1,MATCH(AI$1,'[2]End - Use Prices'!$C$7:$AL$7,0))</f>
        <v>24.61</v>
      </c>
      <c r="AJ134" s="41">
        <f>INDEX('[2]End - Use Prices'!$C$6:$AL$89,MATCH($C134,'[2]End - Use Prices'!$A$6:$A$89,0)+MATCH($D134,'[2]End - Use Prices'!$B$9:$B$11,0)-1,MATCH(AJ$1,'[2]End - Use Prices'!$C$7:$AL$7,0))</f>
        <v>27.26</v>
      </c>
      <c r="AK134" s="41">
        <f>INDEX('[2]End - Use Prices'!$C$6:$AL$89,MATCH($C134,'[2]End - Use Prices'!$A$6:$A$89,0)+MATCH($D134,'[2]End - Use Prices'!$B$9:$B$11,0)-1,MATCH(AK$1,'[2]End - Use Prices'!$C$7:$AL$7,0))</f>
        <v>31.59</v>
      </c>
      <c r="AL134" s="41">
        <f>INDEX('[2]End - Use Prices'!$C$6:$AL$89,MATCH($C134,'[2]End - Use Prices'!$A$6:$A$89,0)+MATCH($D134,'[2]End - Use Prices'!$B$9:$B$11,0)-1,MATCH(AL$1,'[2]End - Use Prices'!$C$7:$AL$7,0))</f>
        <v>35.08</v>
      </c>
      <c r="AM134" s="41">
        <f>INDEX('[2]End - Use Prices'!$C$6:$AL$89,MATCH($C134,'[2]End - Use Prices'!$A$6:$A$89,0)+MATCH($D134,'[2]End - Use Prices'!$B$9:$B$11,0)-1,MATCH(AM$1,'[2]End - Use Prices'!$C$7:$AL$7,0))</f>
        <v>38.950000000000003</v>
      </c>
      <c r="AN134" s="41">
        <f>INDEX('[2]End - Use Prices'!$C$6:$AL$89,MATCH($C134,'[2]End - Use Prices'!$A$6:$A$89,0)+MATCH($D134,'[2]End - Use Prices'!$B$9:$B$11,0)-1,MATCH(AN$1,'[2]End - Use Prices'!$C$7:$AL$7,0))</f>
        <v>36.01</v>
      </c>
      <c r="AO134" s="41">
        <f>INDEX('[2]End - Use Prices'!$C$6:$AL$89,MATCH($C134,'[2]End - Use Prices'!$A$6:$A$89,0)+MATCH($D134,'[2]End - Use Prices'!$B$9:$B$11,0)-1,MATCH(AO$1,'[2]End - Use Prices'!$C$7:$AL$7,0))</f>
        <v>34.17</v>
      </c>
      <c r="AP134" s="41">
        <f>INDEX('[2]End - Use Prices'!$C$6:$AL$89,MATCH($C134,'[2]End - Use Prices'!$A$6:$A$89,0)+MATCH($D134,'[2]End - Use Prices'!$B$9:$B$11,0)-1,MATCH(AP$1,'[2]End - Use Prices'!$C$7:$AL$7,0))</f>
        <v>34.06</v>
      </c>
      <c r="AQ134" s="41">
        <f>INDEX('[2]End - Use Prices'!$C$6:$AL$89,MATCH($C134,'[2]End - Use Prices'!$A$6:$A$89,0)+MATCH($D134,'[2]End - Use Prices'!$B$9:$B$11,0)-1,MATCH(AQ$1,'[2]End - Use Prices'!$C$7:$AL$7,0))</f>
        <v>34.04</v>
      </c>
      <c r="AR134" s="41">
        <f>INDEX('[2]End - Use Prices'!$C$6:$AL$89,MATCH($C134,'[2]End - Use Prices'!$A$6:$A$89,0)+MATCH($D134,'[2]End - Use Prices'!$B$9:$B$11,0)-1,MATCH(AR$1,'[2]End - Use Prices'!$C$7:$AL$7,0))</f>
        <v>34.25</v>
      </c>
      <c r="AS134" s="41">
        <f>INDEX('[2]End - Use Prices'!$C$6:$AL$89,MATCH($C134,'[2]End - Use Prices'!$A$6:$A$89,0)+MATCH($D134,'[2]End - Use Prices'!$B$9:$B$11,0)-1,MATCH(AS$1,'[2]End - Use Prices'!$C$7:$AL$7,0))</f>
        <v>34.39</v>
      </c>
      <c r="AT134" s="41">
        <f>INDEX('[2]End - Use Prices'!$C$6:$AL$89,MATCH($C134,'[2]End - Use Prices'!$A$6:$A$89,0)+MATCH($D134,'[2]End - Use Prices'!$B$9:$B$11,0)-1,MATCH(AT$1,'[2]End - Use Prices'!$C$7:$AL$7,0))</f>
        <v>34.22</v>
      </c>
      <c r="AU134" s="41">
        <f>INDEX('[2]End - Use Prices'!$C$6:$AL$89,MATCH($C134,'[2]End - Use Prices'!$A$6:$A$89,0)+MATCH($D134,'[2]End - Use Prices'!$B$9:$B$11,0)-1,MATCH(AU$1,'[2]End - Use Prices'!$C$7:$AL$7,0))</f>
        <v>34.020000000000003</v>
      </c>
      <c r="AV134" s="41">
        <f>INDEX('[2]End - Use Prices'!$C$6:$AL$89,MATCH($C134,'[2]End - Use Prices'!$A$6:$A$89,0)+MATCH($D134,'[2]End - Use Prices'!$B$9:$B$11,0)-1,MATCH(AV$1,'[2]End - Use Prices'!$C$7:$AL$7,0))</f>
        <v>33.840000000000003</v>
      </c>
      <c r="AW134" s="41">
        <f>INDEX('[2]End - Use Prices'!$C$6:$AL$89,MATCH($C134,'[2]End - Use Prices'!$A$6:$A$89,0)+MATCH($D134,'[2]End - Use Prices'!$B$9:$B$11,0)-1,MATCH(AW$1,'[2]End - Use Prices'!$C$7:$AL$7,0))</f>
        <v>33.67</v>
      </c>
      <c r="AX134" s="41">
        <f>INDEX('[2]End - Use Prices'!$C$6:$AL$89,MATCH($C134,'[2]End - Use Prices'!$A$6:$A$89,0)+MATCH($D134,'[2]End - Use Prices'!$B$9:$B$11,0)-1,MATCH(AX$1,'[2]End - Use Prices'!$C$7:$AL$7,0))</f>
        <v>33.58</v>
      </c>
      <c r="AY134" s="41">
        <f>INDEX('[2]End - Use Prices'!$C$6:$AL$89,MATCH($C134,'[2]End - Use Prices'!$A$6:$A$89,0)+MATCH($D134,'[2]End - Use Prices'!$B$9:$B$11,0)-1,MATCH(AY$1,'[2]End - Use Prices'!$C$7:$AL$7,0))</f>
        <v>33.51</v>
      </c>
      <c r="AZ134" s="41">
        <f>INDEX('[2]End - Use Prices'!$C$6:$AL$89,MATCH($C134,'[2]End - Use Prices'!$A$6:$A$89,0)+MATCH($D134,'[2]End - Use Prices'!$B$9:$B$11,0)-1,MATCH(AZ$1,'[2]End - Use Prices'!$C$7:$AL$7,0))</f>
        <v>33.49</v>
      </c>
      <c r="BA134" s="41">
        <f>INDEX('[2]End - Use Prices'!$C$6:$AL$89,MATCH($C134,'[2]End - Use Prices'!$A$6:$A$89,0)+MATCH($D134,'[2]End - Use Prices'!$B$9:$B$11,0)-1,MATCH(BA$1,'[2]End - Use Prices'!$C$7:$AL$7,0))</f>
        <v>33.5</v>
      </c>
      <c r="BB134" s="41">
        <f>INDEX('[2]End - Use Prices'!$C$6:$AL$89,MATCH($C134,'[2]End - Use Prices'!$A$6:$A$89,0)+MATCH($D134,'[2]End - Use Prices'!$B$9:$B$11,0)-1,MATCH(BB$1,'[2]End - Use Prices'!$C$7:$AL$7,0))</f>
        <v>33.49</v>
      </c>
      <c r="BC134" s="41">
        <f>INDEX('[2]End - Use Prices'!$C$6:$AL$89,MATCH($C134,'[2]End - Use Prices'!$A$6:$A$89,0)+MATCH($D134,'[2]End - Use Prices'!$B$9:$B$11,0)-1,MATCH(BC$1,'[2]End - Use Prices'!$C$7:$AL$7,0))</f>
        <v>33.46</v>
      </c>
      <c r="BD134" s="41">
        <f>INDEX('[2]End - Use Prices'!$C$6:$AL$89,MATCH($C134,'[2]End - Use Prices'!$A$6:$A$89,0)+MATCH($D134,'[2]End - Use Prices'!$B$9:$B$11,0)-1,MATCH(BD$1,'[2]End - Use Prices'!$C$7:$AL$7,0))</f>
        <v>33.42</v>
      </c>
      <c r="BE134" s="41">
        <f>INDEX('[2]End - Use Prices'!$C$6:$AL$89,MATCH($C134,'[2]End - Use Prices'!$A$6:$A$89,0)+MATCH($D134,'[2]End - Use Prices'!$B$9:$B$11,0)-1,MATCH(BE$1,'[2]End - Use Prices'!$C$7:$AL$7,0))</f>
        <v>33.340000000000003</v>
      </c>
      <c r="BF134" s="41">
        <f>INDEX('[2]End - Use Prices'!$C$6:$AL$89,MATCH($C134,'[2]End - Use Prices'!$A$6:$A$89,0)+MATCH($D134,'[2]End - Use Prices'!$B$9:$B$11,0)-1,MATCH(BF$1,'[2]End - Use Prices'!$C$7:$AL$7,0))</f>
        <v>33.270000000000003</v>
      </c>
      <c r="BG134" s="41">
        <f>INDEX('[2]End - Use Prices'!$C$6:$AL$89,MATCH($C134,'[2]End - Use Prices'!$A$6:$A$89,0)+MATCH($D134,'[2]End - Use Prices'!$B$9:$B$11,0)-1,MATCH(BG$1,'[2]End - Use Prices'!$C$7:$AL$7,0))</f>
        <v>33.18</v>
      </c>
      <c r="BR134" s="39"/>
      <c r="BS134" s="39"/>
      <c r="BT134" s="39"/>
      <c r="BU134" s="39"/>
      <c r="BV134" s="39"/>
      <c r="BW134" s="39"/>
      <c r="BX134" s="39"/>
      <c r="BY134" s="39"/>
      <c r="BZ134" s="39"/>
      <c r="CA134" s="39"/>
    </row>
    <row r="135" spans="1:79">
      <c r="A135" s="5"/>
      <c r="B135" s="3"/>
      <c r="C135" s="25" t="s">
        <v>84</v>
      </c>
      <c r="D135" s="25" t="s">
        <v>276</v>
      </c>
      <c r="E135" s="25" t="s">
        <v>277</v>
      </c>
      <c r="F135" s="67" t="s">
        <v>275</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INDEX('[2]End - Use Prices'!$C$6:$AL$89,MATCH($C135,'[2]End - Use Prices'!$A$6:$A$89,0)+MATCH($D135,'[2]End - Use Prices'!$B$9:$B$11,0)-1,MATCH(X$1,'[2]End - Use Prices'!$C$7:$AL$7,0))</f>
        <v>25.86</v>
      </c>
      <c r="Y135" s="41">
        <f>INDEX('[2]End - Use Prices'!$C$6:$AL$89,MATCH($C135,'[2]End - Use Prices'!$A$6:$A$89,0)+MATCH($D135,'[2]End - Use Prices'!$B$9:$B$11,0)-1,MATCH(Y$1,'[2]End - Use Prices'!$C$7:$AL$7,0))</f>
        <v>27.18</v>
      </c>
      <c r="Z135" s="41">
        <f>INDEX('[2]End - Use Prices'!$C$6:$AL$89,MATCH($C135,'[2]End - Use Prices'!$A$6:$A$89,0)+MATCH($D135,'[2]End - Use Prices'!$B$9:$B$11,0)-1,MATCH(Z$1,'[2]End - Use Prices'!$C$7:$AL$7,0))</f>
        <v>27.19</v>
      </c>
      <c r="AA135" s="41">
        <f>INDEX('[2]End - Use Prices'!$C$6:$AL$89,MATCH($C135,'[2]End - Use Prices'!$A$6:$A$89,0)+MATCH($D135,'[2]End - Use Prices'!$B$9:$B$11,0)-1,MATCH(AA$1,'[2]End - Use Prices'!$C$7:$AL$7,0))</f>
        <v>32.65</v>
      </c>
      <c r="AB135" s="41">
        <f>INDEX('[2]End - Use Prices'!$C$6:$AL$89,MATCH($C135,'[2]End - Use Prices'!$A$6:$A$89,0)+MATCH($D135,'[2]End - Use Prices'!$B$9:$B$11,0)-1,MATCH(AB$1,'[2]End - Use Prices'!$C$7:$AL$7,0))</f>
        <v>22.7</v>
      </c>
      <c r="AC135" s="41">
        <f>INDEX('[2]End - Use Prices'!$C$6:$AL$89,MATCH($C135,'[2]End - Use Prices'!$A$6:$A$89,0)+MATCH($D135,'[2]End - Use Prices'!$B$9:$B$11,0)-1,MATCH(AC$1,'[2]End - Use Prices'!$C$7:$AL$7,0))</f>
        <v>26.25</v>
      </c>
      <c r="AD135" s="41">
        <f>INDEX('[2]End - Use Prices'!$C$6:$AL$89,MATCH($C135,'[2]End - Use Prices'!$A$6:$A$89,0)+MATCH($D135,'[2]End - Use Prices'!$B$9:$B$11,0)-1,MATCH(AD$1,'[2]End - Use Prices'!$C$7:$AL$7,0))</f>
        <v>31.74</v>
      </c>
      <c r="AE135" s="41">
        <f>INDEX('[2]End - Use Prices'!$C$6:$AL$89,MATCH($C135,'[2]End - Use Prices'!$A$6:$A$89,0)+MATCH($D135,'[2]End - Use Prices'!$B$9:$B$11,0)-1,MATCH(AE$1,'[2]End - Use Prices'!$C$7:$AL$7,0))</f>
        <v>32.58</v>
      </c>
      <c r="AF135" s="41">
        <f>INDEX('[2]End - Use Prices'!$C$6:$AL$89,MATCH($C135,'[2]End - Use Prices'!$A$6:$A$89,0)+MATCH($D135,'[2]End - Use Prices'!$B$9:$B$11,0)-1,MATCH(AF$1,'[2]End - Use Prices'!$C$7:$AL$7,0))</f>
        <v>29.61</v>
      </c>
      <c r="AG135" s="41">
        <f>INDEX('[2]End - Use Prices'!$C$6:$AL$89,MATCH($C135,'[2]End - Use Prices'!$A$6:$A$89,0)+MATCH($D135,'[2]End - Use Prices'!$B$9:$B$11,0)-1,MATCH(AG$1,'[2]End - Use Prices'!$C$7:$AL$7,0))</f>
        <v>29.41</v>
      </c>
      <c r="AH135" s="41">
        <f>INDEX('[2]End - Use Prices'!$C$6:$AL$89,MATCH($C135,'[2]End - Use Prices'!$A$6:$A$89,0)+MATCH($D135,'[2]End - Use Prices'!$B$9:$B$11,0)-1,MATCH(AH$1,'[2]End - Use Prices'!$C$7:$AL$7,0))</f>
        <v>22.78</v>
      </c>
      <c r="AI135" s="41">
        <f>INDEX('[2]End - Use Prices'!$C$6:$AL$89,MATCH($C135,'[2]End - Use Prices'!$A$6:$A$89,0)+MATCH($D135,'[2]End - Use Prices'!$B$9:$B$11,0)-1,MATCH(AI$1,'[2]End - Use Prices'!$C$7:$AL$7,0))</f>
        <v>21.05</v>
      </c>
      <c r="AJ135" s="41">
        <f>INDEX('[2]End - Use Prices'!$C$6:$AL$89,MATCH($C135,'[2]End - Use Prices'!$A$6:$A$89,0)+MATCH($D135,'[2]End - Use Prices'!$B$9:$B$11,0)-1,MATCH(AJ$1,'[2]End - Use Prices'!$C$7:$AL$7,0))</f>
        <v>24</v>
      </c>
      <c r="AK135" s="41">
        <f>INDEX('[2]End - Use Prices'!$C$6:$AL$89,MATCH($C135,'[2]End - Use Prices'!$A$6:$A$89,0)+MATCH($D135,'[2]End - Use Prices'!$B$9:$B$11,0)-1,MATCH(AK$1,'[2]End - Use Prices'!$C$7:$AL$7,0))</f>
        <v>27.31</v>
      </c>
      <c r="AL135" s="41">
        <f>INDEX('[2]End - Use Prices'!$C$6:$AL$89,MATCH($C135,'[2]End - Use Prices'!$A$6:$A$89,0)+MATCH($D135,'[2]End - Use Prices'!$B$9:$B$11,0)-1,MATCH(AL$1,'[2]End - Use Prices'!$C$7:$AL$7,0))</f>
        <v>30.69</v>
      </c>
      <c r="AM135" s="41">
        <f>INDEX('[2]End - Use Prices'!$C$6:$AL$89,MATCH($C135,'[2]End - Use Prices'!$A$6:$A$89,0)+MATCH($D135,'[2]End - Use Prices'!$B$9:$B$11,0)-1,MATCH(AM$1,'[2]End - Use Prices'!$C$7:$AL$7,0))</f>
        <v>35.65</v>
      </c>
      <c r="AN135" s="41">
        <f>INDEX('[2]End - Use Prices'!$C$6:$AL$89,MATCH($C135,'[2]End - Use Prices'!$A$6:$A$89,0)+MATCH($D135,'[2]End - Use Prices'!$B$9:$B$11,0)-1,MATCH(AN$1,'[2]End - Use Prices'!$C$7:$AL$7,0))</f>
        <v>32.92</v>
      </c>
      <c r="AO135" s="41">
        <f>INDEX('[2]End - Use Prices'!$C$6:$AL$89,MATCH($C135,'[2]End - Use Prices'!$A$6:$A$89,0)+MATCH($D135,'[2]End - Use Prices'!$B$9:$B$11,0)-1,MATCH(AO$1,'[2]End - Use Prices'!$C$7:$AL$7,0))</f>
        <v>31.27</v>
      </c>
      <c r="AP135" s="41">
        <f>INDEX('[2]End - Use Prices'!$C$6:$AL$89,MATCH($C135,'[2]End - Use Prices'!$A$6:$A$89,0)+MATCH($D135,'[2]End - Use Prices'!$B$9:$B$11,0)-1,MATCH(AP$1,'[2]End - Use Prices'!$C$7:$AL$7,0))</f>
        <v>31.4</v>
      </c>
      <c r="AQ135" s="41">
        <f>INDEX('[2]End - Use Prices'!$C$6:$AL$89,MATCH($C135,'[2]End - Use Prices'!$A$6:$A$89,0)+MATCH($D135,'[2]End - Use Prices'!$B$9:$B$11,0)-1,MATCH(AQ$1,'[2]End - Use Prices'!$C$7:$AL$7,0))</f>
        <v>31.13</v>
      </c>
      <c r="AR135" s="41">
        <f>INDEX('[2]End - Use Prices'!$C$6:$AL$89,MATCH($C135,'[2]End - Use Prices'!$A$6:$A$89,0)+MATCH($D135,'[2]End - Use Prices'!$B$9:$B$11,0)-1,MATCH(AR$1,'[2]End - Use Prices'!$C$7:$AL$7,0))</f>
        <v>31.1</v>
      </c>
      <c r="AS135" s="41">
        <f>INDEX('[2]End - Use Prices'!$C$6:$AL$89,MATCH($C135,'[2]End - Use Prices'!$A$6:$A$89,0)+MATCH($D135,'[2]End - Use Prices'!$B$9:$B$11,0)-1,MATCH(AS$1,'[2]End - Use Prices'!$C$7:$AL$7,0))</f>
        <v>31.02</v>
      </c>
      <c r="AT135" s="41">
        <f>INDEX('[2]End - Use Prices'!$C$6:$AL$89,MATCH($C135,'[2]End - Use Prices'!$A$6:$A$89,0)+MATCH($D135,'[2]End - Use Prices'!$B$9:$B$11,0)-1,MATCH(AT$1,'[2]End - Use Prices'!$C$7:$AL$7,0))</f>
        <v>30.85</v>
      </c>
      <c r="AU135" s="41">
        <f>INDEX('[2]End - Use Prices'!$C$6:$AL$89,MATCH($C135,'[2]End - Use Prices'!$A$6:$A$89,0)+MATCH($D135,'[2]End - Use Prices'!$B$9:$B$11,0)-1,MATCH(AU$1,'[2]End - Use Prices'!$C$7:$AL$7,0))</f>
        <v>30.63</v>
      </c>
      <c r="AV135" s="41">
        <f>INDEX('[2]End - Use Prices'!$C$6:$AL$89,MATCH($C135,'[2]End - Use Prices'!$A$6:$A$89,0)+MATCH($D135,'[2]End - Use Prices'!$B$9:$B$11,0)-1,MATCH(AV$1,'[2]End - Use Prices'!$C$7:$AL$7,0))</f>
        <v>30.45</v>
      </c>
      <c r="AW135" s="41">
        <f>INDEX('[2]End - Use Prices'!$C$6:$AL$89,MATCH($C135,'[2]End - Use Prices'!$A$6:$A$89,0)+MATCH($D135,'[2]End - Use Prices'!$B$9:$B$11,0)-1,MATCH(AW$1,'[2]End - Use Prices'!$C$7:$AL$7,0))</f>
        <v>30.26</v>
      </c>
      <c r="AX135" s="41">
        <f>INDEX('[2]End - Use Prices'!$C$6:$AL$89,MATCH($C135,'[2]End - Use Prices'!$A$6:$A$89,0)+MATCH($D135,'[2]End - Use Prices'!$B$9:$B$11,0)-1,MATCH(AX$1,'[2]End - Use Prices'!$C$7:$AL$7,0))</f>
        <v>30.15</v>
      </c>
      <c r="AY135" s="41">
        <f>INDEX('[2]End - Use Prices'!$C$6:$AL$89,MATCH($C135,'[2]End - Use Prices'!$A$6:$A$89,0)+MATCH($D135,'[2]End - Use Prices'!$B$9:$B$11,0)-1,MATCH(AY$1,'[2]End - Use Prices'!$C$7:$AL$7,0))</f>
        <v>30.08</v>
      </c>
      <c r="AZ135" s="41">
        <f>INDEX('[2]End - Use Prices'!$C$6:$AL$89,MATCH($C135,'[2]End - Use Prices'!$A$6:$A$89,0)+MATCH($D135,'[2]End - Use Prices'!$B$9:$B$11,0)-1,MATCH(AZ$1,'[2]End - Use Prices'!$C$7:$AL$7,0))</f>
        <v>30.05</v>
      </c>
      <c r="BA135" s="41">
        <f>INDEX('[2]End - Use Prices'!$C$6:$AL$89,MATCH($C135,'[2]End - Use Prices'!$A$6:$A$89,0)+MATCH($D135,'[2]End - Use Prices'!$B$9:$B$11,0)-1,MATCH(BA$1,'[2]End - Use Prices'!$C$7:$AL$7,0))</f>
        <v>30.05</v>
      </c>
      <c r="BB135" s="41">
        <f>INDEX('[2]End - Use Prices'!$C$6:$AL$89,MATCH($C135,'[2]End - Use Prices'!$A$6:$A$89,0)+MATCH($D135,'[2]End - Use Prices'!$B$9:$B$11,0)-1,MATCH(BB$1,'[2]End - Use Prices'!$C$7:$AL$7,0))</f>
        <v>30.03</v>
      </c>
      <c r="BC135" s="41">
        <f>INDEX('[2]End - Use Prices'!$C$6:$AL$89,MATCH($C135,'[2]End - Use Prices'!$A$6:$A$89,0)+MATCH($D135,'[2]End - Use Prices'!$B$9:$B$11,0)-1,MATCH(BC$1,'[2]End - Use Prices'!$C$7:$AL$7,0))</f>
        <v>29.99</v>
      </c>
      <c r="BD135" s="41">
        <f>INDEX('[2]End - Use Prices'!$C$6:$AL$89,MATCH($C135,'[2]End - Use Prices'!$A$6:$A$89,0)+MATCH($D135,'[2]End - Use Prices'!$B$9:$B$11,0)-1,MATCH(BD$1,'[2]End - Use Prices'!$C$7:$AL$7,0))</f>
        <v>29.93</v>
      </c>
      <c r="BE135" s="41">
        <f>INDEX('[2]End - Use Prices'!$C$6:$AL$89,MATCH($C135,'[2]End - Use Prices'!$A$6:$A$89,0)+MATCH($D135,'[2]End - Use Prices'!$B$9:$B$11,0)-1,MATCH(BE$1,'[2]End - Use Prices'!$C$7:$AL$7,0))</f>
        <v>29.84</v>
      </c>
      <c r="BF135" s="41">
        <f>INDEX('[2]End - Use Prices'!$C$6:$AL$89,MATCH($C135,'[2]End - Use Prices'!$A$6:$A$89,0)+MATCH($D135,'[2]End - Use Prices'!$B$9:$B$11,0)-1,MATCH(BF$1,'[2]End - Use Prices'!$C$7:$AL$7,0))</f>
        <v>29.75</v>
      </c>
      <c r="BG135" s="41">
        <f>INDEX('[2]End - Use Prices'!$C$6:$AL$89,MATCH($C135,'[2]End - Use Prices'!$A$6:$A$89,0)+MATCH($D135,'[2]End - Use Prices'!$B$9:$B$11,0)-1,MATCH(BG$1,'[2]End - Use Prices'!$C$7:$AL$7,0))</f>
        <v>29.65</v>
      </c>
      <c r="BR135" s="39"/>
      <c r="BS135" s="39"/>
      <c r="BT135" s="39"/>
      <c r="BU135" s="39"/>
      <c r="BV135" s="39"/>
      <c r="BW135" s="39"/>
      <c r="BX135" s="39"/>
      <c r="BY135" s="39"/>
      <c r="BZ135" s="39"/>
      <c r="CA135" s="39"/>
    </row>
    <row r="136" spans="1:79">
      <c r="A136" s="5"/>
      <c r="B136" s="3"/>
      <c r="C136" s="25" t="s">
        <v>85</v>
      </c>
      <c r="D136" s="25" t="s">
        <v>276</v>
      </c>
      <c r="E136" s="25" t="s">
        <v>277</v>
      </c>
      <c r="F136" s="67" t="s">
        <v>275</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INDEX('[2]End - Use Prices'!$C$6:$AL$89,MATCH($C136,'[2]End - Use Prices'!$A$6:$A$89,0)+MATCH($D136,'[2]End - Use Prices'!$B$9:$B$11,0)-1,MATCH(X$1,'[2]End - Use Prices'!$C$7:$AL$7,0))</f>
        <v>24.29</v>
      </c>
      <c r="Y136" s="41">
        <f>INDEX('[2]End - Use Prices'!$C$6:$AL$89,MATCH($C136,'[2]End - Use Prices'!$A$6:$A$89,0)+MATCH($D136,'[2]End - Use Prices'!$B$9:$B$11,0)-1,MATCH(Y$1,'[2]End - Use Prices'!$C$7:$AL$7,0))</f>
        <v>24.86</v>
      </c>
      <c r="Z136" s="41">
        <f>INDEX('[2]End - Use Prices'!$C$6:$AL$89,MATCH($C136,'[2]End - Use Prices'!$A$6:$A$89,0)+MATCH($D136,'[2]End - Use Prices'!$B$9:$B$11,0)-1,MATCH(Z$1,'[2]End - Use Prices'!$C$7:$AL$7,0))</f>
        <v>24.61</v>
      </c>
      <c r="AA136" s="41">
        <f>INDEX('[2]End - Use Prices'!$C$6:$AL$89,MATCH($C136,'[2]End - Use Prices'!$A$6:$A$89,0)+MATCH($D136,'[2]End - Use Prices'!$B$9:$B$11,0)-1,MATCH(AA$1,'[2]End - Use Prices'!$C$7:$AL$7,0))</f>
        <v>30.51</v>
      </c>
      <c r="AB136" s="41">
        <f>INDEX('[2]End - Use Prices'!$C$6:$AL$89,MATCH($C136,'[2]End - Use Prices'!$A$6:$A$89,0)+MATCH($D136,'[2]End - Use Prices'!$B$9:$B$11,0)-1,MATCH(AB$1,'[2]End - Use Prices'!$C$7:$AL$7,0))</f>
        <v>21.93</v>
      </c>
      <c r="AC136" s="41">
        <f>INDEX('[2]End - Use Prices'!$C$6:$AL$89,MATCH($C136,'[2]End - Use Prices'!$A$6:$A$89,0)+MATCH($D136,'[2]End - Use Prices'!$B$9:$B$11,0)-1,MATCH(AC$1,'[2]End - Use Prices'!$C$7:$AL$7,0))</f>
        <v>24.71</v>
      </c>
      <c r="AD136" s="41">
        <f>INDEX('[2]End - Use Prices'!$C$6:$AL$89,MATCH($C136,'[2]End - Use Prices'!$A$6:$A$89,0)+MATCH($D136,'[2]End - Use Prices'!$B$9:$B$11,0)-1,MATCH(AD$1,'[2]End - Use Prices'!$C$7:$AL$7,0))</f>
        <v>30.18</v>
      </c>
      <c r="AE136" s="41">
        <f>INDEX('[2]End - Use Prices'!$C$6:$AL$89,MATCH($C136,'[2]End - Use Prices'!$A$6:$A$89,0)+MATCH($D136,'[2]End - Use Prices'!$B$9:$B$11,0)-1,MATCH(AE$1,'[2]End - Use Prices'!$C$7:$AL$7,0))</f>
        <v>31.33</v>
      </c>
      <c r="AF136" s="41">
        <f>INDEX('[2]End - Use Prices'!$C$6:$AL$89,MATCH($C136,'[2]End - Use Prices'!$A$6:$A$89,0)+MATCH($D136,'[2]End - Use Prices'!$B$9:$B$11,0)-1,MATCH(AF$1,'[2]End - Use Prices'!$C$7:$AL$7,0))</f>
        <v>30.91</v>
      </c>
      <c r="AG136" s="41">
        <f>INDEX('[2]End - Use Prices'!$C$6:$AL$89,MATCH($C136,'[2]End - Use Prices'!$A$6:$A$89,0)+MATCH($D136,'[2]End - Use Prices'!$B$9:$B$11,0)-1,MATCH(AG$1,'[2]End - Use Prices'!$C$7:$AL$7,0))</f>
        <v>31</v>
      </c>
      <c r="AH136" s="41">
        <f>INDEX('[2]End - Use Prices'!$C$6:$AL$89,MATCH($C136,'[2]End - Use Prices'!$A$6:$A$89,0)+MATCH($D136,'[2]End - Use Prices'!$B$9:$B$11,0)-1,MATCH(AH$1,'[2]End - Use Prices'!$C$7:$AL$7,0))</f>
        <v>24.09</v>
      </c>
      <c r="AI136" s="41">
        <f>INDEX('[2]End - Use Prices'!$C$6:$AL$89,MATCH($C136,'[2]End - Use Prices'!$A$6:$A$89,0)+MATCH($D136,'[2]End - Use Prices'!$B$9:$B$11,0)-1,MATCH(AI$1,'[2]End - Use Prices'!$C$7:$AL$7,0))</f>
        <v>20.85</v>
      </c>
      <c r="AJ136" s="41">
        <f>INDEX('[2]End - Use Prices'!$C$6:$AL$89,MATCH($C136,'[2]End - Use Prices'!$A$6:$A$89,0)+MATCH($D136,'[2]End - Use Prices'!$B$9:$B$11,0)-1,MATCH(AJ$1,'[2]End - Use Prices'!$C$7:$AL$7,0))</f>
        <v>22.06</v>
      </c>
      <c r="AK136" s="41">
        <f>INDEX('[2]End - Use Prices'!$C$6:$AL$89,MATCH($C136,'[2]End - Use Prices'!$A$6:$A$89,0)+MATCH($D136,'[2]End - Use Prices'!$B$9:$B$11,0)-1,MATCH(AK$1,'[2]End - Use Prices'!$C$7:$AL$7,0))</f>
        <v>26.58</v>
      </c>
      <c r="AL136" s="41">
        <f>INDEX('[2]End - Use Prices'!$C$6:$AL$89,MATCH($C136,'[2]End - Use Prices'!$A$6:$A$89,0)+MATCH($D136,'[2]End - Use Prices'!$B$9:$B$11,0)-1,MATCH(AL$1,'[2]End - Use Prices'!$C$7:$AL$7,0))</f>
        <v>29.7</v>
      </c>
      <c r="AM136" s="41">
        <f>INDEX('[2]End - Use Prices'!$C$6:$AL$89,MATCH($C136,'[2]End - Use Prices'!$A$6:$A$89,0)+MATCH($D136,'[2]End - Use Prices'!$B$9:$B$11,0)-1,MATCH(AM$1,'[2]End - Use Prices'!$C$7:$AL$7,0))</f>
        <v>34.39</v>
      </c>
      <c r="AN136" s="41">
        <f>INDEX('[2]End - Use Prices'!$C$6:$AL$89,MATCH($C136,'[2]End - Use Prices'!$A$6:$A$89,0)+MATCH($D136,'[2]End - Use Prices'!$B$9:$B$11,0)-1,MATCH(AN$1,'[2]End - Use Prices'!$C$7:$AL$7,0))</f>
        <v>31.95</v>
      </c>
      <c r="AO136" s="41">
        <f>INDEX('[2]End - Use Prices'!$C$6:$AL$89,MATCH($C136,'[2]End - Use Prices'!$A$6:$A$89,0)+MATCH($D136,'[2]End - Use Prices'!$B$9:$B$11,0)-1,MATCH(AO$1,'[2]End - Use Prices'!$C$7:$AL$7,0))</f>
        <v>30.49</v>
      </c>
      <c r="AP136" s="41">
        <f>INDEX('[2]End - Use Prices'!$C$6:$AL$89,MATCH($C136,'[2]End - Use Prices'!$A$6:$A$89,0)+MATCH($D136,'[2]End - Use Prices'!$B$9:$B$11,0)-1,MATCH(AP$1,'[2]End - Use Prices'!$C$7:$AL$7,0))</f>
        <v>30.66</v>
      </c>
      <c r="AQ136" s="41">
        <f>INDEX('[2]End - Use Prices'!$C$6:$AL$89,MATCH($C136,'[2]End - Use Prices'!$A$6:$A$89,0)+MATCH($D136,'[2]End - Use Prices'!$B$9:$B$11,0)-1,MATCH(AQ$1,'[2]End - Use Prices'!$C$7:$AL$7,0))</f>
        <v>30.4</v>
      </c>
      <c r="AR136" s="41">
        <f>INDEX('[2]End - Use Prices'!$C$6:$AL$89,MATCH($C136,'[2]End - Use Prices'!$A$6:$A$89,0)+MATCH($D136,'[2]End - Use Prices'!$B$9:$B$11,0)-1,MATCH(AR$1,'[2]End - Use Prices'!$C$7:$AL$7,0))</f>
        <v>30.37</v>
      </c>
      <c r="AS136" s="41">
        <f>INDEX('[2]End - Use Prices'!$C$6:$AL$89,MATCH($C136,'[2]End - Use Prices'!$A$6:$A$89,0)+MATCH($D136,'[2]End - Use Prices'!$B$9:$B$11,0)-1,MATCH(AS$1,'[2]End - Use Prices'!$C$7:$AL$7,0))</f>
        <v>30.29</v>
      </c>
      <c r="AT136" s="41">
        <f>INDEX('[2]End - Use Prices'!$C$6:$AL$89,MATCH($C136,'[2]End - Use Prices'!$A$6:$A$89,0)+MATCH($D136,'[2]End - Use Prices'!$B$9:$B$11,0)-1,MATCH(AT$1,'[2]End - Use Prices'!$C$7:$AL$7,0))</f>
        <v>30.12</v>
      </c>
      <c r="AU136" s="41">
        <f>INDEX('[2]End - Use Prices'!$C$6:$AL$89,MATCH($C136,'[2]End - Use Prices'!$A$6:$A$89,0)+MATCH($D136,'[2]End - Use Prices'!$B$9:$B$11,0)-1,MATCH(AU$1,'[2]End - Use Prices'!$C$7:$AL$7,0))</f>
        <v>29.91</v>
      </c>
      <c r="AV136" s="41">
        <f>INDEX('[2]End - Use Prices'!$C$6:$AL$89,MATCH($C136,'[2]End - Use Prices'!$A$6:$A$89,0)+MATCH($D136,'[2]End - Use Prices'!$B$9:$B$11,0)-1,MATCH(AV$1,'[2]End - Use Prices'!$C$7:$AL$7,0))</f>
        <v>29.74</v>
      </c>
      <c r="AW136" s="41">
        <f>INDEX('[2]End - Use Prices'!$C$6:$AL$89,MATCH($C136,'[2]End - Use Prices'!$A$6:$A$89,0)+MATCH($D136,'[2]End - Use Prices'!$B$9:$B$11,0)-1,MATCH(AW$1,'[2]End - Use Prices'!$C$7:$AL$7,0))</f>
        <v>29.56</v>
      </c>
      <c r="AX136" s="41">
        <f>INDEX('[2]End - Use Prices'!$C$6:$AL$89,MATCH($C136,'[2]End - Use Prices'!$A$6:$A$89,0)+MATCH($D136,'[2]End - Use Prices'!$B$9:$B$11,0)-1,MATCH(AX$1,'[2]End - Use Prices'!$C$7:$AL$7,0))</f>
        <v>29.46</v>
      </c>
      <c r="AY136" s="41">
        <f>INDEX('[2]End - Use Prices'!$C$6:$AL$89,MATCH($C136,'[2]End - Use Prices'!$A$6:$A$89,0)+MATCH($D136,'[2]End - Use Prices'!$B$9:$B$11,0)-1,MATCH(AY$1,'[2]End - Use Prices'!$C$7:$AL$7,0))</f>
        <v>29.39</v>
      </c>
      <c r="AZ136" s="41">
        <f>INDEX('[2]End - Use Prices'!$C$6:$AL$89,MATCH($C136,'[2]End - Use Prices'!$A$6:$A$89,0)+MATCH($D136,'[2]End - Use Prices'!$B$9:$B$11,0)-1,MATCH(AZ$1,'[2]End - Use Prices'!$C$7:$AL$7,0))</f>
        <v>29.35</v>
      </c>
      <c r="BA136" s="41">
        <f>INDEX('[2]End - Use Prices'!$C$6:$AL$89,MATCH($C136,'[2]End - Use Prices'!$A$6:$A$89,0)+MATCH($D136,'[2]End - Use Prices'!$B$9:$B$11,0)-1,MATCH(BA$1,'[2]End - Use Prices'!$C$7:$AL$7,0))</f>
        <v>29.35</v>
      </c>
      <c r="BB136" s="41">
        <f>INDEX('[2]End - Use Prices'!$C$6:$AL$89,MATCH($C136,'[2]End - Use Prices'!$A$6:$A$89,0)+MATCH($D136,'[2]End - Use Prices'!$B$9:$B$11,0)-1,MATCH(BB$1,'[2]End - Use Prices'!$C$7:$AL$7,0))</f>
        <v>29.32</v>
      </c>
      <c r="BC136" s="41">
        <f>INDEX('[2]End - Use Prices'!$C$6:$AL$89,MATCH($C136,'[2]End - Use Prices'!$A$6:$A$89,0)+MATCH($D136,'[2]End - Use Prices'!$B$9:$B$11,0)-1,MATCH(BC$1,'[2]End - Use Prices'!$C$7:$AL$7,0))</f>
        <v>29.28</v>
      </c>
      <c r="BD136" s="41">
        <f>INDEX('[2]End - Use Prices'!$C$6:$AL$89,MATCH($C136,'[2]End - Use Prices'!$A$6:$A$89,0)+MATCH($D136,'[2]End - Use Prices'!$B$9:$B$11,0)-1,MATCH(BD$1,'[2]End - Use Prices'!$C$7:$AL$7,0))</f>
        <v>29.23</v>
      </c>
      <c r="BE136" s="41">
        <f>INDEX('[2]End - Use Prices'!$C$6:$AL$89,MATCH($C136,'[2]End - Use Prices'!$A$6:$A$89,0)+MATCH($D136,'[2]End - Use Prices'!$B$9:$B$11,0)-1,MATCH(BE$1,'[2]End - Use Prices'!$C$7:$AL$7,0))</f>
        <v>29.14</v>
      </c>
      <c r="BF136" s="41">
        <f>INDEX('[2]End - Use Prices'!$C$6:$AL$89,MATCH($C136,'[2]End - Use Prices'!$A$6:$A$89,0)+MATCH($D136,'[2]End - Use Prices'!$B$9:$B$11,0)-1,MATCH(BF$1,'[2]End - Use Prices'!$C$7:$AL$7,0))</f>
        <v>29.05</v>
      </c>
      <c r="BG136" s="41">
        <f>INDEX('[2]End - Use Prices'!$C$6:$AL$89,MATCH($C136,'[2]End - Use Prices'!$A$6:$A$89,0)+MATCH($D136,'[2]End - Use Prices'!$B$9:$B$11,0)-1,MATCH(BG$1,'[2]End - Use Prices'!$C$7:$AL$7,0))</f>
        <v>28.95</v>
      </c>
      <c r="BR136" s="39"/>
      <c r="BS136" s="39"/>
      <c r="BT136" s="39"/>
      <c r="BU136" s="39"/>
      <c r="BV136" s="39"/>
      <c r="BW136" s="39"/>
      <c r="BX136" s="39"/>
      <c r="BY136" s="39"/>
      <c r="BZ136" s="39"/>
      <c r="CA136" s="39"/>
    </row>
    <row r="137" spans="1:79">
      <c r="A137" s="5"/>
      <c r="B137" s="3"/>
      <c r="C137" s="25" t="s">
        <v>86</v>
      </c>
      <c r="D137" s="25" t="s">
        <v>276</v>
      </c>
      <c r="E137" s="25" t="s">
        <v>277</v>
      </c>
      <c r="F137" s="67" t="s">
        <v>275</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INDEX('[2]End - Use Prices'!$C$6:$AL$89,MATCH($C137,'[2]End - Use Prices'!$A$6:$A$89,0)+MATCH($D137,'[2]End - Use Prices'!$B$9:$B$11,0)-1,MATCH(X$1,'[2]End - Use Prices'!$C$7:$AL$7,0))</f>
        <v>27.52</v>
      </c>
      <c r="Y137" s="41">
        <f>INDEX('[2]End - Use Prices'!$C$6:$AL$89,MATCH($C137,'[2]End - Use Prices'!$A$6:$A$89,0)+MATCH($D137,'[2]End - Use Prices'!$B$9:$B$11,0)-1,MATCH(Y$1,'[2]End - Use Prices'!$C$7:$AL$7,0))</f>
        <v>28.18</v>
      </c>
      <c r="Z137" s="41">
        <f>INDEX('[2]End - Use Prices'!$C$6:$AL$89,MATCH($C137,'[2]End - Use Prices'!$A$6:$A$89,0)+MATCH($D137,'[2]End - Use Prices'!$B$9:$B$11,0)-1,MATCH(Z$1,'[2]End - Use Prices'!$C$7:$AL$7,0))</f>
        <v>26.07</v>
      </c>
      <c r="AA137" s="41">
        <f>INDEX('[2]End - Use Prices'!$C$6:$AL$89,MATCH($C137,'[2]End - Use Prices'!$A$6:$A$89,0)+MATCH($D137,'[2]End - Use Prices'!$B$9:$B$11,0)-1,MATCH(AA$1,'[2]End - Use Prices'!$C$7:$AL$7,0))</f>
        <v>31.72</v>
      </c>
      <c r="AB137" s="41">
        <f>INDEX('[2]End - Use Prices'!$C$6:$AL$89,MATCH($C137,'[2]End - Use Prices'!$A$6:$A$89,0)+MATCH($D137,'[2]End - Use Prices'!$B$9:$B$11,0)-1,MATCH(AB$1,'[2]End - Use Prices'!$C$7:$AL$7,0))</f>
        <v>22.7</v>
      </c>
      <c r="AC137" s="41">
        <f>INDEX('[2]End - Use Prices'!$C$6:$AL$89,MATCH($C137,'[2]End - Use Prices'!$A$6:$A$89,0)+MATCH($D137,'[2]End - Use Prices'!$B$9:$B$11,0)-1,MATCH(AC$1,'[2]End - Use Prices'!$C$7:$AL$7,0))</f>
        <v>25.32</v>
      </c>
      <c r="AD137" s="41">
        <f>INDEX('[2]End - Use Prices'!$C$6:$AL$89,MATCH($C137,'[2]End - Use Prices'!$A$6:$A$89,0)+MATCH($D137,'[2]End - Use Prices'!$B$9:$B$11,0)-1,MATCH(AD$1,'[2]End - Use Prices'!$C$7:$AL$7,0))</f>
        <v>30.73</v>
      </c>
      <c r="AE137" s="41">
        <f>INDEX('[2]End - Use Prices'!$C$6:$AL$89,MATCH($C137,'[2]End - Use Prices'!$A$6:$A$89,0)+MATCH($D137,'[2]End - Use Prices'!$B$9:$B$11,0)-1,MATCH(AE$1,'[2]End - Use Prices'!$C$7:$AL$7,0))</f>
        <v>31.88</v>
      </c>
      <c r="AF137" s="41">
        <f>INDEX('[2]End - Use Prices'!$C$6:$AL$89,MATCH($C137,'[2]End - Use Prices'!$A$6:$A$89,0)+MATCH($D137,'[2]End - Use Prices'!$B$9:$B$11,0)-1,MATCH(AF$1,'[2]End - Use Prices'!$C$7:$AL$7,0))</f>
        <v>31.97</v>
      </c>
      <c r="AG137" s="41">
        <f>INDEX('[2]End - Use Prices'!$C$6:$AL$89,MATCH($C137,'[2]End - Use Prices'!$A$6:$A$89,0)+MATCH($D137,'[2]End - Use Prices'!$B$9:$B$11,0)-1,MATCH(AG$1,'[2]End - Use Prices'!$C$7:$AL$7,0))</f>
        <v>34.450000000000003</v>
      </c>
      <c r="AH137" s="41">
        <f>INDEX('[2]End - Use Prices'!$C$6:$AL$89,MATCH($C137,'[2]End - Use Prices'!$A$6:$A$89,0)+MATCH($D137,'[2]End - Use Prices'!$B$9:$B$11,0)-1,MATCH(AH$1,'[2]End - Use Prices'!$C$7:$AL$7,0))</f>
        <v>27.46</v>
      </c>
      <c r="AI137" s="41">
        <f>INDEX('[2]End - Use Prices'!$C$6:$AL$89,MATCH($C137,'[2]End - Use Prices'!$A$6:$A$89,0)+MATCH($D137,'[2]End - Use Prices'!$B$9:$B$11,0)-1,MATCH(AI$1,'[2]End - Use Prices'!$C$7:$AL$7,0))</f>
        <v>23.92</v>
      </c>
      <c r="AJ137" s="41">
        <f>INDEX('[2]End - Use Prices'!$C$6:$AL$89,MATCH($C137,'[2]End - Use Prices'!$A$6:$A$89,0)+MATCH($D137,'[2]End - Use Prices'!$B$9:$B$11,0)-1,MATCH(AJ$1,'[2]End - Use Prices'!$C$7:$AL$7,0))</f>
        <v>25.38</v>
      </c>
      <c r="AK137" s="41">
        <f>INDEX('[2]End - Use Prices'!$C$6:$AL$89,MATCH($C137,'[2]End - Use Prices'!$A$6:$A$89,0)+MATCH($D137,'[2]End - Use Prices'!$B$9:$B$11,0)-1,MATCH(AK$1,'[2]End - Use Prices'!$C$7:$AL$7,0))</f>
        <v>29.63</v>
      </c>
      <c r="AL137" s="41">
        <f>INDEX('[2]End - Use Prices'!$C$6:$AL$89,MATCH($C137,'[2]End - Use Prices'!$A$6:$A$89,0)+MATCH($D137,'[2]End - Use Prices'!$B$9:$B$11,0)-1,MATCH(AL$1,'[2]End - Use Prices'!$C$7:$AL$7,0))</f>
        <v>32.75</v>
      </c>
      <c r="AM137" s="41">
        <f>INDEX('[2]End - Use Prices'!$C$6:$AL$89,MATCH($C137,'[2]End - Use Prices'!$A$6:$A$89,0)+MATCH($D137,'[2]End - Use Prices'!$B$9:$B$11,0)-1,MATCH(AM$1,'[2]End - Use Prices'!$C$7:$AL$7,0))</f>
        <v>37.450000000000003</v>
      </c>
      <c r="AN137" s="41">
        <f>INDEX('[2]End - Use Prices'!$C$6:$AL$89,MATCH($C137,'[2]End - Use Prices'!$A$6:$A$89,0)+MATCH($D137,'[2]End - Use Prices'!$B$9:$B$11,0)-1,MATCH(AN$1,'[2]End - Use Prices'!$C$7:$AL$7,0))</f>
        <v>35</v>
      </c>
      <c r="AO137" s="41">
        <f>INDEX('[2]End - Use Prices'!$C$6:$AL$89,MATCH($C137,'[2]End - Use Prices'!$A$6:$A$89,0)+MATCH($D137,'[2]End - Use Prices'!$B$9:$B$11,0)-1,MATCH(AO$1,'[2]End - Use Prices'!$C$7:$AL$7,0))</f>
        <v>33.549999999999997</v>
      </c>
      <c r="AP137" s="41">
        <f>INDEX('[2]End - Use Prices'!$C$6:$AL$89,MATCH($C137,'[2]End - Use Prices'!$A$6:$A$89,0)+MATCH($D137,'[2]End - Use Prices'!$B$9:$B$11,0)-1,MATCH(AP$1,'[2]End - Use Prices'!$C$7:$AL$7,0))</f>
        <v>33.72</v>
      </c>
      <c r="AQ137" s="41">
        <f>INDEX('[2]End - Use Prices'!$C$6:$AL$89,MATCH($C137,'[2]End - Use Prices'!$A$6:$A$89,0)+MATCH($D137,'[2]End - Use Prices'!$B$9:$B$11,0)-1,MATCH(AQ$1,'[2]End - Use Prices'!$C$7:$AL$7,0))</f>
        <v>33.450000000000003</v>
      </c>
      <c r="AR137" s="41">
        <f>INDEX('[2]End - Use Prices'!$C$6:$AL$89,MATCH($C137,'[2]End - Use Prices'!$A$6:$A$89,0)+MATCH($D137,'[2]End - Use Prices'!$B$9:$B$11,0)-1,MATCH(AR$1,'[2]End - Use Prices'!$C$7:$AL$7,0))</f>
        <v>33.42</v>
      </c>
      <c r="AS137" s="41">
        <f>INDEX('[2]End - Use Prices'!$C$6:$AL$89,MATCH($C137,'[2]End - Use Prices'!$A$6:$A$89,0)+MATCH($D137,'[2]End - Use Prices'!$B$9:$B$11,0)-1,MATCH(AS$1,'[2]End - Use Prices'!$C$7:$AL$7,0))</f>
        <v>33.340000000000003</v>
      </c>
      <c r="AT137" s="41">
        <f>INDEX('[2]End - Use Prices'!$C$6:$AL$89,MATCH($C137,'[2]End - Use Prices'!$A$6:$A$89,0)+MATCH($D137,'[2]End - Use Prices'!$B$9:$B$11,0)-1,MATCH(AT$1,'[2]End - Use Prices'!$C$7:$AL$7,0))</f>
        <v>33.17</v>
      </c>
      <c r="AU137" s="41">
        <f>INDEX('[2]End - Use Prices'!$C$6:$AL$89,MATCH($C137,'[2]End - Use Prices'!$A$6:$A$89,0)+MATCH($D137,'[2]End - Use Prices'!$B$9:$B$11,0)-1,MATCH(AU$1,'[2]End - Use Prices'!$C$7:$AL$7,0))</f>
        <v>32.96</v>
      </c>
      <c r="AV137" s="41">
        <f>INDEX('[2]End - Use Prices'!$C$6:$AL$89,MATCH($C137,'[2]End - Use Prices'!$A$6:$A$89,0)+MATCH($D137,'[2]End - Use Prices'!$B$9:$B$11,0)-1,MATCH(AV$1,'[2]End - Use Prices'!$C$7:$AL$7,0))</f>
        <v>32.79</v>
      </c>
      <c r="AW137" s="41">
        <f>INDEX('[2]End - Use Prices'!$C$6:$AL$89,MATCH($C137,'[2]End - Use Prices'!$A$6:$A$89,0)+MATCH($D137,'[2]End - Use Prices'!$B$9:$B$11,0)-1,MATCH(AW$1,'[2]End - Use Prices'!$C$7:$AL$7,0))</f>
        <v>32.61</v>
      </c>
      <c r="AX137" s="41">
        <f>INDEX('[2]End - Use Prices'!$C$6:$AL$89,MATCH($C137,'[2]End - Use Prices'!$A$6:$A$89,0)+MATCH($D137,'[2]End - Use Prices'!$B$9:$B$11,0)-1,MATCH(AX$1,'[2]End - Use Prices'!$C$7:$AL$7,0))</f>
        <v>32.51</v>
      </c>
      <c r="AY137" s="41">
        <f>INDEX('[2]End - Use Prices'!$C$6:$AL$89,MATCH($C137,'[2]End - Use Prices'!$A$6:$A$89,0)+MATCH($D137,'[2]End - Use Prices'!$B$9:$B$11,0)-1,MATCH(AY$1,'[2]End - Use Prices'!$C$7:$AL$7,0))</f>
        <v>32.44</v>
      </c>
      <c r="AZ137" s="41">
        <f>INDEX('[2]End - Use Prices'!$C$6:$AL$89,MATCH($C137,'[2]End - Use Prices'!$A$6:$A$89,0)+MATCH($D137,'[2]End - Use Prices'!$B$9:$B$11,0)-1,MATCH(AZ$1,'[2]End - Use Prices'!$C$7:$AL$7,0))</f>
        <v>32.4</v>
      </c>
      <c r="BA137" s="41">
        <f>INDEX('[2]End - Use Prices'!$C$6:$AL$89,MATCH($C137,'[2]End - Use Prices'!$A$6:$A$89,0)+MATCH($D137,'[2]End - Use Prices'!$B$9:$B$11,0)-1,MATCH(BA$1,'[2]End - Use Prices'!$C$7:$AL$7,0))</f>
        <v>32.4</v>
      </c>
      <c r="BB137" s="41">
        <f>INDEX('[2]End - Use Prices'!$C$6:$AL$89,MATCH($C137,'[2]End - Use Prices'!$A$6:$A$89,0)+MATCH($D137,'[2]End - Use Prices'!$B$9:$B$11,0)-1,MATCH(BB$1,'[2]End - Use Prices'!$C$7:$AL$7,0))</f>
        <v>32.369999999999997</v>
      </c>
      <c r="BC137" s="41">
        <f>INDEX('[2]End - Use Prices'!$C$6:$AL$89,MATCH($C137,'[2]End - Use Prices'!$A$6:$A$89,0)+MATCH($D137,'[2]End - Use Prices'!$B$9:$B$11,0)-1,MATCH(BC$1,'[2]End - Use Prices'!$C$7:$AL$7,0))</f>
        <v>32.33</v>
      </c>
      <c r="BD137" s="41">
        <f>INDEX('[2]End - Use Prices'!$C$6:$AL$89,MATCH($C137,'[2]End - Use Prices'!$A$6:$A$89,0)+MATCH($D137,'[2]End - Use Prices'!$B$9:$B$11,0)-1,MATCH(BD$1,'[2]End - Use Prices'!$C$7:$AL$7,0))</f>
        <v>32.28</v>
      </c>
      <c r="BE137" s="41">
        <f>INDEX('[2]End - Use Prices'!$C$6:$AL$89,MATCH($C137,'[2]End - Use Prices'!$A$6:$A$89,0)+MATCH($D137,'[2]End - Use Prices'!$B$9:$B$11,0)-1,MATCH(BE$1,'[2]End - Use Prices'!$C$7:$AL$7,0))</f>
        <v>32.19</v>
      </c>
      <c r="BF137" s="41">
        <f>INDEX('[2]End - Use Prices'!$C$6:$AL$89,MATCH($C137,'[2]End - Use Prices'!$A$6:$A$89,0)+MATCH($D137,'[2]End - Use Prices'!$B$9:$B$11,0)-1,MATCH(BF$1,'[2]End - Use Prices'!$C$7:$AL$7,0))</f>
        <v>32.1</v>
      </c>
      <c r="BG137" s="41">
        <f>INDEX('[2]End - Use Prices'!$C$6:$AL$89,MATCH($C137,'[2]End - Use Prices'!$A$6:$A$89,0)+MATCH($D137,'[2]End - Use Prices'!$B$9:$B$11,0)-1,MATCH(BG$1,'[2]End - Use Prices'!$C$7:$AL$7,0))</f>
        <v>32</v>
      </c>
      <c r="BR137" s="39"/>
      <c r="BS137" s="39"/>
      <c r="BT137" s="39"/>
      <c r="BU137" s="39"/>
      <c r="BV137" s="39"/>
      <c r="BW137" s="39"/>
      <c r="BX137" s="39"/>
      <c r="BY137" s="39"/>
      <c r="BZ137" s="39"/>
      <c r="CA137" s="39"/>
    </row>
    <row r="138" spans="1:79">
      <c r="A138" s="5"/>
      <c r="B138" s="3"/>
      <c r="C138" s="25" t="s">
        <v>87</v>
      </c>
      <c r="D138" s="25" t="s">
        <v>276</v>
      </c>
      <c r="E138" s="25" t="s">
        <v>277</v>
      </c>
      <c r="F138" s="67" t="s">
        <v>275</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INDEX('[2]End - Use Prices'!$C$6:$AL$89,MATCH($C138,'[2]End - Use Prices'!$A$6:$A$89,0)+MATCH($D138,'[2]End - Use Prices'!$B$9:$B$11,0)-1,MATCH(X$1,'[2]End - Use Prices'!$C$7:$AL$7,0))</f>
        <v>27.36</v>
      </c>
      <c r="Y138" s="41">
        <f>INDEX('[2]End - Use Prices'!$C$6:$AL$89,MATCH($C138,'[2]End - Use Prices'!$A$6:$A$89,0)+MATCH($D138,'[2]End - Use Prices'!$B$9:$B$11,0)-1,MATCH(Y$1,'[2]End - Use Prices'!$C$7:$AL$7,0))</f>
        <v>27.14</v>
      </c>
      <c r="Z138" s="41">
        <f>INDEX('[2]End - Use Prices'!$C$6:$AL$89,MATCH($C138,'[2]End - Use Prices'!$A$6:$A$89,0)+MATCH($D138,'[2]End - Use Prices'!$B$9:$B$11,0)-1,MATCH(Z$1,'[2]End - Use Prices'!$C$7:$AL$7,0))</f>
        <v>27.83</v>
      </c>
      <c r="AA138" s="41">
        <f>INDEX('[2]End - Use Prices'!$C$6:$AL$89,MATCH($C138,'[2]End - Use Prices'!$A$6:$A$89,0)+MATCH($D138,'[2]End - Use Prices'!$B$9:$B$11,0)-1,MATCH(AA$1,'[2]End - Use Prices'!$C$7:$AL$7,0))</f>
        <v>34.340000000000003</v>
      </c>
      <c r="AB138" s="41">
        <f>INDEX('[2]End - Use Prices'!$C$6:$AL$89,MATCH($C138,'[2]End - Use Prices'!$A$6:$A$89,0)+MATCH($D138,'[2]End - Use Prices'!$B$9:$B$11,0)-1,MATCH(AB$1,'[2]End - Use Prices'!$C$7:$AL$7,0))</f>
        <v>24.16</v>
      </c>
      <c r="AC138" s="41">
        <f>INDEX('[2]End - Use Prices'!$C$6:$AL$89,MATCH($C138,'[2]End - Use Prices'!$A$6:$A$89,0)+MATCH($D138,'[2]End - Use Prices'!$B$9:$B$11,0)-1,MATCH(AC$1,'[2]End - Use Prices'!$C$7:$AL$7,0))</f>
        <v>27.36</v>
      </c>
      <c r="AD138" s="41">
        <f>INDEX('[2]End - Use Prices'!$C$6:$AL$89,MATCH($C138,'[2]End - Use Prices'!$A$6:$A$89,0)+MATCH($D138,'[2]End - Use Prices'!$B$9:$B$11,0)-1,MATCH(AD$1,'[2]End - Use Prices'!$C$7:$AL$7,0))</f>
        <v>32.19</v>
      </c>
      <c r="AE138" s="41">
        <f>INDEX('[2]End - Use Prices'!$C$6:$AL$89,MATCH($C138,'[2]End - Use Prices'!$A$6:$A$89,0)+MATCH($D138,'[2]End - Use Prices'!$B$9:$B$11,0)-1,MATCH(AE$1,'[2]End - Use Prices'!$C$7:$AL$7,0))</f>
        <v>33.76</v>
      </c>
      <c r="AF138" s="41">
        <f>INDEX('[2]End - Use Prices'!$C$6:$AL$89,MATCH($C138,'[2]End - Use Prices'!$A$6:$A$89,0)+MATCH($D138,'[2]End - Use Prices'!$B$9:$B$11,0)-1,MATCH(AF$1,'[2]End - Use Prices'!$C$7:$AL$7,0))</f>
        <v>32.590000000000003</v>
      </c>
      <c r="AG138" s="41">
        <f>INDEX('[2]End - Use Prices'!$C$6:$AL$89,MATCH($C138,'[2]End - Use Prices'!$A$6:$A$89,0)+MATCH($D138,'[2]End - Use Prices'!$B$9:$B$11,0)-1,MATCH(AG$1,'[2]End - Use Prices'!$C$7:$AL$7,0))</f>
        <v>34.17</v>
      </c>
      <c r="AH138" s="41">
        <f>INDEX('[2]End - Use Prices'!$C$6:$AL$89,MATCH($C138,'[2]End - Use Prices'!$A$6:$A$89,0)+MATCH($D138,'[2]End - Use Prices'!$B$9:$B$11,0)-1,MATCH(AH$1,'[2]End - Use Prices'!$C$7:$AL$7,0))</f>
        <v>28.05</v>
      </c>
      <c r="AI138" s="41">
        <f>INDEX('[2]End - Use Prices'!$C$6:$AL$89,MATCH($C138,'[2]End - Use Prices'!$A$6:$A$89,0)+MATCH($D138,'[2]End - Use Prices'!$B$9:$B$11,0)-1,MATCH(AI$1,'[2]End - Use Prices'!$C$7:$AL$7,0))</f>
        <v>24.4</v>
      </c>
      <c r="AJ138" s="41">
        <f>INDEX('[2]End - Use Prices'!$C$6:$AL$89,MATCH($C138,'[2]End - Use Prices'!$A$6:$A$89,0)+MATCH($D138,'[2]End - Use Prices'!$B$9:$B$11,0)-1,MATCH(AJ$1,'[2]End - Use Prices'!$C$7:$AL$7,0))</f>
        <v>26.95</v>
      </c>
      <c r="AK138" s="41">
        <f>INDEX('[2]End - Use Prices'!$C$6:$AL$89,MATCH($C138,'[2]End - Use Prices'!$A$6:$A$89,0)+MATCH($D138,'[2]End - Use Prices'!$B$9:$B$11,0)-1,MATCH(AK$1,'[2]End - Use Prices'!$C$7:$AL$7,0))</f>
        <v>30.62</v>
      </c>
      <c r="AL138" s="41">
        <f>INDEX('[2]End - Use Prices'!$C$6:$AL$89,MATCH($C138,'[2]End - Use Prices'!$A$6:$A$89,0)+MATCH($D138,'[2]End - Use Prices'!$B$9:$B$11,0)-1,MATCH(AL$1,'[2]End - Use Prices'!$C$7:$AL$7,0))</f>
        <v>34.01</v>
      </c>
      <c r="AM138" s="41">
        <f>INDEX('[2]End - Use Prices'!$C$6:$AL$89,MATCH($C138,'[2]End - Use Prices'!$A$6:$A$89,0)+MATCH($D138,'[2]End - Use Prices'!$B$9:$B$11,0)-1,MATCH(AM$1,'[2]End - Use Prices'!$C$7:$AL$7,0))</f>
        <v>38.97</v>
      </c>
      <c r="AN138" s="41">
        <f>INDEX('[2]End - Use Prices'!$C$6:$AL$89,MATCH($C138,'[2]End - Use Prices'!$A$6:$A$89,0)+MATCH($D138,'[2]End - Use Prices'!$B$9:$B$11,0)-1,MATCH(AN$1,'[2]End - Use Prices'!$C$7:$AL$7,0))</f>
        <v>36.24</v>
      </c>
      <c r="AO138" s="41">
        <f>INDEX('[2]End - Use Prices'!$C$6:$AL$89,MATCH($C138,'[2]End - Use Prices'!$A$6:$A$89,0)+MATCH($D138,'[2]End - Use Prices'!$B$9:$B$11,0)-1,MATCH(AO$1,'[2]End - Use Prices'!$C$7:$AL$7,0))</f>
        <v>34.6</v>
      </c>
      <c r="AP138" s="41">
        <f>INDEX('[2]End - Use Prices'!$C$6:$AL$89,MATCH($C138,'[2]End - Use Prices'!$A$6:$A$89,0)+MATCH($D138,'[2]End - Use Prices'!$B$9:$B$11,0)-1,MATCH(AP$1,'[2]End - Use Prices'!$C$7:$AL$7,0))</f>
        <v>34.72</v>
      </c>
      <c r="AQ138" s="41">
        <f>INDEX('[2]End - Use Prices'!$C$6:$AL$89,MATCH($C138,'[2]End - Use Prices'!$A$6:$A$89,0)+MATCH($D138,'[2]End - Use Prices'!$B$9:$B$11,0)-1,MATCH(AQ$1,'[2]End - Use Prices'!$C$7:$AL$7,0))</f>
        <v>34.450000000000003</v>
      </c>
      <c r="AR138" s="41">
        <f>INDEX('[2]End - Use Prices'!$C$6:$AL$89,MATCH($C138,'[2]End - Use Prices'!$A$6:$A$89,0)+MATCH($D138,'[2]End - Use Prices'!$B$9:$B$11,0)-1,MATCH(AR$1,'[2]End - Use Prices'!$C$7:$AL$7,0))</f>
        <v>34.42</v>
      </c>
      <c r="AS138" s="41">
        <f>INDEX('[2]End - Use Prices'!$C$6:$AL$89,MATCH($C138,'[2]End - Use Prices'!$A$6:$A$89,0)+MATCH($D138,'[2]End - Use Prices'!$B$9:$B$11,0)-1,MATCH(AS$1,'[2]End - Use Prices'!$C$7:$AL$7,0))</f>
        <v>34.35</v>
      </c>
      <c r="AT138" s="41">
        <f>INDEX('[2]End - Use Prices'!$C$6:$AL$89,MATCH($C138,'[2]End - Use Prices'!$A$6:$A$89,0)+MATCH($D138,'[2]End - Use Prices'!$B$9:$B$11,0)-1,MATCH(AT$1,'[2]End - Use Prices'!$C$7:$AL$7,0))</f>
        <v>34.17</v>
      </c>
      <c r="AU138" s="41">
        <f>INDEX('[2]End - Use Prices'!$C$6:$AL$89,MATCH($C138,'[2]End - Use Prices'!$A$6:$A$89,0)+MATCH($D138,'[2]End - Use Prices'!$B$9:$B$11,0)-1,MATCH(AU$1,'[2]End - Use Prices'!$C$7:$AL$7,0))</f>
        <v>33.950000000000003</v>
      </c>
      <c r="AV138" s="41">
        <f>INDEX('[2]End - Use Prices'!$C$6:$AL$89,MATCH($C138,'[2]End - Use Prices'!$A$6:$A$89,0)+MATCH($D138,'[2]End - Use Prices'!$B$9:$B$11,0)-1,MATCH(AV$1,'[2]End - Use Prices'!$C$7:$AL$7,0))</f>
        <v>33.770000000000003</v>
      </c>
      <c r="AW138" s="41">
        <f>INDEX('[2]End - Use Prices'!$C$6:$AL$89,MATCH($C138,'[2]End - Use Prices'!$A$6:$A$89,0)+MATCH($D138,'[2]End - Use Prices'!$B$9:$B$11,0)-1,MATCH(AW$1,'[2]End - Use Prices'!$C$7:$AL$7,0))</f>
        <v>33.590000000000003</v>
      </c>
      <c r="AX138" s="41">
        <f>INDEX('[2]End - Use Prices'!$C$6:$AL$89,MATCH($C138,'[2]End - Use Prices'!$A$6:$A$89,0)+MATCH($D138,'[2]End - Use Prices'!$B$9:$B$11,0)-1,MATCH(AX$1,'[2]End - Use Prices'!$C$7:$AL$7,0))</f>
        <v>33.479999999999997</v>
      </c>
      <c r="AY138" s="41">
        <f>INDEX('[2]End - Use Prices'!$C$6:$AL$89,MATCH($C138,'[2]End - Use Prices'!$A$6:$A$89,0)+MATCH($D138,'[2]End - Use Prices'!$B$9:$B$11,0)-1,MATCH(AY$1,'[2]End - Use Prices'!$C$7:$AL$7,0))</f>
        <v>33.409999999999997</v>
      </c>
      <c r="AZ138" s="41">
        <f>INDEX('[2]End - Use Prices'!$C$6:$AL$89,MATCH($C138,'[2]End - Use Prices'!$A$6:$A$89,0)+MATCH($D138,'[2]End - Use Prices'!$B$9:$B$11,0)-1,MATCH(AZ$1,'[2]End - Use Prices'!$C$7:$AL$7,0))</f>
        <v>33.369999999999997</v>
      </c>
      <c r="BA138" s="41">
        <f>INDEX('[2]End - Use Prices'!$C$6:$AL$89,MATCH($C138,'[2]End - Use Prices'!$A$6:$A$89,0)+MATCH($D138,'[2]End - Use Prices'!$B$9:$B$11,0)-1,MATCH(BA$1,'[2]End - Use Prices'!$C$7:$AL$7,0))</f>
        <v>33.369999999999997</v>
      </c>
      <c r="BB138" s="41">
        <f>INDEX('[2]End - Use Prices'!$C$6:$AL$89,MATCH($C138,'[2]End - Use Prices'!$A$6:$A$89,0)+MATCH($D138,'[2]End - Use Prices'!$B$9:$B$11,0)-1,MATCH(BB$1,'[2]End - Use Prices'!$C$7:$AL$7,0))</f>
        <v>33.35</v>
      </c>
      <c r="BC138" s="41">
        <f>INDEX('[2]End - Use Prices'!$C$6:$AL$89,MATCH($C138,'[2]End - Use Prices'!$A$6:$A$89,0)+MATCH($D138,'[2]End - Use Prices'!$B$9:$B$11,0)-1,MATCH(BC$1,'[2]End - Use Prices'!$C$7:$AL$7,0))</f>
        <v>33.31</v>
      </c>
      <c r="BD138" s="41">
        <f>INDEX('[2]End - Use Prices'!$C$6:$AL$89,MATCH($C138,'[2]End - Use Prices'!$A$6:$A$89,0)+MATCH($D138,'[2]End - Use Prices'!$B$9:$B$11,0)-1,MATCH(BD$1,'[2]End - Use Prices'!$C$7:$AL$7,0))</f>
        <v>33.25</v>
      </c>
      <c r="BE138" s="41">
        <f>INDEX('[2]End - Use Prices'!$C$6:$AL$89,MATCH($C138,'[2]End - Use Prices'!$A$6:$A$89,0)+MATCH($D138,'[2]End - Use Prices'!$B$9:$B$11,0)-1,MATCH(BE$1,'[2]End - Use Prices'!$C$7:$AL$7,0))</f>
        <v>33.159999999999997</v>
      </c>
      <c r="BF138" s="41">
        <f>INDEX('[2]End - Use Prices'!$C$6:$AL$89,MATCH($C138,'[2]End - Use Prices'!$A$6:$A$89,0)+MATCH($D138,'[2]End - Use Prices'!$B$9:$B$11,0)-1,MATCH(BF$1,'[2]End - Use Prices'!$C$7:$AL$7,0))</f>
        <v>33.07</v>
      </c>
      <c r="BG138" s="41">
        <f>INDEX('[2]End - Use Prices'!$C$6:$AL$89,MATCH($C138,'[2]End - Use Prices'!$A$6:$A$89,0)+MATCH($D138,'[2]End - Use Prices'!$B$9:$B$11,0)-1,MATCH(BG$1,'[2]End - Use Prices'!$C$7:$AL$7,0))</f>
        <v>32.97</v>
      </c>
      <c r="BR138" s="39"/>
      <c r="BS138" s="39"/>
      <c r="BT138" s="39"/>
      <c r="BU138" s="39"/>
      <c r="BV138" s="39"/>
      <c r="BW138" s="39"/>
      <c r="BX138" s="39"/>
      <c r="BY138" s="39"/>
      <c r="BZ138" s="39"/>
      <c r="CA138" s="39"/>
    </row>
    <row r="139" spans="1:79">
      <c r="A139" s="5"/>
      <c r="B139" s="3"/>
      <c r="C139" s="25" t="s">
        <v>88</v>
      </c>
      <c r="D139" s="25" t="s">
        <v>276</v>
      </c>
      <c r="E139" s="25" t="s">
        <v>277</v>
      </c>
      <c r="F139" s="67" t="s">
        <v>275</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INDEX('[2]End - Use Prices'!$C$6:$AL$89,MATCH($C139,'[2]End - Use Prices'!$A$6:$A$89,0)+MATCH($D139,'[2]End - Use Prices'!$B$9:$B$11,0)-1,MATCH(X$1,'[2]End - Use Prices'!$C$7:$AL$7,0))</f>
        <v>24.67</v>
      </c>
      <c r="Y139" s="41">
        <f>INDEX('[2]End - Use Prices'!$C$6:$AL$89,MATCH($C139,'[2]End - Use Prices'!$A$6:$A$89,0)+MATCH($D139,'[2]End - Use Prices'!$B$9:$B$11,0)-1,MATCH(Y$1,'[2]End - Use Prices'!$C$7:$AL$7,0))</f>
        <v>25.2</v>
      </c>
      <c r="Z139" s="41">
        <f>INDEX('[2]End - Use Prices'!$C$6:$AL$89,MATCH($C139,'[2]End - Use Prices'!$A$6:$A$89,0)+MATCH($D139,'[2]End - Use Prices'!$B$9:$B$11,0)-1,MATCH(Z$1,'[2]End - Use Prices'!$C$7:$AL$7,0))</f>
        <v>25.43</v>
      </c>
      <c r="AA139" s="41">
        <f>INDEX('[2]End - Use Prices'!$C$6:$AL$89,MATCH($C139,'[2]End - Use Prices'!$A$6:$A$89,0)+MATCH($D139,'[2]End - Use Prices'!$B$9:$B$11,0)-1,MATCH(AA$1,'[2]End - Use Prices'!$C$7:$AL$7,0))</f>
        <v>33.47</v>
      </c>
      <c r="AB139" s="41">
        <f>INDEX('[2]End - Use Prices'!$C$6:$AL$89,MATCH($C139,'[2]End - Use Prices'!$A$6:$A$89,0)+MATCH($D139,'[2]End - Use Prices'!$B$9:$B$11,0)-1,MATCH(AB$1,'[2]End - Use Prices'!$C$7:$AL$7,0))</f>
        <v>23.22</v>
      </c>
      <c r="AC139" s="41">
        <f>INDEX('[2]End - Use Prices'!$C$6:$AL$89,MATCH($C139,'[2]End - Use Prices'!$A$6:$A$89,0)+MATCH($D139,'[2]End - Use Prices'!$B$9:$B$11,0)-1,MATCH(AC$1,'[2]End - Use Prices'!$C$7:$AL$7,0))</f>
        <v>26.1</v>
      </c>
      <c r="AD139" s="41">
        <f>INDEX('[2]End - Use Prices'!$C$6:$AL$89,MATCH($C139,'[2]End - Use Prices'!$A$6:$A$89,0)+MATCH($D139,'[2]End - Use Prices'!$B$9:$B$11,0)-1,MATCH(AD$1,'[2]End - Use Prices'!$C$7:$AL$7,0))</f>
        <v>32.090000000000003</v>
      </c>
      <c r="AE139" s="41">
        <f>INDEX('[2]End - Use Prices'!$C$6:$AL$89,MATCH($C139,'[2]End - Use Prices'!$A$6:$A$89,0)+MATCH($D139,'[2]End - Use Prices'!$B$9:$B$11,0)-1,MATCH(AE$1,'[2]End - Use Prices'!$C$7:$AL$7,0))</f>
        <v>33.770000000000003</v>
      </c>
      <c r="AF139" s="41">
        <f>INDEX('[2]End - Use Prices'!$C$6:$AL$89,MATCH($C139,'[2]End - Use Prices'!$A$6:$A$89,0)+MATCH($D139,'[2]End - Use Prices'!$B$9:$B$11,0)-1,MATCH(AF$1,'[2]End - Use Prices'!$C$7:$AL$7,0))</f>
        <v>33.130000000000003</v>
      </c>
      <c r="AG139" s="41">
        <f>INDEX('[2]End - Use Prices'!$C$6:$AL$89,MATCH($C139,'[2]End - Use Prices'!$A$6:$A$89,0)+MATCH($D139,'[2]End - Use Prices'!$B$9:$B$11,0)-1,MATCH(AG$1,'[2]End - Use Prices'!$C$7:$AL$7,0))</f>
        <v>33.630000000000003</v>
      </c>
      <c r="AH139" s="41">
        <f>INDEX('[2]End - Use Prices'!$C$6:$AL$89,MATCH($C139,'[2]End - Use Prices'!$A$6:$A$89,0)+MATCH($D139,'[2]End - Use Prices'!$B$9:$B$11,0)-1,MATCH(AH$1,'[2]End - Use Prices'!$C$7:$AL$7,0))</f>
        <v>27.54</v>
      </c>
      <c r="AI139" s="41">
        <f>INDEX('[2]End - Use Prices'!$C$6:$AL$89,MATCH($C139,'[2]End - Use Prices'!$A$6:$A$89,0)+MATCH($D139,'[2]End - Use Prices'!$B$9:$B$11,0)-1,MATCH(AI$1,'[2]End - Use Prices'!$C$7:$AL$7,0))</f>
        <v>23.58</v>
      </c>
      <c r="AJ139" s="41">
        <f>INDEX('[2]End - Use Prices'!$C$6:$AL$89,MATCH($C139,'[2]End - Use Prices'!$A$6:$A$89,0)+MATCH($D139,'[2]End - Use Prices'!$B$9:$B$11,0)-1,MATCH(AJ$1,'[2]End - Use Prices'!$C$7:$AL$7,0))</f>
        <v>25.75</v>
      </c>
      <c r="AK139" s="41">
        <f>INDEX('[2]End - Use Prices'!$C$6:$AL$89,MATCH($C139,'[2]End - Use Prices'!$A$6:$A$89,0)+MATCH($D139,'[2]End - Use Prices'!$B$9:$B$11,0)-1,MATCH(AK$1,'[2]End - Use Prices'!$C$7:$AL$7,0))</f>
        <v>30.37</v>
      </c>
      <c r="AL139" s="41">
        <f>INDEX('[2]End - Use Prices'!$C$6:$AL$89,MATCH($C139,'[2]End - Use Prices'!$A$6:$A$89,0)+MATCH($D139,'[2]End - Use Prices'!$B$9:$B$11,0)-1,MATCH(AL$1,'[2]End - Use Prices'!$C$7:$AL$7,0))</f>
        <v>34.700000000000003</v>
      </c>
      <c r="AM139" s="41">
        <f>INDEX('[2]End - Use Prices'!$C$6:$AL$89,MATCH($C139,'[2]End - Use Prices'!$A$6:$A$89,0)+MATCH($D139,'[2]End - Use Prices'!$B$9:$B$11,0)-1,MATCH(AM$1,'[2]End - Use Prices'!$C$7:$AL$7,0))</f>
        <v>38.03</v>
      </c>
      <c r="AN139" s="41">
        <f>INDEX('[2]End - Use Prices'!$C$6:$AL$89,MATCH($C139,'[2]End - Use Prices'!$A$6:$A$89,0)+MATCH($D139,'[2]End - Use Prices'!$B$9:$B$11,0)-1,MATCH(AN$1,'[2]End - Use Prices'!$C$7:$AL$7,0))</f>
        <v>34.799999999999997</v>
      </c>
      <c r="AO139" s="41">
        <f>INDEX('[2]End - Use Prices'!$C$6:$AL$89,MATCH($C139,'[2]End - Use Prices'!$A$6:$A$89,0)+MATCH($D139,'[2]End - Use Prices'!$B$9:$B$11,0)-1,MATCH(AO$1,'[2]End - Use Prices'!$C$7:$AL$7,0))</f>
        <v>32.68</v>
      </c>
      <c r="AP139" s="41">
        <f>INDEX('[2]End - Use Prices'!$C$6:$AL$89,MATCH($C139,'[2]End - Use Prices'!$A$6:$A$89,0)+MATCH($D139,'[2]End - Use Prices'!$B$9:$B$11,0)-1,MATCH(AP$1,'[2]End - Use Prices'!$C$7:$AL$7,0))</f>
        <v>32.369999999999997</v>
      </c>
      <c r="AQ139" s="41">
        <f>INDEX('[2]End - Use Prices'!$C$6:$AL$89,MATCH($C139,'[2]End - Use Prices'!$A$6:$A$89,0)+MATCH($D139,'[2]End - Use Prices'!$B$9:$B$11,0)-1,MATCH(AQ$1,'[2]End - Use Prices'!$C$7:$AL$7,0))</f>
        <v>32.47</v>
      </c>
      <c r="AR139" s="41">
        <f>INDEX('[2]End - Use Prices'!$C$6:$AL$89,MATCH($C139,'[2]End - Use Prices'!$A$6:$A$89,0)+MATCH($D139,'[2]End - Use Prices'!$B$9:$B$11,0)-1,MATCH(AR$1,'[2]End - Use Prices'!$C$7:$AL$7,0))</f>
        <v>32.78</v>
      </c>
      <c r="AS139" s="41">
        <f>INDEX('[2]End - Use Prices'!$C$6:$AL$89,MATCH($C139,'[2]End - Use Prices'!$A$6:$A$89,0)+MATCH($D139,'[2]End - Use Prices'!$B$9:$B$11,0)-1,MATCH(AS$1,'[2]End - Use Prices'!$C$7:$AL$7,0))</f>
        <v>33.03</v>
      </c>
      <c r="AT139" s="41">
        <f>INDEX('[2]End - Use Prices'!$C$6:$AL$89,MATCH($C139,'[2]End - Use Prices'!$A$6:$A$89,0)+MATCH($D139,'[2]End - Use Prices'!$B$9:$B$11,0)-1,MATCH(AT$1,'[2]End - Use Prices'!$C$7:$AL$7,0))</f>
        <v>32.81</v>
      </c>
      <c r="AU139" s="41">
        <f>INDEX('[2]End - Use Prices'!$C$6:$AL$89,MATCH($C139,'[2]End - Use Prices'!$A$6:$A$89,0)+MATCH($D139,'[2]End - Use Prices'!$B$9:$B$11,0)-1,MATCH(AU$1,'[2]End - Use Prices'!$C$7:$AL$7,0))</f>
        <v>32.549999999999997</v>
      </c>
      <c r="AV139" s="41">
        <f>INDEX('[2]End - Use Prices'!$C$6:$AL$89,MATCH($C139,'[2]End - Use Prices'!$A$6:$A$89,0)+MATCH($D139,'[2]End - Use Prices'!$B$9:$B$11,0)-1,MATCH(AV$1,'[2]End - Use Prices'!$C$7:$AL$7,0))</f>
        <v>32.33</v>
      </c>
      <c r="AW139" s="41">
        <f>INDEX('[2]End - Use Prices'!$C$6:$AL$89,MATCH($C139,'[2]End - Use Prices'!$A$6:$A$89,0)+MATCH($D139,'[2]End - Use Prices'!$B$9:$B$11,0)-1,MATCH(AW$1,'[2]End - Use Prices'!$C$7:$AL$7,0))</f>
        <v>32.11</v>
      </c>
      <c r="AX139" s="41">
        <f>INDEX('[2]End - Use Prices'!$C$6:$AL$89,MATCH($C139,'[2]End - Use Prices'!$A$6:$A$89,0)+MATCH($D139,'[2]End - Use Prices'!$B$9:$B$11,0)-1,MATCH(AX$1,'[2]End - Use Prices'!$C$7:$AL$7,0))</f>
        <v>31.96</v>
      </c>
      <c r="AY139" s="41">
        <f>INDEX('[2]End - Use Prices'!$C$6:$AL$89,MATCH($C139,'[2]End - Use Prices'!$A$6:$A$89,0)+MATCH($D139,'[2]End - Use Prices'!$B$9:$B$11,0)-1,MATCH(AY$1,'[2]End - Use Prices'!$C$7:$AL$7,0))</f>
        <v>31.85</v>
      </c>
      <c r="AZ139" s="41">
        <f>INDEX('[2]End - Use Prices'!$C$6:$AL$89,MATCH($C139,'[2]End - Use Prices'!$A$6:$A$89,0)+MATCH($D139,'[2]End - Use Prices'!$B$9:$B$11,0)-1,MATCH(AZ$1,'[2]End - Use Prices'!$C$7:$AL$7,0))</f>
        <v>31.79</v>
      </c>
      <c r="BA139" s="41">
        <f>INDEX('[2]End - Use Prices'!$C$6:$AL$89,MATCH($C139,'[2]End - Use Prices'!$A$6:$A$89,0)+MATCH($D139,'[2]End - Use Prices'!$B$9:$B$11,0)-1,MATCH(BA$1,'[2]End - Use Prices'!$C$7:$AL$7,0))</f>
        <v>31.75</v>
      </c>
      <c r="BB139" s="41">
        <f>INDEX('[2]End - Use Prices'!$C$6:$AL$89,MATCH($C139,'[2]End - Use Prices'!$A$6:$A$89,0)+MATCH($D139,'[2]End - Use Prices'!$B$9:$B$11,0)-1,MATCH(BB$1,'[2]End - Use Prices'!$C$7:$AL$7,0))</f>
        <v>31.7</v>
      </c>
      <c r="BC139" s="41">
        <f>INDEX('[2]End - Use Prices'!$C$6:$AL$89,MATCH($C139,'[2]End - Use Prices'!$A$6:$A$89,0)+MATCH($D139,'[2]End - Use Prices'!$B$9:$B$11,0)-1,MATCH(BC$1,'[2]End - Use Prices'!$C$7:$AL$7,0))</f>
        <v>31.63</v>
      </c>
      <c r="BD139" s="41">
        <f>INDEX('[2]End - Use Prices'!$C$6:$AL$89,MATCH($C139,'[2]End - Use Prices'!$A$6:$A$89,0)+MATCH($D139,'[2]End - Use Prices'!$B$9:$B$11,0)-1,MATCH(BD$1,'[2]End - Use Prices'!$C$7:$AL$7,0))</f>
        <v>31.54</v>
      </c>
      <c r="BE139" s="41">
        <f>INDEX('[2]End - Use Prices'!$C$6:$AL$89,MATCH($C139,'[2]End - Use Prices'!$A$6:$A$89,0)+MATCH($D139,'[2]End - Use Prices'!$B$9:$B$11,0)-1,MATCH(BE$1,'[2]End - Use Prices'!$C$7:$AL$7,0))</f>
        <v>31.42</v>
      </c>
      <c r="BF139" s="41">
        <f>INDEX('[2]End - Use Prices'!$C$6:$AL$89,MATCH($C139,'[2]End - Use Prices'!$A$6:$A$89,0)+MATCH($D139,'[2]End - Use Prices'!$B$9:$B$11,0)-1,MATCH(BF$1,'[2]End - Use Prices'!$C$7:$AL$7,0))</f>
        <v>31.3</v>
      </c>
      <c r="BG139" s="41">
        <f>INDEX('[2]End - Use Prices'!$C$6:$AL$89,MATCH($C139,'[2]End - Use Prices'!$A$6:$A$89,0)+MATCH($D139,'[2]End - Use Prices'!$B$9:$B$11,0)-1,MATCH(BG$1,'[2]End - Use Prices'!$C$7:$AL$7,0))</f>
        <v>31.16</v>
      </c>
      <c r="BR139" s="39"/>
      <c r="BS139" s="39"/>
      <c r="BT139" s="39"/>
      <c r="BU139" s="39"/>
      <c r="BV139" s="39"/>
      <c r="BW139" s="39"/>
      <c r="BX139" s="39"/>
      <c r="BY139" s="39"/>
      <c r="BZ139" s="39"/>
      <c r="CA139" s="39"/>
    </row>
    <row r="140" spans="1:79">
      <c r="A140" s="5"/>
      <c r="B140" s="3"/>
      <c r="C140" s="25" t="s">
        <v>89</v>
      </c>
      <c r="D140" s="25" t="s">
        <v>276</v>
      </c>
      <c r="E140" s="25" t="s">
        <v>277</v>
      </c>
      <c r="F140" s="67" t="s">
        <v>275</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INDEX('[2]End - Use Prices'!$C$6:$AL$89,MATCH($C140,'[2]End - Use Prices'!$A$6:$A$89,0)+MATCH($D140,'[2]End - Use Prices'!$B$9:$B$11,0)-1,MATCH(X$1,'[2]End - Use Prices'!$C$7:$AL$7,0))</f>
        <v>25.66</v>
      </c>
      <c r="Y140" s="41">
        <f>INDEX('[2]End - Use Prices'!$C$6:$AL$89,MATCH($C140,'[2]End - Use Prices'!$A$6:$A$89,0)+MATCH($D140,'[2]End - Use Prices'!$B$9:$B$11,0)-1,MATCH(Y$1,'[2]End - Use Prices'!$C$7:$AL$7,0))</f>
        <v>26.36</v>
      </c>
      <c r="Z140" s="41">
        <f>INDEX('[2]End - Use Prices'!$C$6:$AL$89,MATCH($C140,'[2]End - Use Prices'!$A$6:$A$89,0)+MATCH($D140,'[2]End - Use Prices'!$B$9:$B$11,0)-1,MATCH(Z$1,'[2]End - Use Prices'!$C$7:$AL$7,0))</f>
        <v>27.18</v>
      </c>
      <c r="AA140" s="41">
        <f>INDEX('[2]End - Use Prices'!$C$6:$AL$89,MATCH($C140,'[2]End - Use Prices'!$A$6:$A$89,0)+MATCH($D140,'[2]End - Use Prices'!$B$9:$B$11,0)-1,MATCH(AA$1,'[2]End - Use Prices'!$C$7:$AL$7,0))</f>
        <v>33.630000000000003</v>
      </c>
      <c r="AB140" s="41">
        <f>INDEX('[2]End - Use Prices'!$C$6:$AL$89,MATCH($C140,'[2]End - Use Prices'!$A$6:$A$89,0)+MATCH($D140,'[2]End - Use Prices'!$B$9:$B$11,0)-1,MATCH(AB$1,'[2]End - Use Prices'!$C$7:$AL$7,0))</f>
        <v>25.05</v>
      </c>
      <c r="AC140" s="41">
        <f>INDEX('[2]End - Use Prices'!$C$6:$AL$89,MATCH($C140,'[2]End - Use Prices'!$A$6:$A$89,0)+MATCH($D140,'[2]End - Use Prices'!$B$9:$B$11,0)-1,MATCH(AC$1,'[2]End - Use Prices'!$C$7:$AL$7,0))</f>
        <v>28.54</v>
      </c>
      <c r="AD140" s="41">
        <f>INDEX('[2]End - Use Prices'!$C$6:$AL$89,MATCH($C140,'[2]End - Use Prices'!$A$6:$A$89,0)+MATCH($D140,'[2]End - Use Prices'!$B$9:$B$11,0)-1,MATCH(AD$1,'[2]End - Use Prices'!$C$7:$AL$7,0))</f>
        <v>35.020000000000003</v>
      </c>
      <c r="AE140" s="41">
        <f>INDEX('[2]End - Use Prices'!$C$6:$AL$89,MATCH($C140,'[2]End - Use Prices'!$A$6:$A$89,0)+MATCH($D140,'[2]End - Use Prices'!$B$9:$B$11,0)-1,MATCH(AE$1,'[2]End - Use Prices'!$C$7:$AL$7,0))</f>
        <v>35.61</v>
      </c>
      <c r="AF140" s="41">
        <f>INDEX('[2]End - Use Prices'!$C$6:$AL$89,MATCH($C140,'[2]End - Use Prices'!$A$6:$A$89,0)+MATCH($D140,'[2]End - Use Prices'!$B$9:$B$11,0)-1,MATCH(AF$1,'[2]End - Use Prices'!$C$7:$AL$7,0))</f>
        <v>35.47</v>
      </c>
      <c r="AG140" s="41">
        <f>INDEX('[2]End - Use Prices'!$C$6:$AL$89,MATCH($C140,'[2]End - Use Prices'!$A$6:$A$89,0)+MATCH($D140,'[2]End - Use Prices'!$B$9:$B$11,0)-1,MATCH(AG$1,'[2]End - Use Prices'!$C$7:$AL$7,0))</f>
        <v>36.5</v>
      </c>
      <c r="AH140" s="41">
        <f>INDEX('[2]End - Use Prices'!$C$6:$AL$89,MATCH($C140,'[2]End - Use Prices'!$A$6:$A$89,0)+MATCH($D140,'[2]End - Use Prices'!$B$9:$B$11,0)-1,MATCH(AH$1,'[2]End - Use Prices'!$C$7:$AL$7,0))</f>
        <v>30.91</v>
      </c>
      <c r="AI140" s="41">
        <f>INDEX('[2]End - Use Prices'!$C$6:$AL$89,MATCH($C140,'[2]End - Use Prices'!$A$6:$A$89,0)+MATCH($D140,'[2]End - Use Prices'!$B$9:$B$11,0)-1,MATCH(AI$1,'[2]End - Use Prices'!$C$7:$AL$7,0))</f>
        <v>27.23</v>
      </c>
      <c r="AJ140" s="41">
        <f>INDEX('[2]End - Use Prices'!$C$6:$AL$89,MATCH($C140,'[2]End - Use Prices'!$A$6:$A$89,0)+MATCH($D140,'[2]End - Use Prices'!$B$9:$B$11,0)-1,MATCH(AJ$1,'[2]End - Use Prices'!$C$7:$AL$7,0))</f>
        <v>31.23</v>
      </c>
      <c r="AK140" s="41">
        <f>INDEX('[2]End - Use Prices'!$C$6:$AL$89,MATCH($C140,'[2]End - Use Prices'!$A$6:$A$89,0)+MATCH($D140,'[2]End - Use Prices'!$B$9:$B$11,0)-1,MATCH(AK$1,'[2]End - Use Prices'!$C$7:$AL$7,0))</f>
        <v>35.57</v>
      </c>
      <c r="AL140" s="41">
        <f>INDEX('[2]End - Use Prices'!$C$6:$AL$89,MATCH($C140,'[2]End - Use Prices'!$A$6:$A$89,0)+MATCH($D140,'[2]End - Use Prices'!$B$9:$B$11,0)-1,MATCH(AL$1,'[2]End - Use Prices'!$C$7:$AL$7,0))</f>
        <v>38.32</v>
      </c>
      <c r="AM140" s="41">
        <f>INDEX('[2]End - Use Prices'!$C$6:$AL$89,MATCH($C140,'[2]End - Use Prices'!$A$6:$A$89,0)+MATCH($D140,'[2]End - Use Prices'!$B$9:$B$11,0)-1,MATCH(AM$1,'[2]End - Use Prices'!$C$7:$AL$7,0))</f>
        <v>41.65</v>
      </c>
      <c r="AN140" s="41">
        <f>INDEX('[2]End - Use Prices'!$C$6:$AL$89,MATCH($C140,'[2]End - Use Prices'!$A$6:$A$89,0)+MATCH($D140,'[2]End - Use Prices'!$B$9:$B$11,0)-1,MATCH(AN$1,'[2]End - Use Prices'!$C$7:$AL$7,0))</f>
        <v>38.53</v>
      </c>
      <c r="AO140" s="41">
        <f>INDEX('[2]End - Use Prices'!$C$6:$AL$89,MATCH($C140,'[2]End - Use Prices'!$A$6:$A$89,0)+MATCH($D140,'[2]End - Use Prices'!$B$9:$B$11,0)-1,MATCH(AO$1,'[2]End - Use Prices'!$C$7:$AL$7,0))</f>
        <v>36.51</v>
      </c>
      <c r="AP140" s="41">
        <f>INDEX('[2]End - Use Prices'!$C$6:$AL$89,MATCH($C140,'[2]End - Use Prices'!$A$6:$A$89,0)+MATCH($D140,'[2]End - Use Prices'!$B$9:$B$11,0)-1,MATCH(AP$1,'[2]End - Use Prices'!$C$7:$AL$7,0))</f>
        <v>36.270000000000003</v>
      </c>
      <c r="AQ140" s="41">
        <f>INDEX('[2]End - Use Prices'!$C$6:$AL$89,MATCH($C140,'[2]End - Use Prices'!$A$6:$A$89,0)+MATCH($D140,'[2]End - Use Prices'!$B$9:$B$11,0)-1,MATCH(AQ$1,'[2]End - Use Prices'!$C$7:$AL$7,0))</f>
        <v>36.42</v>
      </c>
      <c r="AR140" s="41">
        <f>INDEX('[2]End - Use Prices'!$C$6:$AL$89,MATCH($C140,'[2]End - Use Prices'!$A$6:$A$89,0)+MATCH($D140,'[2]End - Use Prices'!$B$9:$B$11,0)-1,MATCH(AR$1,'[2]End - Use Prices'!$C$7:$AL$7,0))</f>
        <v>36.79</v>
      </c>
      <c r="AS140" s="41">
        <f>INDEX('[2]End - Use Prices'!$C$6:$AL$89,MATCH($C140,'[2]End - Use Prices'!$A$6:$A$89,0)+MATCH($D140,'[2]End - Use Prices'!$B$9:$B$11,0)-1,MATCH(AS$1,'[2]End - Use Prices'!$C$7:$AL$7,0))</f>
        <v>37.08</v>
      </c>
      <c r="AT140" s="41">
        <f>INDEX('[2]End - Use Prices'!$C$6:$AL$89,MATCH($C140,'[2]End - Use Prices'!$A$6:$A$89,0)+MATCH($D140,'[2]End - Use Prices'!$B$9:$B$11,0)-1,MATCH(AT$1,'[2]End - Use Prices'!$C$7:$AL$7,0))</f>
        <v>36.909999999999997</v>
      </c>
      <c r="AU140" s="41">
        <f>INDEX('[2]End - Use Prices'!$C$6:$AL$89,MATCH($C140,'[2]End - Use Prices'!$A$6:$A$89,0)+MATCH($D140,'[2]End - Use Prices'!$B$9:$B$11,0)-1,MATCH(AU$1,'[2]End - Use Prices'!$C$7:$AL$7,0))</f>
        <v>36.69</v>
      </c>
      <c r="AV140" s="41">
        <f>INDEX('[2]End - Use Prices'!$C$6:$AL$89,MATCH($C140,'[2]End - Use Prices'!$A$6:$A$89,0)+MATCH($D140,'[2]End - Use Prices'!$B$9:$B$11,0)-1,MATCH(AV$1,'[2]End - Use Prices'!$C$7:$AL$7,0))</f>
        <v>36.51</v>
      </c>
      <c r="AW140" s="41">
        <f>INDEX('[2]End - Use Prices'!$C$6:$AL$89,MATCH($C140,'[2]End - Use Prices'!$A$6:$A$89,0)+MATCH($D140,'[2]End - Use Prices'!$B$9:$B$11,0)-1,MATCH(AW$1,'[2]End - Use Prices'!$C$7:$AL$7,0))</f>
        <v>36.32</v>
      </c>
      <c r="AX140" s="41">
        <f>INDEX('[2]End - Use Prices'!$C$6:$AL$89,MATCH($C140,'[2]End - Use Prices'!$A$6:$A$89,0)+MATCH($D140,'[2]End - Use Prices'!$B$9:$B$11,0)-1,MATCH(AX$1,'[2]End - Use Prices'!$C$7:$AL$7,0))</f>
        <v>36.22</v>
      </c>
      <c r="AY140" s="41">
        <f>INDEX('[2]End - Use Prices'!$C$6:$AL$89,MATCH($C140,'[2]End - Use Prices'!$A$6:$A$89,0)+MATCH($D140,'[2]End - Use Prices'!$B$9:$B$11,0)-1,MATCH(AY$1,'[2]End - Use Prices'!$C$7:$AL$7,0))</f>
        <v>36.14</v>
      </c>
      <c r="AZ140" s="41">
        <f>INDEX('[2]End - Use Prices'!$C$6:$AL$89,MATCH($C140,'[2]End - Use Prices'!$A$6:$A$89,0)+MATCH($D140,'[2]End - Use Prices'!$B$9:$B$11,0)-1,MATCH(AZ$1,'[2]End - Use Prices'!$C$7:$AL$7,0))</f>
        <v>36.11</v>
      </c>
      <c r="BA140" s="41">
        <f>INDEX('[2]End - Use Prices'!$C$6:$AL$89,MATCH($C140,'[2]End - Use Prices'!$A$6:$A$89,0)+MATCH($D140,'[2]End - Use Prices'!$B$9:$B$11,0)-1,MATCH(BA$1,'[2]End - Use Prices'!$C$7:$AL$7,0))</f>
        <v>36.11</v>
      </c>
      <c r="BB140" s="41">
        <f>INDEX('[2]End - Use Prices'!$C$6:$AL$89,MATCH($C140,'[2]End - Use Prices'!$A$6:$A$89,0)+MATCH($D140,'[2]End - Use Prices'!$B$9:$B$11,0)-1,MATCH(BB$1,'[2]End - Use Prices'!$C$7:$AL$7,0))</f>
        <v>36.090000000000003</v>
      </c>
      <c r="BC140" s="41">
        <f>INDEX('[2]End - Use Prices'!$C$6:$AL$89,MATCH($C140,'[2]End - Use Prices'!$A$6:$A$89,0)+MATCH($D140,'[2]End - Use Prices'!$B$9:$B$11,0)-1,MATCH(BC$1,'[2]End - Use Prices'!$C$7:$AL$7,0))</f>
        <v>36.049999999999997</v>
      </c>
      <c r="BD140" s="41">
        <f>INDEX('[2]End - Use Prices'!$C$6:$AL$89,MATCH($C140,'[2]End - Use Prices'!$A$6:$A$89,0)+MATCH($D140,'[2]End - Use Prices'!$B$9:$B$11,0)-1,MATCH(BD$1,'[2]End - Use Prices'!$C$7:$AL$7,0))</f>
        <v>35.99</v>
      </c>
      <c r="BE140" s="41">
        <f>INDEX('[2]End - Use Prices'!$C$6:$AL$89,MATCH($C140,'[2]End - Use Prices'!$A$6:$A$89,0)+MATCH($D140,'[2]End - Use Prices'!$B$9:$B$11,0)-1,MATCH(BE$1,'[2]End - Use Prices'!$C$7:$AL$7,0))</f>
        <v>35.9</v>
      </c>
      <c r="BF140" s="41">
        <f>INDEX('[2]End - Use Prices'!$C$6:$AL$89,MATCH($C140,'[2]End - Use Prices'!$A$6:$A$89,0)+MATCH($D140,'[2]End - Use Prices'!$B$9:$B$11,0)-1,MATCH(BF$1,'[2]End - Use Prices'!$C$7:$AL$7,0))</f>
        <v>35.81</v>
      </c>
      <c r="BG140" s="41">
        <f>INDEX('[2]End - Use Prices'!$C$6:$AL$89,MATCH($C140,'[2]End - Use Prices'!$A$6:$A$89,0)+MATCH($D140,'[2]End - Use Prices'!$B$9:$B$11,0)-1,MATCH(BG$1,'[2]End - Use Prices'!$C$7:$AL$7,0))</f>
        <v>35.71</v>
      </c>
      <c r="BR140" s="39"/>
      <c r="BS140" s="39"/>
      <c r="BT140" s="39"/>
      <c r="BU140" s="39"/>
      <c r="BV140" s="39"/>
      <c r="BW140" s="39"/>
      <c r="BX140" s="39"/>
      <c r="BY140" s="39"/>
      <c r="BZ140" s="39"/>
      <c r="CA140" s="39"/>
    </row>
    <row r="141" spans="1:79">
      <c r="A141" s="5"/>
      <c r="B141" s="3"/>
      <c r="C141" s="25" t="s">
        <v>90</v>
      </c>
      <c r="D141" s="25" t="s">
        <v>276</v>
      </c>
      <c r="E141" s="25" t="s">
        <v>277</v>
      </c>
      <c r="F141" s="67" t="s">
        <v>275</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INDEX('[2]End - Use Prices'!$C$6:$AL$89,MATCH($C141,'[2]End - Use Prices'!$A$6:$A$89,0)+MATCH($D141,'[2]End - Use Prices'!$B$9:$B$11,0)-1,MATCH(X$1,'[2]End - Use Prices'!$C$7:$AL$7,0))</f>
        <v>26.86</v>
      </c>
      <c r="Y141" s="41">
        <f>INDEX('[2]End - Use Prices'!$C$6:$AL$89,MATCH($C141,'[2]End - Use Prices'!$A$6:$A$89,0)+MATCH($D141,'[2]End - Use Prices'!$B$9:$B$11,0)-1,MATCH(Y$1,'[2]End - Use Prices'!$C$7:$AL$7,0))</f>
        <v>26.92</v>
      </c>
      <c r="Z141" s="41">
        <f>INDEX('[2]End - Use Prices'!$C$6:$AL$89,MATCH($C141,'[2]End - Use Prices'!$A$6:$A$89,0)+MATCH($D141,'[2]End - Use Prices'!$B$9:$B$11,0)-1,MATCH(Z$1,'[2]End - Use Prices'!$C$7:$AL$7,0))</f>
        <v>28.39</v>
      </c>
      <c r="AA141" s="41">
        <f>INDEX('[2]End - Use Prices'!$C$6:$AL$89,MATCH($C141,'[2]End - Use Prices'!$A$6:$A$89,0)+MATCH($D141,'[2]End - Use Prices'!$B$9:$B$11,0)-1,MATCH(AA$1,'[2]End - Use Prices'!$C$7:$AL$7,0))</f>
        <v>34.549999999999997</v>
      </c>
      <c r="AB141" s="41">
        <f>INDEX('[2]End - Use Prices'!$C$6:$AL$89,MATCH($C141,'[2]End - Use Prices'!$A$6:$A$89,0)+MATCH($D141,'[2]End - Use Prices'!$B$9:$B$11,0)-1,MATCH(AB$1,'[2]End - Use Prices'!$C$7:$AL$7,0))</f>
        <v>25.26</v>
      </c>
      <c r="AC141" s="41">
        <f>INDEX('[2]End - Use Prices'!$C$6:$AL$89,MATCH($C141,'[2]End - Use Prices'!$A$6:$A$89,0)+MATCH($D141,'[2]End - Use Prices'!$B$9:$B$11,0)-1,MATCH(AC$1,'[2]End - Use Prices'!$C$7:$AL$7,0))</f>
        <v>28.11</v>
      </c>
      <c r="AD141" s="41">
        <f>INDEX('[2]End - Use Prices'!$C$6:$AL$89,MATCH($C141,'[2]End - Use Prices'!$A$6:$A$89,0)+MATCH($D141,'[2]End - Use Prices'!$B$9:$B$11,0)-1,MATCH(AD$1,'[2]End - Use Prices'!$C$7:$AL$7,0))</f>
        <v>32.72</v>
      </c>
      <c r="AE141" s="41">
        <f>INDEX('[2]End - Use Prices'!$C$6:$AL$89,MATCH($C141,'[2]End - Use Prices'!$A$6:$A$89,0)+MATCH($D141,'[2]End - Use Prices'!$B$9:$B$11,0)-1,MATCH(AE$1,'[2]End - Use Prices'!$C$7:$AL$7,0))</f>
        <v>32.950000000000003</v>
      </c>
      <c r="AF141" s="41">
        <f>INDEX('[2]End - Use Prices'!$C$6:$AL$89,MATCH($C141,'[2]End - Use Prices'!$A$6:$A$89,0)+MATCH($D141,'[2]End - Use Prices'!$B$9:$B$11,0)-1,MATCH(AF$1,'[2]End - Use Prices'!$C$7:$AL$7,0))</f>
        <v>33.5</v>
      </c>
      <c r="AG141" s="41">
        <f>INDEX('[2]End - Use Prices'!$C$6:$AL$89,MATCH($C141,'[2]End - Use Prices'!$A$6:$A$89,0)+MATCH($D141,'[2]End - Use Prices'!$B$9:$B$11,0)-1,MATCH(AG$1,'[2]End - Use Prices'!$C$7:$AL$7,0))</f>
        <v>34.840000000000003</v>
      </c>
      <c r="AH141" s="41">
        <f>INDEX('[2]End - Use Prices'!$C$6:$AL$89,MATCH($C141,'[2]End - Use Prices'!$A$6:$A$89,0)+MATCH($D141,'[2]End - Use Prices'!$B$9:$B$11,0)-1,MATCH(AH$1,'[2]End - Use Prices'!$C$7:$AL$7,0))</f>
        <v>26.82</v>
      </c>
      <c r="AI141" s="41">
        <f>INDEX('[2]End - Use Prices'!$C$6:$AL$89,MATCH($C141,'[2]End - Use Prices'!$A$6:$A$89,0)+MATCH($D141,'[2]End - Use Prices'!$B$9:$B$11,0)-1,MATCH(AI$1,'[2]End - Use Prices'!$C$7:$AL$7,0))</f>
        <v>24</v>
      </c>
      <c r="AJ141" s="41">
        <f>INDEX('[2]End - Use Prices'!$C$6:$AL$89,MATCH($C141,'[2]End - Use Prices'!$A$6:$A$89,0)+MATCH($D141,'[2]End - Use Prices'!$B$9:$B$11,0)-1,MATCH(AJ$1,'[2]End - Use Prices'!$C$7:$AL$7,0))</f>
        <v>26.23</v>
      </c>
      <c r="AK141" s="41">
        <f>INDEX('[2]End - Use Prices'!$C$6:$AL$89,MATCH($C141,'[2]End - Use Prices'!$A$6:$A$89,0)+MATCH($D141,'[2]End - Use Prices'!$B$9:$B$11,0)-1,MATCH(AK$1,'[2]End - Use Prices'!$C$7:$AL$7,0))</f>
        <v>30.14</v>
      </c>
      <c r="AL141" s="41">
        <f>INDEX('[2]End - Use Prices'!$C$6:$AL$89,MATCH($C141,'[2]End - Use Prices'!$A$6:$A$89,0)+MATCH($D141,'[2]End - Use Prices'!$B$9:$B$11,0)-1,MATCH(AL$1,'[2]End - Use Prices'!$C$7:$AL$7,0))</f>
        <v>33.479999999999997</v>
      </c>
      <c r="AM141" s="41">
        <f>INDEX('[2]End - Use Prices'!$C$6:$AL$89,MATCH($C141,'[2]End - Use Prices'!$A$6:$A$89,0)+MATCH($D141,'[2]End - Use Prices'!$B$9:$B$11,0)-1,MATCH(AM$1,'[2]End - Use Prices'!$C$7:$AL$7,0))</f>
        <v>36.65</v>
      </c>
      <c r="AN141" s="41">
        <f>INDEX('[2]End - Use Prices'!$C$6:$AL$89,MATCH($C141,'[2]End - Use Prices'!$A$6:$A$89,0)+MATCH($D141,'[2]End - Use Prices'!$B$9:$B$11,0)-1,MATCH(AN$1,'[2]End - Use Prices'!$C$7:$AL$7,0))</f>
        <v>33.15</v>
      </c>
      <c r="AO141" s="41">
        <f>INDEX('[2]End - Use Prices'!$C$6:$AL$89,MATCH($C141,'[2]End - Use Prices'!$A$6:$A$89,0)+MATCH($D141,'[2]End - Use Prices'!$B$9:$B$11,0)-1,MATCH(AO$1,'[2]End - Use Prices'!$C$7:$AL$7,0))</f>
        <v>30.77</v>
      </c>
      <c r="AP141" s="41">
        <f>INDEX('[2]End - Use Prices'!$C$6:$AL$89,MATCH($C141,'[2]End - Use Prices'!$A$6:$A$89,0)+MATCH($D141,'[2]End - Use Prices'!$B$9:$B$11,0)-1,MATCH(AP$1,'[2]End - Use Prices'!$C$7:$AL$7,0))</f>
        <v>30.2</v>
      </c>
      <c r="AQ141" s="41">
        <f>INDEX('[2]End - Use Prices'!$C$6:$AL$89,MATCH($C141,'[2]End - Use Prices'!$A$6:$A$89,0)+MATCH($D141,'[2]End - Use Prices'!$B$9:$B$11,0)-1,MATCH(AQ$1,'[2]End - Use Prices'!$C$7:$AL$7,0))</f>
        <v>30.06</v>
      </c>
      <c r="AR141" s="41">
        <f>INDEX('[2]End - Use Prices'!$C$6:$AL$89,MATCH($C141,'[2]End - Use Prices'!$A$6:$A$89,0)+MATCH($D141,'[2]End - Use Prices'!$B$9:$B$11,0)-1,MATCH(AR$1,'[2]End - Use Prices'!$C$7:$AL$7,0))</f>
        <v>30.13</v>
      </c>
      <c r="AS141" s="41">
        <f>INDEX('[2]End - Use Prices'!$C$6:$AL$89,MATCH($C141,'[2]End - Use Prices'!$A$6:$A$89,0)+MATCH($D141,'[2]End - Use Prices'!$B$9:$B$11,0)-1,MATCH(AS$1,'[2]End - Use Prices'!$C$7:$AL$7,0))</f>
        <v>30.14</v>
      </c>
      <c r="AT141" s="41">
        <f>INDEX('[2]End - Use Prices'!$C$6:$AL$89,MATCH($C141,'[2]End - Use Prices'!$A$6:$A$89,0)+MATCH($D141,'[2]End - Use Prices'!$B$9:$B$11,0)-1,MATCH(AT$1,'[2]End - Use Prices'!$C$7:$AL$7,0))</f>
        <v>30.06</v>
      </c>
      <c r="AU141" s="41">
        <f>INDEX('[2]End - Use Prices'!$C$6:$AL$89,MATCH($C141,'[2]End - Use Prices'!$A$6:$A$89,0)+MATCH($D141,'[2]End - Use Prices'!$B$9:$B$11,0)-1,MATCH(AU$1,'[2]End - Use Prices'!$C$7:$AL$7,0))</f>
        <v>29.92</v>
      </c>
      <c r="AV141" s="41">
        <f>INDEX('[2]End - Use Prices'!$C$6:$AL$89,MATCH($C141,'[2]End - Use Prices'!$A$6:$A$89,0)+MATCH($D141,'[2]End - Use Prices'!$B$9:$B$11,0)-1,MATCH(AV$1,'[2]End - Use Prices'!$C$7:$AL$7,0))</f>
        <v>29.81</v>
      </c>
      <c r="AW141" s="41">
        <f>INDEX('[2]End - Use Prices'!$C$6:$AL$89,MATCH($C141,'[2]End - Use Prices'!$A$6:$A$89,0)+MATCH($D141,'[2]End - Use Prices'!$B$9:$B$11,0)-1,MATCH(AW$1,'[2]End - Use Prices'!$C$7:$AL$7,0))</f>
        <v>29.7</v>
      </c>
      <c r="AX141" s="41">
        <f>INDEX('[2]End - Use Prices'!$C$6:$AL$89,MATCH($C141,'[2]End - Use Prices'!$A$6:$A$89,0)+MATCH($D141,'[2]End - Use Prices'!$B$9:$B$11,0)-1,MATCH(AX$1,'[2]End - Use Prices'!$C$7:$AL$7,0))</f>
        <v>29.64</v>
      </c>
      <c r="AY141" s="41">
        <f>INDEX('[2]End - Use Prices'!$C$6:$AL$89,MATCH($C141,'[2]End - Use Prices'!$A$6:$A$89,0)+MATCH($D141,'[2]End - Use Prices'!$B$9:$B$11,0)-1,MATCH(AY$1,'[2]End - Use Prices'!$C$7:$AL$7,0))</f>
        <v>29.62</v>
      </c>
      <c r="AZ141" s="41">
        <f>INDEX('[2]End - Use Prices'!$C$6:$AL$89,MATCH($C141,'[2]End - Use Prices'!$A$6:$A$89,0)+MATCH($D141,'[2]End - Use Prices'!$B$9:$B$11,0)-1,MATCH(AZ$1,'[2]End - Use Prices'!$C$7:$AL$7,0))</f>
        <v>29.64</v>
      </c>
      <c r="BA141" s="41">
        <f>INDEX('[2]End - Use Prices'!$C$6:$AL$89,MATCH($C141,'[2]End - Use Prices'!$A$6:$A$89,0)+MATCH($D141,'[2]End - Use Prices'!$B$9:$B$11,0)-1,MATCH(BA$1,'[2]End - Use Prices'!$C$7:$AL$7,0))</f>
        <v>29.67</v>
      </c>
      <c r="BB141" s="41">
        <f>INDEX('[2]End - Use Prices'!$C$6:$AL$89,MATCH($C141,'[2]End - Use Prices'!$A$6:$A$89,0)+MATCH($D141,'[2]End - Use Prices'!$B$9:$B$11,0)-1,MATCH(BB$1,'[2]End - Use Prices'!$C$7:$AL$7,0))</f>
        <v>29.69</v>
      </c>
      <c r="BC141" s="41">
        <f>INDEX('[2]End - Use Prices'!$C$6:$AL$89,MATCH($C141,'[2]End - Use Prices'!$A$6:$A$89,0)+MATCH($D141,'[2]End - Use Prices'!$B$9:$B$11,0)-1,MATCH(BC$1,'[2]End - Use Prices'!$C$7:$AL$7,0))</f>
        <v>29.7</v>
      </c>
      <c r="BD141" s="41">
        <f>INDEX('[2]End - Use Prices'!$C$6:$AL$89,MATCH($C141,'[2]End - Use Prices'!$A$6:$A$89,0)+MATCH($D141,'[2]End - Use Prices'!$B$9:$B$11,0)-1,MATCH(BD$1,'[2]End - Use Prices'!$C$7:$AL$7,0))</f>
        <v>29.69</v>
      </c>
      <c r="BE141" s="41">
        <f>INDEX('[2]End - Use Prices'!$C$6:$AL$89,MATCH($C141,'[2]End - Use Prices'!$A$6:$A$89,0)+MATCH($D141,'[2]End - Use Prices'!$B$9:$B$11,0)-1,MATCH(BE$1,'[2]End - Use Prices'!$C$7:$AL$7,0))</f>
        <v>29.65</v>
      </c>
      <c r="BF141" s="41">
        <f>INDEX('[2]End - Use Prices'!$C$6:$AL$89,MATCH($C141,'[2]End - Use Prices'!$A$6:$A$89,0)+MATCH($D141,'[2]End - Use Prices'!$B$9:$B$11,0)-1,MATCH(BF$1,'[2]End - Use Prices'!$C$7:$AL$7,0))</f>
        <v>29.61</v>
      </c>
      <c r="BG141" s="41">
        <f>INDEX('[2]End - Use Prices'!$C$6:$AL$89,MATCH($C141,'[2]End - Use Prices'!$A$6:$A$89,0)+MATCH($D141,'[2]End - Use Prices'!$B$9:$B$11,0)-1,MATCH(BG$1,'[2]End - Use Prices'!$C$7:$AL$7,0))</f>
        <v>29.56</v>
      </c>
      <c r="BR141" s="39"/>
      <c r="BS141" s="39"/>
      <c r="BT141" s="39"/>
      <c r="BU141" s="39"/>
      <c r="BV141" s="39"/>
      <c r="BW141" s="39"/>
      <c r="BX141" s="39"/>
      <c r="BY141" s="39"/>
      <c r="BZ141" s="39"/>
      <c r="CA141" s="39"/>
    </row>
    <row r="142" spans="1:79">
      <c r="A142" s="5"/>
      <c r="B142" s="3"/>
      <c r="C142" s="25" t="s">
        <v>91</v>
      </c>
      <c r="D142" s="25" t="s">
        <v>276</v>
      </c>
      <c r="E142" s="25" t="s">
        <v>277</v>
      </c>
      <c r="F142" s="67" t="s">
        <v>275</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INDEX('[2]End - Use Prices'!$C$6:$AL$89,MATCH($C142,'[2]End - Use Prices'!$A$6:$A$89,0)+MATCH($D142,'[2]End - Use Prices'!$B$9:$B$11,0)-1,MATCH(X$1,'[2]End - Use Prices'!$C$7:$AL$7,0))</f>
        <v>26.98</v>
      </c>
      <c r="Y142" s="41">
        <f>INDEX('[2]End - Use Prices'!$C$6:$AL$89,MATCH($C142,'[2]End - Use Prices'!$A$6:$A$89,0)+MATCH($D142,'[2]End - Use Prices'!$B$9:$B$11,0)-1,MATCH(Y$1,'[2]End - Use Prices'!$C$7:$AL$7,0))</f>
        <v>26.48</v>
      </c>
      <c r="Z142" s="41">
        <f>INDEX('[2]End - Use Prices'!$C$6:$AL$89,MATCH($C142,'[2]End - Use Prices'!$A$6:$A$89,0)+MATCH($D142,'[2]End - Use Prices'!$B$9:$B$11,0)-1,MATCH(Z$1,'[2]End - Use Prices'!$C$7:$AL$7,0))</f>
        <v>28.47</v>
      </c>
      <c r="AA142" s="41">
        <f>INDEX('[2]End - Use Prices'!$C$6:$AL$89,MATCH($C142,'[2]End - Use Prices'!$A$6:$A$89,0)+MATCH($D142,'[2]End - Use Prices'!$B$9:$B$11,0)-1,MATCH(AA$1,'[2]End - Use Prices'!$C$7:$AL$7,0))</f>
        <v>34.4</v>
      </c>
      <c r="AB142" s="41">
        <f>INDEX('[2]End - Use Prices'!$C$6:$AL$89,MATCH($C142,'[2]End - Use Prices'!$A$6:$A$89,0)+MATCH($D142,'[2]End - Use Prices'!$B$9:$B$11,0)-1,MATCH(AB$1,'[2]End - Use Prices'!$C$7:$AL$7,0))</f>
        <v>24.36</v>
      </c>
      <c r="AC142" s="41">
        <f>INDEX('[2]End - Use Prices'!$C$6:$AL$89,MATCH($C142,'[2]End - Use Prices'!$A$6:$A$89,0)+MATCH($D142,'[2]End - Use Prices'!$B$9:$B$11,0)-1,MATCH(AC$1,'[2]End - Use Prices'!$C$7:$AL$7,0))</f>
        <v>26.99</v>
      </c>
      <c r="AD142" s="41">
        <f>INDEX('[2]End - Use Prices'!$C$6:$AL$89,MATCH($C142,'[2]End - Use Prices'!$A$6:$A$89,0)+MATCH($D142,'[2]End - Use Prices'!$B$9:$B$11,0)-1,MATCH(AD$1,'[2]End - Use Prices'!$C$7:$AL$7,0))</f>
        <v>32.65</v>
      </c>
      <c r="AE142" s="41">
        <f>INDEX('[2]End - Use Prices'!$C$6:$AL$89,MATCH($C142,'[2]End - Use Prices'!$A$6:$A$89,0)+MATCH($D142,'[2]End - Use Prices'!$B$9:$B$11,0)-1,MATCH(AE$1,'[2]End - Use Prices'!$C$7:$AL$7,0))</f>
        <v>31.57</v>
      </c>
      <c r="AF142" s="41">
        <f>INDEX('[2]End - Use Prices'!$C$6:$AL$89,MATCH($C142,'[2]End - Use Prices'!$A$6:$A$89,0)+MATCH($D142,'[2]End - Use Prices'!$B$9:$B$11,0)-1,MATCH(AF$1,'[2]End - Use Prices'!$C$7:$AL$7,0))</f>
        <v>32.36</v>
      </c>
      <c r="AG142" s="41">
        <f>INDEX('[2]End - Use Prices'!$C$6:$AL$89,MATCH($C142,'[2]End - Use Prices'!$A$6:$A$89,0)+MATCH($D142,'[2]End - Use Prices'!$B$9:$B$11,0)-1,MATCH(AG$1,'[2]End - Use Prices'!$C$7:$AL$7,0))</f>
        <v>35.340000000000003</v>
      </c>
      <c r="AH142" s="41">
        <f>INDEX('[2]End - Use Prices'!$C$6:$AL$89,MATCH($C142,'[2]End - Use Prices'!$A$6:$A$89,0)+MATCH($D142,'[2]End - Use Prices'!$B$9:$B$11,0)-1,MATCH(AH$1,'[2]End - Use Prices'!$C$7:$AL$7,0))</f>
        <v>26.82</v>
      </c>
      <c r="AI142" s="41">
        <f>INDEX('[2]End - Use Prices'!$C$6:$AL$89,MATCH($C142,'[2]End - Use Prices'!$A$6:$A$89,0)+MATCH($D142,'[2]End - Use Prices'!$B$9:$B$11,0)-1,MATCH(AI$1,'[2]End - Use Prices'!$C$7:$AL$7,0))</f>
        <v>24.02</v>
      </c>
      <c r="AJ142" s="41">
        <f>INDEX('[2]End - Use Prices'!$C$6:$AL$89,MATCH($C142,'[2]End - Use Prices'!$A$6:$A$89,0)+MATCH($D142,'[2]End - Use Prices'!$B$9:$B$11,0)-1,MATCH(AJ$1,'[2]End - Use Prices'!$C$7:$AL$7,0))</f>
        <v>26.27</v>
      </c>
      <c r="AK142" s="41">
        <f>INDEX('[2]End - Use Prices'!$C$6:$AL$89,MATCH($C142,'[2]End - Use Prices'!$A$6:$A$89,0)+MATCH($D142,'[2]End - Use Prices'!$B$9:$B$11,0)-1,MATCH(AK$1,'[2]End - Use Prices'!$C$7:$AL$7,0))</f>
        <v>29.87</v>
      </c>
      <c r="AL142" s="41">
        <f>INDEX('[2]End - Use Prices'!$C$6:$AL$89,MATCH($C142,'[2]End - Use Prices'!$A$6:$A$89,0)+MATCH($D142,'[2]End - Use Prices'!$B$9:$B$11,0)-1,MATCH(AL$1,'[2]End - Use Prices'!$C$7:$AL$7,0))</f>
        <v>33.14</v>
      </c>
      <c r="AM142" s="41">
        <f>INDEX('[2]End - Use Prices'!$C$6:$AL$89,MATCH($C142,'[2]End - Use Prices'!$A$6:$A$89,0)+MATCH($D142,'[2]End - Use Prices'!$B$9:$B$11,0)-1,MATCH(AM$1,'[2]End - Use Prices'!$C$7:$AL$7,0))</f>
        <v>37.92</v>
      </c>
      <c r="AN142" s="41">
        <f>INDEX('[2]End - Use Prices'!$C$6:$AL$89,MATCH($C142,'[2]End - Use Prices'!$A$6:$A$89,0)+MATCH($D142,'[2]End - Use Prices'!$B$9:$B$11,0)-1,MATCH(AN$1,'[2]End - Use Prices'!$C$7:$AL$7,0))</f>
        <v>35.28</v>
      </c>
      <c r="AO142" s="41">
        <f>INDEX('[2]End - Use Prices'!$C$6:$AL$89,MATCH($C142,'[2]End - Use Prices'!$A$6:$A$89,0)+MATCH($D142,'[2]End - Use Prices'!$B$9:$B$11,0)-1,MATCH(AO$1,'[2]End - Use Prices'!$C$7:$AL$7,0))</f>
        <v>33.700000000000003</v>
      </c>
      <c r="AP142" s="41">
        <f>INDEX('[2]End - Use Prices'!$C$6:$AL$89,MATCH($C142,'[2]End - Use Prices'!$A$6:$A$89,0)+MATCH($D142,'[2]End - Use Prices'!$B$9:$B$11,0)-1,MATCH(AP$1,'[2]End - Use Prices'!$C$7:$AL$7,0))</f>
        <v>33.82</v>
      </c>
      <c r="AQ142" s="41">
        <f>INDEX('[2]End - Use Prices'!$C$6:$AL$89,MATCH($C142,'[2]End - Use Prices'!$A$6:$A$89,0)+MATCH($D142,'[2]End - Use Prices'!$B$9:$B$11,0)-1,MATCH(AQ$1,'[2]End - Use Prices'!$C$7:$AL$7,0))</f>
        <v>33.549999999999997</v>
      </c>
      <c r="AR142" s="41">
        <f>INDEX('[2]End - Use Prices'!$C$6:$AL$89,MATCH($C142,'[2]End - Use Prices'!$A$6:$A$89,0)+MATCH($D142,'[2]End - Use Prices'!$B$9:$B$11,0)-1,MATCH(AR$1,'[2]End - Use Prices'!$C$7:$AL$7,0))</f>
        <v>33.53</v>
      </c>
      <c r="AS142" s="41">
        <f>INDEX('[2]End - Use Prices'!$C$6:$AL$89,MATCH($C142,'[2]End - Use Prices'!$A$6:$A$89,0)+MATCH($D142,'[2]End - Use Prices'!$B$9:$B$11,0)-1,MATCH(AS$1,'[2]End - Use Prices'!$C$7:$AL$7,0))</f>
        <v>33.46</v>
      </c>
      <c r="AT142" s="41">
        <f>INDEX('[2]End - Use Prices'!$C$6:$AL$89,MATCH($C142,'[2]End - Use Prices'!$A$6:$A$89,0)+MATCH($D142,'[2]End - Use Prices'!$B$9:$B$11,0)-1,MATCH(AT$1,'[2]End - Use Prices'!$C$7:$AL$7,0))</f>
        <v>33.29</v>
      </c>
      <c r="AU142" s="41">
        <f>INDEX('[2]End - Use Prices'!$C$6:$AL$89,MATCH($C142,'[2]End - Use Prices'!$A$6:$A$89,0)+MATCH($D142,'[2]End - Use Prices'!$B$9:$B$11,0)-1,MATCH(AU$1,'[2]End - Use Prices'!$C$7:$AL$7,0))</f>
        <v>33.07</v>
      </c>
      <c r="AV142" s="41">
        <f>INDEX('[2]End - Use Prices'!$C$6:$AL$89,MATCH($C142,'[2]End - Use Prices'!$A$6:$A$89,0)+MATCH($D142,'[2]End - Use Prices'!$B$9:$B$11,0)-1,MATCH(AV$1,'[2]End - Use Prices'!$C$7:$AL$7,0))</f>
        <v>32.9</v>
      </c>
      <c r="AW142" s="41">
        <f>INDEX('[2]End - Use Prices'!$C$6:$AL$89,MATCH($C142,'[2]End - Use Prices'!$A$6:$A$89,0)+MATCH($D142,'[2]End - Use Prices'!$B$9:$B$11,0)-1,MATCH(AW$1,'[2]End - Use Prices'!$C$7:$AL$7,0))</f>
        <v>32.72</v>
      </c>
      <c r="AX142" s="41">
        <f>INDEX('[2]End - Use Prices'!$C$6:$AL$89,MATCH($C142,'[2]End - Use Prices'!$A$6:$A$89,0)+MATCH($D142,'[2]End - Use Prices'!$B$9:$B$11,0)-1,MATCH(AX$1,'[2]End - Use Prices'!$C$7:$AL$7,0))</f>
        <v>32.619999999999997</v>
      </c>
      <c r="AY142" s="41">
        <f>INDEX('[2]End - Use Prices'!$C$6:$AL$89,MATCH($C142,'[2]End - Use Prices'!$A$6:$A$89,0)+MATCH($D142,'[2]End - Use Prices'!$B$9:$B$11,0)-1,MATCH(AY$1,'[2]End - Use Prices'!$C$7:$AL$7,0))</f>
        <v>32.549999999999997</v>
      </c>
      <c r="AZ142" s="41">
        <f>INDEX('[2]End - Use Prices'!$C$6:$AL$89,MATCH($C142,'[2]End - Use Prices'!$A$6:$A$89,0)+MATCH($D142,'[2]End - Use Prices'!$B$9:$B$11,0)-1,MATCH(AZ$1,'[2]End - Use Prices'!$C$7:$AL$7,0))</f>
        <v>32.520000000000003</v>
      </c>
      <c r="BA142" s="41">
        <f>INDEX('[2]End - Use Prices'!$C$6:$AL$89,MATCH($C142,'[2]End - Use Prices'!$A$6:$A$89,0)+MATCH($D142,'[2]End - Use Prices'!$B$9:$B$11,0)-1,MATCH(BA$1,'[2]End - Use Prices'!$C$7:$AL$7,0))</f>
        <v>32.51</v>
      </c>
      <c r="BB142" s="41">
        <f>INDEX('[2]End - Use Prices'!$C$6:$AL$89,MATCH($C142,'[2]End - Use Prices'!$A$6:$A$89,0)+MATCH($D142,'[2]End - Use Prices'!$B$9:$B$11,0)-1,MATCH(BB$1,'[2]End - Use Prices'!$C$7:$AL$7,0))</f>
        <v>32.49</v>
      </c>
      <c r="BC142" s="41">
        <f>INDEX('[2]End - Use Prices'!$C$6:$AL$89,MATCH($C142,'[2]End - Use Prices'!$A$6:$A$89,0)+MATCH($D142,'[2]End - Use Prices'!$B$9:$B$11,0)-1,MATCH(BC$1,'[2]End - Use Prices'!$C$7:$AL$7,0))</f>
        <v>32.450000000000003</v>
      </c>
      <c r="BD142" s="41">
        <f>INDEX('[2]End - Use Prices'!$C$6:$AL$89,MATCH($C142,'[2]End - Use Prices'!$A$6:$A$89,0)+MATCH($D142,'[2]End - Use Prices'!$B$9:$B$11,0)-1,MATCH(BD$1,'[2]End - Use Prices'!$C$7:$AL$7,0))</f>
        <v>32.4</v>
      </c>
      <c r="BE142" s="41">
        <f>INDEX('[2]End - Use Prices'!$C$6:$AL$89,MATCH($C142,'[2]End - Use Prices'!$A$6:$A$89,0)+MATCH($D142,'[2]End - Use Prices'!$B$9:$B$11,0)-1,MATCH(BE$1,'[2]End - Use Prices'!$C$7:$AL$7,0))</f>
        <v>32.31</v>
      </c>
      <c r="BF142" s="41">
        <f>INDEX('[2]End - Use Prices'!$C$6:$AL$89,MATCH($C142,'[2]End - Use Prices'!$A$6:$A$89,0)+MATCH($D142,'[2]End - Use Prices'!$B$9:$B$11,0)-1,MATCH(BF$1,'[2]End - Use Prices'!$C$7:$AL$7,0))</f>
        <v>32.229999999999997</v>
      </c>
      <c r="BG142" s="41">
        <f>INDEX('[2]End - Use Prices'!$C$6:$AL$89,MATCH($C142,'[2]End - Use Prices'!$A$6:$A$89,0)+MATCH($D142,'[2]End - Use Prices'!$B$9:$B$11,0)-1,MATCH(BG$1,'[2]End - Use Prices'!$C$7:$AL$7,0))</f>
        <v>32.130000000000003</v>
      </c>
      <c r="BR142" s="39"/>
      <c r="BS142" s="39"/>
      <c r="BT142" s="39"/>
      <c r="BU142" s="39"/>
      <c r="BV142" s="39"/>
      <c r="BW142" s="39"/>
      <c r="BX142" s="39"/>
      <c r="BY142" s="39"/>
      <c r="BZ142" s="39"/>
      <c r="CA142" s="39"/>
    </row>
    <row r="143" spans="1:79">
      <c r="A143" s="5"/>
      <c r="B143" s="3"/>
      <c r="C143" s="25" t="s">
        <v>5</v>
      </c>
      <c r="D143" s="25" t="s">
        <v>276</v>
      </c>
      <c r="E143" s="25" t="s">
        <v>277</v>
      </c>
      <c r="F143" s="67" t="s">
        <v>275</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INDEX('[2]End - Use Prices'!$C$6:$AL$89,MATCH($C143,'[2]End - Use Prices'!$A$6:$A$89,0)+MATCH($D143,'[2]End - Use Prices'!$B$9:$B$11,0)-1,MATCH(X$1,'[2]End - Use Prices'!$C$7:$AL$7,0))</f>
        <v>24.45</v>
      </c>
      <c r="Y143" s="41">
        <f>INDEX('[2]End - Use Prices'!$C$6:$AL$89,MATCH($C143,'[2]End - Use Prices'!$A$6:$A$89,0)+MATCH($D143,'[2]End - Use Prices'!$B$9:$B$11,0)-1,MATCH(Y$1,'[2]End - Use Prices'!$C$7:$AL$7,0))</f>
        <v>25.51</v>
      </c>
      <c r="Z143" s="41">
        <f>INDEX('[2]End - Use Prices'!$C$6:$AL$89,MATCH($C143,'[2]End - Use Prices'!$A$6:$A$89,0)+MATCH($D143,'[2]End - Use Prices'!$B$9:$B$11,0)-1,MATCH(Z$1,'[2]End - Use Prices'!$C$7:$AL$7,0))</f>
        <v>26.83</v>
      </c>
      <c r="AA143" s="41">
        <f>INDEX('[2]End - Use Prices'!$C$6:$AL$89,MATCH($C143,'[2]End - Use Prices'!$A$6:$A$89,0)+MATCH($D143,'[2]End - Use Prices'!$B$9:$B$11,0)-1,MATCH(AA$1,'[2]End - Use Prices'!$C$7:$AL$7,0))</f>
        <v>31.95</v>
      </c>
      <c r="AB143" s="41">
        <f>INDEX('[2]End - Use Prices'!$C$6:$AL$89,MATCH($C143,'[2]End - Use Prices'!$A$6:$A$89,0)+MATCH($D143,'[2]End - Use Prices'!$B$9:$B$11,0)-1,MATCH(AB$1,'[2]End - Use Prices'!$C$7:$AL$7,0))</f>
        <v>23.37</v>
      </c>
      <c r="AC143" s="41">
        <f>INDEX('[2]End - Use Prices'!$C$6:$AL$89,MATCH($C143,'[2]End - Use Prices'!$A$6:$A$89,0)+MATCH($D143,'[2]End - Use Prices'!$B$9:$B$11,0)-1,MATCH(AC$1,'[2]End - Use Prices'!$C$7:$AL$7,0))</f>
        <v>26.03</v>
      </c>
      <c r="AD143" s="41">
        <f>INDEX('[2]End - Use Prices'!$C$6:$AL$89,MATCH($C143,'[2]End - Use Prices'!$A$6:$A$89,0)+MATCH($D143,'[2]End - Use Prices'!$B$9:$B$11,0)-1,MATCH(AD$1,'[2]End - Use Prices'!$C$7:$AL$7,0))</f>
        <v>27.78</v>
      </c>
      <c r="AE143" s="41">
        <f>INDEX('[2]End - Use Prices'!$C$6:$AL$89,MATCH($C143,'[2]End - Use Prices'!$A$6:$A$89,0)+MATCH($D143,'[2]End - Use Prices'!$B$9:$B$11,0)-1,MATCH(AE$1,'[2]End - Use Prices'!$C$7:$AL$7,0))</f>
        <v>29.65</v>
      </c>
      <c r="AF143" s="41">
        <f>INDEX('[2]End - Use Prices'!$C$6:$AL$89,MATCH($C143,'[2]End - Use Prices'!$A$6:$A$89,0)+MATCH($D143,'[2]End - Use Prices'!$B$9:$B$11,0)-1,MATCH(AF$1,'[2]End - Use Prices'!$C$7:$AL$7,0))</f>
        <v>27.25</v>
      </c>
      <c r="AG143" s="41">
        <f>INDEX('[2]End - Use Prices'!$C$6:$AL$89,MATCH($C143,'[2]End - Use Prices'!$A$6:$A$89,0)+MATCH($D143,'[2]End - Use Prices'!$B$9:$B$11,0)-1,MATCH(AG$1,'[2]End - Use Prices'!$C$7:$AL$7,0))</f>
        <v>32.840000000000003</v>
      </c>
      <c r="AH143" s="41">
        <f>INDEX('[2]End - Use Prices'!$C$6:$AL$89,MATCH($C143,'[2]End - Use Prices'!$A$6:$A$89,0)+MATCH($D143,'[2]End - Use Prices'!$B$9:$B$11,0)-1,MATCH(AH$1,'[2]End - Use Prices'!$C$7:$AL$7,0))</f>
        <v>24.73</v>
      </c>
      <c r="AI143" s="41">
        <f>INDEX('[2]End - Use Prices'!$C$6:$AL$89,MATCH($C143,'[2]End - Use Prices'!$A$6:$A$89,0)+MATCH($D143,'[2]End - Use Prices'!$B$9:$B$11,0)-1,MATCH(AI$1,'[2]End - Use Prices'!$C$7:$AL$7,0))</f>
        <v>22.55</v>
      </c>
      <c r="AJ143" s="41">
        <f>INDEX('[2]End - Use Prices'!$C$6:$AL$89,MATCH($C143,'[2]End - Use Prices'!$A$6:$A$89,0)+MATCH($D143,'[2]End - Use Prices'!$B$9:$B$11,0)-1,MATCH(AJ$1,'[2]End - Use Prices'!$C$7:$AL$7,0))</f>
        <v>24.52</v>
      </c>
      <c r="AK143" s="41">
        <f>INDEX('[2]End - Use Prices'!$C$6:$AL$89,MATCH($C143,'[2]End - Use Prices'!$A$6:$A$89,0)+MATCH($D143,'[2]End - Use Prices'!$B$9:$B$11,0)-1,MATCH(AK$1,'[2]End - Use Prices'!$C$7:$AL$7,0))</f>
        <v>30.35</v>
      </c>
      <c r="AL143" s="41">
        <f>INDEX('[2]End - Use Prices'!$C$6:$AL$89,MATCH($C143,'[2]End - Use Prices'!$A$6:$A$89,0)+MATCH($D143,'[2]End - Use Prices'!$B$9:$B$11,0)-1,MATCH(AL$1,'[2]End - Use Prices'!$C$7:$AL$7,0))</f>
        <v>34.29</v>
      </c>
      <c r="AM143" s="41">
        <f>INDEX('[2]End - Use Prices'!$C$6:$AL$89,MATCH($C143,'[2]End - Use Prices'!$A$6:$A$89,0)+MATCH($D143,'[2]End - Use Prices'!$B$9:$B$11,0)-1,MATCH(AM$1,'[2]End - Use Prices'!$C$7:$AL$7,0))</f>
        <v>37.21</v>
      </c>
      <c r="AN143" s="41">
        <f>INDEX('[2]End - Use Prices'!$C$6:$AL$89,MATCH($C143,'[2]End - Use Prices'!$A$6:$A$89,0)+MATCH($D143,'[2]End - Use Prices'!$B$9:$B$11,0)-1,MATCH(AN$1,'[2]End - Use Prices'!$C$7:$AL$7,0))</f>
        <v>33.880000000000003</v>
      </c>
      <c r="AO143" s="41">
        <f>INDEX('[2]End - Use Prices'!$C$6:$AL$89,MATCH($C143,'[2]End - Use Prices'!$A$6:$A$89,0)+MATCH($D143,'[2]End - Use Prices'!$B$9:$B$11,0)-1,MATCH(AO$1,'[2]End - Use Prices'!$C$7:$AL$7,0))</f>
        <v>32.43</v>
      </c>
      <c r="AP143" s="41">
        <f>INDEX('[2]End - Use Prices'!$C$6:$AL$89,MATCH($C143,'[2]End - Use Prices'!$A$6:$A$89,0)+MATCH($D143,'[2]End - Use Prices'!$B$9:$B$11,0)-1,MATCH(AP$1,'[2]End - Use Prices'!$C$7:$AL$7,0))</f>
        <v>32.590000000000003</v>
      </c>
      <c r="AQ143" s="41">
        <f>INDEX('[2]End - Use Prices'!$C$6:$AL$89,MATCH($C143,'[2]End - Use Prices'!$A$6:$A$89,0)+MATCH($D143,'[2]End - Use Prices'!$B$9:$B$11,0)-1,MATCH(AQ$1,'[2]End - Use Prices'!$C$7:$AL$7,0))</f>
        <v>32.33</v>
      </c>
      <c r="AR143" s="41">
        <f>INDEX('[2]End - Use Prices'!$C$6:$AL$89,MATCH($C143,'[2]End - Use Prices'!$A$6:$A$89,0)+MATCH($D143,'[2]End - Use Prices'!$B$9:$B$11,0)-1,MATCH(AR$1,'[2]End - Use Prices'!$C$7:$AL$7,0))</f>
        <v>32.299999999999997</v>
      </c>
      <c r="AS143" s="41">
        <f>INDEX('[2]End - Use Prices'!$C$6:$AL$89,MATCH($C143,'[2]End - Use Prices'!$A$6:$A$89,0)+MATCH($D143,'[2]End - Use Prices'!$B$9:$B$11,0)-1,MATCH(AS$1,'[2]End - Use Prices'!$C$7:$AL$7,0))</f>
        <v>32.22</v>
      </c>
      <c r="AT143" s="41">
        <f>INDEX('[2]End - Use Prices'!$C$6:$AL$89,MATCH($C143,'[2]End - Use Prices'!$A$6:$A$89,0)+MATCH($D143,'[2]End - Use Prices'!$B$9:$B$11,0)-1,MATCH(AT$1,'[2]End - Use Prices'!$C$7:$AL$7,0))</f>
        <v>32.049999999999997</v>
      </c>
      <c r="AU143" s="41">
        <f>INDEX('[2]End - Use Prices'!$C$6:$AL$89,MATCH($C143,'[2]End - Use Prices'!$A$6:$A$89,0)+MATCH($D143,'[2]End - Use Prices'!$B$9:$B$11,0)-1,MATCH(AU$1,'[2]End - Use Prices'!$C$7:$AL$7,0))</f>
        <v>31.84</v>
      </c>
      <c r="AV143" s="41">
        <f>INDEX('[2]End - Use Prices'!$C$6:$AL$89,MATCH($C143,'[2]End - Use Prices'!$A$6:$A$89,0)+MATCH($D143,'[2]End - Use Prices'!$B$9:$B$11,0)-1,MATCH(AV$1,'[2]End - Use Prices'!$C$7:$AL$7,0))</f>
        <v>31.67</v>
      </c>
      <c r="AW143" s="41">
        <f>INDEX('[2]End - Use Prices'!$C$6:$AL$89,MATCH($C143,'[2]End - Use Prices'!$A$6:$A$89,0)+MATCH($D143,'[2]End - Use Prices'!$B$9:$B$11,0)-1,MATCH(AW$1,'[2]End - Use Prices'!$C$7:$AL$7,0))</f>
        <v>31.49</v>
      </c>
      <c r="AX143" s="41">
        <f>INDEX('[2]End - Use Prices'!$C$6:$AL$89,MATCH($C143,'[2]End - Use Prices'!$A$6:$A$89,0)+MATCH($D143,'[2]End - Use Prices'!$B$9:$B$11,0)-1,MATCH(AX$1,'[2]End - Use Prices'!$C$7:$AL$7,0))</f>
        <v>31.39</v>
      </c>
      <c r="AY143" s="41">
        <f>INDEX('[2]End - Use Prices'!$C$6:$AL$89,MATCH($C143,'[2]End - Use Prices'!$A$6:$A$89,0)+MATCH($D143,'[2]End - Use Prices'!$B$9:$B$11,0)-1,MATCH(AY$1,'[2]End - Use Prices'!$C$7:$AL$7,0))</f>
        <v>31.32</v>
      </c>
      <c r="AZ143" s="41">
        <f>INDEX('[2]End - Use Prices'!$C$6:$AL$89,MATCH($C143,'[2]End - Use Prices'!$A$6:$A$89,0)+MATCH($D143,'[2]End - Use Prices'!$B$9:$B$11,0)-1,MATCH(AZ$1,'[2]End - Use Prices'!$C$7:$AL$7,0))</f>
        <v>31.28</v>
      </c>
      <c r="BA143" s="41">
        <f>INDEX('[2]End - Use Prices'!$C$6:$AL$89,MATCH($C143,'[2]End - Use Prices'!$A$6:$A$89,0)+MATCH($D143,'[2]End - Use Prices'!$B$9:$B$11,0)-1,MATCH(BA$1,'[2]End - Use Prices'!$C$7:$AL$7,0))</f>
        <v>31.27</v>
      </c>
      <c r="BB143" s="41">
        <f>INDEX('[2]End - Use Prices'!$C$6:$AL$89,MATCH($C143,'[2]End - Use Prices'!$A$6:$A$89,0)+MATCH($D143,'[2]End - Use Prices'!$B$9:$B$11,0)-1,MATCH(BB$1,'[2]End - Use Prices'!$C$7:$AL$7,0))</f>
        <v>31.25</v>
      </c>
      <c r="BC143" s="41">
        <f>INDEX('[2]End - Use Prices'!$C$6:$AL$89,MATCH($C143,'[2]End - Use Prices'!$A$6:$A$89,0)+MATCH($D143,'[2]End - Use Prices'!$B$9:$B$11,0)-1,MATCH(BC$1,'[2]End - Use Prices'!$C$7:$AL$7,0))</f>
        <v>31.21</v>
      </c>
      <c r="BD143" s="41">
        <f>INDEX('[2]End - Use Prices'!$C$6:$AL$89,MATCH($C143,'[2]End - Use Prices'!$A$6:$A$89,0)+MATCH($D143,'[2]End - Use Prices'!$B$9:$B$11,0)-1,MATCH(BD$1,'[2]End - Use Prices'!$C$7:$AL$7,0))</f>
        <v>31.15</v>
      </c>
      <c r="BE143" s="41">
        <f>INDEX('[2]End - Use Prices'!$C$6:$AL$89,MATCH($C143,'[2]End - Use Prices'!$A$6:$A$89,0)+MATCH($D143,'[2]End - Use Prices'!$B$9:$B$11,0)-1,MATCH(BE$1,'[2]End - Use Prices'!$C$7:$AL$7,0))</f>
        <v>31.06</v>
      </c>
      <c r="BF143" s="41">
        <f>INDEX('[2]End - Use Prices'!$C$6:$AL$89,MATCH($C143,'[2]End - Use Prices'!$A$6:$A$89,0)+MATCH($D143,'[2]End - Use Prices'!$B$9:$B$11,0)-1,MATCH(BF$1,'[2]End - Use Prices'!$C$7:$AL$7,0))</f>
        <v>30.98</v>
      </c>
      <c r="BG143" s="41">
        <f>INDEX('[2]End - Use Prices'!$C$6:$AL$89,MATCH($C143,'[2]End - Use Prices'!$A$6:$A$89,0)+MATCH($D143,'[2]End - Use Prices'!$B$9:$B$11,0)-1,MATCH(BG$1,'[2]End - Use Prices'!$C$7:$AL$7,0))</f>
        <v>30.88</v>
      </c>
      <c r="BR143" s="39"/>
      <c r="BS143" s="39"/>
      <c r="BT143" s="39"/>
      <c r="BU143" s="39"/>
      <c r="BV143" s="39"/>
      <c r="BW143" s="39"/>
      <c r="BX143" s="39"/>
      <c r="BY143" s="39"/>
      <c r="BZ143" s="39"/>
      <c r="CA143" s="39"/>
    </row>
    <row r="144" spans="1:79">
      <c r="A144" s="5"/>
      <c r="B144" s="3"/>
      <c r="C144" s="25" t="s">
        <v>60</v>
      </c>
      <c r="D144" s="25" t="s">
        <v>276</v>
      </c>
      <c r="E144" s="25" t="s">
        <v>277</v>
      </c>
      <c r="F144" s="67" t="s">
        <v>275</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INDEX('[2]End - Use Prices'!$C$6:$AL$89,MATCH($C144,'[2]End - Use Prices'!$A$6:$A$89,0)+MATCH($D144,'[2]End - Use Prices'!$B$9:$B$11,0)-1,MATCH(X$1,'[2]End - Use Prices'!$C$7:$AL$7,0))</f>
        <v>28.98</v>
      </c>
      <c r="Y144" s="41">
        <f>INDEX('[2]End - Use Prices'!$C$6:$AL$89,MATCH($C144,'[2]End - Use Prices'!$A$6:$A$89,0)+MATCH($D144,'[2]End - Use Prices'!$B$9:$B$11,0)-1,MATCH(Y$1,'[2]End - Use Prices'!$C$7:$AL$7,0))</f>
        <v>28.54</v>
      </c>
      <c r="Z144" s="41">
        <f>INDEX('[2]End - Use Prices'!$C$6:$AL$89,MATCH($C144,'[2]End - Use Prices'!$A$6:$A$89,0)+MATCH($D144,'[2]End - Use Prices'!$B$9:$B$11,0)-1,MATCH(Z$1,'[2]End - Use Prices'!$C$7:$AL$7,0))</f>
        <v>29.02</v>
      </c>
      <c r="AA144" s="41">
        <f>INDEX('[2]End - Use Prices'!$C$6:$AL$89,MATCH($C144,'[2]End - Use Prices'!$A$6:$A$89,0)+MATCH($D144,'[2]End - Use Prices'!$B$9:$B$11,0)-1,MATCH(AA$1,'[2]End - Use Prices'!$C$7:$AL$7,0))</f>
        <v>34.479999999999997</v>
      </c>
      <c r="AB144" s="41">
        <f>INDEX('[2]End - Use Prices'!$C$6:$AL$89,MATCH($C144,'[2]End - Use Prices'!$A$6:$A$89,0)+MATCH($D144,'[2]End - Use Prices'!$B$9:$B$11,0)-1,MATCH(AB$1,'[2]End - Use Prices'!$C$7:$AL$7,0))</f>
        <v>25.41</v>
      </c>
      <c r="AC144" s="41">
        <f>INDEX('[2]End - Use Prices'!$C$6:$AL$89,MATCH($C144,'[2]End - Use Prices'!$A$6:$A$89,0)+MATCH($D144,'[2]End - Use Prices'!$B$9:$B$11,0)-1,MATCH(AC$1,'[2]End - Use Prices'!$C$7:$AL$7,0))</f>
        <v>29.71</v>
      </c>
      <c r="AD144" s="41">
        <f>INDEX('[2]End - Use Prices'!$C$6:$AL$89,MATCH($C144,'[2]End - Use Prices'!$A$6:$A$89,0)+MATCH($D144,'[2]End - Use Prices'!$B$9:$B$11,0)-1,MATCH(AD$1,'[2]End - Use Prices'!$C$7:$AL$7,0))</f>
        <v>34.4</v>
      </c>
      <c r="AE144" s="41">
        <f>INDEX('[2]End - Use Prices'!$C$6:$AL$89,MATCH($C144,'[2]End - Use Prices'!$A$6:$A$89,0)+MATCH($D144,'[2]End - Use Prices'!$B$9:$B$11,0)-1,MATCH(AE$1,'[2]End - Use Prices'!$C$7:$AL$7,0))</f>
        <v>35.71</v>
      </c>
      <c r="AF144" s="41">
        <f>INDEX('[2]End - Use Prices'!$C$6:$AL$89,MATCH($C144,'[2]End - Use Prices'!$A$6:$A$89,0)+MATCH($D144,'[2]End - Use Prices'!$B$9:$B$11,0)-1,MATCH(AF$1,'[2]End - Use Prices'!$C$7:$AL$7,0))</f>
        <v>35.47</v>
      </c>
      <c r="AG144" s="41">
        <f>INDEX('[2]End - Use Prices'!$C$6:$AL$89,MATCH($C144,'[2]End - Use Prices'!$A$6:$A$89,0)+MATCH($D144,'[2]End - Use Prices'!$B$9:$B$11,0)-1,MATCH(AG$1,'[2]End - Use Prices'!$C$7:$AL$7,0))</f>
        <v>35.78</v>
      </c>
      <c r="AH144" s="41">
        <f>INDEX('[2]End - Use Prices'!$C$6:$AL$89,MATCH($C144,'[2]End - Use Prices'!$A$6:$A$89,0)+MATCH($D144,'[2]End - Use Prices'!$B$9:$B$11,0)-1,MATCH(AH$1,'[2]End - Use Prices'!$C$7:$AL$7,0))</f>
        <v>29.49</v>
      </c>
      <c r="AI144" s="41">
        <f>INDEX('[2]End - Use Prices'!$C$6:$AL$89,MATCH($C144,'[2]End - Use Prices'!$A$6:$A$89,0)+MATCH($D144,'[2]End - Use Prices'!$B$9:$B$11,0)-1,MATCH(AI$1,'[2]End - Use Prices'!$C$7:$AL$7,0))</f>
        <v>26.92</v>
      </c>
      <c r="AJ144" s="41">
        <f>INDEX('[2]End - Use Prices'!$C$6:$AL$89,MATCH($C144,'[2]End - Use Prices'!$A$6:$A$89,0)+MATCH($D144,'[2]End - Use Prices'!$B$9:$B$11,0)-1,MATCH(AJ$1,'[2]End - Use Prices'!$C$7:$AL$7,0))</f>
        <v>29.45</v>
      </c>
      <c r="AK144" s="41">
        <f>INDEX('[2]End - Use Prices'!$C$6:$AL$89,MATCH($C144,'[2]End - Use Prices'!$A$6:$A$89,0)+MATCH($D144,'[2]End - Use Prices'!$B$9:$B$11,0)-1,MATCH(AK$1,'[2]End - Use Prices'!$C$7:$AL$7,0))</f>
        <v>33.119999999999997</v>
      </c>
      <c r="AL144" s="41">
        <f>INDEX('[2]End - Use Prices'!$C$6:$AL$89,MATCH($C144,'[2]End - Use Prices'!$A$6:$A$89,0)+MATCH($D144,'[2]End - Use Prices'!$B$9:$B$11,0)-1,MATCH(AL$1,'[2]End - Use Prices'!$C$7:$AL$7,0))</f>
        <v>38.61</v>
      </c>
      <c r="AM144" s="41">
        <f>INDEX('[2]End - Use Prices'!$C$6:$AL$89,MATCH($C144,'[2]End - Use Prices'!$A$6:$A$89,0)+MATCH($D144,'[2]End - Use Prices'!$B$9:$B$11,0)-1,MATCH(AM$1,'[2]End - Use Prices'!$C$7:$AL$7,0))</f>
        <v>41.92</v>
      </c>
      <c r="AN144" s="41">
        <f>INDEX('[2]End - Use Prices'!$C$6:$AL$89,MATCH($C144,'[2]End - Use Prices'!$A$6:$A$89,0)+MATCH($D144,'[2]End - Use Prices'!$B$9:$B$11,0)-1,MATCH(AN$1,'[2]End - Use Prices'!$C$7:$AL$7,0))</f>
        <v>38.94</v>
      </c>
      <c r="AO144" s="41">
        <f>INDEX('[2]End - Use Prices'!$C$6:$AL$89,MATCH($C144,'[2]End - Use Prices'!$A$6:$A$89,0)+MATCH($D144,'[2]End - Use Prices'!$B$9:$B$11,0)-1,MATCH(AO$1,'[2]End - Use Prices'!$C$7:$AL$7,0))</f>
        <v>36.979999999999997</v>
      </c>
      <c r="AP144" s="41">
        <f>INDEX('[2]End - Use Prices'!$C$6:$AL$89,MATCH($C144,'[2]End - Use Prices'!$A$6:$A$89,0)+MATCH($D144,'[2]End - Use Prices'!$B$9:$B$11,0)-1,MATCH(AP$1,'[2]End - Use Prices'!$C$7:$AL$7,0))</f>
        <v>36.39</v>
      </c>
      <c r="AQ144" s="41">
        <f>INDEX('[2]End - Use Prices'!$C$6:$AL$89,MATCH($C144,'[2]End - Use Prices'!$A$6:$A$89,0)+MATCH($D144,'[2]End - Use Prices'!$B$9:$B$11,0)-1,MATCH(AQ$1,'[2]End - Use Prices'!$C$7:$AL$7,0))</f>
        <v>36.08</v>
      </c>
      <c r="AR144" s="41">
        <f>INDEX('[2]End - Use Prices'!$C$6:$AL$89,MATCH($C144,'[2]End - Use Prices'!$A$6:$A$89,0)+MATCH($D144,'[2]End - Use Prices'!$B$9:$B$11,0)-1,MATCH(AR$1,'[2]End - Use Prices'!$C$7:$AL$7,0))</f>
        <v>36</v>
      </c>
      <c r="AS144" s="41">
        <f>INDEX('[2]End - Use Prices'!$C$6:$AL$89,MATCH($C144,'[2]End - Use Prices'!$A$6:$A$89,0)+MATCH($D144,'[2]End - Use Prices'!$B$9:$B$11,0)-1,MATCH(AS$1,'[2]End - Use Prices'!$C$7:$AL$7,0))</f>
        <v>35.89</v>
      </c>
      <c r="AT144" s="41">
        <f>INDEX('[2]End - Use Prices'!$C$6:$AL$89,MATCH($C144,'[2]End - Use Prices'!$A$6:$A$89,0)+MATCH($D144,'[2]End - Use Prices'!$B$9:$B$11,0)-1,MATCH(AT$1,'[2]End - Use Prices'!$C$7:$AL$7,0))</f>
        <v>35.68</v>
      </c>
      <c r="AU144" s="41">
        <f>INDEX('[2]End - Use Prices'!$C$6:$AL$89,MATCH($C144,'[2]End - Use Prices'!$A$6:$A$89,0)+MATCH($D144,'[2]End - Use Prices'!$B$9:$B$11,0)-1,MATCH(AU$1,'[2]End - Use Prices'!$C$7:$AL$7,0))</f>
        <v>35.44</v>
      </c>
      <c r="AV144" s="41">
        <f>INDEX('[2]End - Use Prices'!$C$6:$AL$89,MATCH($C144,'[2]End - Use Prices'!$A$6:$A$89,0)+MATCH($D144,'[2]End - Use Prices'!$B$9:$B$11,0)-1,MATCH(AV$1,'[2]End - Use Prices'!$C$7:$AL$7,0))</f>
        <v>35.229999999999997</v>
      </c>
      <c r="AW144" s="41">
        <f>INDEX('[2]End - Use Prices'!$C$6:$AL$89,MATCH($C144,'[2]End - Use Prices'!$A$6:$A$89,0)+MATCH($D144,'[2]End - Use Prices'!$B$9:$B$11,0)-1,MATCH(AW$1,'[2]End - Use Prices'!$C$7:$AL$7,0))</f>
        <v>35.03</v>
      </c>
      <c r="AX144" s="41">
        <f>INDEX('[2]End - Use Prices'!$C$6:$AL$89,MATCH($C144,'[2]End - Use Prices'!$A$6:$A$89,0)+MATCH($D144,'[2]End - Use Prices'!$B$9:$B$11,0)-1,MATCH(AX$1,'[2]End - Use Prices'!$C$7:$AL$7,0))</f>
        <v>34.89</v>
      </c>
      <c r="AY144" s="41">
        <f>INDEX('[2]End - Use Prices'!$C$6:$AL$89,MATCH($C144,'[2]End - Use Prices'!$A$6:$A$89,0)+MATCH($D144,'[2]End - Use Prices'!$B$9:$B$11,0)-1,MATCH(AY$1,'[2]End - Use Prices'!$C$7:$AL$7,0))</f>
        <v>34.79</v>
      </c>
      <c r="AZ144" s="41">
        <f>INDEX('[2]End - Use Prices'!$C$6:$AL$89,MATCH($C144,'[2]End - Use Prices'!$A$6:$A$89,0)+MATCH($D144,'[2]End - Use Prices'!$B$9:$B$11,0)-1,MATCH(AZ$1,'[2]End - Use Prices'!$C$7:$AL$7,0))</f>
        <v>34.729999999999997</v>
      </c>
      <c r="BA144" s="41">
        <f>INDEX('[2]End - Use Prices'!$C$6:$AL$89,MATCH($C144,'[2]End - Use Prices'!$A$6:$A$89,0)+MATCH($D144,'[2]End - Use Prices'!$B$9:$B$11,0)-1,MATCH(BA$1,'[2]End - Use Prices'!$C$7:$AL$7,0))</f>
        <v>34.69</v>
      </c>
      <c r="BB144" s="41">
        <f>INDEX('[2]End - Use Prices'!$C$6:$AL$89,MATCH($C144,'[2]End - Use Prices'!$A$6:$A$89,0)+MATCH($D144,'[2]End - Use Prices'!$B$9:$B$11,0)-1,MATCH(BB$1,'[2]End - Use Prices'!$C$7:$AL$7,0))</f>
        <v>34.64</v>
      </c>
      <c r="BC144" s="41">
        <f>INDEX('[2]End - Use Prices'!$C$6:$AL$89,MATCH($C144,'[2]End - Use Prices'!$A$6:$A$89,0)+MATCH($D144,'[2]End - Use Prices'!$B$9:$B$11,0)-1,MATCH(BC$1,'[2]End - Use Prices'!$C$7:$AL$7,0))</f>
        <v>34.58</v>
      </c>
      <c r="BD144" s="41">
        <f>INDEX('[2]End - Use Prices'!$C$6:$AL$89,MATCH($C144,'[2]End - Use Prices'!$A$6:$A$89,0)+MATCH($D144,'[2]End - Use Prices'!$B$9:$B$11,0)-1,MATCH(BD$1,'[2]End - Use Prices'!$C$7:$AL$7,0))</f>
        <v>34.49</v>
      </c>
      <c r="BE144" s="41">
        <f>INDEX('[2]End - Use Prices'!$C$6:$AL$89,MATCH($C144,'[2]End - Use Prices'!$A$6:$A$89,0)+MATCH($D144,'[2]End - Use Prices'!$B$9:$B$11,0)-1,MATCH(BE$1,'[2]End - Use Prices'!$C$7:$AL$7,0))</f>
        <v>34.380000000000003</v>
      </c>
      <c r="BF144" s="41">
        <f>INDEX('[2]End - Use Prices'!$C$6:$AL$89,MATCH($C144,'[2]End - Use Prices'!$A$6:$A$89,0)+MATCH($D144,'[2]End - Use Prices'!$B$9:$B$11,0)-1,MATCH(BF$1,'[2]End - Use Prices'!$C$7:$AL$7,0))</f>
        <v>34.270000000000003</v>
      </c>
      <c r="BG144" s="41">
        <f>INDEX('[2]End - Use Prices'!$C$6:$AL$89,MATCH($C144,'[2]End - Use Prices'!$A$6:$A$89,0)+MATCH($D144,'[2]End - Use Prices'!$B$9:$B$11,0)-1,MATCH(BG$1,'[2]End - Use Prices'!$C$7:$AL$7,0))</f>
        <v>34.14</v>
      </c>
      <c r="BR144" s="39"/>
      <c r="BS144" s="39"/>
      <c r="BT144" s="39"/>
      <c r="BU144" s="39"/>
      <c r="BV144" s="39"/>
      <c r="BW144" s="39"/>
      <c r="BX144" s="39"/>
      <c r="BY144" s="39"/>
      <c r="BZ144" s="39"/>
      <c r="CA144" s="39"/>
    </row>
    <row r="145" spans="1:79">
      <c r="A145" s="5"/>
      <c r="B145" s="3"/>
      <c r="C145" s="25" t="s">
        <v>92</v>
      </c>
      <c r="D145" s="25" t="s">
        <v>276</v>
      </c>
      <c r="E145" s="25" t="s">
        <v>277</v>
      </c>
      <c r="F145" s="67" t="s">
        <v>275</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INDEX('[2]End - Use Prices'!$C$6:$AL$89,MATCH($C145,'[2]End - Use Prices'!$A$6:$A$89,0)+MATCH($D145,'[2]End - Use Prices'!$B$9:$B$11,0)-1,MATCH(X$1,'[2]End - Use Prices'!$C$7:$AL$7,0))</f>
        <v>29.08</v>
      </c>
      <c r="Y145" s="41">
        <f>INDEX('[2]End - Use Prices'!$C$6:$AL$89,MATCH($C145,'[2]End - Use Prices'!$A$6:$A$89,0)+MATCH($D145,'[2]End - Use Prices'!$B$9:$B$11,0)-1,MATCH(Y$1,'[2]End - Use Prices'!$C$7:$AL$7,0))</f>
        <v>30.15</v>
      </c>
      <c r="Z145" s="41">
        <f>INDEX('[2]End - Use Prices'!$C$6:$AL$89,MATCH($C145,'[2]End - Use Prices'!$A$6:$A$89,0)+MATCH($D145,'[2]End - Use Prices'!$B$9:$B$11,0)-1,MATCH(Z$1,'[2]End - Use Prices'!$C$7:$AL$7,0))</f>
        <v>31.73</v>
      </c>
      <c r="AA145" s="41">
        <f>INDEX('[2]End - Use Prices'!$C$6:$AL$89,MATCH($C145,'[2]End - Use Prices'!$A$6:$A$89,0)+MATCH($D145,'[2]End - Use Prices'!$B$9:$B$11,0)-1,MATCH(AA$1,'[2]End - Use Prices'!$C$7:$AL$7,0))</f>
        <v>37.46</v>
      </c>
      <c r="AB145" s="41">
        <f>INDEX('[2]End - Use Prices'!$C$6:$AL$89,MATCH($C145,'[2]End - Use Prices'!$A$6:$A$89,0)+MATCH($D145,'[2]End - Use Prices'!$B$9:$B$11,0)-1,MATCH(AB$1,'[2]End - Use Prices'!$C$7:$AL$7,0))</f>
        <v>28.89</v>
      </c>
      <c r="AC145" s="41">
        <f>INDEX('[2]End - Use Prices'!$C$6:$AL$89,MATCH($C145,'[2]End - Use Prices'!$A$6:$A$89,0)+MATCH($D145,'[2]End - Use Prices'!$B$9:$B$11,0)-1,MATCH(AC$1,'[2]End - Use Prices'!$C$7:$AL$7,0))</f>
        <v>31.56</v>
      </c>
      <c r="AD145" s="41">
        <f>INDEX('[2]End - Use Prices'!$C$6:$AL$89,MATCH($C145,'[2]End - Use Prices'!$A$6:$A$89,0)+MATCH($D145,'[2]End - Use Prices'!$B$9:$B$11,0)-1,MATCH(AD$1,'[2]End - Use Prices'!$C$7:$AL$7,0))</f>
        <v>36.9</v>
      </c>
      <c r="AE145" s="41">
        <f>INDEX('[2]End - Use Prices'!$C$6:$AL$89,MATCH($C145,'[2]End - Use Prices'!$A$6:$A$89,0)+MATCH($D145,'[2]End - Use Prices'!$B$9:$B$11,0)-1,MATCH(AE$1,'[2]End - Use Prices'!$C$7:$AL$7,0))</f>
        <v>38.08</v>
      </c>
      <c r="AF145" s="41">
        <f>INDEX('[2]End - Use Prices'!$C$6:$AL$89,MATCH($C145,'[2]End - Use Prices'!$A$6:$A$89,0)+MATCH($D145,'[2]End - Use Prices'!$B$9:$B$11,0)-1,MATCH(AF$1,'[2]End - Use Prices'!$C$7:$AL$7,0))</f>
        <v>36.86</v>
      </c>
      <c r="AG145" s="41">
        <f>INDEX('[2]End - Use Prices'!$C$6:$AL$89,MATCH($C145,'[2]End - Use Prices'!$A$6:$A$89,0)+MATCH($D145,'[2]End - Use Prices'!$B$9:$B$11,0)-1,MATCH(AG$1,'[2]End - Use Prices'!$C$7:$AL$7,0))</f>
        <v>37.01</v>
      </c>
      <c r="AH145" s="41">
        <f>INDEX('[2]End - Use Prices'!$C$6:$AL$89,MATCH($C145,'[2]End - Use Prices'!$A$6:$A$89,0)+MATCH($D145,'[2]End - Use Prices'!$B$9:$B$11,0)-1,MATCH(AH$1,'[2]End - Use Prices'!$C$7:$AL$7,0))</f>
        <v>29.89</v>
      </c>
      <c r="AI145" s="41">
        <f>INDEX('[2]End - Use Prices'!$C$6:$AL$89,MATCH($C145,'[2]End - Use Prices'!$A$6:$A$89,0)+MATCH($D145,'[2]End - Use Prices'!$B$9:$B$11,0)-1,MATCH(AI$1,'[2]End - Use Prices'!$C$7:$AL$7,0))</f>
        <v>25.86</v>
      </c>
      <c r="AJ145" s="41">
        <f>INDEX('[2]End - Use Prices'!$C$6:$AL$89,MATCH($C145,'[2]End - Use Prices'!$A$6:$A$89,0)+MATCH($D145,'[2]End - Use Prices'!$B$9:$B$11,0)-1,MATCH(AJ$1,'[2]End - Use Prices'!$C$7:$AL$7,0))</f>
        <v>27.9</v>
      </c>
      <c r="AK145" s="41">
        <f>INDEX('[2]End - Use Prices'!$C$6:$AL$89,MATCH($C145,'[2]End - Use Prices'!$A$6:$A$89,0)+MATCH($D145,'[2]End - Use Prices'!$B$9:$B$11,0)-1,MATCH(AK$1,'[2]End - Use Prices'!$C$7:$AL$7,0))</f>
        <v>31.56</v>
      </c>
      <c r="AL145" s="41">
        <f>INDEX('[2]End - Use Prices'!$C$6:$AL$89,MATCH($C145,'[2]End - Use Prices'!$A$6:$A$89,0)+MATCH($D145,'[2]End - Use Prices'!$B$9:$B$11,0)-1,MATCH(AL$1,'[2]End - Use Prices'!$C$7:$AL$7,0))</f>
        <v>33.29</v>
      </c>
      <c r="AM145" s="41">
        <f>INDEX('[2]End - Use Prices'!$C$6:$AL$89,MATCH($C145,'[2]End - Use Prices'!$A$6:$A$89,0)+MATCH($D145,'[2]End - Use Prices'!$B$9:$B$11,0)-1,MATCH(AM$1,'[2]End - Use Prices'!$C$7:$AL$7,0))</f>
        <v>37.340000000000003</v>
      </c>
      <c r="AN145" s="41">
        <f>INDEX('[2]End - Use Prices'!$C$6:$AL$89,MATCH($C145,'[2]End - Use Prices'!$A$6:$A$89,0)+MATCH($D145,'[2]End - Use Prices'!$B$9:$B$11,0)-1,MATCH(AN$1,'[2]End - Use Prices'!$C$7:$AL$7,0))</f>
        <v>34.270000000000003</v>
      </c>
      <c r="AO145" s="41">
        <f>INDEX('[2]End - Use Prices'!$C$6:$AL$89,MATCH($C145,'[2]End - Use Prices'!$A$6:$A$89,0)+MATCH($D145,'[2]End - Use Prices'!$B$9:$B$11,0)-1,MATCH(AO$1,'[2]End - Use Prices'!$C$7:$AL$7,0))</f>
        <v>32.229999999999997</v>
      </c>
      <c r="AP145" s="41">
        <f>INDEX('[2]End - Use Prices'!$C$6:$AL$89,MATCH($C145,'[2]End - Use Prices'!$A$6:$A$89,0)+MATCH($D145,'[2]End - Use Prices'!$B$9:$B$11,0)-1,MATCH(AP$1,'[2]End - Use Prices'!$C$7:$AL$7,0))</f>
        <v>32.729999999999997</v>
      </c>
      <c r="AQ145" s="41">
        <f>INDEX('[2]End - Use Prices'!$C$6:$AL$89,MATCH($C145,'[2]End - Use Prices'!$A$6:$A$89,0)+MATCH($D145,'[2]End - Use Prices'!$B$9:$B$11,0)-1,MATCH(AQ$1,'[2]End - Use Prices'!$C$7:$AL$7,0))</f>
        <v>32.54</v>
      </c>
      <c r="AR145" s="41">
        <f>INDEX('[2]End - Use Prices'!$C$6:$AL$89,MATCH($C145,'[2]End - Use Prices'!$A$6:$A$89,0)+MATCH($D145,'[2]End - Use Prices'!$B$9:$B$11,0)-1,MATCH(AR$1,'[2]End - Use Prices'!$C$7:$AL$7,0))</f>
        <v>32.57</v>
      </c>
      <c r="AS145" s="41">
        <f>INDEX('[2]End - Use Prices'!$C$6:$AL$89,MATCH($C145,'[2]End - Use Prices'!$A$6:$A$89,0)+MATCH($D145,'[2]End - Use Prices'!$B$9:$B$11,0)-1,MATCH(AS$1,'[2]End - Use Prices'!$C$7:$AL$7,0))</f>
        <v>32.56</v>
      </c>
      <c r="AT145" s="41">
        <f>INDEX('[2]End - Use Prices'!$C$6:$AL$89,MATCH($C145,'[2]End - Use Prices'!$A$6:$A$89,0)+MATCH($D145,'[2]End - Use Prices'!$B$9:$B$11,0)-1,MATCH(AT$1,'[2]End - Use Prices'!$C$7:$AL$7,0))</f>
        <v>32.44</v>
      </c>
      <c r="AU145" s="41">
        <f>INDEX('[2]End - Use Prices'!$C$6:$AL$89,MATCH($C145,'[2]End - Use Prices'!$A$6:$A$89,0)+MATCH($D145,'[2]End - Use Prices'!$B$9:$B$11,0)-1,MATCH(AU$1,'[2]End - Use Prices'!$C$7:$AL$7,0))</f>
        <v>32.29</v>
      </c>
      <c r="AV145" s="41">
        <f>INDEX('[2]End - Use Prices'!$C$6:$AL$89,MATCH($C145,'[2]End - Use Prices'!$A$6:$A$89,0)+MATCH($D145,'[2]End - Use Prices'!$B$9:$B$11,0)-1,MATCH(AV$1,'[2]End - Use Prices'!$C$7:$AL$7,0))</f>
        <v>32.17</v>
      </c>
      <c r="AW145" s="41">
        <f>INDEX('[2]End - Use Prices'!$C$6:$AL$89,MATCH($C145,'[2]End - Use Prices'!$A$6:$A$89,0)+MATCH($D145,'[2]End - Use Prices'!$B$9:$B$11,0)-1,MATCH(AW$1,'[2]End - Use Prices'!$C$7:$AL$7,0))</f>
        <v>32.04</v>
      </c>
      <c r="AX145" s="41">
        <f>INDEX('[2]End - Use Prices'!$C$6:$AL$89,MATCH($C145,'[2]End - Use Prices'!$A$6:$A$89,0)+MATCH($D145,'[2]End - Use Prices'!$B$9:$B$11,0)-1,MATCH(AX$1,'[2]End - Use Prices'!$C$7:$AL$7,0))</f>
        <v>31.98</v>
      </c>
      <c r="AY145" s="41">
        <f>INDEX('[2]End - Use Prices'!$C$6:$AL$89,MATCH($C145,'[2]End - Use Prices'!$A$6:$A$89,0)+MATCH($D145,'[2]End - Use Prices'!$B$9:$B$11,0)-1,MATCH(AY$1,'[2]End - Use Prices'!$C$7:$AL$7,0))</f>
        <v>31.96</v>
      </c>
      <c r="AZ145" s="41">
        <f>INDEX('[2]End - Use Prices'!$C$6:$AL$89,MATCH($C145,'[2]End - Use Prices'!$A$6:$A$89,0)+MATCH($D145,'[2]End - Use Prices'!$B$9:$B$11,0)-1,MATCH(AZ$1,'[2]End - Use Prices'!$C$7:$AL$7,0))</f>
        <v>31.97</v>
      </c>
      <c r="BA145" s="41">
        <f>INDEX('[2]End - Use Prices'!$C$6:$AL$89,MATCH($C145,'[2]End - Use Prices'!$A$6:$A$89,0)+MATCH($D145,'[2]End - Use Prices'!$B$9:$B$11,0)-1,MATCH(BA$1,'[2]End - Use Prices'!$C$7:$AL$7,0))</f>
        <v>32.01</v>
      </c>
      <c r="BB145" s="41">
        <f>INDEX('[2]End - Use Prices'!$C$6:$AL$89,MATCH($C145,'[2]End - Use Prices'!$A$6:$A$89,0)+MATCH($D145,'[2]End - Use Prices'!$B$9:$B$11,0)-1,MATCH(BB$1,'[2]End - Use Prices'!$C$7:$AL$7,0))</f>
        <v>32.03</v>
      </c>
      <c r="BC145" s="41">
        <f>INDEX('[2]End - Use Prices'!$C$6:$AL$89,MATCH($C145,'[2]End - Use Prices'!$A$6:$A$89,0)+MATCH($D145,'[2]End - Use Prices'!$B$9:$B$11,0)-1,MATCH(BC$1,'[2]End - Use Prices'!$C$7:$AL$7,0))</f>
        <v>32.03</v>
      </c>
      <c r="BD145" s="41">
        <f>INDEX('[2]End - Use Prices'!$C$6:$AL$89,MATCH($C145,'[2]End - Use Prices'!$A$6:$A$89,0)+MATCH($D145,'[2]End - Use Prices'!$B$9:$B$11,0)-1,MATCH(BD$1,'[2]End - Use Prices'!$C$7:$AL$7,0))</f>
        <v>32.020000000000003</v>
      </c>
      <c r="BE145" s="41">
        <f>INDEX('[2]End - Use Prices'!$C$6:$AL$89,MATCH($C145,'[2]End - Use Prices'!$A$6:$A$89,0)+MATCH($D145,'[2]End - Use Prices'!$B$9:$B$11,0)-1,MATCH(BE$1,'[2]End - Use Prices'!$C$7:$AL$7,0))</f>
        <v>31.97</v>
      </c>
      <c r="BF145" s="41">
        <f>INDEX('[2]End - Use Prices'!$C$6:$AL$89,MATCH($C145,'[2]End - Use Prices'!$A$6:$A$89,0)+MATCH($D145,'[2]End - Use Prices'!$B$9:$B$11,0)-1,MATCH(BF$1,'[2]End - Use Prices'!$C$7:$AL$7,0))</f>
        <v>31.93</v>
      </c>
      <c r="BG145" s="41">
        <f>INDEX('[2]End - Use Prices'!$C$6:$AL$89,MATCH($C145,'[2]End - Use Prices'!$A$6:$A$89,0)+MATCH($D145,'[2]End - Use Prices'!$B$9:$B$11,0)-1,MATCH(BG$1,'[2]End - Use Prices'!$C$7:$AL$7,0))</f>
        <v>31.87</v>
      </c>
      <c r="BR145" s="39"/>
      <c r="BS145" s="39"/>
      <c r="BT145" s="39"/>
      <c r="BU145" s="39"/>
      <c r="BV145" s="39"/>
      <c r="BW145" s="39"/>
      <c r="BX145" s="39"/>
      <c r="BY145" s="39"/>
      <c r="BZ145" s="39"/>
      <c r="CA145" s="39"/>
    </row>
    <row r="146" spans="1:79">
      <c r="A146" s="5"/>
      <c r="B146" s="3"/>
      <c r="C146" s="25" t="s">
        <v>94</v>
      </c>
      <c r="D146" s="25" t="s">
        <v>276</v>
      </c>
      <c r="E146" s="25" t="s">
        <v>277</v>
      </c>
      <c r="F146" s="67" t="s">
        <v>275</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INDEX('[2]End - Use Prices'!$C$6:$AL$89,MATCH($C146,'[2]End - Use Prices'!$A$6:$A$89,0)+MATCH($D146,'[2]End - Use Prices'!$B$9:$B$11,0)-1,MATCH(X$1,'[2]End - Use Prices'!$C$7:$AL$7,0))</f>
        <v>26.74</v>
      </c>
      <c r="Y146" s="41">
        <f>INDEX('[2]End - Use Prices'!$C$6:$AL$89,MATCH($C146,'[2]End - Use Prices'!$A$6:$A$89,0)+MATCH($D146,'[2]End - Use Prices'!$B$9:$B$11,0)-1,MATCH(Y$1,'[2]End - Use Prices'!$C$7:$AL$7,0))</f>
        <v>27.19</v>
      </c>
      <c r="Z146" s="41">
        <f>INDEX('[2]End - Use Prices'!$C$6:$AL$89,MATCH($C146,'[2]End - Use Prices'!$A$6:$A$89,0)+MATCH($D146,'[2]End - Use Prices'!$B$9:$B$11,0)-1,MATCH(Z$1,'[2]End - Use Prices'!$C$7:$AL$7,0))</f>
        <v>29.89</v>
      </c>
      <c r="AA146" s="41">
        <f>INDEX('[2]End - Use Prices'!$C$6:$AL$89,MATCH($C146,'[2]End - Use Prices'!$A$6:$A$89,0)+MATCH($D146,'[2]End - Use Prices'!$B$9:$B$11,0)-1,MATCH(AA$1,'[2]End - Use Prices'!$C$7:$AL$7,0))</f>
        <v>36.56</v>
      </c>
      <c r="AB146" s="41">
        <f>INDEX('[2]End - Use Prices'!$C$6:$AL$89,MATCH($C146,'[2]End - Use Prices'!$A$6:$A$89,0)+MATCH($D146,'[2]End - Use Prices'!$B$9:$B$11,0)-1,MATCH(AB$1,'[2]End - Use Prices'!$C$7:$AL$7,0))</f>
        <v>26.59</v>
      </c>
      <c r="AC146" s="41">
        <f>INDEX('[2]End - Use Prices'!$C$6:$AL$89,MATCH($C146,'[2]End - Use Prices'!$A$6:$A$89,0)+MATCH($D146,'[2]End - Use Prices'!$B$9:$B$11,0)-1,MATCH(AC$1,'[2]End - Use Prices'!$C$7:$AL$7,0))</f>
        <v>28.81</v>
      </c>
      <c r="AD146" s="41">
        <f>INDEX('[2]End - Use Prices'!$C$6:$AL$89,MATCH($C146,'[2]End - Use Prices'!$A$6:$A$89,0)+MATCH($D146,'[2]End - Use Prices'!$B$9:$B$11,0)-1,MATCH(AD$1,'[2]End - Use Prices'!$C$7:$AL$7,0))</f>
        <v>34.630000000000003</v>
      </c>
      <c r="AE146" s="41">
        <f>INDEX('[2]End - Use Prices'!$C$6:$AL$89,MATCH($C146,'[2]End - Use Prices'!$A$6:$A$89,0)+MATCH($D146,'[2]End - Use Prices'!$B$9:$B$11,0)-1,MATCH(AE$1,'[2]End - Use Prices'!$C$7:$AL$7,0))</f>
        <v>34.79</v>
      </c>
      <c r="AF146" s="41">
        <f>INDEX('[2]End - Use Prices'!$C$6:$AL$89,MATCH($C146,'[2]End - Use Prices'!$A$6:$A$89,0)+MATCH($D146,'[2]End - Use Prices'!$B$9:$B$11,0)-1,MATCH(AF$1,'[2]End - Use Prices'!$C$7:$AL$7,0))</f>
        <v>33.89</v>
      </c>
      <c r="AG146" s="41">
        <f>INDEX('[2]End - Use Prices'!$C$6:$AL$89,MATCH($C146,'[2]End - Use Prices'!$A$6:$A$89,0)+MATCH($D146,'[2]End - Use Prices'!$B$9:$B$11,0)-1,MATCH(AG$1,'[2]End - Use Prices'!$C$7:$AL$7,0))</f>
        <v>36.409999999999997</v>
      </c>
      <c r="AH146" s="41">
        <f>INDEX('[2]End - Use Prices'!$C$6:$AL$89,MATCH($C146,'[2]End - Use Prices'!$A$6:$A$89,0)+MATCH($D146,'[2]End - Use Prices'!$B$9:$B$11,0)-1,MATCH(AH$1,'[2]End - Use Prices'!$C$7:$AL$7,0))</f>
        <v>28.29</v>
      </c>
      <c r="AI146" s="41">
        <f>INDEX('[2]End - Use Prices'!$C$6:$AL$89,MATCH($C146,'[2]End - Use Prices'!$A$6:$A$89,0)+MATCH($D146,'[2]End - Use Prices'!$B$9:$B$11,0)-1,MATCH(AI$1,'[2]End - Use Prices'!$C$7:$AL$7,0))</f>
        <v>24.92</v>
      </c>
      <c r="AJ146" s="41">
        <f>INDEX('[2]End - Use Prices'!$C$6:$AL$89,MATCH($C146,'[2]End - Use Prices'!$A$6:$A$89,0)+MATCH($D146,'[2]End - Use Prices'!$B$9:$B$11,0)-1,MATCH(AJ$1,'[2]End - Use Prices'!$C$7:$AL$7,0))</f>
        <v>27.54</v>
      </c>
      <c r="AK146" s="41">
        <f>INDEX('[2]End - Use Prices'!$C$6:$AL$89,MATCH($C146,'[2]End - Use Prices'!$A$6:$A$89,0)+MATCH($D146,'[2]End - Use Prices'!$B$9:$B$11,0)-1,MATCH(AK$1,'[2]End - Use Prices'!$C$7:$AL$7,0))</f>
        <v>30.62</v>
      </c>
      <c r="AL146" s="41">
        <f>INDEX('[2]End - Use Prices'!$C$6:$AL$89,MATCH($C146,'[2]End - Use Prices'!$A$6:$A$89,0)+MATCH($D146,'[2]End - Use Prices'!$B$9:$B$11,0)-1,MATCH(AL$1,'[2]End - Use Prices'!$C$7:$AL$7,0))</f>
        <v>32.35</v>
      </c>
      <c r="AM146" s="41">
        <f>INDEX('[2]End - Use Prices'!$C$6:$AL$89,MATCH($C146,'[2]End - Use Prices'!$A$6:$A$89,0)+MATCH($D146,'[2]End - Use Prices'!$B$9:$B$11,0)-1,MATCH(AM$1,'[2]End - Use Prices'!$C$7:$AL$7,0))</f>
        <v>36.4</v>
      </c>
      <c r="AN146" s="41">
        <f>INDEX('[2]End - Use Prices'!$C$6:$AL$89,MATCH($C146,'[2]End - Use Prices'!$A$6:$A$89,0)+MATCH($D146,'[2]End - Use Prices'!$B$9:$B$11,0)-1,MATCH(AN$1,'[2]End - Use Prices'!$C$7:$AL$7,0))</f>
        <v>33.33</v>
      </c>
      <c r="AO146" s="41">
        <f>INDEX('[2]End - Use Prices'!$C$6:$AL$89,MATCH($C146,'[2]End - Use Prices'!$A$6:$A$89,0)+MATCH($D146,'[2]End - Use Prices'!$B$9:$B$11,0)-1,MATCH(AO$1,'[2]End - Use Prices'!$C$7:$AL$7,0))</f>
        <v>31.29</v>
      </c>
      <c r="AP146" s="41">
        <f>INDEX('[2]End - Use Prices'!$C$6:$AL$89,MATCH($C146,'[2]End - Use Prices'!$A$6:$A$89,0)+MATCH($D146,'[2]End - Use Prices'!$B$9:$B$11,0)-1,MATCH(AP$1,'[2]End - Use Prices'!$C$7:$AL$7,0))</f>
        <v>31.79</v>
      </c>
      <c r="AQ146" s="41">
        <f>INDEX('[2]End - Use Prices'!$C$6:$AL$89,MATCH($C146,'[2]End - Use Prices'!$A$6:$A$89,0)+MATCH($D146,'[2]End - Use Prices'!$B$9:$B$11,0)-1,MATCH(AQ$1,'[2]End - Use Prices'!$C$7:$AL$7,0))</f>
        <v>31.61</v>
      </c>
      <c r="AR146" s="41">
        <f>INDEX('[2]End - Use Prices'!$C$6:$AL$89,MATCH($C146,'[2]End - Use Prices'!$A$6:$A$89,0)+MATCH($D146,'[2]End - Use Prices'!$B$9:$B$11,0)-1,MATCH(AR$1,'[2]End - Use Prices'!$C$7:$AL$7,0))</f>
        <v>31.63</v>
      </c>
      <c r="AS146" s="41">
        <f>INDEX('[2]End - Use Prices'!$C$6:$AL$89,MATCH($C146,'[2]End - Use Prices'!$A$6:$A$89,0)+MATCH($D146,'[2]End - Use Prices'!$B$9:$B$11,0)-1,MATCH(AS$1,'[2]End - Use Prices'!$C$7:$AL$7,0))</f>
        <v>31.62</v>
      </c>
      <c r="AT146" s="41">
        <f>INDEX('[2]End - Use Prices'!$C$6:$AL$89,MATCH($C146,'[2]End - Use Prices'!$A$6:$A$89,0)+MATCH($D146,'[2]End - Use Prices'!$B$9:$B$11,0)-1,MATCH(AT$1,'[2]End - Use Prices'!$C$7:$AL$7,0))</f>
        <v>31.5</v>
      </c>
      <c r="AU146" s="41">
        <f>INDEX('[2]End - Use Prices'!$C$6:$AL$89,MATCH($C146,'[2]End - Use Prices'!$A$6:$A$89,0)+MATCH($D146,'[2]End - Use Prices'!$B$9:$B$11,0)-1,MATCH(AU$1,'[2]End - Use Prices'!$C$7:$AL$7,0))</f>
        <v>31.35</v>
      </c>
      <c r="AV146" s="41">
        <f>INDEX('[2]End - Use Prices'!$C$6:$AL$89,MATCH($C146,'[2]End - Use Prices'!$A$6:$A$89,0)+MATCH($D146,'[2]End - Use Prices'!$B$9:$B$11,0)-1,MATCH(AV$1,'[2]End - Use Prices'!$C$7:$AL$7,0))</f>
        <v>31.23</v>
      </c>
      <c r="AW146" s="41">
        <f>INDEX('[2]End - Use Prices'!$C$6:$AL$89,MATCH($C146,'[2]End - Use Prices'!$A$6:$A$89,0)+MATCH($D146,'[2]End - Use Prices'!$B$9:$B$11,0)-1,MATCH(AW$1,'[2]End - Use Prices'!$C$7:$AL$7,0))</f>
        <v>31.1</v>
      </c>
      <c r="AX146" s="41">
        <f>INDEX('[2]End - Use Prices'!$C$6:$AL$89,MATCH($C146,'[2]End - Use Prices'!$A$6:$A$89,0)+MATCH($D146,'[2]End - Use Prices'!$B$9:$B$11,0)-1,MATCH(AX$1,'[2]End - Use Prices'!$C$7:$AL$7,0))</f>
        <v>31.05</v>
      </c>
      <c r="AY146" s="41">
        <f>INDEX('[2]End - Use Prices'!$C$6:$AL$89,MATCH($C146,'[2]End - Use Prices'!$A$6:$A$89,0)+MATCH($D146,'[2]End - Use Prices'!$B$9:$B$11,0)-1,MATCH(AY$1,'[2]End - Use Prices'!$C$7:$AL$7,0))</f>
        <v>31.02</v>
      </c>
      <c r="AZ146" s="41">
        <f>INDEX('[2]End - Use Prices'!$C$6:$AL$89,MATCH($C146,'[2]End - Use Prices'!$A$6:$A$89,0)+MATCH($D146,'[2]End - Use Prices'!$B$9:$B$11,0)-1,MATCH(AZ$1,'[2]End - Use Prices'!$C$7:$AL$7,0))</f>
        <v>31.03</v>
      </c>
      <c r="BA146" s="41">
        <f>INDEX('[2]End - Use Prices'!$C$6:$AL$89,MATCH($C146,'[2]End - Use Prices'!$A$6:$A$89,0)+MATCH($D146,'[2]End - Use Prices'!$B$9:$B$11,0)-1,MATCH(BA$1,'[2]End - Use Prices'!$C$7:$AL$7,0))</f>
        <v>31.07</v>
      </c>
      <c r="BB146" s="41">
        <f>INDEX('[2]End - Use Prices'!$C$6:$AL$89,MATCH($C146,'[2]End - Use Prices'!$A$6:$A$89,0)+MATCH($D146,'[2]End - Use Prices'!$B$9:$B$11,0)-1,MATCH(BB$1,'[2]End - Use Prices'!$C$7:$AL$7,0))</f>
        <v>31.09</v>
      </c>
      <c r="BC146" s="41">
        <f>INDEX('[2]End - Use Prices'!$C$6:$AL$89,MATCH($C146,'[2]End - Use Prices'!$A$6:$A$89,0)+MATCH($D146,'[2]End - Use Prices'!$B$9:$B$11,0)-1,MATCH(BC$1,'[2]End - Use Prices'!$C$7:$AL$7,0))</f>
        <v>31.09</v>
      </c>
      <c r="BD146" s="41">
        <f>INDEX('[2]End - Use Prices'!$C$6:$AL$89,MATCH($C146,'[2]End - Use Prices'!$A$6:$A$89,0)+MATCH($D146,'[2]End - Use Prices'!$B$9:$B$11,0)-1,MATCH(BD$1,'[2]End - Use Prices'!$C$7:$AL$7,0))</f>
        <v>31.08</v>
      </c>
      <c r="BE146" s="41">
        <f>INDEX('[2]End - Use Prices'!$C$6:$AL$89,MATCH($C146,'[2]End - Use Prices'!$A$6:$A$89,0)+MATCH($D146,'[2]End - Use Prices'!$B$9:$B$11,0)-1,MATCH(BE$1,'[2]End - Use Prices'!$C$7:$AL$7,0))</f>
        <v>31.03</v>
      </c>
      <c r="BF146" s="41">
        <f>INDEX('[2]End - Use Prices'!$C$6:$AL$89,MATCH($C146,'[2]End - Use Prices'!$A$6:$A$89,0)+MATCH($D146,'[2]End - Use Prices'!$B$9:$B$11,0)-1,MATCH(BF$1,'[2]End - Use Prices'!$C$7:$AL$7,0))</f>
        <v>30.99</v>
      </c>
      <c r="BG146" s="41">
        <f>INDEX('[2]End - Use Prices'!$C$6:$AL$89,MATCH($C146,'[2]End - Use Prices'!$A$6:$A$89,0)+MATCH($D146,'[2]End - Use Prices'!$B$9:$B$11,0)-1,MATCH(BG$1,'[2]End - Use Prices'!$C$7:$AL$7,0))</f>
        <v>30.93</v>
      </c>
      <c r="BR146" s="39"/>
      <c r="BS146" s="39"/>
      <c r="BT146" s="39"/>
      <c r="BU146" s="39"/>
      <c r="BV146" s="39"/>
      <c r="BW146" s="39"/>
      <c r="BX146" s="39"/>
      <c r="BY146" s="39"/>
      <c r="BZ146" s="39"/>
      <c r="CA146" s="39"/>
    </row>
    <row r="147" spans="1:79">
      <c r="A147" s="5"/>
      <c r="B147" s="3"/>
      <c r="C147" s="25" t="s">
        <v>93</v>
      </c>
      <c r="D147" s="25" t="s">
        <v>276</v>
      </c>
      <c r="E147" s="25" t="s">
        <v>277</v>
      </c>
      <c r="F147" s="67" t="s">
        <v>275</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INDEX('[2]End - Use Prices'!$C$6:$AL$89,MATCH($C147,'[2]End - Use Prices'!$A$6:$A$89,0)+MATCH($D147,'[2]End - Use Prices'!$B$9:$B$11,0)-1,MATCH(X$1,'[2]End - Use Prices'!$C$7:$AL$7,0))</f>
        <v>26.74</v>
      </c>
      <c r="Y147" s="41">
        <f>INDEX('[2]End - Use Prices'!$C$6:$AL$89,MATCH($C147,'[2]End - Use Prices'!$A$6:$A$89,0)+MATCH($D147,'[2]End - Use Prices'!$B$9:$B$11,0)-1,MATCH(Y$1,'[2]End - Use Prices'!$C$7:$AL$7,0))</f>
        <v>27.19</v>
      </c>
      <c r="Z147" s="41">
        <f>INDEX('[2]End - Use Prices'!$C$6:$AL$89,MATCH($C147,'[2]End - Use Prices'!$A$6:$A$89,0)+MATCH($D147,'[2]End - Use Prices'!$B$9:$B$11,0)-1,MATCH(Z$1,'[2]End - Use Prices'!$C$7:$AL$7,0))</f>
        <v>29.89</v>
      </c>
      <c r="AA147" s="41">
        <f>INDEX('[2]End - Use Prices'!$C$6:$AL$89,MATCH($C147,'[2]End - Use Prices'!$A$6:$A$89,0)+MATCH($D147,'[2]End - Use Prices'!$B$9:$B$11,0)-1,MATCH(AA$1,'[2]End - Use Prices'!$C$7:$AL$7,0))</f>
        <v>36.56</v>
      </c>
      <c r="AB147" s="41">
        <f>INDEX('[2]End - Use Prices'!$C$6:$AL$89,MATCH($C147,'[2]End - Use Prices'!$A$6:$A$89,0)+MATCH($D147,'[2]End - Use Prices'!$B$9:$B$11,0)-1,MATCH(AB$1,'[2]End - Use Prices'!$C$7:$AL$7,0))</f>
        <v>26.59</v>
      </c>
      <c r="AC147" s="41">
        <f>INDEX('[2]End - Use Prices'!$C$6:$AL$89,MATCH($C147,'[2]End - Use Prices'!$A$6:$A$89,0)+MATCH($D147,'[2]End - Use Prices'!$B$9:$B$11,0)-1,MATCH(AC$1,'[2]End - Use Prices'!$C$7:$AL$7,0))</f>
        <v>28.81</v>
      </c>
      <c r="AD147" s="41">
        <f>INDEX('[2]End - Use Prices'!$C$6:$AL$89,MATCH($C147,'[2]End - Use Prices'!$A$6:$A$89,0)+MATCH($D147,'[2]End - Use Prices'!$B$9:$B$11,0)-1,MATCH(AD$1,'[2]End - Use Prices'!$C$7:$AL$7,0))</f>
        <v>34.630000000000003</v>
      </c>
      <c r="AE147" s="41">
        <f>INDEX('[2]End - Use Prices'!$C$6:$AL$89,MATCH($C147,'[2]End - Use Prices'!$A$6:$A$89,0)+MATCH($D147,'[2]End - Use Prices'!$B$9:$B$11,0)-1,MATCH(AE$1,'[2]End - Use Prices'!$C$7:$AL$7,0))</f>
        <v>34.79</v>
      </c>
      <c r="AF147" s="41">
        <f>INDEX('[2]End - Use Prices'!$C$6:$AL$89,MATCH($C147,'[2]End - Use Prices'!$A$6:$A$89,0)+MATCH($D147,'[2]End - Use Prices'!$B$9:$B$11,0)-1,MATCH(AF$1,'[2]End - Use Prices'!$C$7:$AL$7,0))</f>
        <v>33.89</v>
      </c>
      <c r="AG147" s="41">
        <f>INDEX('[2]End - Use Prices'!$C$6:$AL$89,MATCH($C147,'[2]End - Use Prices'!$A$6:$A$89,0)+MATCH($D147,'[2]End - Use Prices'!$B$9:$B$11,0)-1,MATCH(AG$1,'[2]End - Use Prices'!$C$7:$AL$7,0))</f>
        <v>36.409999999999997</v>
      </c>
      <c r="AH147" s="41">
        <f>INDEX('[2]End - Use Prices'!$C$6:$AL$89,MATCH($C147,'[2]End - Use Prices'!$A$6:$A$89,0)+MATCH($D147,'[2]End - Use Prices'!$B$9:$B$11,0)-1,MATCH(AH$1,'[2]End - Use Prices'!$C$7:$AL$7,0))</f>
        <v>28.29</v>
      </c>
      <c r="AI147" s="41">
        <f>INDEX('[2]End - Use Prices'!$C$6:$AL$89,MATCH($C147,'[2]End - Use Prices'!$A$6:$A$89,0)+MATCH($D147,'[2]End - Use Prices'!$B$9:$B$11,0)-1,MATCH(AI$1,'[2]End - Use Prices'!$C$7:$AL$7,0))</f>
        <v>24.92</v>
      </c>
      <c r="AJ147" s="41">
        <f>INDEX('[2]End - Use Prices'!$C$6:$AL$89,MATCH($C147,'[2]End - Use Prices'!$A$6:$A$89,0)+MATCH($D147,'[2]End - Use Prices'!$B$9:$B$11,0)-1,MATCH(AJ$1,'[2]End - Use Prices'!$C$7:$AL$7,0))</f>
        <v>27.54</v>
      </c>
      <c r="AK147" s="41">
        <f>INDEX('[2]End - Use Prices'!$C$6:$AL$89,MATCH($C147,'[2]End - Use Prices'!$A$6:$A$89,0)+MATCH($D147,'[2]End - Use Prices'!$B$9:$B$11,0)-1,MATCH(AK$1,'[2]End - Use Prices'!$C$7:$AL$7,0))</f>
        <v>30.62</v>
      </c>
      <c r="AL147" s="41">
        <f>INDEX('[2]End - Use Prices'!$C$6:$AL$89,MATCH($C147,'[2]End - Use Prices'!$A$6:$A$89,0)+MATCH($D147,'[2]End - Use Prices'!$B$9:$B$11,0)-1,MATCH(AL$1,'[2]End - Use Prices'!$C$7:$AL$7,0))</f>
        <v>32.35</v>
      </c>
      <c r="AM147" s="41">
        <f>INDEX('[2]End - Use Prices'!$C$6:$AL$89,MATCH($C147,'[2]End - Use Prices'!$A$6:$A$89,0)+MATCH($D147,'[2]End - Use Prices'!$B$9:$B$11,0)-1,MATCH(AM$1,'[2]End - Use Prices'!$C$7:$AL$7,0))</f>
        <v>36.33</v>
      </c>
      <c r="AN147" s="41">
        <f>INDEX('[2]End - Use Prices'!$C$6:$AL$89,MATCH($C147,'[2]End - Use Prices'!$A$6:$A$89,0)+MATCH($D147,'[2]End - Use Prices'!$B$9:$B$11,0)-1,MATCH(AN$1,'[2]End - Use Prices'!$C$7:$AL$7,0))</f>
        <v>33.229999999999997</v>
      </c>
      <c r="AO147" s="41">
        <f>INDEX('[2]End - Use Prices'!$C$6:$AL$89,MATCH($C147,'[2]End - Use Prices'!$A$6:$A$89,0)+MATCH($D147,'[2]End - Use Prices'!$B$9:$B$11,0)-1,MATCH(AO$1,'[2]End - Use Prices'!$C$7:$AL$7,0))</f>
        <v>31.15</v>
      </c>
      <c r="AP147" s="41">
        <f>INDEX('[2]End - Use Prices'!$C$6:$AL$89,MATCH($C147,'[2]End - Use Prices'!$A$6:$A$89,0)+MATCH($D147,'[2]End - Use Prices'!$B$9:$B$11,0)-1,MATCH(AP$1,'[2]End - Use Prices'!$C$7:$AL$7,0))</f>
        <v>31.62</v>
      </c>
      <c r="AQ147" s="41">
        <f>INDEX('[2]End - Use Prices'!$C$6:$AL$89,MATCH($C147,'[2]End - Use Prices'!$A$6:$A$89,0)+MATCH($D147,'[2]End - Use Prices'!$B$9:$B$11,0)-1,MATCH(AQ$1,'[2]End - Use Prices'!$C$7:$AL$7,0))</f>
        <v>31.44</v>
      </c>
      <c r="AR147" s="41">
        <f>INDEX('[2]End - Use Prices'!$C$6:$AL$89,MATCH($C147,'[2]End - Use Prices'!$A$6:$A$89,0)+MATCH($D147,'[2]End - Use Prices'!$B$9:$B$11,0)-1,MATCH(AR$1,'[2]End - Use Prices'!$C$7:$AL$7,0))</f>
        <v>31.48</v>
      </c>
      <c r="AS147" s="41">
        <f>INDEX('[2]End - Use Prices'!$C$6:$AL$89,MATCH($C147,'[2]End - Use Prices'!$A$6:$A$89,0)+MATCH($D147,'[2]End - Use Prices'!$B$9:$B$11,0)-1,MATCH(AS$1,'[2]End - Use Prices'!$C$7:$AL$7,0))</f>
        <v>31.46</v>
      </c>
      <c r="AT147" s="41">
        <f>INDEX('[2]End - Use Prices'!$C$6:$AL$89,MATCH($C147,'[2]End - Use Prices'!$A$6:$A$89,0)+MATCH($D147,'[2]End - Use Prices'!$B$9:$B$11,0)-1,MATCH(AT$1,'[2]End - Use Prices'!$C$7:$AL$7,0))</f>
        <v>31.36</v>
      </c>
      <c r="AU147" s="41">
        <f>INDEX('[2]End - Use Prices'!$C$6:$AL$89,MATCH($C147,'[2]End - Use Prices'!$A$6:$A$89,0)+MATCH($D147,'[2]End - Use Prices'!$B$9:$B$11,0)-1,MATCH(AU$1,'[2]End - Use Prices'!$C$7:$AL$7,0))</f>
        <v>31.2</v>
      </c>
      <c r="AV147" s="41">
        <f>INDEX('[2]End - Use Prices'!$C$6:$AL$89,MATCH($C147,'[2]End - Use Prices'!$A$6:$A$89,0)+MATCH($D147,'[2]End - Use Prices'!$B$9:$B$11,0)-1,MATCH(AV$1,'[2]End - Use Prices'!$C$7:$AL$7,0))</f>
        <v>31.09</v>
      </c>
      <c r="AW147" s="41">
        <f>INDEX('[2]End - Use Prices'!$C$6:$AL$89,MATCH($C147,'[2]End - Use Prices'!$A$6:$A$89,0)+MATCH($D147,'[2]End - Use Prices'!$B$9:$B$11,0)-1,MATCH(AW$1,'[2]End - Use Prices'!$C$7:$AL$7,0))</f>
        <v>30.97</v>
      </c>
      <c r="AX147" s="41">
        <f>INDEX('[2]End - Use Prices'!$C$6:$AL$89,MATCH($C147,'[2]End - Use Prices'!$A$6:$A$89,0)+MATCH($D147,'[2]End - Use Prices'!$B$9:$B$11,0)-1,MATCH(AX$1,'[2]End - Use Prices'!$C$7:$AL$7,0))</f>
        <v>30.91</v>
      </c>
      <c r="AY147" s="41">
        <f>INDEX('[2]End - Use Prices'!$C$6:$AL$89,MATCH($C147,'[2]End - Use Prices'!$A$6:$A$89,0)+MATCH($D147,'[2]End - Use Prices'!$B$9:$B$11,0)-1,MATCH(AY$1,'[2]End - Use Prices'!$C$7:$AL$7,0))</f>
        <v>30.89</v>
      </c>
      <c r="AZ147" s="41">
        <f>INDEX('[2]End - Use Prices'!$C$6:$AL$89,MATCH($C147,'[2]End - Use Prices'!$A$6:$A$89,0)+MATCH($D147,'[2]End - Use Prices'!$B$9:$B$11,0)-1,MATCH(AZ$1,'[2]End - Use Prices'!$C$7:$AL$7,0))</f>
        <v>30.9</v>
      </c>
      <c r="BA147" s="41">
        <f>INDEX('[2]End - Use Prices'!$C$6:$AL$89,MATCH($C147,'[2]End - Use Prices'!$A$6:$A$89,0)+MATCH($D147,'[2]End - Use Prices'!$B$9:$B$11,0)-1,MATCH(BA$1,'[2]End - Use Prices'!$C$7:$AL$7,0))</f>
        <v>30.94</v>
      </c>
      <c r="BB147" s="41">
        <f>INDEX('[2]End - Use Prices'!$C$6:$AL$89,MATCH($C147,'[2]End - Use Prices'!$A$6:$A$89,0)+MATCH($D147,'[2]End - Use Prices'!$B$9:$B$11,0)-1,MATCH(BB$1,'[2]End - Use Prices'!$C$7:$AL$7,0))</f>
        <v>30.96</v>
      </c>
      <c r="BC147" s="41">
        <f>INDEX('[2]End - Use Prices'!$C$6:$AL$89,MATCH($C147,'[2]End - Use Prices'!$A$6:$A$89,0)+MATCH($D147,'[2]End - Use Prices'!$B$9:$B$11,0)-1,MATCH(BC$1,'[2]End - Use Prices'!$C$7:$AL$7,0))</f>
        <v>30.97</v>
      </c>
      <c r="BD147" s="41">
        <f>INDEX('[2]End - Use Prices'!$C$6:$AL$89,MATCH($C147,'[2]End - Use Prices'!$A$6:$A$89,0)+MATCH($D147,'[2]End - Use Prices'!$B$9:$B$11,0)-1,MATCH(BD$1,'[2]End - Use Prices'!$C$7:$AL$7,0))</f>
        <v>30.96</v>
      </c>
      <c r="BE147" s="41">
        <f>INDEX('[2]End - Use Prices'!$C$6:$AL$89,MATCH($C147,'[2]End - Use Prices'!$A$6:$A$89,0)+MATCH($D147,'[2]End - Use Prices'!$B$9:$B$11,0)-1,MATCH(BE$1,'[2]End - Use Prices'!$C$7:$AL$7,0))</f>
        <v>30.91</v>
      </c>
      <c r="BF147" s="41">
        <f>INDEX('[2]End - Use Prices'!$C$6:$AL$89,MATCH($C147,'[2]End - Use Prices'!$A$6:$A$89,0)+MATCH($D147,'[2]End - Use Prices'!$B$9:$B$11,0)-1,MATCH(BF$1,'[2]End - Use Prices'!$C$7:$AL$7,0))</f>
        <v>30.87</v>
      </c>
      <c r="BG147" s="41">
        <f>INDEX('[2]End - Use Prices'!$C$6:$AL$89,MATCH($C147,'[2]End - Use Prices'!$A$6:$A$89,0)+MATCH($D147,'[2]End - Use Prices'!$B$9:$B$11,0)-1,MATCH(BG$1,'[2]End - Use Prices'!$C$7:$AL$7,0))</f>
        <v>30.82</v>
      </c>
      <c r="BR147" s="39"/>
      <c r="BS147" s="39"/>
      <c r="BT147" s="39"/>
      <c r="BU147" s="39"/>
      <c r="BV147" s="39"/>
      <c r="BW147" s="39"/>
      <c r="BX147" s="39"/>
      <c r="BY147" s="39"/>
      <c r="BZ147" s="39"/>
      <c r="CA147" s="39"/>
    </row>
    <row r="148" spans="1:79" s="39" customFormat="1">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c r="A150" s="5"/>
      <c r="B150" s="64" t="s">
        <v>297</v>
      </c>
      <c r="C150" s="25" t="s">
        <v>47</v>
      </c>
      <c r="D150" s="25" t="s">
        <v>2</v>
      </c>
      <c r="E150" s="25" t="s">
        <v>277</v>
      </c>
      <c r="F150" s="67" t="s">
        <v>275</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INDEX('[2]End - Use Prices'!$C$6:$AL$89,MATCH($C150,'[2]End - Use Prices'!$A$6:$A$89,0)+MATCH($D150,'[2]End - Use Prices'!$B$9:$B$11,0)-1,MATCH(X$1,'[2]End - Use Prices'!$C$7:$AL$7,0))</f>
        <v>28.95</v>
      </c>
      <c r="Y150" s="41">
        <f>INDEX('[2]End - Use Prices'!$C$6:$AL$89,MATCH($C150,'[2]End - Use Prices'!$A$6:$A$89,0)+MATCH($D150,'[2]End - Use Prices'!$B$9:$B$11,0)-1,MATCH(Y$1,'[2]End - Use Prices'!$C$7:$AL$7,0))</f>
        <v>32.35</v>
      </c>
      <c r="Z150" s="41">
        <f>INDEX('[2]End - Use Prices'!$C$6:$AL$89,MATCH($C150,'[2]End - Use Prices'!$A$6:$A$89,0)+MATCH($D150,'[2]End - Use Prices'!$B$9:$B$11,0)-1,MATCH(Z$1,'[2]End - Use Prices'!$C$7:$AL$7,0))</f>
        <v>31.56</v>
      </c>
      <c r="AA150" s="41">
        <f>INDEX('[2]End - Use Prices'!$C$6:$AL$89,MATCH($C150,'[2]End - Use Prices'!$A$6:$A$89,0)+MATCH($D150,'[2]End - Use Prices'!$B$9:$B$11,0)-1,MATCH(AA$1,'[2]End - Use Prices'!$C$7:$AL$7,0))</f>
        <v>30.57</v>
      </c>
      <c r="AB150" s="41">
        <f>INDEX('[2]End - Use Prices'!$C$6:$AL$89,MATCH($C150,'[2]End - Use Prices'!$A$6:$A$89,0)+MATCH($D150,'[2]End - Use Prices'!$B$9:$B$11,0)-1,MATCH(AB$1,'[2]End - Use Prices'!$C$7:$AL$7,0))</f>
        <v>31.64</v>
      </c>
      <c r="AC150" s="41">
        <f>INDEX('[2]End - Use Prices'!$C$6:$AL$89,MATCH($C150,'[2]End - Use Prices'!$A$6:$A$89,0)+MATCH($D150,'[2]End - Use Prices'!$B$9:$B$11,0)-1,MATCH(AC$1,'[2]End - Use Prices'!$C$7:$AL$7,0))</f>
        <v>31.32</v>
      </c>
      <c r="AD150" s="41">
        <f>INDEX('[2]End - Use Prices'!$C$6:$AL$89,MATCH($C150,'[2]End - Use Prices'!$A$6:$A$89,0)+MATCH($D150,'[2]End - Use Prices'!$B$9:$B$11,0)-1,MATCH(AD$1,'[2]End - Use Prices'!$C$7:$AL$7,0))</f>
        <v>32.659999999999997</v>
      </c>
      <c r="AE150" s="41">
        <f>INDEX('[2]End - Use Prices'!$C$6:$AL$89,MATCH($C150,'[2]End - Use Prices'!$A$6:$A$89,0)+MATCH($D150,'[2]End - Use Prices'!$B$9:$B$11,0)-1,MATCH(AE$1,'[2]End - Use Prices'!$C$7:$AL$7,0))</f>
        <v>32.83</v>
      </c>
      <c r="AF150" s="41">
        <f>INDEX('[2]End - Use Prices'!$C$6:$AL$89,MATCH($C150,'[2]End - Use Prices'!$A$6:$A$89,0)+MATCH($D150,'[2]End - Use Prices'!$B$9:$B$11,0)-1,MATCH(AF$1,'[2]End - Use Prices'!$C$7:$AL$7,0))</f>
        <v>32.92</v>
      </c>
      <c r="AG150" s="41">
        <f>INDEX('[2]End - Use Prices'!$C$6:$AL$89,MATCH($C150,'[2]End - Use Prices'!$A$6:$A$89,0)+MATCH($D150,'[2]End - Use Prices'!$B$9:$B$11,0)-1,MATCH(AG$1,'[2]End - Use Prices'!$C$7:$AL$7,0))</f>
        <v>33.6</v>
      </c>
      <c r="AH150" s="41">
        <f>INDEX('[2]End - Use Prices'!$C$6:$AL$89,MATCH($C150,'[2]End - Use Prices'!$A$6:$A$89,0)+MATCH($D150,'[2]End - Use Prices'!$B$9:$B$11,0)-1,MATCH(AH$1,'[2]End - Use Prices'!$C$7:$AL$7,0))</f>
        <v>34.979999999999997</v>
      </c>
      <c r="AI150" s="41">
        <f>INDEX('[2]End - Use Prices'!$C$6:$AL$89,MATCH($C150,'[2]End - Use Prices'!$A$6:$A$89,0)+MATCH($D150,'[2]End - Use Prices'!$B$9:$B$11,0)-1,MATCH(AI$1,'[2]End - Use Prices'!$C$7:$AL$7,0))</f>
        <v>37.61</v>
      </c>
      <c r="AJ150" s="41">
        <f>INDEX('[2]End - Use Prices'!$C$6:$AL$89,MATCH($C150,'[2]End - Use Prices'!$A$6:$A$89,0)+MATCH($D150,'[2]End - Use Prices'!$B$9:$B$11,0)-1,MATCH(AJ$1,'[2]End - Use Prices'!$C$7:$AL$7,0))</f>
        <v>37.65</v>
      </c>
      <c r="AK150" s="41">
        <f>INDEX('[2]End - Use Prices'!$C$6:$AL$89,MATCH($C150,'[2]End - Use Prices'!$A$6:$A$89,0)+MATCH($D150,'[2]End - Use Prices'!$B$9:$B$11,0)-1,MATCH(AK$1,'[2]End - Use Prices'!$C$7:$AL$7,0))</f>
        <v>38.03</v>
      </c>
      <c r="AL150" s="41">
        <f>INDEX('[2]End - Use Prices'!$C$6:$AL$89,MATCH($C150,'[2]End - Use Prices'!$A$6:$A$89,0)+MATCH($D150,'[2]End - Use Prices'!$B$9:$B$11,0)-1,MATCH(AL$1,'[2]End - Use Prices'!$C$7:$AL$7,0))</f>
        <v>38.380000000000003</v>
      </c>
      <c r="AM150" s="41">
        <f>INDEX('[2]End - Use Prices'!$C$6:$AL$89,MATCH($C150,'[2]End - Use Prices'!$A$6:$A$89,0)+MATCH($D150,'[2]End - Use Prices'!$B$9:$B$11,0)-1,MATCH(AM$1,'[2]End - Use Prices'!$C$7:$AL$7,0))</f>
        <v>38.72</v>
      </c>
      <c r="AN150" s="41">
        <f>INDEX('[2]End - Use Prices'!$C$6:$AL$89,MATCH($C150,'[2]End - Use Prices'!$A$6:$A$89,0)+MATCH($D150,'[2]End - Use Prices'!$B$9:$B$11,0)-1,MATCH(AN$1,'[2]End - Use Prices'!$C$7:$AL$7,0))</f>
        <v>39.04</v>
      </c>
      <c r="AO150" s="41">
        <f>INDEX('[2]End - Use Prices'!$C$6:$AL$89,MATCH($C150,'[2]End - Use Prices'!$A$6:$A$89,0)+MATCH($D150,'[2]End - Use Prices'!$B$9:$B$11,0)-1,MATCH(AO$1,'[2]End - Use Prices'!$C$7:$AL$7,0))</f>
        <v>39.36</v>
      </c>
      <c r="AP150" s="41">
        <f>INDEX('[2]End - Use Prices'!$C$6:$AL$89,MATCH($C150,'[2]End - Use Prices'!$A$6:$A$89,0)+MATCH($D150,'[2]End - Use Prices'!$B$9:$B$11,0)-1,MATCH(AP$1,'[2]End - Use Prices'!$C$7:$AL$7,0))</f>
        <v>39.69</v>
      </c>
      <c r="AQ150" s="41">
        <f>INDEX('[2]End - Use Prices'!$C$6:$AL$89,MATCH($C150,'[2]End - Use Prices'!$A$6:$A$89,0)+MATCH($D150,'[2]End - Use Prices'!$B$9:$B$11,0)-1,MATCH(AQ$1,'[2]End - Use Prices'!$C$7:$AL$7,0))</f>
        <v>40.020000000000003</v>
      </c>
      <c r="AR150" s="41">
        <f>INDEX('[2]End - Use Prices'!$C$6:$AL$89,MATCH($C150,'[2]End - Use Prices'!$A$6:$A$89,0)+MATCH($D150,'[2]End - Use Prices'!$B$9:$B$11,0)-1,MATCH(AR$1,'[2]End - Use Prices'!$C$7:$AL$7,0))</f>
        <v>40.39</v>
      </c>
      <c r="AS150" s="41">
        <f>INDEX('[2]End - Use Prices'!$C$6:$AL$89,MATCH($C150,'[2]End - Use Prices'!$A$6:$A$89,0)+MATCH($D150,'[2]End - Use Prices'!$B$9:$B$11,0)-1,MATCH(AS$1,'[2]End - Use Prices'!$C$7:$AL$7,0))</f>
        <v>40.74</v>
      </c>
      <c r="AT150" s="41">
        <f>INDEX('[2]End - Use Prices'!$C$6:$AL$89,MATCH($C150,'[2]End - Use Prices'!$A$6:$A$89,0)+MATCH($D150,'[2]End - Use Prices'!$B$9:$B$11,0)-1,MATCH(AT$1,'[2]End - Use Prices'!$C$7:$AL$7,0))</f>
        <v>41.1</v>
      </c>
      <c r="AU150" s="41">
        <f>INDEX('[2]End - Use Prices'!$C$6:$AL$89,MATCH($C150,'[2]End - Use Prices'!$A$6:$A$89,0)+MATCH($D150,'[2]End - Use Prices'!$B$9:$B$11,0)-1,MATCH(AU$1,'[2]End - Use Prices'!$C$7:$AL$7,0))</f>
        <v>41.49</v>
      </c>
      <c r="AV150" s="41">
        <f>INDEX('[2]End - Use Prices'!$C$6:$AL$89,MATCH($C150,'[2]End - Use Prices'!$A$6:$A$89,0)+MATCH($D150,'[2]End - Use Prices'!$B$9:$B$11,0)-1,MATCH(AV$1,'[2]End - Use Prices'!$C$7:$AL$7,0))</f>
        <v>41.88</v>
      </c>
      <c r="AW150" s="41">
        <f>INDEX('[2]End - Use Prices'!$C$6:$AL$89,MATCH($C150,'[2]End - Use Prices'!$A$6:$A$89,0)+MATCH($D150,'[2]End - Use Prices'!$B$9:$B$11,0)-1,MATCH(AW$1,'[2]End - Use Prices'!$C$7:$AL$7,0))</f>
        <v>42.26</v>
      </c>
      <c r="AX150" s="41">
        <f>INDEX('[2]End - Use Prices'!$C$6:$AL$89,MATCH($C150,'[2]End - Use Prices'!$A$6:$A$89,0)+MATCH($D150,'[2]End - Use Prices'!$B$9:$B$11,0)-1,MATCH(AX$1,'[2]End - Use Prices'!$C$7:$AL$7,0))</f>
        <v>42.62</v>
      </c>
      <c r="AY150" s="41">
        <f>INDEX('[2]End - Use Prices'!$C$6:$AL$89,MATCH($C150,'[2]End - Use Prices'!$A$6:$A$89,0)+MATCH($D150,'[2]End - Use Prices'!$B$9:$B$11,0)-1,MATCH(AY$1,'[2]End - Use Prices'!$C$7:$AL$7,0))</f>
        <v>42.97</v>
      </c>
      <c r="AZ150" s="41">
        <f>INDEX('[2]End - Use Prices'!$C$6:$AL$89,MATCH($C150,'[2]End - Use Prices'!$A$6:$A$89,0)+MATCH($D150,'[2]End - Use Prices'!$B$9:$B$11,0)-1,MATCH(AZ$1,'[2]End - Use Prices'!$C$7:$AL$7,0))</f>
        <v>43.31</v>
      </c>
      <c r="BA150" s="41">
        <f>INDEX('[2]End - Use Prices'!$C$6:$AL$89,MATCH($C150,'[2]End - Use Prices'!$A$6:$A$89,0)+MATCH($D150,'[2]End - Use Prices'!$B$9:$B$11,0)-1,MATCH(BA$1,'[2]End - Use Prices'!$C$7:$AL$7,0))</f>
        <v>43.65</v>
      </c>
      <c r="BB150" s="41">
        <f>INDEX('[2]End - Use Prices'!$C$6:$AL$89,MATCH($C150,'[2]End - Use Prices'!$A$6:$A$89,0)+MATCH($D150,'[2]End - Use Prices'!$B$9:$B$11,0)-1,MATCH(BB$1,'[2]End - Use Prices'!$C$7:$AL$7,0))</f>
        <v>43.98</v>
      </c>
      <c r="BC150" s="41">
        <f>INDEX('[2]End - Use Prices'!$C$6:$AL$89,MATCH($C150,'[2]End - Use Prices'!$A$6:$A$89,0)+MATCH($D150,'[2]End - Use Prices'!$B$9:$B$11,0)-1,MATCH(BC$1,'[2]End - Use Prices'!$C$7:$AL$7,0))</f>
        <v>44.31</v>
      </c>
      <c r="BD150" s="41">
        <f>INDEX('[2]End - Use Prices'!$C$6:$AL$89,MATCH($C150,'[2]End - Use Prices'!$A$6:$A$89,0)+MATCH($D150,'[2]End - Use Prices'!$B$9:$B$11,0)-1,MATCH(BD$1,'[2]End - Use Prices'!$C$7:$AL$7,0))</f>
        <v>44.63</v>
      </c>
      <c r="BE150" s="41">
        <f>INDEX('[2]End - Use Prices'!$C$6:$AL$89,MATCH($C150,'[2]End - Use Prices'!$A$6:$A$89,0)+MATCH($D150,'[2]End - Use Prices'!$B$9:$B$11,0)-1,MATCH(BE$1,'[2]End - Use Prices'!$C$7:$AL$7,0))</f>
        <v>44.95</v>
      </c>
      <c r="BF150" s="41">
        <f>INDEX('[2]End - Use Prices'!$C$6:$AL$89,MATCH($C150,'[2]End - Use Prices'!$A$6:$A$89,0)+MATCH($D150,'[2]End - Use Prices'!$B$9:$B$11,0)-1,MATCH(BF$1,'[2]End - Use Prices'!$C$7:$AL$7,0))</f>
        <v>45.27</v>
      </c>
      <c r="BG150" s="41">
        <f>INDEX('[2]End - Use Prices'!$C$6:$AL$89,MATCH($C150,'[2]End - Use Prices'!$A$6:$A$89,0)+MATCH($D150,'[2]End - Use Prices'!$B$9:$B$11,0)-1,MATCH(BG$1,'[2]End - Use Prices'!$C$7:$AL$7,0))</f>
        <v>45.58</v>
      </c>
      <c r="BR150" s="39"/>
      <c r="BS150" s="39"/>
      <c r="BT150" s="39"/>
      <c r="BU150" s="39"/>
      <c r="BV150" s="39"/>
      <c r="BW150" s="39"/>
      <c r="BX150" s="39"/>
      <c r="BY150" s="39"/>
      <c r="BZ150" s="39"/>
      <c r="CA150" s="39"/>
    </row>
    <row r="151" spans="1:79">
      <c r="A151" s="5"/>
      <c r="B151" s="3"/>
      <c r="C151" s="25" t="s">
        <v>84</v>
      </c>
      <c r="D151" s="25" t="s">
        <v>2</v>
      </c>
      <c r="E151" s="25" t="s">
        <v>277</v>
      </c>
      <c r="F151" s="67" t="s">
        <v>275</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INDEX('[2]End - Use Prices'!$C$6:$AL$89,MATCH($C151,'[2]End - Use Prices'!$A$6:$A$89,0)+MATCH($D151,'[2]End - Use Prices'!$B$9:$B$11,0)-1,MATCH(X$1,'[2]End - Use Prices'!$C$7:$AL$7,0))</f>
        <v>34.03</v>
      </c>
      <c r="Y151" s="41">
        <f>INDEX('[2]End - Use Prices'!$C$6:$AL$89,MATCH($C151,'[2]End - Use Prices'!$A$6:$A$89,0)+MATCH($D151,'[2]End - Use Prices'!$B$9:$B$11,0)-1,MATCH(Y$1,'[2]End - Use Prices'!$C$7:$AL$7,0))</f>
        <v>39.85</v>
      </c>
      <c r="Z151" s="41">
        <f>INDEX('[2]End - Use Prices'!$C$6:$AL$89,MATCH($C151,'[2]End - Use Prices'!$A$6:$A$89,0)+MATCH($D151,'[2]End - Use Prices'!$B$9:$B$11,0)-1,MATCH(Z$1,'[2]End - Use Prices'!$C$7:$AL$7,0))</f>
        <v>39.83</v>
      </c>
      <c r="AA151" s="41">
        <f>INDEX('[2]End - Use Prices'!$C$6:$AL$89,MATCH($C151,'[2]End - Use Prices'!$A$6:$A$89,0)+MATCH($D151,'[2]End - Use Prices'!$B$9:$B$11,0)-1,MATCH(AA$1,'[2]End - Use Prices'!$C$7:$AL$7,0))</f>
        <v>37.99</v>
      </c>
      <c r="AB151" s="41">
        <f>INDEX('[2]End - Use Prices'!$C$6:$AL$89,MATCH($C151,'[2]End - Use Prices'!$A$6:$A$89,0)+MATCH($D151,'[2]End - Use Prices'!$B$9:$B$11,0)-1,MATCH(AB$1,'[2]End - Use Prices'!$C$7:$AL$7,0))</f>
        <v>41.07</v>
      </c>
      <c r="AC151" s="41">
        <f>INDEX('[2]End - Use Prices'!$C$6:$AL$89,MATCH($C151,'[2]End - Use Prices'!$A$6:$A$89,0)+MATCH($D151,'[2]End - Use Prices'!$B$9:$B$11,0)-1,MATCH(AC$1,'[2]End - Use Prices'!$C$7:$AL$7,0))</f>
        <v>38.9</v>
      </c>
      <c r="AD151" s="41">
        <f>INDEX('[2]End - Use Prices'!$C$6:$AL$89,MATCH($C151,'[2]End - Use Prices'!$A$6:$A$89,0)+MATCH($D151,'[2]End - Use Prices'!$B$9:$B$11,0)-1,MATCH(AD$1,'[2]End - Use Prices'!$C$7:$AL$7,0))</f>
        <v>38.54</v>
      </c>
      <c r="AE151" s="41">
        <f>INDEX('[2]End - Use Prices'!$C$6:$AL$89,MATCH($C151,'[2]End - Use Prices'!$A$6:$A$89,0)+MATCH($D151,'[2]End - Use Prices'!$B$9:$B$11,0)-1,MATCH(AE$1,'[2]End - Use Prices'!$C$7:$AL$7,0))</f>
        <v>40.909999999999997</v>
      </c>
      <c r="AF151" s="41">
        <f>INDEX('[2]End - Use Prices'!$C$6:$AL$89,MATCH($C151,'[2]End - Use Prices'!$A$6:$A$89,0)+MATCH($D151,'[2]End - Use Prices'!$B$9:$B$11,0)-1,MATCH(AF$1,'[2]End - Use Prices'!$C$7:$AL$7,0))</f>
        <v>39.76</v>
      </c>
      <c r="AG151" s="41">
        <f>INDEX('[2]End - Use Prices'!$C$6:$AL$89,MATCH($C151,'[2]End - Use Prices'!$A$6:$A$89,0)+MATCH($D151,'[2]End - Use Prices'!$B$9:$B$11,0)-1,MATCH(AG$1,'[2]End - Use Prices'!$C$7:$AL$7,0))</f>
        <v>38.340000000000003</v>
      </c>
      <c r="AH151" s="41">
        <f>INDEX('[2]End - Use Prices'!$C$6:$AL$89,MATCH($C151,'[2]End - Use Prices'!$A$6:$A$89,0)+MATCH($D151,'[2]End - Use Prices'!$B$9:$B$11,0)-1,MATCH(AH$1,'[2]End - Use Prices'!$C$7:$AL$7,0))</f>
        <v>39.4</v>
      </c>
      <c r="AI151" s="41">
        <f>INDEX('[2]End - Use Prices'!$C$6:$AL$89,MATCH($C151,'[2]End - Use Prices'!$A$6:$A$89,0)+MATCH($D151,'[2]End - Use Prices'!$B$9:$B$11,0)-1,MATCH(AI$1,'[2]End - Use Prices'!$C$7:$AL$7,0))</f>
        <v>40.49</v>
      </c>
      <c r="AJ151" s="41">
        <f>INDEX('[2]End - Use Prices'!$C$6:$AL$89,MATCH($C151,'[2]End - Use Prices'!$A$6:$A$89,0)+MATCH($D151,'[2]End - Use Prices'!$B$9:$B$11,0)-1,MATCH(AJ$1,'[2]End - Use Prices'!$C$7:$AL$7,0))</f>
        <v>42.88</v>
      </c>
      <c r="AK151" s="41">
        <f>INDEX('[2]End - Use Prices'!$C$6:$AL$89,MATCH($C151,'[2]End - Use Prices'!$A$6:$A$89,0)+MATCH($D151,'[2]End - Use Prices'!$B$9:$B$11,0)-1,MATCH(AK$1,'[2]End - Use Prices'!$C$7:$AL$7,0))</f>
        <v>43.74</v>
      </c>
      <c r="AL151" s="41">
        <f>INDEX('[2]End - Use Prices'!$C$6:$AL$89,MATCH($C151,'[2]End - Use Prices'!$A$6:$A$89,0)+MATCH($D151,'[2]End - Use Prices'!$B$9:$B$11,0)-1,MATCH(AL$1,'[2]End - Use Prices'!$C$7:$AL$7,0))</f>
        <v>44.52</v>
      </c>
      <c r="AM151" s="41">
        <f>INDEX('[2]End - Use Prices'!$C$6:$AL$89,MATCH($C151,'[2]End - Use Prices'!$A$6:$A$89,0)+MATCH($D151,'[2]End - Use Prices'!$B$9:$B$11,0)-1,MATCH(AM$1,'[2]End - Use Prices'!$C$7:$AL$7,0))</f>
        <v>45.24</v>
      </c>
      <c r="AN151" s="41">
        <f>INDEX('[2]End - Use Prices'!$C$6:$AL$89,MATCH($C151,'[2]End - Use Prices'!$A$6:$A$89,0)+MATCH($D151,'[2]End - Use Prices'!$B$9:$B$11,0)-1,MATCH(AN$1,'[2]End - Use Prices'!$C$7:$AL$7,0))</f>
        <v>45.89</v>
      </c>
      <c r="AO151" s="41">
        <f>INDEX('[2]End - Use Prices'!$C$6:$AL$89,MATCH($C151,'[2]End - Use Prices'!$A$6:$A$89,0)+MATCH($D151,'[2]End - Use Prices'!$B$9:$B$11,0)-1,MATCH(AO$1,'[2]End - Use Prices'!$C$7:$AL$7,0))</f>
        <v>46.48</v>
      </c>
      <c r="AP151" s="41">
        <f>INDEX('[2]End - Use Prices'!$C$6:$AL$89,MATCH($C151,'[2]End - Use Prices'!$A$6:$A$89,0)+MATCH($D151,'[2]End - Use Prices'!$B$9:$B$11,0)-1,MATCH(AP$1,'[2]End - Use Prices'!$C$7:$AL$7,0))</f>
        <v>47.03</v>
      </c>
      <c r="AQ151" s="41">
        <f>INDEX('[2]End - Use Prices'!$C$6:$AL$89,MATCH($C151,'[2]End - Use Prices'!$A$6:$A$89,0)+MATCH($D151,'[2]End - Use Prices'!$B$9:$B$11,0)-1,MATCH(AQ$1,'[2]End - Use Prices'!$C$7:$AL$7,0))</f>
        <v>47.53</v>
      </c>
      <c r="AR151" s="41">
        <f>INDEX('[2]End - Use Prices'!$C$6:$AL$89,MATCH($C151,'[2]End - Use Prices'!$A$6:$A$89,0)+MATCH($D151,'[2]End - Use Prices'!$B$9:$B$11,0)-1,MATCH(AR$1,'[2]End - Use Prices'!$C$7:$AL$7,0))</f>
        <v>48</v>
      </c>
      <c r="AS151" s="41">
        <f>INDEX('[2]End - Use Prices'!$C$6:$AL$89,MATCH($C151,'[2]End - Use Prices'!$A$6:$A$89,0)+MATCH($D151,'[2]End - Use Prices'!$B$9:$B$11,0)-1,MATCH(AS$1,'[2]End - Use Prices'!$C$7:$AL$7,0))</f>
        <v>48.44</v>
      </c>
      <c r="AT151" s="41">
        <f>INDEX('[2]End - Use Prices'!$C$6:$AL$89,MATCH($C151,'[2]End - Use Prices'!$A$6:$A$89,0)+MATCH($D151,'[2]End - Use Prices'!$B$9:$B$11,0)-1,MATCH(AT$1,'[2]End - Use Prices'!$C$7:$AL$7,0))</f>
        <v>48.85</v>
      </c>
      <c r="AU151" s="41">
        <f>INDEX('[2]End - Use Prices'!$C$6:$AL$89,MATCH($C151,'[2]End - Use Prices'!$A$6:$A$89,0)+MATCH($D151,'[2]End - Use Prices'!$B$9:$B$11,0)-1,MATCH(AU$1,'[2]End - Use Prices'!$C$7:$AL$7,0))</f>
        <v>49.25</v>
      </c>
      <c r="AV151" s="41">
        <f>INDEX('[2]End - Use Prices'!$C$6:$AL$89,MATCH($C151,'[2]End - Use Prices'!$A$6:$A$89,0)+MATCH($D151,'[2]End - Use Prices'!$B$9:$B$11,0)-1,MATCH(AV$1,'[2]End - Use Prices'!$C$7:$AL$7,0))</f>
        <v>49.64</v>
      </c>
      <c r="AW151" s="41">
        <f>INDEX('[2]End - Use Prices'!$C$6:$AL$89,MATCH($C151,'[2]End - Use Prices'!$A$6:$A$89,0)+MATCH($D151,'[2]End - Use Prices'!$B$9:$B$11,0)-1,MATCH(AW$1,'[2]End - Use Prices'!$C$7:$AL$7,0))</f>
        <v>50.03</v>
      </c>
      <c r="AX151" s="41">
        <f>INDEX('[2]End - Use Prices'!$C$6:$AL$89,MATCH($C151,'[2]End - Use Prices'!$A$6:$A$89,0)+MATCH($D151,'[2]End - Use Prices'!$B$9:$B$11,0)-1,MATCH(AX$1,'[2]End - Use Prices'!$C$7:$AL$7,0))</f>
        <v>50.42</v>
      </c>
      <c r="AY151" s="41">
        <f>INDEX('[2]End - Use Prices'!$C$6:$AL$89,MATCH($C151,'[2]End - Use Prices'!$A$6:$A$89,0)+MATCH($D151,'[2]End - Use Prices'!$B$9:$B$11,0)-1,MATCH(AY$1,'[2]End - Use Prices'!$C$7:$AL$7,0))</f>
        <v>50.82</v>
      </c>
      <c r="AZ151" s="41">
        <f>INDEX('[2]End - Use Prices'!$C$6:$AL$89,MATCH($C151,'[2]End - Use Prices'!$A$6:$A$89,0)+MATCH($D151,'[2]End - Use Prices'!$B$9:$B$11,0)-1,MATCH(AZ$1,'[2]End - Use Prices'!$C$7:$AL$7,0))</f>
        <v>51.23</v>
      </c>
      <c r="BA151" s="41">
        <f>INDEX('[2]End - Use Prices'!$C$6:$AL$89,MATCH($C151,'[2]End - Use Prices'!$A$6:$A$89,0)+MATCH($D151,'[2]End - Use Prices'!$B$9:$B$11,0)-1,MATCH(BA$1,'[2]End - Use Prices'!$C$7:$AL$7,0))</f>
        <v>51.67</v>
      </c>
      <c r="BB151" s="41">
        <f>INDEX('[2]End - Use Prices'!$C$6:$AL$89,MATCH($C151,'[2]End - Use Prices'!$A$6:$A$89,0)+MATCH($D151,'[2]End - Use Prices'!$B$9:$B$11,0)-1,MATCH(BB$1,'[2]End - Use Prices'!$C$7:$AL$7,0))</f>
        <v>52.14</v>
      </c>
      <c r="BC151" s="41">
        <f>INDEX('[2]End - Use Prices'!$C$6:$AL$89,MATCH($C151,'[2]End - Use Prices'!$A$6:$A$89,0)+MATCH($D151,'[2]End - Use Prices'!$B$9:$B$11,0)-1,MATCH(BC$1,'[2]End - Use Prices'!$C$7:$AL$7,0))</f>
        <v>52.65</v>
      </c>
      <c r="BD151" s="41">
        <f>INDEX('[2]End - Use Prices'!$C$6:$AL$89,MATCH($C151,'[2]End - Use Prices'!$A$6:$A$89,0)+MATCH($D151,'[2]End - Use Prices'!$B$9:$B$11,0)-1,MATCH(BD$1,'[2]End - Use Prices'!$C$7:$AL$7,0))</f>
        <v>53.2</v>
      </c>
      <c r="BE151" s="41">
        <f>INDEX('[2]End - Use Prices'!$C$6:$AL$89,MATCH($C151,'[2]End - Use Prices'!$A$6:$A$89,0)+MATCH($D151,'[2]End - Use Prices'!$B$9:$B$11,0)-1,MATCH(BE$1,'[2]End - Use Prices'!$C$7:$AL$7,0))</f>
        <v>53.8</v>
      </c>
      <c r="BF151" s="41">
        <f>INDEX('[2]End - Use Prices'!$C$6:$AL$89,MATCH($C151,'[2]End - Use Prices'!$A$6:$A$89,0)+MATCH($D151,'[2]End - Use Prices'!$B$9:$B$11,0)-1,MATCH(BF$1,'[2]End - Use Prices'!$C$7:$AL$7,0))</f>
        <v>54.45</v>
      </c>
      <c r="BG151" s="41">
        <f>INDEX('[2]End - Use Prices'!$C$6:$AL$89,MATCH($C151,'[2]End - Use Prices'!$A$6:$A$89,0)+MATCH($D151,'[2]End - Use Prices'!$B$9:$B$11,0)-1,MATCH(BG$1,'[2]End - Use Prices'!$C$7:$AL$7,0))</f>
        <v>55.17</v>
      </c>
      <c r="BR151" s="39"/>
      <c r="BS151" s="39"/>
      <c r="BT151" s="39"/>
      <c r="BU151" s="39"/>
      <c r="BV151" s="39"/>
      <c r="BW151" s="39"/>
      <c r="BX151" s="39"/>
      <c r="BY151" s="39"/>
      <c r="BZ151" s="39"/>
      <c r="CA151" s="39"/>
    </row>
    <row r="152" spans="1:79">
      <c r="A152" s="5"/>
      <c r="B152" s="3"/>
      <c r="C152" s="25" t="s">
        <v>85</v>
      </c>
      <c r="D152" s="25" t="s">
        <v>2</v>
      </c>
      <c r="E152" s="25" t="s">
        <v>277</v>
      </c>
      <c r="F152" s="67" t="s">
        <v>275</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INDEX('[2]End - Use Prices'!$C$6:$AL$89,MATCH($C152,'[2]End - Use Prices'!$A$6:$A$89,0)+MATCH($D152,'[2]End - Use Prices'!$B$9:$B$11,0)-1,MATCH(X$1,'[2]End - Use Prices'!$C$7:$AL$7,0))</f>
        <v>41.51</v>
      </c>
      <c r="Y152" s="41">
        <f>INDEX('[2]End - Use Prices'!$C$6:$AL$89,MATCH($C152,'[2]End - Use Prices'!$A$6:$A$89,0)+MATCH($D152,'[2]End - Use Prices'!$B$9:$B$11,0)-1,MATCH(Y$1,'[2]End - Use Prices'!$C$7:$AL$7,0))</f>
        <v>42.42</v>
      </c>
      <c r="Z152" s="41">
        <f>INDEX('[2]End - Use Prices'!$C$6:$AL$89,MATCH($C152,'[2]End - Use Prices'!$A$6:$A$89,0)+MATCH($D152,'[2]End - Use Prices'!$B$9:$B$11,0)-1,MATCH(Z$1,'[2]End - Use Prices'!$C$7:$AL$7,0))</f>
        <v>44.58</v>
      </c>
      <c r="AA152" s="41">
        <f>INDEX('[2]End - Use Prices'!$C$6:$AL$89,MATCH($C152,'[2]End - Use Prices'!$A$6:$A$89,0)+MATCH($D152,'[2]End - Use Prices'!$B$9:$B$11,0)-1,MATCH(AA$1,'[2]End - Use Prices'!$C$7:$AL$7,0))</f>
        <v>46.56</v>
      </c>
      <c r="AB152" s="41">
        <f>INDEX('[2]End - Use Prices'!$C$6:$AL$89,MATCH($C152,'[2]End - Use Prices'!$A$6:$A$89,0)+MATCH($D152,'[2]End - Use Prices'!$B$9:$B$11,0)-1,MATCH(AB$1,'[2]End - Use Prices'!$C$7:$AL$7,0))</f>
        <v>55.63</v>
      </c>
      <c r="AC152" s="41">
        <f>INDEX('[2]End - Use Prices'!$C$6:$AL$89,MATCH($C152,'[2]End - Use Prices'!$A$6:$A$89,0)+MATCH($D152,'[2]End - Use Prices'!$B$9:$B$11,0)-1,MATCH(AC$1,'[2]End - Use Prices'!$C$7:$AL$7,0))</f>
        <v>50.51</v>
      </c>
      <c r="AD152" s="41">
        <f>INDEX('[2]End - Use Prices'!$C$6:$AL$89,MATCH($C152,'[2]End - Use Prices'!$A$6:$A$89,0)+MATCH($D152,'[2]End - Use Prices'!$B$9:$B$11,0)-1,MATCH(AD$1,'[2]End - Use Prices'!$C$7:$AL$7,0))</f>
        <v>43.95</v>
      </c>
      <c r="AE152" s="41">
        <f>INDEX('[2]End - Use Prices'!$C$6:$AL$89,MATCH($C152,'[2]End - Use Prices'!$A$6:$A$89,0)+MATCH($D152,'[2]End - Use Prices'!$B$9:$B$11,0)-1,MATCH(AE$1,'[2]End - Use Prices'!$C$7:$AL$7,0))</f>
        <v>43.43</v>
      </c>
      <c r="AF152" s="41">
        <f>INDEX('[2]End - Use Prices'!$C$6:$AL$89,MATCH($C152,'[2]End - Use Prices'!$A$6:$A$89,0)+MATCH($D152,'[2]End - Use Prices'!$B$9:$B$11,0)-1,MATCH(AF$1,'[2]End - Use Prices'!$C$7:$AL$7,0))</f>
        <v>50.61</v>
      </c>
      <c r="AG152" s="41">
        <f>INDEX('[2]End - Use Prices'!$C$6:$AL$89,MATCH($C152,'[2]End - Use Prices'!$A$6:$A$89,0)+MATCH($D152,'[2]End - Use Prices'!$B$9:$B$11,0)-1,MATCH(AG$1,'[2]End - Use Prices'!$C$7:$AL$7,0))</f>
        <v>51.93</v>
      </c>
      <c r="AH152" s="41">
        <f>INDEX('[2]End - Use Prices'!$C$6:$AL$89,MATCH($C152,'[2]End - Use Prices'!$A$6:$A$89,0)+MATCH($D152,'[2]End - Use Prices'!$B$9:$B$11,0)-1,MATCH(AH$1,'[2]End - Use Prices'!$C$7:$AL$7,0))</f>
        <v>53.64</v>
      </c>
      <c r="AI152" s="41">
        <f>INDEX('[2]End - Use Prices'!$C$6:$AL$89,MATCH($C152,'[2]End - Use Prices'!$A$6:$A$89,0)+MATCH($D152,'[2]End - Use Prices'!$B$9:$B$11,0)-1,MATCH(AI$1,'[2]End - Use Prices'!$C$7:$AL$7,0))</f>
        <v>54.8</v>
      </c>
      <c r="AJ152" s="41">
        <f>INDEX('[2]End - Use Prices'!$C$6:$AL$89,MATCH($C152,'[2]End - Use Prices'!$A$6:$A$89,0)+MATCH($D152,'[2]End - Use Prices'!$B$9:$B$11,0)-1,MATCH(AJ$1,'[2]End - Use Prices'!$C$7:$AL$7,0))</f>
        <v>54.98</v>
      </c>
      <c r="AK152" s="41">
        <f>INDEX('[2]End - Use Prices'!$C$6:$AL$89,MATCH($C152,'[2]End - Use Prices'!$A$6:$A$89,0)+MATCH($D152,'[2]End - Use Prices'!$B$9:$B$11,0)-1,MATCH(AK$1,'[2]End - Use Prices'!$C$7:$AL$7,0))</f>
        <v>55.16</v>
      </c>
      <c r="AL152" s="41">
        <f>INDEX('[2]End - Use Prices'!$C$6:$AL$89,MATCH($C152,'[2]End - Use Prices'!$A$6:$A$89,0)+MATCH($D152,'[2]End - Use Prices'!$B$9:$B$11,0)-1,MATCH(AL$1,'[2]End - Use Prices'!$C$7:$AL$7,0))</f>
        <v>55.34</v>
      </c>
      <c r="AM152" s="41">
        <f>INDEX('[2]End - Use Prices'!$C$6:$AL$89,MATCH($C152,'[2]End - Use Prices'!$A$6:$A$89,0)+MATCH($D152,'[2]End - Use Prices'!$B$9:$B$11,0)-1,MATCH(AM$1,'[2]End - Use Prices'!$C$7:$AL$7,0))</f>
        <v>55.52</v>
      </c>
      <c r="AN152" s="41">
        <f>INDEX('[2]End - Use Prices'!$C$6:$AL$89,MATCH($C152,'[2]End - Use Prices'!$A$6:$A$89,0)+MATCH($D152,'[2]End - Use Prices'!$B$9:$B$11,0)-1,MATCH(AN$1,'[2]End - Use Prices'!$C$7:$AL$7,0))</f>
        <v>55.7</v>
      </c>
      <c r="AO152" s="41">
        <f>INDEX('[2]End - Use Prices'!$C$6:$AL$89,MATCH($C152,'[2]End - Use Prices'!$A$6:$A$89,0)+MATCH($D152,'[2]End - Use Prices'!$B$9:$B$11,0)-1,MATCH(AO$1,'[2]End - Use Prices'!$C$7:$AL$7,0))</f>
        <v>55.88</v>
      </c>
      <c r="AP152" s="41">
        <f>INDEX('[2]End - Use Prices'!$C$6:$AL$89,MATCH($C152,'[2]End - Use Prices'!$A$6:$A$89,0)+MATCH($D152,'[2]End - Use Prices'!$B$9:$B$11,0)-1,MATCH(AP$1,'[2]End - Use Prices'!$C$7:$AL$7,0))</f>
        <v>56.06</v>
      </c>
      <c r="AQ152" s="41">
        <f>INDEX('[2]End - Use Prices'!$C$6:$AL$89,MATCH($C152,'[2]End - Use Prices'!$A$6:$A$89,0)+MATCH($D152,'[2]End - Use Prices'!$B$9:$B$11,0)-1,MATCH(AQ$1,'[2]End - Use Prices'!$C$7:$AL$7,0))</f>
        <v>56.24</v>
      </c>
      <c r="AR152" s="41">
        <f>INDEX('[2]End - Use Prices'!$C$6:$AL$89,MATCH($C152,'[2]End - Use Prices'!$A$6:$A$89,0)+MATCH($D152,'[2]End - Use Prices'!$B$9:$B$11,0)-1,MATCH(AR$1,'[2]End - Use Prices'!$C$7:$AL$7,0))</f>
        <v>56.42</v>
      </c>
      <c r="AS152" s="41">
        <f>INDEX('[2]End - Use Prices'!$C$6:$AL$89,MATCH($C152,'[2]End - Use Prices'!$A$6:$A$89,0)+MATCH($D152,'[2]End - Use Prices'!$B$9:$B$11,0)-1,MATCH(AS$1,'[2]End - Use Prices'!$C$7:$AL$7,0))</f>
        <v>56.61</v>
      </c>
      <c r="AT152" s="41">
        <f>INDEX('[2]End - Use Prices'!$C$6:$AL$89,MATCH($C152,'[2]End - Use Prices'!$A$6:$A$89,0)+MATCH($D152,'[2]End - Use Prices'!$B$9:$B$11,0)-1,MATCH(AT$1,'[2]End - Use Prices'!$C$7:$AL$7,0))</f>
        <v>56.79</v>
      </c>
      <c r="AU152" s="41">
        <f>INDEX('[2]End - Use Prices'!$C$6:$AL$89,MATCH($C152,'[2]End - Use Prices'!$A$6:$A$89,0)+MATCH($D152,'[2]End - Use Prices'!$B$9:$B$11,0)-1,MATCH(AU$1,'[2]End - Use Prices'!$C$7:$AL$7,0))</f>
        <v>56.97</v>
      </c>
      <c r="AV152" s="41">
        <f>INDEX('[2]End - Use Prices'!$C$6:$AL$89,MATCH($C152,'[2]End - Use Prices'!$A$6:$A$89,0)+MATCH($D152,'[2]End - Use Prices'!$B$9:$B$11,0)-1,MATCH(AV$1,'[2]End - Use Prices'!$C$7:$AL$7,0))</f>
        <v>57.16</v>
      </c>
      <c r="AW152" s="41">
        <f>INDEX('[2]End - Use Prices'!$C$6:$AL$89,MATCH($C152,'[2]End - Use Prices'!$A$6:$A$89,0)+MATCH($D152,'[2]End - Use Prices'!$B$9:$B$11,0)-1,MATCH(AW$1,'[2]End - Use Prices'!$C$7:$AL$7,0))</f>
        <v>57.35</v>
      </c>
      <c r="AX152" s="41">
        <f>INDEX('[2]End - Use Prices'!$C$6:$AL$89,MATCH($C152,'[2]End - Use Prices'!$A$6:$A$89,0)+MATCH($D152,'[2]End - Use Prices'!$B$9:$B$11,0)-1,MATCH(AX$1,'[2]End - Use Prices'!$C$7:$AL$7,0))</f>
        <v>57.53</v>
      </c>
      <c r="AY152" s="41">
        <f>INDEX('[2]End - Use Prices'!$C$6:$AL$89,MATCH($C152,'[2]End - Use Prices'!$A$6:$A$89,0)+MATCH($D152,'[2]End - Use Prices'!$B$9:$B$11,0)-1,MATCH(AY$1,'[2]End - Use Prices'!$C$7:$AL$7,0))</f>
        <v>57.72</v>
      </c>
      <c r="AZ152" s="41">
        <f>INDEX('[2]End - Use Prices'!$C$6:$AL$89,MATCH($C152,'[2]End - Use Prices'!$A$6:$A$89,0)+MATCH($D152,'[2]End - Use Prices'!$B$9:$B$11,0)-1,MATCH(AZ$1,'[2]End - Use Prices'!$C$7:$AL$7,0))</f>
        <v>57.91</v>
      </c>
      <c r="BA152" s="41">
        <f>INDEX('[2]End - Use Prices'!$C$6:$AL$89,MATCH($C152,'[2]End - Use Prices'!$A$6:$A$89,0)+MATCH($D152,'[2]End - Use Prices'!$B$9:$B$11,0)-1,MATCH(BA$1,'[2]End - Use Prices'!$C$7:$AL$7,0))</f>
        <v>58.09</v>
      </c>
      <c r="BB152" s="41">
        <f>INDEX('[2]End - Use Prices'!$C$6:$AL$89,MATCH($C152,'[2]End - Use Prices'!$A$6:$A$89,0)+MATCH($D152,'[2]End - Use Prices'!$B$9:$B$11,0)-1,MATCH(BB$1,'[2]End - Use Prices'!$C$7:$AL$7,0))</f>
        <v>58.28</v>
      </c>
      <c r="BC152" s="41">
        <f>INDEX('[2]End - Use Prices'!$C$6:$AL$89,MATCH($C152,'[2]End - Use Prices'!$A$6:$A$89,0)+MATCH($D152,'[2]End - Use Prices'!$B$9:$B$11,0)-1,MATCH(BC$1,'[2]End - Use Prices'!$C$7:$AL$7,0))</f>
        <v>58.47</v>
      </c>
      <c r="BD152" s="41">
        <f>INDEX('[2]End - Use Prices'!$C$6:$AL$89,MATCH($C152,'[2]End - Use Prices'!$A$6:$A$89,0)+MATCH($D152,'[2]End - Use Prices'!$B$9:$B$11,0)-1,MATCH(BD$1,'[2]End - Use Prices'!$C$7:$AL$7,0))</f>
        <v>58.66</v>
      </c>
      <c r="BE152" s="41">
        <f>INDEX('[2]End - Use Prices'!$C$6:$AL$89,MATCH($C152,'[2]End - Use Prices'!$A$6:$A$89,0)+MATCH($D152,'[2]End - Use Prices'!$B$9:$B$11,0)-1,MATCH(BE$1,'[2]End - Use Prices'!$C$7:$AL$7,0))</f>
        <v>58.85</v>
      </c>
      <c r="BF152" s="41">
        <f>INDEX('[2]End - Use Prices'!$C$6:$AL$89,MATCH($C152,'[2]End - Use Prices'!$A$6:$A$89,0)+MATCH($D152,'[2]End - Use Prices'!$B$9:$B$11,0)-1,MATCH(BF$1,'[2]End - Use Prices'!$C$7:$AL$7,0))</f>
        <v>59.04</v>
      </c>
      <c r="BG152" s="41">
        <f>INDEX('[2]End - Use Prices'!$C$6:$AL$89,MATCH($C152,'[2]End - Use Prices'!$A$6:$A$89,0)+MATCH($D152,'[2]End - Use Prices'!$B$9:$B$11,0)-1,MATCH(BG$1,'[2]End - Use Prices'!$C$7:$AL$7,0))</f>
        <v>59.23</v>
      </c>
      <c r="BR152" s="39"/>
      <c r="BS152" s="39"/>
      <c r="BT152" s="39"/>
      <c r="BU152" s="39"/>
      <c r="BV152" s="39"/>
      <c r="BW152" s="39"/>
      <c r="BX152" s="39"/>
      <c r="BY152" s="39"/>
      <c r="BZ152" s="39"/>
      <c r="CA152" s="39"/>
    </row>
    <row r="153" spans="1:79">
      <c r="A153" s="5"/>
      <c r="B153" s="3"/>
      <c r="C153" s="25" t="s">
        <v>86</v>
      </c>
      <c r="D153" s="25" t="s">
        <v>2</v>
      </c>
      <c r="E153" s="25" t="s">
        <v>277</v>
      </c>
      <c r="F153" s="67" t="s">
        <v>275</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INDEX('[2]End - Use Prices'!$C$6:$AL$89,MATCH($C153,'[2]End - Use Prices'!$A$6:$A$89,0)+MATCH($D153,'[2]End - Use Prices'!$B$9:$B$11,0)-1,MATCH(X$1,'[2]End - Use Prices'!$C$7:$AL$7,0))</f>
        <v>37.270000000000003</v>
      </c>
      <c r="Y153" s="41">
        <f>INDEX('[2]End - Use Prices'!$C$6:$AL$89,MATCH($C153,'[2]End - Use Prices'!$A$6:$A$89,0)+MATCH($D153,'[2]End - Use Prices'!$B$9:$B$11,0)-1,MATCH(Y$1,'[2]End - Use Prices'!$C$7:$AL$7,0))</f>
        <v>41.5</v>
      </c>
      <c r="Z153" s="41">
        <f>INDEX('[2]End - Use Prices'!$C$6:$AL$89,MATCH($C153,'[2]End - Use Prices'!$A$6:$A$89,0)+MATCH($D153,'[2]End - Use Prices'!$B$9:$B$11,0)-1,MATCH(Z$1,'[2]End - Use Prices'!$C$7:$AL$7,0))</f>
        <v>38.799999999999997</v>
      </c>
      <c r="AA153" s="41">
        <f>INDEX('[2]End - Use Prices'!$C$6:$AL$89,MATCH($C153,'[2]End - Use Prices'!$A$6:$A$89,0)+MATCH($D153,'[2]End - Use Prices'!$B$9:$B$11,0)-1,MATCH(AA$1,'[2]End - Use Prices'!$C$7:$AL$7,0))</f>
        <v>36.950000000000003</v>
      </c>
      <c r="AB153" s="41">
        <f>INDEX('[2]End - Use Prices'!$C$6:$AL$89,MATCH($C153,'[2]End - Use Prices'!$A$6:$A$89,0)+MATCH($D153,'[2]End - Use Prices'!$B$9:$B$11,0)-1,MATCH(AB$1,'[2]End - Use Prices'!$C$7:$AL$7,0))</f>
        <v>44.6</v>
      </c>
      <c r="AC153" s="41">
        <f>INDEX('[2]End - Use Prices'!$C$6:$AL$89,MATCH($C153,'[2]End - Use Prices'!$A$6:$A$89,0)+MATCH($D153,'[2]End - Use Prices'!$B$9:$B$11,0)-1,MATCH(AC$1,'[2]End - Use Prices'!$C$7:$AL$7,0))</f>
        <v>40.32</v>
      </c>
      <c r="AD153" s="41">
        <f>INDEX('[2]End - Use Prices'!$C$6:$AL$89,MATCH($C153,'[2]End - Use Prices'!$A$6:$A$89,0)+MATCH($D153,'[2]End - Use Prices'!$B$9:$B$11,0)-1,MATCH(AD$1,'[2]End - Use Prices'!$C$7:$AL$7,0))</f>
        <v>41.27</v>
      </c>
      <c r="AE153" s="41">
        <f>INDEX('[2]End - Use Prices'!$C$6:$AL$89,MATCH($C153,'[2]End - Use Prices'!$A$6:$A$89,0)+MATCH($D153,'[2]End - Use Prices'!$B$9:$B$11,0)-1,MATCH(AE$1,'[2]End - Use Prices'!$C$7:$AL$7,0))</f>
        <v>44.94</v>
      </c>
      <c r="AF153" s="41">
        <f>INDEX('[2]End - Use Prices'!$C$6:$AL$89,MATCH($C153,'[2]End - Use Prices'!$A$6:$A$89,0)+MATCH($D153,'[2]End - Use Prices'!$B$9:$B$11,0)-1,MATCH(AF$1,'[2]End - Use Prices'!$C$7:$AL$7,0))</f>
        <v>45.5</v>
      </c>
      <c r="AG153" s="41">
        <f>INDEX('[2]End - Use Prices'!$C$6:$AL$89,MATCH($C153,'[2]End - Use Prices'!$A$6:$A$89,0)+MATCH($D153,'[2]End - Use Prices'!$B$9:$B$11,0)-1,MATCH(AG$1,'[2]End - Use Prices'!$C$7:$AL$7,0))</f>
        <v>46.34</v>
      </c>
      <c r="AH153" s="41">
        <f>INDEX('[2]End - Use Prices'!$C$6:$AL$89,MATCH($C153,'[2]End - Use Prices'!$A$6:$A$89,0)+MATCH($D153,'[2]End - Use Prices'!$B$9:$B$11,0)-1,MATCH(AH$1,'[2]End - Use Prices'!$C$7:$AL$7,0))</f>
        <v>46.71</v>
      </c>
      <c r="AI153" s="41">
        <f>INDEX('[2]End - Use Prices'!$C$6:$AL$89,MATCH($C153,'[2]End - Use Prices'!$A$6:$A$89,0)+MATCH($D153,'[2]End - Use Prices'!$B$9:$B$11,0)-1,MATCH(AI$1,'[2]End - Use Prices'!$C$7:$AL$7,0))</f>
        <v>46.01</v>
      </c>
      <c r="AJ153" s="41">
        <f>INDEX('[2]End - Use Prices'!$C$6:$AL$89,MATCH($C153,'[2]End - Use Prices'!$A$6:$A$89,0)+MATCH($D153,'[2]End - Use Prices'!$B$9:$B$11,0)-1,MATCH(AJ$1,'[2]End - Use Prices'!$C$7:$AL$7,0))</f>
        <v>46.61</v>
      </c>
      <c r="AK153" s="41">
        <f>INDEX('[2]End - Use Prices'!$C$6:$AL$89,MATCH($C153,'[2]End - Use Prices'!$A$6:$A$89,0)+MATCH($D153,'[2]End - Use Prices'!$B$9:$B$11,0)-1,MATCH(AK$1,'[2]End - Use Prices'!$C$7:$AL$7,0))</f>
        <v>47.54</v>
      </c>
      <c r="AL153" s="41">
        <f>INDEX('[2]End - Use Prices'!$C$6:$AL$89,MATCH($C153,'[2]End - Use Prices'!$A$6:$A$89,0)+MATCH($D153,'[2]End - Use Prices'!$B$9:$B$11,0)-1,MATCH(AL$1,'[2]End - Use Prices'!$C$7:$AL$7,0))</f>
        <v>48.44</v>
      </c>
      <c r="AM153" s="41">
        <f>INDEX('[2]End - Use Prices'!$C$6:$AL$89,MATCH($C153,'[2]End - Use Prices'!$A$6:$A$89,0)+MATCH($D153,'[2]End - Use Prices'!$B$9:$B$11,0)-1,MATCH(AM$1,'[2]End - Use Prices'!$C$7:$AL$7,0))</f>
        <v>49.31</v>
      </c>
      <c r="AN153" s="41">
        <f>INDEX('[2]End - Use Prices'!$C$6:$AL$89,MATCH($C153,'[2]End - Use Prices'!$A$6:$A$89,0)+MATCH($D153,'[2]End - Use Prices'!$B$9:$B$11,0)-1,MATCH(AN$1,'[2]End - Use Prices'!$C$7:$AL$7,0))</f>
        <v>50.14</v>
      </c>
      <c r="AO153" s="41">
        <f>INDEX('[2]End - Use Prices'!$C$6:$AL$89,MATCH($C153,'[2]End - Use Prices'!$A$6:$A$89,0)+MATCH($D153,'[2]End - Use Prices'!$B$9:$B$11,0)-1,MATCH(AO$1,'[2]End - Use Prices'!$C$7:$AL$7,0))</f>
        <v>50.94</v>
      </c>
      <c r="AP153" s="41">
        <f>INDEX('[2]End - Use Prices'!$C$6:$AL$89,MATCH($C153,'[2]End - Use Prices'!$A$6:$A$89,0)+MATCH($D153,'[2]End - Use Prices'!$B$9:$B$11,0)-1,MATCH(AP$1,'[2]End - Use Prices'!$C$7:$AL$7,0))</f>
        <v>51.71</v>
      </c>
      <c r="AQ153" s="41">
        <f>INDEX('[2]End - Use Prices'!$C$6:$AL$89,MATCH($C153,'[2]End - Use Prices'!$A$6:$A$89,0)+MATCH($D153,'[2]End - Use Prices'!$B$9:$B$11,0)-1,MATCH(AQ$1,'[2]End - Use Prices'!$C$7:$AL$7,0))</f>
        <v>52.45</v>
      </c>
      <c r="AR153" s="41">
        <f>INDEX('[2]End - Use Prices'!$C$6:$AL$89,MATCH($C153,'[2]End - Use Prices'!$A$6:$A$89,0)+MATCH($D153,'[2]End - Use Prices'!$B$9:$B$11,0)-1,MATCH(AR$1,'[2]End - Use Prices'!$C$7:$AL$7,0))</f>
        <v>53.15</v>
      </c>
      <c r="AS153" s="41">
        <f>INDEX('[2]End - Use Prices'!$C$6:$AL$89,MATCH($C153,'[2]End - Use Prices'!$A$6:$A$89,0)+MATCH($D153,'[2]End - Use Prices'!$B$9:$B$11,0)-1,MATCH(AS$1,'[2]End - Use Prices'!$C$7:$AL$7,0))</f>
        <v>53.81</v>
      </c>
      <c r="AT153" s="41">
        <f>INDEX('[2]End - Use Prices'!$C$6:$AL$89,MATCH($C153,'[2]End - Use Prices'!$A$6:$A$89,0)+MATCH($D153,'[2]End - Use Prices'!$B$9:$B$11,0)-1,MATCH(AT$1,'[2]End - Use Prices'!$C$7:$AL$7,0))</f>
        <v>54.43</v>
      </c>
      <c r="AU153" s="41">
        <f>INDEX('[2]End - Use Prices'!$C$6:$AL$89,MATCH($C153,'[2]End - Use Prices'!$A$6:$A$89,0)+MATCH($D153,'[2]End - Use Prices'!$B$9:$B$11,0)-1,MATCH(AU$1,'[2]End - Use Prices'!$C$7:$AL$7,0))</f>
        <v>55.02</v>
      </c>
      <c r="AV153" s="41">
        <f>INDEX('[2]End - Use Prices'!$C$6:$AL$89,MATCH($C153,'[2]End - Use Prices'!$A$6:$A$89,0)+MATCH($D153,'[2]End - Use Prices'!$B$9:$B$11,0)-1,MATCH(AV$1,'[2]End - Use Prices'!$C$7:$AL$7,0))</f>
        <v>55.56</v>
      </c>
      <c r="AW153" s="41">
        <f>INDEX('[2]End - Use Prices'!$C$6:$AL$89,MATCH($C153,'[2]End - Use Prices'!$A$6:$A$89,0)+MATCH($D153,'[2]End - Use Prices'!$B$9:$B$11,0)-1,MATCH(AW$1,'[2]End - Use Prices'!$C$7:$AL$7,0))</f>
        <v>56.07</v>
      </c>
      <c r="AX153" s="41">
        <f>INDEX('[2]End - Use Prices'!$C$6:$AL$89,MATCH($C153,'[2]End - Use Prices'!$A$6:$A$89,0)+MATCH($D153,'[2]End - Use Prices'!$B$9:$B$11,0)-1,MATCH(AX$1,'[2]End - Use Prices'!$C$7:$AL$7,0))</f>
        <v>56.53</v>
      </c>
      <c r="AY153" s="41">
        <f>INDEX('[2]End - Use Prices'!$C$6:$AL$89,MATCH($C153,'[2]End - Use Prices'!$A$6:$A$89,0)+MATCH($D153,'[2]End - Use Prices'!$B$9:$B$11,0)-1,MATCH(AY$1,'[2]End - Use Prices'!$C$7:$AL$7,0))</f>
        <v>56.95</v>
      </c>
      <c r="AZ153" s="41">
        <f>INDEX('[2]End - Use Prices'!$C$6:$AL$89,MATCH($C153,'[2]End - Use Prices'!$A$6:$A$89,0)+MATCH($D153,'[2]End - Use Prices'!$B$9:$B$11,0)-1,MATCH(AZ$1,'[2]End - Use Prices'!$C$7:$AL$7,0))</f>
        <v>57.32</v>
      </c>
      <c r="BA153" s="41">
        <f>INDEX('[2]End - Use Prices'!$C$6:$AL$89,MATCH($C153,'[2]End - Use Prices'!$A$6:$A$89,0)+MATCH($D153,'[2]End - Use Prices'!$B$9:$B$11,0)-1,MATCH(BA$1,'[2]End - Use Prices'!$C$7:$AL$7,0))</f>
        <v>57.65</v>
      </c>
      <c r="BB153" s="41">
        <f>INDEX('[2]End - Use Prices'!$C$6:$AL$89,MATCH($C153,'[2]End - Use Prices'!$A$6:$A$89,0)+MATCH($D153,'[2]End - Use Prices'!$B$9:$B$11,0)-1,MATCH(BB$1,'[2]End - Use Prices'!$C$7:$AL$7,0))</f>
        <v>57.94</v>
      </c>
      <c r="BC153" s="41">
        <f>INDEX('[2]End - Use Prices'!$C$6:$AL$89,MATCH($C153,'[2]End - Use Prices'!$A$6:$A$89,0)+MATCH($D153,'[2]End - Use Prices'!$B$9:$B$11,0)-1,MATCH(BC$1,'[2]End - Use Prices'!$C$7:$AL$7,0))</f>
        <v>58.17</v>
      </c>
      <c r="BD153" s="41">
        <f>INDEX('[2]End - Use Prices'!$C$6:$AL$89,MATCH($C153,'[2]End - Use Prices'!$A$6:$A$89,0)+MATCH($D153,'[2]End - Use Prices'!$B$9:$B$11,0)-1,MATCH(BD$1,'[2]End - Use Prices'!$C$7:$AL$7,0))</f>
        <v>58.36</v>
      </c>
      <c r="BE153" s="41">
        <f>INDEX('[2]End - Use Prices'!$C$6:$AL$89,MATCH($C153,'[2]End - Use Prices'!$A$6:$A$89,0)+MATCH($D153,'[2]End - Use Prices'!$B$9:$B$11,0)-1,MATCH(BE$1,'[2]End - Use Prices'!$C$7:$AL$7,0))</f>
        <v>58.5</v>
      </c>
      <c r="BF153" s="41">
        <f>INDEX('[2]End - Use Prices'!$C$6:$AL$89,MATCH($C153,'[2]End - Use Prices'!$A$6:$A$89,0)+MATCH($D153,'[2]End - Use Prices'!$B$9:$B$11,0)-1,MATCH(BF$1,'[2]End - Use Prices'!$C$7:$AL$7,0))</f>
        <v>58.59</v>
      </c>
      <c r="BG153" s="41">
        <f>INDEX('[2]End - Use Prices'!$C$6:$AL$89,MATCH($C153,'[2]End - Use Prices'!$A$6:$A$89,0)+MATCH($D153,'[2]End - Use Prices'!$B$9:$B$11,0)-1,MATCH(BG$1,'[2]End - Use Prices'!$C$7:$AL$7,0))</f>
        <v>58.62</v>
      </c>
      <c r="BR153" s="39"/>
      <c r="BS153" s="39"/>
      <c r="BT153" s="39"/>
      <c r="BU153" s="39"/>
      <c r="BV153" s="39"/>
      <c r="BW153" s="39"/>
      <c r="BX153" s="39"/>
      <c r="BY153" s="39"/>
      <c r="BZ153" s="39"/>
      <c r="CA153" s="39"/>
    </row>
    <row r="154" spans="1:79">
      <c r="A154" s="5"/>
      <c r="B154" s="3"/>
      <c r="C154" s="25" t="s">
        <v>87</v>
      </c>
      <c r="D154" s="25" t="s">
        <v>2</v>
      </c>
      <c r="E154" s="25" t="s">
        <v>277</v>
      </c>
      <c r="F154" s="67" t="s">
        <v>275</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INDEX('[2]End - Use Prices'!$C$6:$AL$89,MATCH($C154,'[2]End - Use Prices'!$A$6:$A$89,0)+MATCH($D154,'[2]End - Use Prices'!$B$9:$B$11,0)-1,MATCH(X$1,'[2]End - Use Prices'!$C$7:$AL$7,0))</f>
        <v>35.630000000000003</v>
      </c>
      <c r="Y154" s="41">
        <f>INDEX('[2]End - Use Prices'!$C$6:$AL$89,MATCH($C154,'[2]End - Use Prices'!$A$6:$A$89,0)+MATCH($D154,'[2]End - Use Prices'!$B$9:$B$11,0)-1,MATCH(Y$1,'[2]End - Use Prices'!$C$7:$AL$7,0))</f>
        <v>40.94</v>
      </c>
      <c r="Z154" s="41">
        <f>INDEX('[2]End - Use Prices'!$C$6:$AL$89,MATCH($C154,'[2]End - Use Prices'!$A$6:$A$89,0)+MATCH($D154,'[2]End - Use Prices'!$B$9:$B$11,0)-1,MATCH(Z$1,'[2]End - Use Prices'!$C$7:$AL$7,0))</f>
        <v>42.23</v>
      </c>
      <c r="AA154" s="41">
        <f>INDEX('[2]End - Use Prices'!$C$6:$AL$89,MATCH($C154,'[2]End - Use Prices'!$A$6:$A$89,0)+MATCH($D154,'[2]End - Use Prices'!$B$9:$B$11,0)-1,MATCH(AA$1,'[2]End - Use Prices'!$C$7:$AL$7,0))</f>
        <v>41.92</v>
      </c>
      <c r="AB154" s="41">
        <f>INDEX('[2]End - Use Prices'!$C$6:$AL$89,MATCH($C154,'[2]End - Use Prices'!$A$6:$A$89,0)+MATCH($D154,'[2]End - Use Prices'!$B$9:$B$11,0)-1,MATCH(AB$1,'[2]End - Use Prices'!$C$7:$AL$7,0))</f>
        <v>43.47</v>
      </c>
      <c r="AC154" s="41">
        <f>INDEX('[2]End - Use Prices'!$C$6:$AL$89,MATCH($C154,'[2]End - Use Prices'!$A$6:$A$89,0)+MATCH($D154,'[2]End - Use Prices'!$B$9:$B$11,0)-1,MATCH(AC$1,'[2]End - Use Prices'!$C$7:$AL$7,0))</f>
        <v>42.27</v>
      </c>
      <c r="AD154" s="41">
        <f>INDEX('[2]End - Use Prices'!$C$6:$AL$89,MATCH($C154,'[2]End - Use Prices'!$A$6:$A$89,0)+MATCH($D154,'[2]End - Use Prices'!$B$9:$B$11,0)-1,MATCH(AD$1,'[2]End - Use Prices'!$C$7:$AL$7,0))</f>
        <v>41.5</v>
      </c>
      <c r="AE154" s="41">
        <f>INDEX('[2]End - Use Prices'!$C$6:$AL$89,MATCH($C154,'[2]End - Use Prices'!$A$6:$A$89,0)+MATCH($D154,'[2]End - Use Prices'!$B$9:$B$11,0)-1,MATCH(AE$1,'[2]End - Use Prices'!$C$7:$AL$7,0))</f>
        <v>41</v>
      </c>
      <c r="AF154" s="41">
        <f>INDEX('[2]End - Use Prices'!$C$6:$AL$89,MATCH($C154,'[2]End - Use Prices'!$A$6:$A$89,0)+MATCH($D154,'[2]End - Use Prices'!$B$9:$B$11,0)-1,MATCH(AF$1,'[2]End - Use Prices'!$C$7:$AL$7,0))</f>
        <v>40.340000000000003</v>
      </c>
      <c r="AG154" s="41">
        <f>INDEX('[2]End - Use Prices'!$C$6:$AL$89,MATCH($C154,'[2]End - Use Prices'!$A$6:$A$89,0)+MATCH($D154,'[2]End - Use Prices'!$B$9:$B$11,0)-1,MATCH(AG$1,'[2]End - Use Prices'!$C$7:$AL$7,0))</f>
        <v>40.39</v>
      </c>
      <c r="AH154" s="41">
        <f>INDEX('[2]End - Use Prices'!$C$6:$AL$89,MATCH($C154,'[2]End - Use Prices'!$A$6:$A$89,0)+MATCH($D154,'[2]End - Use Prices'!$B$9:$B$11,0)-1,MATCH(AH$1,'[2]End - Use Prices'!$C$7:$AL$7,0))</f>
        <v>41.52</v>
      </c>
      <c r="AI154" s="41">
        <f>INDEX('[2]End - Use Prices'!$C$6:$AL$89,MATCH($C154,'[2]End - Use Prices'!$A$6:$A$89,0)+MATCH($D154,'[2]End - Use Prices'!$B$9:$B$11,0)-1,MATCH(AI$1,'[2]End - Use Prices'!$C$7:$AL$7,0))</f>
        <v>42.28</v>
      </c>
      <c r="AJ154" s="41">
        <f>INDEX('[2]End - Use Prices'!$C$6:$AL$89,MATCH($C154,'[2]End - Use Prices'!$A$6:$A$89,0)+MATCH($D154,'[2]End - Use Prices'!$B$9:$B$11,0)-1,MATCH(AJ$1,'[2]End - Use Prices'!$C$7:$AL$7,0))</f>
        <v>42.82</v>
      </c>
      <c r="AK154" s="41">
        <f>INDEX('[2]End - Use Prices'!$C$6:$AL$89,MATCH($C154,'[2]End - Use Prices'!$A$6:$A$89,0)+MATCH($D154,'[2]End - Use Prices'!$B$9:$B$11,0)-1,MATCH(AK$1,'[2]End - Use Prices'!$C$7:$AL$7,0))</f>
        <v>43.37</v>
      </c>
      <c r="AL154" s="41">
        <f>INDEX('[2]End - Use Prices'!$C$6:$AL$89,MATCH($C154,'[2]End - Use Prices'!$A$6:$A$89,0)+MATCH($D154,'[2]End - Use Prices'!$B$9:$B$11,0)-1,MATCH(AL$1,'[2]End - Use Prices'!$C$7:$AL$7,0))</f>
        <v>43.92</v>
      </c>
      <c r="AM154" s="41">
        <f>INDEX('[2]End - Use Prices'!$C$6:$AL$89,MATCH($C154,'[2]End - Use Prices'!$A$6:$A$89,0)+MATCH($D154,'[2]End - Use Prices'!$B$9:$B$11,0)-1,MATCH(AM$1,'[2]End - Use Prices'!$C$7:$AL$7,0))</f>
        <v>44.47</v>
      </c>
      <c r="AN154" s="41">
        <f>INDEX('[2]End - Use Prices'!$C$6:$AL$89,MATCH($C154,'[2]End - Use Prices'!$A$6:$A$89,0)+MATCH($D154,'[2]End - Use Prices'!$B$9:$B$11,0)-1,MATCH(AN$1,'[2]End - Use Prices'!$C$7:$AL$7,0))</f>
        <v>45.04</v>
      </c>
      <c r="AO154" s="41">
        <f>INDEX('[2]End - Use Prices'!$C$6:$AL$89,MATCH($C154,'[2]End - Use Prices'!$A$6:$A$89,0)+MATCH($D154,'[2]End - Use Prices'!$B$9:$B$11,0)-1,MATCH(AO$1,'[2]End - Use Prices'!$C$7:$AL$7,0))</f>
        <v>45.61</v>
      </c>
      <c r="AP154" s="41">
        <f>INDEX('[2]End - Use Prices'!$C$6:$AL$89,MATCH($C154,'[2]End - Use Prices'!$A$6:$A$89,0)+MATCH($D154,'[2]End - Use Prices'!$B$9:$B$11,0)-1,MATCH(AP$1,'[2]End - Use Prices'!$C$7:$AL$7,0))</f>
        <v>46.19</v>
      </c>
      <c r="AQ154" s="41">
        <f>INDEX('[2]End - Use Prices'!$C$6:$AL$89,MATCH($C154,'[2]End - Use Prices'!$A$6:$A$89,0)+MATCH($D154,'[2]End - Use Prices'!$B$9:$B$11,0)-1,MATCH(AQ$1,'[2]End - Use Prices'!$C$7:$AL$7,0))</f>
        <v>46.78</v>
      </c>
      <c r="AR154" s="41">
        <f>INDEX('[2]End - Use Prices'!$C$6:$AL$89,MATCH($C154,'[2]End - Use Prices'!$A$6:$A$89,0)+MATCH($D154,'[2]End - Use Prices'!$B$9:$B$11,0)-1,MATCH(AR$1,'[2]End - Use Prices'!$C$7:$AL$7,0))</f>
        <v>47.37</v>
      </c>
      <c r="AS154" s="41">
        <f>INDEX('[2]End - Use Prices'!$C$6:$AL$89,MATCH($C154,'[2]End - Use Prices'!$A$6:$A$89,0)+MATCH($D154,'[2]End - Use Prices'!$B$9:$B$11,0)-1,MATCH(AS$1,'[2]End - Use Prices'!$C$7:$AL$7,0))</f>
        <v>47.97</v>
      </c>
      <c r="AT154" s="41">
        <f>INDEX('[2]End - Use Prices'!$C$6:$AL$89,MATCH($C154,'[2]End - Use Prices'!$A$6:$A$89,0)+MATCH($D154,'[2]End - Use Prices'!$B$9:$B$11,0)-1,MATCH(AT$1,'[2]End - Use Prices'!$C$7:$AL$7,0))</f>
        <v>48.58</v>
      </c>
      <c r="AU154" s="41">
        <f>INDEX('[2]End - Use Prices'!$C$6:$AL$89,MATCH($C154,'[2]End - Use Prices'!$A$6:$A$89,0)+MATCH($D154,'[2]End - Use Prices'!$B$9:$B$11,0)-1,MATCH(AU$1,'[2]End - Use Prices'!$C$7:$AL$7,0))</f>
        <v>49.2</v>
      </c>
      <c r="AV154" s="41">
        <f>INDEX('[2]End - Use Prices'!$C$6:$AL$89,MATCH($C154,'[2]End - Use Prices'!$A$6:$A$89,0)+MATCH($D154,'[2]End - Use Prices'!$B$9:$B$11,0)-1,MATCH(AV$1,'[2]End - Use Prices'!$C$7:$AL$7,0))</f>
        <v>49.82</v>
      </c>
      <c r="AW154" s="41">
        <f>INDEX('[2]End - Use Prices'!$C$6:$AL$89,MATCH($C154,'[2]End - Use Prices'!$A$6:$A$89,0)+MATCH($D154,'[2]End - Use Prices'!$B$9:$B$11,0)-1,MATCH(AW$1,'[2]End - Use Prices'!$C$7:$AL$7,0))</f>
        <v>50.45</v>
      </c>
      <c r="AX154" s="41">
        <f>INDEX('[2]End - Use Prices'!$C$6:$AL$89,MATCH($C154,'[2]End - Use Prices'!$A$6:$A$89,0)+MATCH($D154,'[2]End - Use Prices'!$B$9:$B$11,0)-1,MATCH(AX$1,'[2]End - Use Prices'!$C$7:$AL$7,0))</f>
        <v>51.09</v>
      </c>
      <c r="AY154" s="41">
        <f>INDEX('[2]End - Use Prices'!$C$6:$AL$89,MATCH($C154,'[2]End - Use Prices'!$A$6:$A$89,0)+MATCH($D154,'[2]End - Use Prices'!$B$9:$B$11,0)-1,MATCH(AY$1,'[2]End - Use Prices'!$C$7:$AL$7,0))</f>
        <v>51.74</v>
      </c>
      <c r="AZ154" s="41">
        <f>INDEX('[2]End - Use Prices'!$C$6:$AL$89,MATCH($C154,'[2]End - Use Prices'!$A$6:$A$89,0)+MATCH($D154,'[2]End - Use Prices'!$B$9:$B$11,0)-1,MATCH(AZ$1,'[2]End - Use Prices'!$C$7:$AL$7,0))</f>
        <v>52.4</v>
      </c>
      <c r="BA154" s="41">
        <f>INDEX('[2]End - Use Prices'!$C$6:$AL$89,MATCH($C154,'[2]End - Use Prices'!$A$6:$A$89,0)+MATCH($D154,'[2]End - Use Prices'!$B$9:$B$11,0)-1,MATCH(BA$1,'[2]End - Use Prices'!$C$7:$AL$7,0))</f>
        <v>53.07</v>
      </c>
      <c r="BB154" s="41">
        <f>INDEX('[2]End - Use Prices'!$C$6:$AL$89,MATCH($C154,'[2]End - Use Prices'!$A$6:$A$89,0)+MATCH($D154,'[2]End - Use Prices'!$B$9:$B$11,0)-1,MATCH(BB$1,'[2]End - Use Prices'!$C$7:$AL$7,0))</f>
        <v>53.74</v>
      </c>
      <c r="BC154" s="41">
        <f>INDEX('[2]End - Use Prices'!$C$6:$AL$89,MATCH($C154,'[2]End - Use Prices'!$A$6:$A$89,0)+MATCH($D154,'[2]End - Use Prices'!$B$9:$B$11,0)-1,MATCH(BC$1,'[2]End - Use Prices'!$C$7:$AL$7,0))</f>
        <v>54.42</v>
      </c>
      <c r="BD154" s="41">
        <f>INDEX('[2]End - Use Prices'!$C$6:$AL$89,MATCH($C154,'[2]End - Use Prices'!$A$6:$A$89,0)+MATCH($D154,'[2]End - Use Prices'!$B$9:$B$11,0)-1,MATCH(BD$1,'[2]End - Use Prices'!$C$7:$AL$7,0))</f>
        <v>55.11</v>
      </c>
      <c r="BE154" s="41">
        <f>INDEX('[2]End - Use Prices'!$C$6:$AL$89,MATCH($C154,'[2]End - Use Prices'!$A$6:$A$89,0)+MATCH($D154,'[2]End - Use Prices'!$B$9:$B$11,0)-1,MATCH(BE$1,'[2]End - Use Prices'!$C$7:$AL$7,0))</f>
        <v>55.81</v>
      </c>
      <c r="BF154" s="41">
        <f>INDEX('[2]End - Use Prices'!$C$6:$AL$89,MATCH($C154,'[2]End - Use Prices'!$A$6:$A$89,0)+MATCH($D154,'[2]End - Use Prices'!$B$9:$B$11,0)-1,MATCH(BF$1,'[2]End - Use Prices'!$C$7:$AL$7,0))</f>
        <v>56.52</v>
      </c>
      <c r="BG154" s="41">
        <f>INDEX('[2]End - Use Prices'!$C$6:$AL$89,MATCH($C154,'[2]End - Use Prices'!$A$6:$A$89,0)+MATCH($D154,'[2]End - Use Prices'!$B$9:$B$11,0)-1,MATCH(BG$1,'[2]End - Use Prices'!$C$7:$AL$7,0))</f>
        <v>57.24</v>
      </c>
      <c r="BR154" s="39"/>
      <c r="BS154" s="39"/>
      <c r="BT154" s="39"/>
      <c r="BU154" s="39"/>
      <c r="BV154" s="39"/>
      <c r="BW154" s="39"/>
      <c r="BX154" s="39"/>
      <c r="BY154" s="39"/>
      <c r="BZ154" s="39"/>
      <c r="CA154" s="39"/>
    </row>
    <row r="155" spans="1:79">
      <c r="A155" s="5"/>
      <c r="B155" s="3"/>
      <c r="C155" s="25" t="s">
        <v>88</v>
      </c>
      <c r="D155" s="25" t="s">
        <v>2</v>
      </c>
      <c r="E155" s="25" t="s">
        <v>277</v>
      </c>
      <c r="F155" s="67" t="s">
        <v>275</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INDEX('[2]End - Use Prices'!$C$6:$AL$89,MATCH($C155,'[2]End - Use Prices'!$A$6:$A$89,0)+MATCH($D155,'[2]End - Use Prices'!$B$9:$B$11,0)-1,MATCH(X$1,'[2]End - Use Prices'!$C$7:$AL$7,0))</f>
        <v>23.05</v>
      </c>
      <c r="Y155" s="41">
        <f>INDEX('[2]End - Use Prices'!$C$6:$AL$89,MATCH($C155,'[2]End - Use Prices'!$A$6:$A$89,0)+MATCH($D155,'[2]End - Use Prices'!$B$9:$B$11,0)-1,MATCH(Y$1,'[2]End - Use Prices'!$C$7:$AL$7,0))</f>
        <v>26.62</v>
      </c>
      <c r="Z155" s="41">
        <f>INDEX('[2]End - Use Prices'!$C$6:$AL$89,MATCH($C155,'[2]End - Use Prices'!$A$6:$A$89,0)+MATCH($D155,'[2]End - Use Prices'!$B$9:$B$11,0)-1,MATCH(Z$1,'[2]End - Use Prices'!$C$7:$AL$7,0))</f>
        <v>25.75</v>
      </c>
      <c r="AA155" s="41">
        <f>INDEX('[2]End - Use Prices'!$C$6:$AL$89,MATCH($C155,'[2]End - Use Prices'!$A$6:$A$89,0)+MATCH($D155,'[2]End - Use Prices'!$B$9:$B$11,0)-1,MATCH(AA$1,'[2]End - Use Prices'!$C$7:$AL$7,0))</f>
        <v>24.75</v>
      </c>
      <c r="AB155" s="41">
        <f>INDEX('[2]End - Use Prices'!$C$6:$AL$89,MATCH($C155,'[2]End - Use Prices'!$A$6:$A$89,0)+MATCH($D155,'[2]End - Use Prices'!$B$9:$B$11,0)-1,MATCH(AB$1,'[2]End - Use Prices'!$C$7:$AL$7,0))</f>
        <v>25.57</v>
      </c>
      <c r="AC155" s="41">
        <f>INDEX('[2]End - Use Prices'!$C$6:$AL$89,MATCH($C155,'[2]End - Use Prices'!$A$6:$A$89,0)+MATCH($D155,'[2]End - Use Prices'!$B$9:$B$11,0)-1,MATCH(AC$1,'[2]End - Use Prices'!$C$7:$AL$7,0))</f>
        <v>24.86</v>
      </c>
      <c r="AD155" s="41">
        <f>INDEX('[2]End - Use Prices'!$C$6:$AL$89,MATCH($C155,'[2]End - Use Prices'!$A$6:$A$89,0)+MATCH($D155,'[2]End - Use Prices'!$B$9:$B$11,0)-1,MATCH(AD$1,'[2]End - Use Prices'!$C$7:$AL$7,0))</f>
        <v>24.33</v>
      </c>
      <c r="AE155" s="41">
        <f>INDEX('[2]End - Use Prices'!$C$6:$AL$89,MATCH($C155,'[2]End - Use Prices'!$A$6:$A$89,0)+MATCH($D155,'[2]End - Use Prices'!$B$9:$B$11,0)-1,MATCH(AE$1,'[2]End - Use Prices'!$C$7:$AL$7,0))</f>
        <v>24.26</v>
      </c>
      <c r="AF155" s="41">
        <f>INDEX('[2]End - Use Prices'!$C$6:$AL$89,MATCH($C155,'[2]End - Use Prices'!$A$6:$A$89,0)+MATCH($D155,'[2]End - Use Prices'!$B$9:$B$11,0)-1,MATCH(AF$1,'[2]End - Use Prices'!$C$7:$AL$7,0))</f>
        <v>24.24</v>
      </c>
      <c r="AG155" s="41">
        <f>INDEX('[2]End - Use Prices'!$C$6:$AL$89,MATCH($C155,'[2]End - Use Prices'!$A$6:$A$89,0)+MATCH($D155,'[2]End - Use Prices'!$B$9:$B$11,0)-1,MATCH(AG$1,'[2]End - Use Prices'!$C$7:$AL$7,0))</f>
        <v>24.48</v>
      </c>
      <c r="AH155" s="41">
        <f>INDEX('[2]End - Use Prices'!$C$6:$AL$89,MATCH($C155,'[2]End - Use Prices'!$A$6:$A$89,0)+MATCH($D155,'[2]End - Use Prices'!$B$9:$B$11,0)-1,MATCH(AH$1,'[2]End - Use Prices'!$C$7:$AL$7,0))</f>
        <v>25.13</v>
      </c>
      <c r="AI155" s="41">
        <f>INDEX('[2]End - Use Prices'!$C$6:$AL$89,MATCH($C155,'[2]End - Use Prices'!$A$6:$A$89,0)+MATCH($D155,'[2]End - Use Prices'!$B$9:$B$11,0)-1,MATCH(AI$1,'[2]End - Use Prices'!$C$7:$AL$7,0))</f>
        <v>25.1</v>
      </c>
      <c r="AJ155" s="41">
        <f>INDEX('[2]End - Use Prices'!$C$6:$AL$89,MATCH($C155,'[2]End - Use Prices'!$A$6:$A$89,0)+MATCH($D155,'[2]End - Use Prices'!$B$9:$B$11,0)-1,MATCH(AJ$1,'[2]End - Use Prices'!$C$7:$AL$7,0))</f>
        <v>25.35</v>
      </c>
      <c r="AK155" s="41">
        <f>INDEX('[2]End - Use Prices'!$C$6:$AL$89,MATCH($C155,'[2]End - Use Prices'!$A$6:$A$89,0)+MATCH($D155,'[2]End - Use Prices'!$B$9:$B$11,0)-1,MATCH(AK$1,'[2]End - Use Prices'!$C$7:$AL$7,0))</f>
        <v>25.6</v>
      </c>
      <c r="AL155" s="41">
        <f>INDEX('[2]End - Use Prices'!$C$6:$AL$89,MATCH($C155,'[2]End - Use Prices'!$A$6:$A$89,0)+MATCH($D155,'[2]End - Use Prices'!$B$9:$B$11,0)-1,MATCH(AL$1,'[2]End - Use Prices'!$C$7:$AL$7,0))</f>
        <v>25.86</v>
      </c>
      <c r="AM155" s="41">
        <f>INDEX('[2]End - Use Prices'!$C$6:$AL$89,MATCH($C155,'[2]End - Use Prices'!$A$6:$A$89,0)+MATCH($D155,'[2]End - Use Prices'!$B$9:$B$11,0)-1,MATCH(AM$1,'[2]End - Use Prices'!$C$7:$AL$7,0))</f>
        <v>26.11</v>
      </c>
      <c r="AN155" s="41">
        <f>INDEX('[2]End - Use Prices'!$C$6:$AL$89,MATCH($C155,'[2]End - Use Prices'!$A$6:$A$89,0)+MATCH($D155,'[2]End - Use Prices'!$B$9:$B$11,0)-1,MATCH(AN$1,'[2]End - Use Prices'!$C$7:$AL$7,0))</f>
        <v>26.37</v>
      </c>
      <c r="AO155" s="41">
        <f>INDEX('[2]End - Use Prices'!$C$6:$AL$89,MATCH($C155,'[2]End - Use Prices'!$A$6:$A$89,0)+MATCH($D155,'[2]End - Use Prices'!$B$9:$B$11,0)-1,MATCH(AO$1,'[2]End - Use Prices'!$C$7:$AL$7,0))</f>
        <v>26.64</v>
      </c>
      <c r="AP155" s="41">
        <f>INDEX('[2]End - Use Prices'!$C$6:$AL$89,MATCH($C155,'[2]End - Use Prices'!$A$6:$A$89,0)+MATCH($D155,'[2]End - Use Prices'!$B$9:$B$11,0)-1,MATCH(AP$1,'[2]End - Use Prices'!$C$7:$AL$7,0))</f>
        <v>26.9</v>
      </c>
      <c r="AQ155" s="41">
        <f>INDEX('[2]End - Use Prices'!$C$6:$AL$89,MATCH($C155,'[2]End - Use Prices'!$A$6:$A$89,0)+MATCH($D155,'[2]End - Use Prices'!$B$9:$B$11,0)-1,MATCH(AQ$1,'[2]End - Use Prices'!$C$7:$AL$7,0))</f>
        <v>27.17</v>
      </c>
      <c r="AR155" s="41">
        <f>INDEX('[2]End - Use Prices'!$C$6:$AL$89,MATCH($C155,'[2]End - Use Prices'!$A$6:$A$89,0)+MATCH($D155,'[2]End - Use Prices'!$B$9:$B$11,0)-1,MATCH(AR$1,'[2]End - Use Prices'!$C$7:$AL$7,0))</f>
        <v>27.44</v>
      </c>
      <c r="AS155" s="41">
        <f>INDEX('[2]End - Use Prices'!$C$6:$AL$89,MATCH($C155,'[2]End - Use Prices'!$A$6:$A$89,0)+MATCH($D155,'[2]End - Use Prices'!$B$9:$B$11,0)-1,MATCH(AS$1,'[2]End - Use Prices'!$C$7:$AL$7,0))</f>
        <v>27.72</v>
      </c>
      <c r="AT155" s="41">
        <f>INDEX('[2]End - Use Prices'!$C$6:$AL$89,MATCH($C155,'[2]End - Use Prices'!$A$6:$A$89,0)+MATCH($D155,'[2]End - Use Prices'!$B$9:$B$11,0)-1,MATCH(AT$1,'[2]End - Use Prices'!$C$7:$AL$7,0))</f>
        <v>27.99</v>
      </c>
      <c r="AU155" s="41">
        <f>INDEX('[2]End - Use Prices'!$C$6:$AL$89,MATCH($C155,'[2]End - Use Prices'!$A$6:$A$89,0)+MATCH($D155,'[2]End - Use Prices'!$B$9:$B$11,0)-1,MATCH(AU$1,'[2]End - Use Prices'!$C$7:$AL$7,0))</f>
        <v>28.27</v>
      </c>
      <c r="AV155" s="41">
        <f>INDEX('[2]End - Use Prices'!$C$6:$AL$89,MATCH($C155,'[2]End - Use Prices'!$A$6:$A$89,0)+MATCH($D155,'[2]End - Use Prices'!$B$9:$B$11,0)-1,MATCH(AV$1,'[2]End - Use Prices'!$C$7:$AL$7,0))</f>
        <v>28.55</v>
      </c>
      <c r="AW155" s="41">
        <f>INDEX('[2]End - Use Prices'!$C$6:$AL$89,MATCH($C155,'[2]End - Use Prices'!$A$6:$A$89,0)+MATCH($D155,'[2]End - Use Prices'!$B$9:$B$11,0)-1,MATCH(AW$1,'[2]End - Use Prices'!$C$7:$AL$7,0))</f>
        <v>28.84</v>
      </c>
      <c r="AX155" s="41">
        <f>INDEX('[2]End - Use Prices'!$C$6:$AL$89,MATCH($C155,'[2]End - Use Prices'!$A$6:$A$89,0)+MATCH($D155,'[2]End - Use Prices'!$B$9:$B$11,0)-1,MATCH(AX$1,'[2]End - Use Prices'!$C$7:$AL$7,0))</f>
        <v>29.12</v>
      </c>
      <c r="AY155" s="41">
        <f>INDEX('[2]End - Use Prices'!$C$6:$AL$89,MATCH($C155,'[2]End - Use Prices'!$A$6:$A$89,0)+MATCH($D155,'[2]End - Use Prices'!$B$9:$B$11,0)-1,MATCH(AY$1,'[2]End - Use Prices'!$C$7:$AL$7,0))</f>
        <v>29.41</v>
      </c>
      <c r="AZ155" s="41">
        <f>INDEX('[2]End - Use Prices'!$C$6:$AL$89,MATCH($C155,'[2]End - Use Prices'!$A$6:$A$89,0)+MATCH($D155,'[2]End - Use Prices'!$B$9:$B$11,0)-1,MATCH(AZ$1,'[2]End - Use Prices'!$C$7:$AL$7,0))</f>
        <v>29.71</v>
      </c>
      <c r="BA155" s="41">
        <f>INDEX('[2]End - Use Prices'!$C$6:$AL$89,MATCH($C155,'[2]End - Use Prices'!$A$6:$A$89,0)+MATCH($D155,'[2]End - Use Prices'!$B$9:$B$11,0)-1,MATCH(BA$1,'[2]End - Use Prices'!$C$7:$AL$7,0))</f>
        <v>30</v>
      </c>
      <c r="BB155" s="41">
        <f>INDEX('[2]End - Use Prices'!$C$6:$AL$89,MATCH($C155,'[2]End - Use Prices'!$A$6:$A$89,0)+MATCH($D155,'[2]End - Use Prices'!$B$9:$B$11,0)-1,MATCH(BB$1,'[2]End - Use Prices'!$C$7:$AL$7,0))</f>
        <v>30.3</v>
      </c>
      <c r="BC155" s="41">
        <f>INDEX('[2]End - Use Prices'!$C$6:$AL$89,MATCH($C155,'[2]End - Use Prices'!$A$6:$A$89,0)+MATCH($D155,'[2]End - Use Prices'!$B$9:$B$11,0)-1,MATCH(BC$1,'[2]End - Use Prices'!$C$7:$AL$7,0))</f>
        <v>30.6</v>
      </c>
      <c r="BD155" s="41">
        <f>INDEX('[2]End - Use Prices'!$C$6:$AL$89,MATCH($C155,'[2]End - Use Prices'!$A$6:$A$89,0)+MATCH($D155,'[2]End - Use Prices'!$B$9:$B$11,0)-1,MATCH(BD$1,'[2]End - Use Prices'!$C$7:$AL$7,0))</f>
        <v>30.91</v>
      </c>
      <c r="BE155" s="41">
        <f>INDEX('[2]End - Use Prices'!$C$6:$AL$89,MATCH($C155,'[2]End - Use Prices'!$A$6:$A$89,0)+MATCH($D155,'[2]End - Use Prices'!$B$9:$B$11,0)-1,MATCH(BE$1,'[2]End - Use Prices'!$C$7:$AL$7,0))</f>
        <v>31.22</v>
      </c>
      <c r="BF155" s="41">
        <f>INDEX('[2]End - Use Prices'!$C$6:$AL$89,MATCH($C155,'[2]End - Use Prices'!$A$6:$A$89,0)+MATCH($D155,'[2]End - Use Prices'!$B$9:$B$11,0)-1,MATCH(BF$1,'[2]End - Use Prices'!$C$7:$AL$7,0))</f>
        <v>31.53</v>
      </c>
      <c r="BG155" s="41">
        <f>INDEX('[2]End - Use Prices'!$C$6:$AL$89,MATCH($C155,'[2]End - Use Prices'!$A$6:$A$89,0)+MATCH($D155,'[2]End - Use Prices'!$B$9:$B$11,0)-1,MATCH(BG$1,'[2]End - Use Prices'!$C$7:$AL$7,0))</f>
        <v>31.84</v>
      </c>
      <c r="BR155" s="39"/>
      <c r="BS155" s="39"/>
      <c r="BT155" s="39"/>
      <c r="BU155" s="39"/>
      <c r="BV155" s="39"/>
      <c r="BW155" s="39"/>
      <c r="BX155" s="39"/>
      <c r="BY155" s="39"/>
      <c r="BZ155" s="39"/>
      <c r="CA155" s="39"/>
    </row>
    <row r="156" spans="1:79">
      <c r="A156" s="5"/>
      <c r="B156" s="3"/>
      <c r="C156" s="25" t="s">
        <v>89</v>
      </c>
      <c r="D156" s="25" t="s">
        <v>2</v>
      </c>
      <c r="E156" s="25" t="s">
        <v>277</v>
      </c>
      <c r="F156" s="67" t="s">
        <v>275</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INDEX('[2]End - Use Prices'!$C$6:$AL$89,MATCH($C156,'[2]End - Use Prices'!$A$6:$A$89,0)+MATCH($D156,'[2]End - Use Prices'!$B$9:$B$11,0)-1,MATCH(X$1,'[2]End - Use Prices'!$C$7:$AL$7,0))</f>
        <v>36.92</v>
      </c>
      <c r="Y156" s="41">
        <f>INDEX('[2]End - Use Prices'!$C$6:$AL$89,MATCH($C156,'[2]End - Use Prices'!$A$6:$A$89,0)+MATCH($D156,'[2]End - Use Prices'!$B$9:$B$11,0)-1,MATCH(Y$1,'[2]End - Use Prices'!$C$7:$AL$7,0))</f>
        <v>40.86</v>
      </c>
      <c r="Z156" s="41">
        <f>INDEX('[2]End - Use Prices'!$C$6:$AL$89,MATCH($C156,'[2]End - Use Prices'!$A$6:$A$89,0)+MATCH($D156,'[2]End - Use Prices'!$B$9:$B$11,0)-1,MATCH(Z$1,'[2]End - Use Prices'!$C$7:$AL$7,0))</f>
        <v>40.64</v>
      </c>
      <c r="AA156" s="41">
        <f>INDEX('[2]End - Use Prices'!$C$6:$AL$89,MATCH($C156,'[2]End - Use Prices'!$A$6:$A$89,0)+MATCH($D156,'[2]End - Use Prices'!$B$9:$B$11,0)-1,MATCH(AA$1,'[2]End - Use Prices'!$C$7:$AL$7,0))</f>
        <v>37.31</v>
      </c>
      <c r="AB156" s="41">
        <f>INDEX('[2]End - Use Prices'!$C$6:$AL$89,MATCH($C156,'[2]End - Use Prices'!$A$6:$A$89,0)+MATCH($D156,'[2]End - Use Prices'!$B$9:$B$11,0)-1,MATCH(AB$1,'[2]End - Use Prices'!$C$7:$AL$7,0))</f>
        <v>39.53</v>
      </c>
      <c r="AC156" s="41">
        <f>INDEX('[2]End - Use Prices'!$C$6:$AL$89,MATCH($C156,'[2]End - Use Prices'!$A$6:$A$89,0)+MATCH($D156,'[2]End - Use Prices'!$B$9:$B$11,0)-1,MATCH(AC$1,'[2]End - Use Prices'!$C$7:$AL$7,0))</f>
        <v>39.14</v>
      </c>
      <c r="AD156" s="41">
        <f>INDEX('[2]End - Use Prices'!$C$6:$AL$89,MATCH($C156,'[2]End - Use Prices'!$A$6:$A$89,0)+MATCH($D156,'[2]End - Use Prices'!$B$9:$B$11,0)-1,MATCH(AD$1,'[2]End - Use Prices'!$C$7:$AL$7,0))</f>
        <v>40.4</v>
      </c>
      <c r="AE156" s="41">
        <f>INDEX('[2]End - Use Prices'!$C$6:$AL$89,MATCH($C156,'[2]End - Use Prices'!$A$6:$A$89,0)+MATCH($D156,'[2]End - Use Prices'!$B$9:$B$11,0)-1,MATCH(AE$1,'[2]End - Use Prices'!$C$7:$AL$7,0))</f>
        <v>42.06</v>
      </c>
      <c r="AF156" s="41">
        <f>INDEX('[2]End - Use Prices'!$C$6:$AL$89,MATCH($C156,'[2]End - Use Prices'!$A$6:$A$89,0)+MATCH($D156,'[2]End - Use Prices'!$B$9:$B$11,0)-1,MATCH(AF$1,'[2]End - Use Prices'!$C$7:$AL$7,0))</f>
        <v>42.96</v>
      </c>
      <c r="AG156" s="41">
        <f>INDEX('[2]End - Use Prices'!$C$6:$AL$89,MATCH($C156,'[2]End - Use Prices'!$A$6:$A$89,0)+MATCH($D156,'[2]End - Use Prices'!$B$9:$B$11,0)-1,MATCH(AG$1,'[2]End - Use Prices'!$C$7:$AL$7,0))</f>
        <v>46.39</v>
      </c>
      <c r="AH156" s="41">
        <f>INDEX('[2]End - Use Prices'!$C$6:$AL$89,MATCH($C156,'[2]End - Use Prices'!$A$6:$A$89,0)+MATCH($D156,'[2]End - Use Prices'!$B$9:$B$11,0)-1,MATCH(AH$1,'[2]End - Use Prices'!$C$7:$AL$7,0))</f>
        <v>48.73</v>
      </c>
      <c r="AI156" s="41">
        <f>INDEX('[2]End - Use Prices'!$C$6:$AL$89,MATCH($C156,'[2]End - Use Prices'!$A$6:$A$89,0)+MATCH($D156,'[2]End - Use Prices'!$B$9:$B$11,0)-1,MATCH(AI$1,'[2]End - Use Prices'!$C$7:$AL$7,0))</f>
        <v>58.38</v>
      </c>
      <c r="AJ156" s="41">
        <f>INDEX('[2]End - Use Prices'!$C$6:$AL$89,MATCH($C156,'[2]End - Use Prices'!$A$6:$A$89,0)+MATCH($D156,'[2]End - Use Prices'!$B$9:$B$11,0)-1,MATCH(AJ$1,'[2]End - Use Prices'!$C$7:$AL$7,0))</f>
        <v>58.96</v>
      </c>
      <c r="AK156" s="41">
        <f>INDEX('[2]End - Use Prices'!$C$6:$AL$89,MATCH($C156,'[2]End - Use Prices'!$A$6:$A$89,0)+MATCH($D156,'[2]End - Use Prices'!$B$9:$B$11,0)-1,MATCH(AK$1,'[2]End - Use Prices'!$C$7:$AL$7,0))</f>
        <v>59.62</v>
      </c>
      <c r="AL156" s="41">
        <f>INDEX('[2]End - Use Prices'!$C$6:$AL$89,MATCH($C156,'[2]End - Use Prices'!$A$6:$A$89,0)+MATCH($D156,'[2]End - Use Prices'!$B$9:$B$11,0)-1,MATCH(AL$1,'[2]End - Use Prices'!$C$7:$AL$7,0))</f>
        <v>60.27</v>
      </c>
      <c r="AM156" s="41">
        <f>INDEX('[2]End - Use Prices'!$C$6:$AL$89,MATCH($C156,'[2]End - Use Prices'!$A$6:$A$89,0)+MATCH($D156,'[2]End - Use Prices'!$B$9:$B$11,0)-1,MATCH(AM$1,'[2]End - Use Prices'!$C$7:$AL$7,0))</f>
        <v>60.89</v>
      </c>
      <c r="AN156" s="41">
        <f>INDEX('[2]End - Use Prices'!$C$6:$AL$89,MATCH($C156,'[2]End - Use Prices'!$A$6:$A$89,0)+MATCH($D156,'[2]End - Use Prices'!$B$9:$B$11,0)-1,MATCH(AN$1,'[2]End - Use Prices'!$C$7:$AL$7,0))</f>
        <v>61.51</v>
      </c>
      <c r="AO156" s="41">
        <f>INDEX('[2]End - Use Prices'!$C$6:$AL$89,MATCH($C156,'[2]End - Use Prices'!$A$6:$A$89,0)+MATCH($D156,'[2]End - Use Prices'!$B$9:$B$11,0)-1,MATCH(AO$1,'[2]End - Use Prices'!$C$7:$AL$7,0))</f>
        <v>62.1</v>
      </c>
      <c r="AP156" s="41">
        <f>INDEX('[2]End - Use Prices'!$C$6:$AL$89,MATCH($C156,'[2]End - Use Prices'!$A$6:$A$89,0)+MATCH($D156,'[2]End - Use Prices'!$B$9:$B$11,0)-1,MATCH(AP$1,'[2]End - Use Prices'!$C$7:$AL$7,0))</f>
        <v>62.68</v>
      </c>
      <c r="AQ156" s="41">
        <f>INDEX('[2]End - Use Prices'!$C$6:$AL$89,MATCH($C156,'[2]End - Use Prices'!$A$6:$A$89,0)+MATCH($D156,'[2]End - Use Prices'!$B$9:$B$11,0)-1,MATCH(AQ$1,'[2]End - Use Prices'!$C$7:$AL$7,0))</f>
        <v>63.25</v>
      </c>
      <c r="AR156" s="41">
        <f>INDEX('[2]End - Use Prices'!$C$6:$AL$89,MATCH($C156,'[2]End - Use Prices'!$A$6:$A$89,0)+MATCH($D156,'[2]End - Use Prices'!$B$9:$B$11,0)-1,MATCH(AR$1,'[2]End - Use Prices'!$C$7:$AL$7,0))</f>
        <v>63.81</v>
      </c>
      <c r="AS156" s="41">
        <f>INDEX('[2]End - Use Prices'!$C$6:$AL$89,MATCH($C156,'[2]End - Use Prices'!$A$6:$A$89,0)+MATCH($D156,'[2]End - Use Prices'!$B$9:$B$11,0)-1,MATCH(AS$1,'[2]End - Use Prices'!$C$7:$AL$7,0))</f>
        <v>64.36</v>
      </c>
      <c r="AT156" s="41">
        <f>INDEX('[2]End - Use Prices'!$C$6:$AL$89,MATCH($C156,'[2]End - Use Prices'!$A$6:$A$89,0)+MATCH($D156,'[2]End - Use Prices'!$B$9:$B$11,0)-1,MATCH(AT$1,'[2]End - Use Prices'!$C$7:$AL$7,0))</f>
        <v>64.900000000000006</v>
      </c>
      <c r="AU156" s="41">
        <f>INDEX('[2]End - Use Prices'!$C$6:$AL$89,MATCH($C156,'[2]End - Use Prices'!$A$6:$A$89,0)+MATCH($D156,'[2]End - Use Prices'!$B$9:$B$11,0)-1,MATCH(AU$1,'[2]End - Use Prices'!$C$7:$AL$7,0))</f>
        <v>65.430000000000007</v>
      </c>
      <c r="AV156" s="41">
        <f>INDEX('[2]End - Use Prices'!$C$6:$AL$89,MATCH($C156,'[2]End - Use Prices'!$A$6:$A$89,0)+MATCH($D156,'[2]End - Use Prices'!$B$9:$B$11,0)-1,MATCH(AV$1,'[2]End - Use Prices'!$C$7:$AL$7,0))</f>
        <v>65.95</v>
      </c>
      <c r="AW156" s="41">
        <f>INDEX('[2]End - Use Prices'!$C$6:$AL$89,MATCH($C156,'[2]End - Use Prices'!$A$6:$A$89,0)+MATCH($D156,'[2]End - Use Prices'!$B$9:$B$11,0)-1,MATCH(AW$1,'[2]End - Use Prices'!$C$7:$AL$7,0))</f>
        <v>66.47</v>
      </c>
      <c r="AX156" s="41">
        <f>INDEX('[2]End - Use Prices'!$C$6:$AL$89,MATCH($C156,'[2]End - Use Prices'!$A$6:$A$89,0)+MATCH($D156,'[2]End - Use Prices'!$B$9:$B$11,0)-1,MATCH(AX$1,'[2]End - Use Prices'!$C$7:$AL$7,0))</f>
        <v>66.989999999999995</v>
      </c>
      <c r="AY156" s="41">
        <f>INDEX('[2]End - Use Prices'!$C$6:$AL$89,MATCH($C156,'[2]End - Use Prices'!$A$6:$A$89,0)+MATCH($D156,'[2]End - Use Prices'!$B$9:$B$11,0)-1,MATCH(AY$1,'[2]End - Use Prices'!$C$7:$AL$7,0))</f>
        <v>67.510000000000005</v>
      </c>
      <c r="AZ156" s="41">
        <f>INDEX('[2]End - Use Prices'!$C$6:$AL$89,MATCH($C156,'[2]End - Use Prices'!$A$6:$A$89,0)+MATCH($D156,'[2]End - Use Prices'!$B$9:$B$11,0)-1,MATCH(AZ$1,'[2]End - Use Prices'!$C$7:$AL$7,0))</f>
        <v>68.02</v>
      </c>
      <c r="BA156" s="41">
        <f>INDEX('[2]End - Use Prices'!$C$6:$AL$89,MATCH($C156,'[2]End - Use Prices'!$A$6:$A$89,0)+MATCH($D156,'[2]End - Use Prices'!$B$9:$B$11,0)-1,MATCH(BA$1,'[2]End - Use Prices'!$C$7:$AL$7,0))</f>
        <v>68.53</v>
      </c>
      <c r="BB156" s="41">
        <f>INDEX('[2]End - Use Prices'!$C$6:$AL$89,MATCH($C156,'[2]End - Use Prices'!$A$6:$A$89,0)+MATCH($D156,'[2]End - Use Prices'!$B$9:$B$11,0)-1,MATCH(BB$1,'[2]End - Use Prices'!$C$7:$AL$7,0))</f>
        <v>69.05</v>
      </c>
      <c r="BC156" s="41">
        <f>INDEX('[2]End - Use Prices'!$C$6:$AL$89,MATCH($C156,'[2]End - Use Prices'!$A$6:$A$89,0)+MATCH($D156,'[2]End - Use Prices'!$B$9:$B$11,0)-1,MATCH(BC$1,'[2]End - Use Prices'!$C$7:$AL$7,0))</f>
        <v>69.569999999999993</v>
      </c>
      <c r="BD156" s="41">
        <f>INDEX('[2]End - Use Prices'!$C$6:$AL$89,MATCH($C156,'[2]End - Use Prices'!$A$6:$A$89,0)+MATCH($D156,'[2]End - Use Prices'!$B$9:$B$11,0)-1,MATCH(BD$1,'[2]End - Use Prices'!$C$7:$AL$7,0))</f>
        <v>70.09</v>
      </c>
      <c r="BE156" s="41">
        <f>INDEX('[2]End - Use Prices'!$C$6:$AL$89,MATCH($C156,'[2]End - Use Prices'!$A$6:$A$89,0)+MATCH($D156,'[2]End - Use Prices'!$B$9:$B$11,0)-1,MATCH(BE$1,'[2]End - Use Prices'!$C$7:$AL$7,0))</f>
        <v>70.62</v>
      </c>
      <c r="BF156" s="41">
        <f>INDEX('[2]End - Use Prices'!$C$6:$AL$89,MATCH($C156,'[2]End - Use Prices'!$A$6:$A$89,0)+MATCH($D156,'[2]End - Use Prices'!$B$9:$B$11,0)-1,MATCH(BF$1,'[2]End - Use Prices'!$C$7:$AL$7,0))</f>
        <v>71.150000000000006</v>
      </c>
      <c r="BG156" s="41">
        <f>INDEX('[2]End - Use Prices'!$C$6:$AL$89,MATCH($C156,'[2]End - Use Prices'!$A$6:$A$89,0)+MATCH($D156,'[2]End - Use Prices'!$B$9:$B$11,0)-1,MATCH(BG$1,'[2]End - Use Prices'!$C$7:$AL$7,0))</f>
        <v>71.69</v>
      </c>
      <c r="BR156" s="39"/>
      <c r="BS156" s="39"/>
      <c r="BT156" s="39"/>
      <c r="BU156" s="39"/>
      <c r="BV156" s="39"/>
      <c r="BW156" s="39"/>
      <c r="BX156" s="39"/>
      <c r="BY156" s="39"/>
      <c r="BZ156" s="39"/>
      <c r="CA156" s="39"/>
    </row>
    <row r="157" spans="1:79">
      <c r="A157" s="5"/>
      <c r="B157" s="3"/>
      <c r="C157" s="25" t="s">
        <v>90</v>
      </c>
      <c r="D157" s="25" t="s">
        <v>2</v>
      </c>
      <c r="E157" s="25" t="s">
        <v>277</v>
      </c>
      <c r="F157" s="67" t="s">
        <v>275</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INDEX('[2]End - Use Prices'!$C$6:$AL$89,MATCH($C157,'[2]End - Use Prices'!$A$6:$A$89,0)+MATCH($D157,'[2]End - Use Prices'!$B$9:$B$11,0)-1,MATCH(X$1,'[2]End - Use Prices'!$C$7:$AL$7,0))</f>
        <v>23.08</v>
      </c>
      <c r="Y157" s="41">
        <f>INDEX('[2]End - Use Prices'!$C$6:$AL$89,MATCH($C157,'[2]End - Use Prices'!$A$6:$A$89,0)+MATCH($D157,'[2]End - Use Prices'!$B$9:$B$11,0)-1,MATCH(Y$1,'[2]End - Use Prices'!$C$7:$AL$7,0))</f>
        <v>23.95</v>
      </c>
      <c r="Z157" s="41">
        <f>INDEX('[2]End - Use Prices'!$C$6:$AL$89,MATCH($C157,'[2]End - Use Prices'!$A$6:$A$89,0)+MATCH($D157,'[2]End - Use Prices'!$B$9:$B$11,0)-1,MATCH(Z$1,'[2]End - Use Prices'!$C$7:$AL$7,0))</f>
        <v>23.39</v>
      </c>
      <c r="AA157" s="41">
        <f>INDEX('[2]End - Use Prices'!$C$6:$AL$89,MATCH($C157,'[2]End - Use Prices'!$A$6:$A$89,0)+MATCH($D157,'[2]End - Use Prices'!$B$9:$B$11,0)-1,MATCH(AA$1,'[2]End - Use Prices'!$C$7:$AL$7,0))</f>
        <v>22.1</v>
      </c>
      <c r="AB157" s="41">
        <f>INDEX('[2]End - Use Prices'!$C$6:$AL$89,MATCH($C157,'[2]End - Use Prices'!$A$6:$A$89,0)+MATCH($D157,'[2]End - Use Prices'!$B$9:$B$11,0)-1,MATCH(AB$1,'[2]End - Use Prices'!$C$7:$AL$7,0))</f>
        <v>24.37</v>
      </c>
      <c r="AC157" s="41">
        <f>INDEX('[2]End - Use Prices'!$C$6:$AL$89,MATCH($C157,'[2]End - Use Prices'!$A$6:$A$89,0)+MATCH($D157,'[2]End - Use Prices'!$B$9:$B$11,0)-1,MATCH(AC$1,'[2]End - Use Prices'!$C$7:$AL$7,0))</f>
        <v>24.17</v>
      </c>
      <c r="AD157" s="41">
        <f>INDEX('[2]End - Use Prices'!$C$6:$AL$89,MATCH($C157,'[2]End - Use Prices'!$A$6:$A$89,0)+MATCH($D157,'[2]End - Use Prices'!$B$9:$B$11,0)-1,MATCH(AD$1,'[2]End - Use Prices'!$C$7:$AL$7,0))</f>
        <v>24.13</v>
      </c>
      <c r="AE157" s="41">
        <f>INDEX('[2]End - Use Prices'!$C$6:$AL$89,MATCH($C157,'[2]End - Use Prices'!$A$6:$A$89,0)+MATCH($D157,'[2]End - Use Prices'!$B$9:$B$11,0)-1,MATCH(AE$1,'[2]End - Use Prices'!$C$7:$AL$7,0))</f>
        <v>24.35</v>
      </c>
      <c r="AF157" s="41">
        <f>INDEX('[2]End - Use Prices'!$C$6:$AL$89,MATCH($C157,'[2]End - Use Prices'!$A$6:$A$89,0)+MATCH($D157,'[2]End - Use Prices'!$B$9:$B$11,0)-1,MATCH(AF$1,'[2]End - Use Prices'!$C$7:$AL$7,0))</f>
        <v>24.49</v>
      </c>
      <c r="AG157" s="41">
        <f>INDEX('[2]End - Use Prices'!$C$6:$AL$89,MATCH($C157,'[2]End - Use Prices'!$A$6:$A$89,0)+MATCH($D157,'[2]End - Use Prices'!$B$9:$B$11,0)-1,MATCH(AG$1,'[2]End - Use Prices'!$C$7:$AL$7,0))</f>
        <v>25.11</v>
      </c>
      <c r="AH157" s="41">
        <f>INDEX('[2]End - Use Prices'!$C$6:$AL$89,MATCH($C157,'[2]End - Use Prices'!$A$6:$A$89,0)+MATCH($D157,'[2]End - Use Prices'!$B$9:$B$11,0)-1,MATCH(AH$1,'[2]End - Use Prices'!$C$7:$AL$7,0))</f>
        <v>26.03</v>
      </c>
      <c r="AI157" s="41">
        <f>INDEX('[2]End - Use Prices'!$C$6:$AL$89,MATCH($C157,'[2]End - Use Prices'!$A$6:$A$89,0)+MATCH($D157,'[2]End - Use Prices'!$B$9:$B$11,0)-1,MATCH(AI$1,'[2]End - Use Prices'!$C$7:$AL$7,0))</f>
        <v>26.89</v>
      </c>
      <c r="AJ157" s="41">
        <f>INDEX('[2]End - Use Prices'!$C$6:$AL$89,MATCH($C157,'[2]End - Use Prices'!$A$6:$A$89,0)+MATCH($D157,'[2]End - Use Prices'!$B$9:$B$11,0)-1,MATCH(AJ$1,'[2]End - Use Prices'!$C$7:$AL$7,0))</f>
        <v>27.19</v>
      </c>
      <c r="AK157" s="41">
        <f>INDEX('[2]End - Use Prices'!$C$6:$AL$89,MATCH($C157,'[2]End - Use Prices'!$A$6:$A$89,0)+MATCH($D157,'[2]End - Use Prices'!$B$9:$B$11,0)-1,MATCH(AK$1,'[2]End - Use Prices'!$C$7:$AL$7,0))</f>
        <v>27.53</v>
      </c>
      <c r="AL157" s="41">
        <f>INDEX('[2]End - Use Prices'!$C$6:$AL$89,MATCH($C157,'[2]End - Use Prices'!$A$6:$A$89,0)+MATCH($D157,'[2]End - Use Prices'!$B$9:$B$11,0)-1,MATCH(AL$1,'[2]End - Use Prices'!$C$7:$AL$7,0))</f>
        <v>27.88</v>
      </c>
      <c r="AM157" s="41">
        <f>INDEX('[2]End - Use Prices'!$C$6:$AL$89,MATCH($C157,'[2]End - Use Prices'!$A$6:$A$89,0)+MATCH($D157,'[2]End - Use Prices'!$B$9:$B$11,0)-1,MATCH(AM$1,'[2]End - Use Prices'!$C$7:$AL$7,0))</f>
        <v>28.24</v>
      </c>
      <c r="AN157" s="41">
        <f>INDEX('[2]End - Use Prices'!$C$6:$AL$89,MATCH($C157,'[2]End - Use Prices'!$A$6:$A$89,0)+MATCH($D157,'[2]End - Use Prices'!$B$9:$B$11,0)-1,MATCH(AN$1,'[2]End - Use Prices'!$C$7:$AL$7,0))</f>
        <v>28.59</v>
      </c>
      <c r="AO157" s="41">
        <f>INDEX('[2]End - Use Prices'!$C$6:$AL$89,MATCH($C157,'[2]End - Use Prices'!$A$6:$A$89,0)+MATCH($D157,'[2]End - Use Prices'!$B$9:$B$11,0)-1,MATCH(AO$1,'[2]End - Use Prices'!$C$7:$AL$7,0))</f>
        <v>28.94</v>
      </c>
      <c r="AP157" s="41">
        <f>INDEX('[2]End - Use Prices'!$C$6:$AL$89,MATCH($C157,'[2]End - Use Prices'!$A$6:$A$89,0)+MATCH($D157,'[2]End - Use Prices'!$B$9:$B$11,0)-1,MATCH(AP$1,'[2]End - Use Prices'!$C$7:$AL$7,0))</f>
        <v>29.29</v>
      </c>
      <c r="AQ157" s="41">
        <f>INDEX('[2]End - Use Prices'!$C$6:$AL$89,MATCH($C157,'[2]End - Use Prices'!$A$6:$A$89,0)+MATCH($D157,'[2]End - Use Prices'!$B$9:$B$11,0)-1,MATCH(AQ$1,'[2]End - Use Prices'!$C$7:$AL$7,0))</f>
        <v>29.64</v>
      </c>
      <c r="AR157" s="41">
        <f>INDEX('[2]End - Use Prices'!$C$6:$AL$89,MATCH($C157,'[2]End - Use Prices'!$A$6:$A$89,0)+MATCH($D157,'[2]End - Use Prices'!$B$9:$B$11,0)-1,MATCH(AR$1,'[2]End - Use Prices'!$C$7:$AL$7,0))</f>
        <v>29.99</v>
      </c>
      <c r="AS157" s="41">
        <f>INDEX('[2]End - Use Prices'!$C$6:$AL$89,MATCH($C157,'[2]End - Use Prices'!$A$6:$A$89,0)+MATCH($D157,'[2]End - Use Prices'!$B$9:$B$11,0)-1,MATCH(AS$1,'[2]End - Use Prices'!$C$7:$AL$7,0))</f>
        <v>30.32</v>
      </c>
      <c r="AT157" s="41">
        <f>INDEX('[2]End - Use Prices'!$C$6:$AL$89,MATCH($C157,'[2]End - Use Prices'!$A$6:$A$89,0)+MATCH($D157,'[2]End - Use Prices'!$B$9:$B$11,0)-1,MATCH(AT$1,'[2]End - Use Prices'!$C$7:$AL$7,0))</f>
        <v>30.65</v>
      </c>
      <c r="AU157" s="41">
        <f>INDEX('[2]End - Use Prices'!$C$6:$AL$89,MATCH($C157,'[2]End - Use Prices'!$A$6:$A$89,0)+MATCH($D157,'[2]End - Use Prices'!$B$9:$B$11,0)-1,MATCH(AU$1,'[2]End - Use Prices'!$C$7:$AL$7,0))</f>
        <v>30.97</v>
      </c>
      <c r="AV157" s="41">
        <f>INDEX('[2]End - Use Prices'!$C$6:$AL$89,MATCH($C157,'[2]End - Use Prices'!$A$6:$A$89,0)+MATCH($D157,'[2]End - Use Prices'!$B$9:$B$11,0)-1,MATCH(AV$1,'[2]End - Use Prices'!$C$7:$AL$7,0))</f>
        <v>31.28</v>
      </c>
      <c r="AW157" s="41">
        <f>INDEX('[2]End - Use Prices'!$C$6:$AL$89,MATCH($C157,'[2]End - Use Prices'!$A$6:$A$89,0)+MATCH($D157,'[2]End - Use Prices'!$B$9:$B$11,0)-1,MATCH(AW$1,'[2]End - Use Prices'!$C$7:$AL$7,0))</f>
        <v>31.58</v>
      </c>
      <c r="AX157" s="41">
        <f>INDEX('[2]End - Use Prices'!$C$6:$AL$89,MATCH($C157,'[2]End - Use Prices'!$A$6:$A$89,0)+MATCH($D157,'[2]End - Use Prices'!$B$9:$B$11,0)-1,MATCH(AX$1,'[2]End - Use Prices'!$C$7:$AL$7,0))</f>
        <v>31.86</v>
      </c>
      <c r="AY157" s="41">
        <f>INDEX('[2]End - Use Prices'!$C$6:$AL$89,MATCH($C157,'[2]End - Use Prices'!$A$6:$A$89,0)+MATCH($D157,'[2]End - Use Prices'!$B$9:$B$11,0)-1,MATCH(AY$1,'[2]End - Use Prices'!$C$7:$AL$7,0))</f>
        <v>32.130000000000003</v>
      </c>
      <c r="AZ157" s="41">
        <f>INDEX('[2]End - Use Prices'!$C$6:$AL$89,MATCH($C157,'[2]End - Use Prices'!$A$6:$A$89,0)+MATCH($D157,'[2]End - Use Prices'!$B$9:$B$11,0)-1,MATCH(AZ$1,'[2]End - Use Prices'!$C$7:$AL$7,0))</f>
        <v>32.380000000000003</v>
      </c>
      <c r="BA157" s="41">
        <f>INDEX('[2]End - Use Prices'!$C$6:$AL$89,MATCH($C157,'[2]End - Use Prices'!$A$6:$A$89,0)+MATCH($D157,'[2]End - Use Prices'!$B$9:$B$11,0)-1,MATCH(BA$1,'[2]End - Use Prices'!$C$7:$AL$7,0))</f>
        <v>32.61</v>
      </c>
      <c r="BB157" s="41">
        <f>INDEX('[2]End - Use Prices'!$C$6:$AL$89,MATCH($C157,'[2]End - Use Prices'!$A$6:$A$89,0)+MATCH($D157,'[2]End - Use Prices'!$B$9:$B$11,0)-1,MATCH(BB$1,'[2]End - Use Prices'!$C$7:$AL$7,0))</f>
        <v>32.82</v>
      </c>
      <c r="BC157" s="41">
        <f>INDEX('[2]End - Use Prices'!$C$6:$AL$89,MATCH($C157,'[2]End - Use Prices'!$A$6:$A$89,0)+MATCH($D157,'[2]End - Use Prices'!$B$9:$B$11,0)-1,MATCH(BC$1,'[2]End - Use Prices'!$C$7:$AL$7,0))</f>
        <v>33.01</v>
      </c>
      <c r="BD157" s="41">
        <f>INDEX('[2]End - Use Prices'!$C$6:$AL$89,MATCH($C157,'[2]End - Use Prices'!$A$6:$A$89,0)+MATCH($D157,'[2]End - Use Prices'!$B$9:$B$11,0)-1,MATCH(BD$1,'[2]End - Use Prices'!$C$7:$AL$7,0))</f>
        <v>33.17</v>
      </c>
      <c r="BE157" s="41">
        <f>INDEX('[2]End - Use Prices'!$C$6:$AL$89,MATCH($C157,'[2]End - Use Prices'!$A$6:$A$89,0)+MATCH($D157,'[2]End - Use Prices'!$B$9:$B$11,0)-1,MATCH(BE$1,'[2]End - Use Prices'!$C$7:$AL$7,0))</f>
        <v>33.31</v>
      </c>
      <c r="BF157" s="41">
        <f>INDEX('[2]End - Use Prices'!$C$6:$AL$89,MATCH($C157,'[2]End - Use Prices'!$A$6:$A$89,0)+MATCH($D157,'[2]End - Use Prices'!$B$9:$B$11,0)-1,MATCH(BF$1,'[2]End - Use Prices'!$C$7:$AL$7,0))</f>
        <v>33.43</v>
      </c>
      <c r="BG157" s="41">
        <f>INDEX('[2]End - Use Prices'!$C$6:$AL$89,MATCH($C157,'[2]End - Use Prices'!$A$6:$A$89,0)+MATCH($D157,'[2]End - Use Prices'!$B$9:$B$11,0)-1,MATCH(BG$1,'[2]End - Use Prices'!$C$7:$AL$7,0))</f>
        <v>33.51</v>
      </c>
      <c r="BR157" s="39"/>
      <c r="BS157" s="39"/>
      <c r="BT157" s="39"/>
      <c r="BU157" s="39"/>
      <c r="BV157" s="39"/>
      <c r="BW157" s="39"/>
      <c r="BX157" s="39"/>
      <c r="BY157" s="39"/>
      <c r="BZ157" s="39"/>
      <c r="CA157" s="39"/>
    </row>
    <row r="158" spans="1:79">
      <c r="A158" s="5"/>
      <c r="B158" s="3"/>
      <c r="C158" s="25" t="s">
        <v>91</v>
      </c>
      <c r="D158" s="25" t="s">
        <v>2</v>
      </c>
      <c r="E158" s="25" t="s">
        <v>277</v>
      </c>
      <c r="F158" s="67" t="s">
        <v>275</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INDEX('[2]End - Use Prices'!$C$6:$AL$89,MATCH($C158,'[2]End - Use Prices'!$A$6:$A$89,0)+MATCH($D158,'[2]End - Use Prices'!$B$9:$B$11,0)-1,MATCH(X$1,'[2]End - Use Prices'!$C$7:$AL$7,0))</f>
        <v>36.07</v>
      </c>
      <c r="Y158" s="41">
        <f>INDEX('[2]End - Use Prices'!$C$6:$AL$89,MATCH($C158,'[2]End - Use Prices'!$A$6:$A$89,0)+MATCH($D158,'[2]End - Use Prices'!$B$9:$B$11,0)-1,MATCH(Y$1,'[2]End - Use Prices'!$C$7:$AL$7,0))</f>
        <v>42.3</v>
      </c>
      <c r="Z158" s="41">
        <f>INDEX('[2]End - Use Prices'!$C$6:$AL$89,MATCH($C158,'[2]End - Use Prices'!$A$6:$A$89,0)+MATCH($D158,'[2]End - Use Prices'!$B$9:$B$11,0)-1,MATCH(Z$1,'[2]End - Use Prices'!$C$7:$AL$7,0))</f>
        <v>41.68</v>
      </c>
      <c r="AA158" s="41">
        <f>INDEX('[2]End - Use Prices'!$C$6:$AL$89,MATCH($C158,'[2]End - Use Prices'!$A$6:$A$89,0)+MATCH($D158,'[2]End - Use Prices'!$B$9:$B$11,0)-1,MATCH(AA$1,'[2]End - Use Prices'!$C$7:$AL$7,0))</f>
        <v>39.369999999999997</v>
      </c>
      <c r="AB158" s="41">
        <f>INDEX('[2]End - Use Prices'!$C$6:$AL$89,MATCH($C158,'[2]End - Use Prices'!$A$6:$A$89,0)+MATCH($D158,'[2]End - Use Prices'!$B$9:$B$11,0)-1,MATCH(AB$1,'[2]End - Use Prices'!$C$7:$AL$7,0))</f>
        <v>40.299999999999997</v>
      </c>
      <c r="AC158" s="41">
        <f>INDEX('[2]End - Use Prices'!$C$6:$AL$89,MATCH($C158,'[2]End - Use Prices'!$A$6:$A$89,0)+MATCH($D158,'[2]End - Use Prices'!$B$9:$B$11,0)-1,MATCH(AC$1,'[2]End - Use Prices'!$C$7:$AL$7,0))</f>
        <v>42.93</v>
      </c>
      <c r="AD158" s="41">
        <f>INDEX('[2]End - Use Prices'!$C$6:$AL$89,MATCH($C158,'[2]End - Use Prices'!$A$6:$A$89,0)+MATCH($D158,'[2]End - Use Prices'!$B$9:$B$11,0)-1,MATCH(AD$1,'[2]End - Use Prices'!$C$7:$AL$7,0))</f>
        <v>43.6</v>
      </c>
      <c r="AE158" s="41">
        <f>INDEX('[2]End - Use Prices'!$C$6:$AL$89,MATCH($C158,'[2]End - Use Prices'!$A$6:$A$89,0)+MATCH($D158,'[2]End - Use Prices'!$B$9:$B$11,0)-1,MATCH(AE$1,'[2]End - Use Prices'!$C$7:$AL$7,0))</f>
        <v>43.08</v>
      </c>
      <c r="AF158" s="41">
        <f>INDEX('[2]End - Use Prices'!$C$6:$AL$89,MATCH($C158,'[2]End - Use Prices'!$A$6:$A$89,0)+MATCH($D158,'[2]End - Use Prices'!$B$9:$B$11,0)-1,MATCH(AF$1,'[2]End - Use Prices'!$C$7:$AL$7,0))</f>
        <v>44.44</v>
      </c>
      <c r="AG158" s="41">
        <f>INDEX('[2]End - Use Prices'!$C$6:$AL$89,MATCH($C158,'[2]End - Use Prices'!$A$6:$A$89,0)+MATCH($D158,'[2]End - Use Prices'!$B$9:$B$11,0)-1,MATCH(AG$1,'[2]End - Use Prices'!$C$7:$AL$7,0))</f>
        <v>46.3</v>
      </c>
      <c r="AH158" s="41">
        <f>INDEX('[2]End - Use Prices'!$C$6:$AL$89,MATCH($C158,'[2]End - Use Prices'!$A$6:$A$89,0)+MATCH($D158,'[2]End - Use Prices'!$B$9:$B$11,0)-1,MATCH(AH$1,'[2]End - Use Prices'!$C$7:$AL$7,0))</f>
        <v>48.06</v>
      </c>
      <c r="AI158" s="41">
        <f>INDEX('[2]End - Use Prices'!$C$6:$AL$89,MATCH($C158,'[2]End - Use Prices'!$A$6:$A$89,0)+MATCH($D158,'[2]End - Use Prices'!$B$9:$B$11,0)-1,MATCH(AI$1,'[2]End - Use Prices'!$C$7:$AL$7,0))</f>
        <v>48.66</v>
      </c>
      <c r="AJ158" s="41">
        <f>INDEX('[2]End - Use Prices'!$C$6:$AL$89,MATCH($C158,'[2]End - Use Prices'!$A$6:$A$89,0)+MATCH($D158,'[2]End - Use Prices'!$B$9:$B$11,0)-1,MATCH(AJ$1,'[2]End - Use Prices'!$C$7:$AL$7,0))</f>
        <v>49.42</v>
      </c>
      <c r="AK158" s="41">
        <f>INDEX('[2]End - Use Prices'!$C$6:$AL$89,MATCH($C158,'[2]End - Use Prices'!$A$6:$A$89,0)+MATCH($D158,'[2]End - Use Prices'!$B$9:$B$11,0)-1,MATCH(AK$1,'[2]End - Use Prices'!$C$7:$AL$7,0))</f>
        <v>50.31</v>
      </c>
      <c r="AL158" s="41">
        <f>INDEX('[2]End - Use Prices'!$C$6:$AL$89,MATCH($C158,'[2]End - Use Prices'!$A$6:$A$89,0)+MATCH($D158,'[2]End - Use Prices'!$B$9:$B$11,0)-1,MATCH(AL$1,'[2]End - Use Prices'!$C$7:$AL$7,0))</f>
        <v>51.11</v>
      </c>
      <c r="AM158" s="41">
        <f>INDEX('[2]End - Use Prices'!$C$6:$AL$89,MATCH($C158,'[2]End - Use Prices'!$A$6:$A$89,0)+MATCH($D158,'[2]End - Use Prices'!$B$9:$B$11,0)-1,MATCH(AM$1,'[2]End - Use Prices'!$C$7:$AL$7,0))</f>
        <v>51.84</v>
      </c>
      <c r="AN158" s="41">
        <f>INDEX('[2]End - Use Prices'!$C$6:$AL$89,MATCH($C158,'[2]End - Use Prices'!$A$6:$A$89,0)+MATCH($D158,'[2]End - Use Prices'!$B$9:$B$11,0)-1,MATCH(AN$1,'[2]End - Use Prices'!$C$7:$AL$7,0))</f>
        <v>52.5</v>
      </c>
      <c r="AO158" s="41">
        <f>INDEX('[2]End - Use Prices'!$C$6:$AL$89,MATCH($C158,'[2]End - Use Prices'!$A$6:$A$89,0)+MATCH($D158,'[2]End - Use Prices'!$B$9:$B$11,0)-1,MATCH(AO$1,'[2]End - Use Prices'!$C$7:$AL$7,0))</f>
        <v>53.11</v>
      </c>
      <c r="AP158" s="41">
        <f>INDEX('[2]End - Use Prices'!$C$6:$AL$89,MATCH($C158,'[2]End - Use Prices'!$A$6:$A$89,0)+MATCH($D158,'[2]End - Use Prices'!$B$9:$B$11,0)-1,MATCH(AP$1,'[2]End - Use Prices'!$C$7:$AL$7,0))</f>
        <v>53.65</v>
      </c>
      <c r="AQ158" s="41">
        <f>INDEX('[2]End - Use Prices'!$C$6:$AL$89,MATCH($C158,'[2]End - Use Prices'!$A$6:$A$89,0)+MATCH($D158,'[2]End - Use Prices'!$B$9:$B$11,0)-1,MATCH(AQ$1,'[2]End - Use Prices'!$C$7:$AL$7,0))</f>
        <v>54.15</v>
      </c>
      <c r="AR158" s="41">
        <f>INDEX('[2]End - Use Prices'!$C$6:$AL$89,MATCH($C158,'[2]End - Use Prices'!$A$6:$A$89,0)+MATCH($D158,'[2]End - Use Prices'!$B$9:$B$11,0)-1,MATCH(AR$1,'[2]End - Use Prices'!$C$7:$AL$7,0))</f>
        <v>54.59</v>
      </c>
      <c r="AS158" s="41">
        <f>INDEX('[2]End - Use Prices'!$C$6:$AL$89,MATCH($C158,'[2]End - Use Prices'!$A$6:$A$89,0)+MATCH($D158,'[2]End - Use Prices'!$B$9:$B$11,0)-1,MATCH(AS$1,'[2]End - Use Prices'!$C$7:$AL$7,0))</f>
        <v>55</v>
      </c>
      <c r="AT158" s="41">
        <f>INDEX('[2]End - Use Prices'!$C$6:$AL$89,MATCH($C158,'[2]End - Use Prices'!$A$6:$A$89,0)+MATCH($D158,'[2]End - Use Prices'!$B$9:$B$11,0)-1,MATCH(AT$1,'[2]End - Use Prices'!$C$7:$AL$7,0))</f>
        <v>55.38</v>
      </c>
      <c r="AU158" s="41">
        <f>INDEX('[2]End - Use Prices'!$C$6:$AL$89,MATCH($C158,'[2]End - Use Prices'!$A$6:$A$89,0)+MATCH($D158,'[2]End - Use Prices'!$B$9:$B$11,0)-1,MATCH(AU$1,'[2]End - Use Prices'!$C$7:$AL$7,0))</f>
        <v>55.73</v>
      </c>
      <c r="AV158" s="41">
        <f>INDEX('[2]End - Use Prices'!$C$6:$AL$89,MATCH($C158,'[2]End - Use Prices'!$A$6:$A$89,0)+MATCH($D158,'[2]End - Use Prices'!$B$9:$B$11,0)-1,MATCH(AV$1,'[2]End - Use Prices'!$C$7:$AL$7,0))</f>
        <v>56.05</v>
      </c>
      <c r="AW158" s="41">
        <f>INDEX('[2]End - Use Prices'!$C$6:$AL$89,MATCH($C158,'[2]End - Use Prices'!$A$6:$A$89,0)+MATCH($D158,'[2]End - Use Prices'!$B$9:$B$11,0)-1,MATCH(AW$1,'[2]End - Use Prices'!$C$7:$AL$7,0))</f>
        <v>56.35</v>
      </c>
      <c r="AX158" s="41">
        <f>INDEX('[2]End - Use Prices'!$C$6:$AL$89,MATCH($C158,'[2]End - Use Prices'!$A$6:$A$89,0)+MATCH($D158,'[2]End - Use Prices'!$B$9:$B$11,0)-1,MATCH(AX$1,'[2]End - Use Prices'!$C$7:$AL$7,0))</f>
        <v>56.65</v>
      </c>
      <c r="AY158" s="41">
        <f>INDEX('[2]End - Use Prices'!$C$6:$AL$89,MATCH($C158,'[2]End - Use Prices'!$A$6:$A$89,0)+MATCH($D158,'[2]End - Use Prices'!$B$9:$B$11,0)-1,MATCH(AY$1,'[2]End - Use Prices'!$C$7:$AL$7,0))</f>
        <v>56.93</v>
      </c>
      <c r="AZ158" s="41">
        <f>INDEX('[2]End - Use Prices'!$C$6:$AL$89,MATCH($C158,'[2]End - Use Prices'!$A$6:$A$89,0)+MATCH($D158,'[2]End - Use Prices'!$B$9:$B$11,0)-1,MATCH(AZ$1,'[2]End - Use Prices'!$C$7:$AL$7,0))</f>
        <v>57.22</v>
      </c>
      <c r="BA158" s="41">
        <f>INDEX('[2]End - Use Prices'!$C$6:$AL$89,MATCH($C158,'[2]End - Use Prices'!$A$6:$A$89,0)+MATCH($D158,'[2]End - Use Prices'!$B$9:$B$11,0)-1,MATCH(BA$1,'[2]End - Use Prices'!$C$7:$AL$7,0))</f>
        <v>57.51</v>
      </c>
      <c r="BB158" s="41">
        <f>INDEX('[2]End - Use Prices'!$C$6:$AL$89,MATCH($C158,'[2]End - Use Prices'!$A$6:$A$89,0)+MATCH($D158,'[2]End - Use Prices'!$B$9:$B$11,0)-1,MATCH(BB$1,'[2]End - Use Prices'!$C$7:$AL$7,0))</f>
        <v>57.81</v>
      </c>
      <c r="BC158" s="41">
        <f>INDEX('[2]End - Use Prices'!$C$6:$AL$89,MATCH($C158,'[2]End - Use Prices'!$A$6:$A$89,0)+MATCH($D158,'[2]End - Use Prices'!$B$9:$B$11,0)-1,MATCH(BC$1,'[2]End - Use Prices'!$C$7:$AL$7,0))</f>
        <v>58.13</v>
      </c>
      <c r="BD158" s="41">
        <f>INDEX('[2]End - Use Prices'!$C$6:$AL$89,MATCH($C158,'[2]End - Use Prices'!$A$6:$A$89,0)+MATCH($D158,'[2]End - Use Prices'!$B$9:$B$11,0)-1,MATCH(BD$1,'[2]End - Use Prices'!$C$7:$AL$7,0))</f>
        <v>58.47</v>
      </c>
      <c r="BE158" s="41">
        <f>INDEX('[2]End - Use Prices'!$C$6:$AL$89,MATCH($C158,'[2]End - Use Prices'!$A$6:$A$89,0)+MATCH($D158,'[2]End - Use Prices'!$B$9:$B$11,0)-1,MATCH(BE$1,'[2]End - Use Prices'!$C$7:$AL$7,0))</f>
        <v>58.83</v>
      </c>
      <c r="BF158" s="41">
        <f>INDEX('[2]End - Use Prices'!$C$6:$AL$89,MATCH($C158,'[2]End - Use Prices'!$A$6:$A$89,0)+MATCH($D158,'[2]End - Use Prices'!$B$9:$B$11,0)-1,MATCH(BF$1,'[2]End - Use Prices'!$C$7:$AL$7,0))</f>
        <v>59.23</v>
      </c>
      <c r="BG158" s="41">
        <f>INDEX('[2]End - Use Prices'!$C$6:$AL$89,MATCH($C158,'[2]End - Use Prices'!$A$6:$A$89,0)+MATCH($D158,'[2]End - Use Prices'!$B$9:$B$11,0)-1,MATCH(BG$1,'[2]End - Use Prices'!$C$7:$AL$7,0))</f>
        <v>59.66</v>
      </c>
      <c r="BR158" s="39"/>
      <c r="BS158" s="39"/>
      <c r="BT158" s="39"/>
      <c r="BU158" s="39"/>
      <c r="BV158" s="39"/>
      <c r="BW158" s="39"/>
      <c r="BX158" s="39"/>
      <c r="BY158" s="39"/>
      <c r="BZ158" s="39"/>
      <c r="CA158" s="39"/>
    </row>
    <row r="159" spans="1:79">
      <c r="A159" s="5"/>
      <c r="B159" s="3"/>
      <c r="C159" s="25" t="s">
        <v>5</v>
      </c>
      <c r="D159" s="25" t="s">
        <v>2</v>
      </c>
      <c r="E159" s="25" t="s">
        <v>277</v>
      </c>
      <c r="F159" s="67" t="s">
        <v>275</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INDEX('[2]End - Use Prices'!$C$6:$AL$89,MATCH($C159,'[2]End - Use Prices'!$A$6:$A$89,0)+MATCH($D159,'[2]End - Use Prices'!$B$9:$B$11,0)-1,MATCH(X$1,'[2]End - Use Prices'!$C$7:$AL$7,0))</f>
        <v>30.07</v>
      </c>
      <c r="Y159" s="41">
        <f>INDEX('[2]End - Use Prices'!$C$6:$AL$89,MATCH($C159,'[2]End - Use Prices'!$A$6:$A$89,0)+MATCH($D159,'[2]End - Use Prices'!$B$9:$B$11,0)-1,MATCH(Y$1,'[2]End - Use Prices'!$C$7:$AL$7,0))</f>
        <v>35.659999999999997</v>
      </c>
      <c r="Z159" s="41">
        <f>INDEX('[2]End - Use Prices'!$C$6:$AL$89,MATCH($C159,'[2]End - Use Prices'!$A$6:$A$89,0)+MATCH($D159,'[2]End - Use Prices'!$B$9:$B$11,0)-1,MATCH(Z$1,'[2]End - Use Prices'!$C$7:$AL$7,0))</f>
        <v>38.57</v>
      </c>
      <c r="AA159" s="41">
        <f>INDEX('[2]End - Use Prices'!$C$6:$AL$89,MATCH($C159,'[2]End - Use Prices'!$A$6:$A$89,0)+MATCH($D159,'[2]End - Use Prices'!$B$9:$B$11,0)-1,MATCH(AA$1,'[2]End - Use Prices'!$C$7:$AL$7,0))</f>
        <v>42.28</v>
      </c>
      <c r="AB159" s="41">
        <f>INDEX('[2]End - Use Prices'!$C$6:$AL$89,MATCH($C159,'[2]End - Use Prices'!$A$6:$A$89,0)+MATCH($D159,'[2]End - Use Prices'!$B$9:$B$11,0)-1,MATCH(AB$1,'[2]End - Use Prices'!$C$7:$AL$7,0))</f>
        <v>36.1</v>
      </c>
      <c r="AC159" s="41">
        <f>INDEX('[2]End - Use Prices'!$C$6:$AL$89,MATCH($C159,'[2]End - Use Prices'!$A$6:$A$89,0)+MATCH($D159,'[2]End - Use Prices'!$B$9:$B$11,0)-1,MATCH(AC$1,'[2]End - Use Prices'!$C$7:$AL$7,0))</f>
        <v>31.25</v>
      </c>
      <c r="AD159" s="41">
        <f>INDEX('[2]End - Use Prices'!$C$6:$AL$89,MATCH($C159,'[2]End - Use Prices'!$A$6:$A$89,0)+MATCH($D159,'[2]End - Use Prices'!$B$9:$B$11,0)-1,MATCH(AD$1,'[2]End - Use Prices'!$C$7:$AL$7,0))</f>
        <v>51.38</v>
      </c>
      <c r="AE159" s="41">
        <f>INDEX('[2]End - Use Prices'!$C$6:$AL$89,MATCH($C159,'[2]End - Use Prices'!$A$6:$A$89,0)+MATCH($D159,'[2]End - Use Prices'!$B$9:$B$11,0)-1,MATCH(AE$1,'[2]End - Use Prices'!$C$7:$AL$7,0))</f>
        <v>40.17</v>
      </c>
      <c r="AF159" s="41">
        <f>INDEX('[2]End - Use Prices'!$C$6:$AL$89,MATCH($C159,'[2]End - Use Prices'!$A$6:$A$89,0)+MATCH($D159,'[2]End - Use Prices'!$B$9:$B$11,0)-1,MATCH(AF$1,'[2]End - Use Prices'!$C$7:$AL$7,0))</f>
        <v>42.35</v>
      </c>
      <c r="AG159" s="41">
        <f>INDEX('[2]End - Use Prices'!$C$6:$AL$89,MATCH($C159,'[2]End - Use Prices'!$A$6:$A$89,0)+MATCH($D159,'[2]End - Use Prices'!$B$9:$B$11,0)-1,MATCH(AG$1,'[2]End - Use Prices'!$C$7:$AL$7,0))</f>
        <v>36.65</v>
      </c>
      <c r="AH159" s="41">
        <f>INDEX('[2]End - Use Prices'!$C$6:$AL$89,MATCH($C159,'[2]End - Use Prices'!$A$6:$A$89,0)+MATCH($D159,'[2]End - Use Prices'!$B$9:$B$11,0)-1,MATCH(AH$1,'[2]End - Use Prices'!$C$7:$AL$7,0))</f>
        <v>33.81</v>
      </c>
      <c r="AI159" s="41">
        <f>INDEX('[2]End - Use Prices'!$C$6:$AL$89,MATCH($C159,'[2]End - Use Prices'!$A$6:$A$89,0)+MATCH($D159,'[2]End - Use Prices'!$B$9:$B$11,0)-1,MATCH(AI$1,'[2]End - Use Prices'!$C$7:$AL$7,0))</f>
        <v>30.08</v>
      </c>
      <c r="AJ159" s="41">
        <f>INDEX('[2]End - Use Prices'!$C$6:$AL$89,MATCH($C159,'[2]End - Use Prices'!$A$6:$A$89,0)+MATCH($D159,'[2]End - Use Prices'!$B$9:$B$11,0)-1,MATCH(AJ$1,'[2]End - Use Prices'!$C$7:$AL$7,0))</f>
        <v>30.5</v>
      </c>
      <c r="AK159" s="41">
        <f>INDEX('[2]End - Use Prices'!$C$6:$AL$89,MATCH($C159,'[2]End - Use Prices'!$A$6:$A$89,0)+MATCH($D159,'[2]End - Use Prices'!$B$9:$B$11,0)-1,MATCH(AK$1,'[2]End - Use Prices'!$C$7:$AL$7,0))</f>
        <v>31.18</v>
      </c>
      <c r="AL159" s="41">
        <f>INDEX('[2]End - Use Prices'!$C$6:$AL$89,MATCH($C159,'[2]End - Use Prices'!$A$6:$A$89,0)+MATCH($D159,'[2]End - Use Prices'!$B$9:$B$11,0)-1,MATCH(AL$1,'[2]End - Use Prices'!$C$7:$AL$7,0))</f>
        <v>31.86</v>
      </c>
      <c r="AM159" s="41">
        <f>INDEX('[2]End - Use Prices'!$C$6:$AL$89,MATCH($C159,'[2]End - Use Prices'!$A$6:$A$89,0)+MATCH($D159,'[2]End - Use Prices'!$B$9:$B$11,0)-1,MATCH(AM$1,'[2]End - Use Prices'!$C$7:$AL$7,0))</f>
        <v>32.520000000000003</v>
      </c>
      <c r="AN159" s="41">
        <f>INDEX('[2]End - Use Prices'!$C$6:$AL$89,MATCH($C159,'[2]End - Use Prices'!$A$6:$A$89,0)+MATCH($D159,'[2]End - Use Prices'!$B$9:$B$11,0)-1,MATCH(AN$1,'[2]End - Use Prices'!$C$7:$AL$7,0))</f>
        <v>33.159999999999997</v>
      </c>
      <c r="AO159" s="41">
        <f>INDEX('[2]End - Use Prices'!$C$6:$AL$89,MATCH($C159,'[2]End - Use Prices'!$A$6:$A$89,0)+MATCH($D159,'[2]End - Use Prices'!$B$9:$B$11,0)-1,MATCH(AO$1,'[2]End - Use Prices'!$C$7:$AL$7,0))</f>
        <v>33.78</v>
      </c>
      <c r="AP159" s="41">
        <f>INDEX('[2]End - Use Prices'!$C$6:$AL$89,MATCH($C159,'[2]End - Use Prices'!$A$6:$A$89,0)+MATCH($D159,'[2]End - Use Prices'!$B$9:$B$11,0)-1,MATCH(AP$1,'[2]End - Use Prices'!$C$7:$AL$7,0))</f>
        <v>34.369999999999997</v>
      </c>
      <c r="AQ159" s="41">
        <f>INDEX('[2]End - Use Prices'!$C$6:$AL$89,MATCH($C159,'[2]End - Use Prices'!$A$6:$A$89,0)+MATCH($D159,'[2]End - Use Prices'!$B$9:$B$11,0)-1,MATCH(AQ$1,'[2]End - Use Prices'!$C$7:$AL$7,0))</f>
        <v>34.94</v>
      </c>
      <c r="AR159" s="41">
        <f>INDEX('[2]End - Use Prices'!$C$6:$AL$89,MATCH($C159,'[2]End - Use Prices'!$A$6:$A$89,0)+MATCH($D159,'[2]End - Use Prices'!$B$9:$B$11,0)-1,MATCH(AR$1,'[2]End - Use Prices'!$C$7:$AL$7,0))</f>
        <v>35.47</v>
      </c>
      <c r="AS159" s="41">
        <f>INDEX('[2]End - Use Prices'!$C$6:$AL$89,MATCH($C159,'[2]End - Use Prices'!$A$6:$A$89,0)+MATCH($D159,'[2]End - Use Prices'!$B$9:$B$11,0)-1,MATCH(AS$1,'[2]End - Use Prices'!$C$7:$AL$7,0))</f>
        <v>35.97</v>
      </c>
      <c r="AT159" s="41">
        <f>INDEX('[2]End - Use Prices'!$C$6:$AL$89,MATCH($C159,'[2]End - Use Prices'!$A$6:$A$89,0)+MATCH($D159,'[2]End - Use Prices'!$B$9:$B$11,0)-1,MATCH(AT$1,'[2]End - Use Prices'!$C$7:$AL$7,0))</f>
        <v>36.44</v>
      </c>
      <c r="AU159" s="41">
        <f>INDEX('[2]End - Use Prices'!$C$6:$AL$89,MATCH($C159,'[2]End - Use Prices'!$A$6:$A$89,0)+MATCH($D159,'[2]End - Use Prices'!$B$9:$B$11,0)-1,MATCH(AU$1,'[2]End - Use Prices'!$C$7:$AL$7,0))</f>
        <v>36.86</v>
      </c>
      <c r="AV159" s="41">
        <f>INDEX('[2]End - Use Prices'!$C$6:$AL$89,MATCH($C159,'[2]End - Use Prices'!$A$6:$A$89,0)+MATCH($D159,'[2]End - Use Prices'!$B$9:$B$11,0)-1,MATCH(AV$1,'[2]End - Use Prices'!$C$7:$AL$7,0))</f>
        <v>37.24</v>
      </c>
      <c r="AW159" s="41">
        <f>INDEX('[2]End - Use Prices'!$C$6:$AL$89,MATCH($C159,'[2]End - Use Prices'!$A$6:$A$89,0)+MATCH($D159,'[2]End - Use Prices'!$B$9:$B$11,0)-1,MATCH(AW$1,'[2]End - Use Prices'!$C$7:$AL$7,0))</f>
        <v>37.57</v>
      </c>
      <c r="AX159" s="41">
        <f>INDEX('[2]End - Use Prices'!$C$6:$AL$89,MATCH($C159,'[2]End - Use Prices'!$A$6:$A$89,0)+MATCH($D159,'[2]End - Use Prices'!$B$9:$B$11,0)-1,MATCH(AX$1,'[2]End - Use Prices'!$C$7:$AL$7,0))</f>
        <v>37.85</v>
      </c>
      <c r="AY159" s="41">
        <f>INDEX('[2]End - Use Prices'!$C$6:$AL$89,MATCH($C159,'[2]End - Use Prices'!$A$6:$A$89,0)+MATCH($D159,'[2]End - Use Prices'!$B$9:$B$11,0)-1,MATCH(AY$1,'[2]End - Use Prices'!$C$7:$AL$7,0))</f>
        <v>38.07</v>
      </c>
      <c r="AZ159" s="41">
        <f>INDEX('[2]End - Use Prices'!$C$6:$AL$89,MATCH($C159,'[2]End - Use Prices'!$A$6:$A$89,0)+MATCH($D159,'[2]End - Use Prices'!$B$9:$B$11,0)-1,MATCH(AZ$1,'[2]End - Use Prices'!$C$7:$AL$7,0))</f>
        <v>38.24</v>
      </c>
      <c r="BA159" s="41">
        <f>INDEX('[2]End - Use Prices'!$C$6:$AL$89,MATCH($C159,'[2]End - Use Prices'!$A$6:$A$89,0)+MATCH($D159,'[2]End - Use Prices'!$B$9:$B$11,0)-1,MATCH(BA$1,'[2]End - Use Prices'!$C$7:$AL$7,0))</f>
        <v>38.35</v>
      </c>
      <c r="BB159" s="41">
        <f>INDEX('[2]End - Use Prices'!$C$6:$AL$89,MATCH($C159,'[2]End - Use Prices'!$A$6:$A$89,0)+MATCH($D159,'[2]End - Use Prices'!$B$9:$B$11,0)-1,MATCH(BB$1,'[2]End - Use Prices'!$C$7:$AL$7,0))</f>
        <v>38.39</v>
      </c>
      <c r="BC159" s="41">
        <f>INDEX('[2]End - Use Prices'!$C$6:$AL$89,MATCH($C159,'[2]End - Use Prices'!$A$6:$A$89,0)+MATCH($D159,'[2]End - Use Prices'!$B$9:$B$11,0)-1,MATCH(BC$1,'[2]End - Use Prices'!$C$7:$AL$7,0))</f>
        <v>38.369999999999997</v>
      </c>
      <c r="BD159" s="41">
        <f>INDEX('[2]End - Use Prices'!$C$6:$AL$89,MATCH($C159,'[2]End - Use Prices'!$A$6:$A$89,0)+MATCH($D159,'[2]End - Use Prices'!$B$9:$B$11,0)-1,MATCH(BD$1,'[2]End - Use Prices'!$C$7:$AL$7,0))</f>
        <v>38.270000000000003</v>
      </c>
      <c r="BE159" s="41">
        <f>INDEX('[2]End - Use Prices'!$C$6:$AL$89,MATCH($C159,'[2]End - Use Prices'!$A$6:$A$89,0)+MATCH($D159,'[2]End - Use Prices'!$B$9:$B$11,0)-1,MATCH(BE$1,'[2]End - Use Prices'!$C$7:$AL$7,0))</f>
        <v>38.11</v>
      </c>
      <c r="BF159" s="41">
        <f>INDEX('[2]End - Use Prices'!$C$6:$AL$89,MATCH($C159,'[2]End - Use Prices'!$A$6:$A$89,0)+MATCH($D159,'[2]End - Use Prices'!$B$9:$B$11,0)-1,MATCH(BF$1,'[2]End - Use Prices'!$C$7:$AL$7,0))</f>
        <v>37.86</v>
      </c>
      <c r="BG159" s="41">
        <f>INDEX('[2]End - Use Prices'!$C$6:$AL$89,MATCH($C159,'[2]End - Use Prices'!$A$6:$A$89,0)+MATCH($D159,'[2]End - Use Prices'!$B$9:$B$11,0)-1,MATCH(BG$1,'[2]End - Use Prices'!$C$7:$AL$7,0))</f>
        <v>37.54</v>
      </c>
      <c r="BR159" s="39"/>
      <c r="BS159" s="39"/>
      <c r="BT159" s="39"/>
      <c r="BU159" s="39"/>
      <c r="BV159" s="39"/>
      <c r="BW159" s="39"/>
      <c r="BX159" s="39"/>
      <c r="BY159" s="39"/>
      <c r="BZ159" s="39"/>
      <c r="CA159" s="39"/>
    </row>
    <row r="160" spans="1:79">
      <c r="A160" s="5"/>
      <c r="B160" s="3"/>
      <c r="C160" s="25" t="s">
        <v>60</v>
      </c>
      <c r="D160" s="25" t="s">
        <v>2</v>
      </c>
      <c r="E160" s="25" t="s">
        <v>277</v>
      </c>
      <c r="F160" s="67" t="s">
        <v>275</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INDEX('[2]End - Use Prices'!$C$6:$AL$89,MATCH($C160,'[2]End - Use Prices'!$A$6:$A$89,0)+MATCH($D160,'[2]End - Use Prices'!$B$9:$B$11,0)-1,MATCH(X$1,'[2]End - Use Prices'!$C$7:$AL$7,0))</f>
        <v>22.24</v>
      </c>
      <c r="Y160" s="41">
        <f>INDEX('[2]End - Use Prices'!$C$6:$AL$89,MATCH($C160,'[2]End - Use Prices'!$A$6:$A$89,0)+MATCH($D160,'[2]End - Use Prices'!$B$9:$B$11,0)-1,MATCH(Y$1,'[2]End - Use Prices'!$C$7:$AL$7,0))</f>
        <v>23.07</v>
      </c>
      <c r="Z160" s="41">
        <f>INDEX('[2]End - Use Prices'!$C$6:$AL$89,MATCH($C160,'[2]End - Use Prices'!$A$6:$A$89,0)+MATCH($D160,'[2]End - Use Prices'!$B$9:$B$11,0)-1,MATCH(Z$1,'[2]End - Use Prices'!$C$7:$AL$7,0))</f>
        <v>22.79</v>
      </c>
      <c r="AA160" s="41">
        <f>INDEX('[2]End - Use Prices'!$C$6:$AL$89,MATCH($C160,'[2]End - Use Prices'!$A$6:$A$89,0)+MATCH($D160,'[2]End - Use Prices'!$B$9:$B$11,0)-1,MATCH(AA$1,'[2]End - Use Prices'!$C$7:$AL$7,0))</f>
        <v>22.61</v>
      </c>
      <c r="AB160" s="41">
        <f>INDEX('[2]End - Use Prices'!$C$6:$AL$89,MATCH($C160,'[2]End - Use Prices'!$A$6:$A$89,0)+MATCH($D160,'[2]End - Use Prices'!$B$9:$B$11,0)-1,MATCH(AB$1,'[2]End - Use Prices'!$C$7:$AL$7,0))</f>
        <v>23.66</v>
      </c>
      <c r="AC160" s="41">
        <f>INDEX('[2]End - Use Prices'!$C$6:$AL$89,MATCH($C160,'[2]End - Use Prices'!$A$6:$A$89,0)+MATCH($D160,'[2]End - Use Prices'!$B$9:$B$11,0)-1,MATCH(AC$1,'[2]End - Use Prices'!$C$7:$AL$7,0))</f>
        <v>25.9</v>
      </c>
      <c r="AD160" s="41">
        <f>INDEX('[2]End - Use Prices'!$C$6:$AL$89,MATCH($C160,'[2]End - Use Prices'!$A$6:$A$89,0)+MATCH($D160,'[2]End - Use Prices'!$B$9:$B$11,0)-1,MATCH(AD$1,'[2]End - Use Prices'!$C$7:$AL$7,0))</f>
        <v>25.46</v>
      </c>
      <c r="AE160" s="41">
        <f>INDEX('[2]End - Use Prices'!$C$6:$AL$89,MATCH($C160,'[2]End - Use Prices'!$A$6:$A$89,0)+MATCH($D160,'[2]End - Use Prices'!$B$9:$B$11,0)-1,MATCH(AE$1,'[2]End - Use Prices'!$C$7:$AL$7,0))</f>
        <v>28.65</v>
      </c>
      <c r="AF160" s="41">
        <f>INDEX('[2]End - Use Prices'!$C$6:$AL$89,MATCH($C160,'[2]End - Use Prices'!$A$6:$A$89,0)+MATCH($D160,'[2]End - Use Prices'!$B$9:$B$11,0)-1,MATCH(AF$1,'[2]End - Use Prices'!$C$7:$AL$7,0))</f>
        <v>27.24</v>
      </c>
      <c r="AG160" s="41">
        <f>INDEX('[2]End - Use Prices'!$C$6:$AL$89,MATCH($C160,'[2]End - Use Prices'!$A$6:$A$89,0)+MATCH($D160,'[2]End - Use Prices'!$B$9:$B$11,0)-1,MATCH(AG$1,'[2]End - Use Prices'!$C$7:$AL$7,0))</f>
        <v>28.61</v>
      </c>
      <c r="AH160" s="41">
        <f>INDEX('[2]End - Use Prices'!$C$6:$AL$89,MATCH($C160,'[2]End - Use Prices'!$A$6:$A$89,0)+MATCH($D160,'[2]End - Use Prices'!$B$9:$B$11,0)-1,MATCH(AH$1,'[2]End - Use Prices'!$C$7:$AL$7,0))</f>
        <v>30.53</v>
      </c>
      <c r="AI160" s="41">
        <f>INDEX('[2]End - Use Prices'!$C$6:$AL$89,MATCH($C160,'[2]End - Use Prices'!$A$6:$A$89,0)+MATCH($D160,'[2]End - Use Prices'!$B$9:$B$11,0)-1,MATCH(AI$1,'[2]End - Use Prices'!$C$7:$AL$7,0))</f>
        <v>31.55</v>
      </c>
      <c r="AJ160" s="41">
        <f>INDEX('[2]End - Use Prices'!$C$6:$AL$89,MATCH($C160,'[2]End - Use Prices'!$A$6:$A$89,0)+MATCH($D160,'[2]End - Use Prices'!$B$9:$B$11,0)-1,MATCH(AJ$1,'[2]End - Use Prices'!$C$7:$AL$7,0))</f>
        <v>31.68</v>
      </c>
      <c r="AK160" s="41">
        <f>INDEX('[2]End - Use Prices'!$C$6:$AL$89,MATCH($C160,'[2]End - Use Prices'!$A$6:$A$89,0)+MATCH($D160,'[2]End - Use Prices'!$B$9:$B$11,0)-1,MATCH(AK$1,'[2]End - Use Prices'!$C$7:$AL$7,0))</f>
        <v>31.78</v>
      </c>
      <c r="AL160" s="41">
        <f>INDEX('[2]End - Use Prices'!$C$6:$AL$89,MATCH($C160,'[2]End - Use Prices'!$A$6:$A$89,0)+MATCH($D160,'[2]End - Use Prices'!$B$9:$B$11,0)-1,MATCH(AL$1,'[2]End - Use Prices'!$C$7:$AL$7,0))</f>
        <v>31.88</v>
      </c>
      <c r="AM160" s="41">
        <f>INDEX('[2]End - Use Prices'!$C$6:$AL$89,MATCH($C160,'[2]End - Use Prices'!$A$6:$A$89,0)+MATCH($D160,'[2]End - Use Prices'!$B$9:$B$11,0)-1,MATCH(AM$1,'[2]End - Use Prices'!$C$7:$AL$7,0))</f>
        <v>31.99</v>
      </c>
      <c r="AN160" s="41">
        <f>INDEX('[2]End - Use Prices'!$C$6:$AL$89,MATCH($C160,'[2]End - Use Prices'!$A$6:$A$89,0)+MATCH($D160,'[2]End - Use Prices'!$B$9:$B$11,0)-1,MATCH(AN$1,'[2]End - Use Prices'!$C$7:$AL$7,0))</f>
        <v>32.1</v>
      </c>
      <c r="AO160" s="41">
        <f>INDEX('[2]End - Use Prices'!$C$6:$AL$89,MATCH($C160,'[2]End - Use Prices'!$A$6:$A$89,0)+MATCH($D160,'[2]End - Use Prices'!$B$9:$B$11,0)-1,MATCH(AO$1,'[2]End - Use Prices'!$C$7:$AL$7,0))</f>
        <v>32.229999999999997</v>
      </c>
      <c r="AP160" s="41">
        <f>INDEX('[2]End - Use Prices'!$C$6:$AL$89,MATCH($C160,'[2]End - Use Prices'!$A$6:$A$89,0)+MATCH($D160,'[2]End - Use Prices'!$B$9:$B$11,0)-1,MATCH(AP$1,'[2]End - Use Prices'!$C$7:$AL$7,0))</f>
        <v>32.35</v>
      </c>
      <c r="AQ160" s="41">
        <f>INDEX('[2]End - Use Prices'!$C$6:$AL$89,MATCH($C160,'[2]End - Use Prices'!$A$6:$A$89,0)+MATCH($D160,'[2]End - Use Prices'!$B$9:$B$11,0)-1,MATCH(AQ$1,'[2]End - Use Prices'!$C$7:$AL$7,0))</f>
        <v>32.479999999999997</v>
      </c>
      <c r="AR160" s="41">
        <f>INDEX('[2]End - Use Prices'!$C$6:$AL$89,MATCH($C160,'[2]End - Use Prices'!$A$6:$A$89,0)+MATCH($D160,'[2]End - Use Prices'!$B$9:$B$11,0)-1,MATCH(AR$1,'[2]End - Use Prices'!$C$7:$AL$7,0))</f>
        <v>32.61</v>
      </c>
      <c r="AS160" s="41">
        <f>INDEX('[2]End - Use Prices'!$C$6:$AL$89,MATCH($C160,'[2]End - Use Prices'!$A$6:$A$89,0)+MATCH($D160,'[2]End - Use Prices'!$B$9:$B$11,0)-1,MATCH(AS$1,'[2]End - Use Prices'!$C$7:$AL$7,0))</f>
        <v>32.74</v>
      </c>
      <c r="AT160" s="41">
        <f>INDEX('[2]End - Use Prices'!$C$6:$AL$89,MATCH($C160,'[2]End - Use Prices'!$A$6:$A$89,0)+MATCH($D160,'[2]End - Use Prices'!$B$9:$B$11,0)-1,MATCH(AT$1,'[2]End - Use Prices'!$C$7:$AL$7,0))</f>
        <v>32.869999999999997</v>
      </c>
      <c r="AU160" s="41">
        <f>INDEX('[2]End - Use Prices'!$C$6:$AL$89,MATCH($C160,'[2]End - Use Prices'!$A$6:$A$89,0)+MATCH($D160,'[2]End - Use Prices'!$B$9:$B$11,0)-1,MATCH(AU$1,'[2]End - Use Prices'!$C$7:$AL$7,0))</f>
        <v>33</v>
      </c>
      <c r="AV160" s="41">
        <f>INDEX('[2]End - Use Prices'!$C$6:$AL$89,MATCH($C160,'[2]End - Use Prices'!$A$6:$A$89,0)+MATCH($D160,'[2]End - Use Prices'!$B$9:$B$11,0)-1,MATCH(AV$1,'[2]End - Use Prices'!$C$7:$AL$7,0))</f>
        <v>33.130000000000003</v>
      </c>
      <c r="AW160" s="41">
        <f>INDEX('[2]End - Use Prices'!$C$6:$AL$89,MATCH($C160,'[2]End - Use Prices'!$A$6:$A$89,0)+MATCH($D160,'[2]End - Use Prices'!$B$9:$B$11,0)-1,MATCH(AW$1,'[2]End - Use Prices'!$C$7:$AL$7,0))</f>
        <v>33.25</v>
      </c>
      <c r="AX160" s="41">
        <f>INDEX('[2]End - Use Prices'!$C$6:$AL$89,MATCH($C160,'[2]End - Use Prices'!$A$6:$A$89,0)+MATCH($D160,'[2]End - Use Prices'!$B$9:$B$11,0)-1,MATCH(AX$1,'[2]End - Use Prices'!$C$7:$AL$7,0))</f>
        <v>33.369999999999997</v>
      </c>
      <c r="AY160" s="41">
        <f>INDEX('[2]End - Use Prices'!$C$6:$AL$89,MATCH($C160,'[2]End - Use Prices'!$A$6:$A$89,0)+MATCH($D160,'[2]End - Use Prices'!$B$9:$B$11,0)-1,MATCH(AY$1,'[2]End - Use Prices'!$C$7:$AL$7,0))</f>
        <v>33.479999999999997</v>
      </c>
      <c r="AZ160" s="41">
        <f>INDEX('[2]End - Use Prices'!$C$6:$AL$89,MATCH($C160,'[2]End - Use Prices'!$A$6:$A$89,0)+MATCH($D160,'[2]End - Use Prices'!$B$9:$B$11,0)-1,MATCH(AZ$1,'[2]End - Use Prices'!$C$7:$AL$7,0))</f>
        <v>33.58</v>
      </c>
      <c r="BA160" s="41">
        <f>INDEX('[2]End - Use Prices'!$C$6:$AL$89,MATCH($C160,'[2]End - Use Prices'!$A$6:$A$89,0)+MATCH($D160,'[2]End - Use Prices'!$B$9:$B$11,0)-1,MATCH(BA$1,'[2]End - Use Prices'!$C$7:$AL$7,0))</f>
        <v>33.68</v>
      </c>
      <c r="BB160" s="41">
        <f>INDEX('[2]End - Use Prices'!$C$6:$AL$89,MATCH($C160,'[2]End - Use Prices'!$A$6:$A$89,0)+MATCH($D160,'[2]End - Use Prices'!$B$9:$B$11,0)-1,MATCH(BB$1,'[2]End - Use Prices'!$C$7:$AL$7,0))</f>
        <v>33.76</v>
      </c>
      <c r="BC160" s="41">
        <f>INDEX('[2]End - Use Prices'!$C$6:$AL$89,MATCH($C160,'[2]End - Use Prices'!$A$6:$A$89,0)+MATCH($D160,'[2]End - Use Prices'!$B$9:$B$11,0)-1,MATCH(BC$1,'[2]End - Use Prices'!$C$7:$AL$7,0))</f>
        <v>33.840000000000003</v>
      </c>
      <c r="BD160" s="41">
        <f>INDEX('[2]End - Use Prices'!$C$6:$AL$89,MATCH($C160,'[2]End - Use Prices'!$A$6:$A$89,0)+MATCH($D160,'[2]End - Use Prices'!$B$9:$B$11,0)-1,MATCH(BD$1,'[2]End - Use Prices'!$C$7:$AL$7,0))</f>
        <v>33.9</v>
      </c>
      <c r="BE160" s="41">
        <f>INDEX('[2]End - Use Prices'!$C$6:$AL$89,MATCH($C160,'[2]End - Use Prices'!$A$6:$A$89,0)+MATCH($D160,'[2]End - Use Prices'!$B$9:$B$11,0)-1,MATCH(BE$1,'[2]End - Use Prices'!$C$7:$AL$7,0))</f>
        <v>33.950000000000003</v>
      </c>
      <c r="BF160" s="41">
        <f>INDEX('[2]End - Use Prices'!$C$6:$AL$89,MATCH($C160,'[2]End - Use Prices'!$A$6:$A$89,0)+MATCH($D160,'[2]End - Use Prices'!$B$9:$B$11,0)-1,MATCH(BF$1,'[2]End - Use Prices'!$C$7:$AL$7,0))</f>
        <v>33.979999999999997</v>
      </c>
      <c r="BG160" s="41">
        <f>INDEX('[2]End - Use Prices'!$C$6:$AL$89,MATCH($C160,'[2]End - Use Prices'!$A$6:$A$89,0)+MATCH($D160,'[2]End - Use Prices'!$B$9:$B$11,0)-1,MATCH(BG$1,'[2]End - Use Prices'!$C$7:$AL$7,0))</f>
        <v>34</v>
      </c>
      <c r="BR160" s="39"/>
      <c r="BS160" s="39"/>
      <c r="BT160" s="39"/>
      <c r="BU160" s="39"/>
      <c r="BV160" s="39"/>
      <c r="BW160" s="39"/>
      <c r="BX160" s="39"/>
      <c r="BY160" s="39"/>
      <c r="BZ160" s="39"/>
      <c r="CA160" s="39"/>
    </row>
    <row r="161" spans="1:79">
      <c r="A161" s="5"/>
      <c r="B161" s="3"/>
      <c r="C161" s="25" t="s">
        <v>92</v>
      </c>
      <c r="D161" s="25" t="s">
        <v>2</v>
      </c>
      <c r="E161" s="25" t="s">
        <v>277</v>
      </c>
      <c r="F161" s="67" t="s">
        <v>275</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INDEX('[2]End - Use Prices'!$C$6:$AL$89,MATCH($C161,'[2]End - Use Prices'!$A$6:$A$89,0)+MATCH($D161,'[2]End - Use Prices'!$B$9:$B$11,0)-1,MATCH(X$1,'[2]End - Use Prices'!$C$7:$AL$7,0))</f>
        <v>33.479999999999997</v>
      </c>
      <c r="Y161" s="41">
        <f>INDEX('[2]End - Use Prices'!$C$6:$AL$89,MATCH($C161,'[2]End - Use Prices'!$A$6:$A$89,0)+MATCH($D161,'[2]End - Use Prices'!$B$9:$B$11,0)-1,MATCH(Y$1,'[2]End - Use Prices'!$C$7:$AL$7,0))</f>
        <v>34.72</v>
      </c>
      <c r="Z161" s="41">
        <f>INDEX('[2]End - Use Prices'!$C$6:$AL$89,MATCH($C161,'[2]End - Use Prices'!$A$6:$A$89,0)+MATCH($D161,'[2]End - Use Prices'!$B$9:$B$11,0)-1,MATCH(Z$1,'[2]End - Use Prices'!$C$7:$AL$7,0))</f>
        <v>34.299999999999997</v>
      </c>
      <c r="AA161" s="41">
        <f>INDEX('[2]End - Use Prices'!$C$6:$AL$89,MATCH($C161,'[2]End - Use Prices'!$A$6:$A$89,0)+MATCH($D161,'[2]End - Use Prices'!$B$9:$B$11,0)-1,MATCH(AA$1,'[2]End - Use Prices'!$C$7:$AL$7,0))</f>
        <v>34</v>
      </c>
      <c r="AB161" s="41">
        <f>INDEX('[2]End - Use Prices'!$C$6:$AL$89,MATCH($C161,'[2]End - Use Prices'!$A$6:$A$89,0)+MATCH($D161,'[2]End - Use Prices'!$B$9:$B$11,0)-1,MATCH(AB$1,'[2]End - Use Prices'!$C$7:$AL$7,0))</f>
        <v>35.590000000000003</v>
      </c>
      <c r="AC161" s="41">
        <f>INDEX('[2]End - Use Prices'!$C$6:$AL$89,MATCH($C161,'[2]End - Use Prices'!$A$6:$A$89,0)+MATCH($D161,'[2]End - Use Prices'!$B$9:$B$11,0)-1,MATCH(AC$1,'[2]End - Use Prices'!$C$7:$AL$7,0))</f>
        <v>37.69</v>
      </c>
      <c r="AD161" s="41">
        <f>INDEX('[2]End - Use Prices'!$C$6:$AL$89,MATCH($C161,'[2]End - Use Prices'!$A$6:$A$89,0)+MATCH($D161,'[2]End - Use Prices'!$B$9:$B$11,0)-1,MATCH(AD$1,'[2]End - Use Prices'!$C$7:$AL$7,0))</f>
        <v>35.89</v>
      </c>
      <c r="AE161" s="41">
        <f>INDEX('[2]End - Use Prices'!$C$6:$AL$89,MATCH($C161,'[2]End - Use Prices'!$A$6:$A$89,0)+MATCH($D161,'[2]End - Use Prices'!$B$9:$B$11,0)-1,MATCH(AE$1,'[2]End - Use Prices'!$C$7:$AL$7,0))</f>
        <v>40.39</v>
      </c>
      <c r="AF161" s="41">
        <f>INDEX('[2]End - Use Prices'!$C$6:$AL$89,MATCH($C161,'[2]End - Use Prices'!$A$6:$A$89,0)+MATCH($D161,'[2]End - Use Prices'!$B$9:$B$11,0)-1,MATCH(AF$1,'[2]End - Use Prices'!$C$7:$AL$7,0))</f>
        <v>40.28</v>
      </c>
      <c r="AG161" s="41">
        <f>INDEX('[2]End - Use Prices'!$C$6:$AL$89,MATCH($C161,'[2]End - Use Prices'!$A$6:$A$89,0)+MATCH($D161,'[2]End - Use Prices'!$B$9:$B$11,0)-1,MATCH(AG$1,'[2]End - Use Prices'!$C$7:$AL$7,0))</f>
        <v>47.35</v>
      </c>
      <c r="AH161" s="41">
        <f>INDEX('[2]End - Use Prices'!$C$6:$AL$89,MATCH($C161,'[2]End - Use Prices'!$A$6:$A$89,0)+MATCH($D161,'[2]End - Use Prices'!$B$9:$B$11,0)-1,MATCH(AH$1,'[2]End - Use Prices'!$C$7:$AL$7,0))</f>
        <v>47.73</v>
      </c>
      <c r="AI161" s="41">
        <f>INDEX('[2]End - Use Prices'!$C$6:$AL$89,MATCH($C161,'[2]End - Use Prices'!$A$6:$A$89,0)+MATCH($D161,'[2]End - Use Prices'!$B$9:$B$11,0)-1,MATCH(AI$1,'[2]End - Use Prices'!$C$7:$AL$7,0))</f>
        <v>47.43</v>
      </c>
      <c r="AJ161" s="41">
        <f>INDEX('[2]End - Use Prices'!$C$6:$AL$89,MATCH($C161,'[2]End - Use Prices'!$A$6:$A$89,0)+MATCH($D161,'[2]End - Use Prices'!$B$9:$B$11,0)-1,MATCH(AJ$1,'[2]End - Use Prices'!$C$7:$AL$7,0))</f>
        <v>47.71</v>
      </c>
      <c r="AK161" s="41">
        <f>INDEX('[2]End - Use Prices'!$C$6:$AL$89,MATCH($C161,'[2]End - Use Prices'!$A$6:$A$89,0)+MATCH($D161,'[2]End - Use Prices'!$B$9:$B$11,0)-1,MATCH(AK$1,'[2]End - Use Prices'!$C$7:$AL$7,0))</f>
        <v>47.86</v>
      </c>
      <c r="AL161" s="41">
        <f>INDEX('[2]End - Use Prices'!$C$6:$AL$89,MATCH($C161,'[2]End - Use Prices'!$A$6:$A$89,0)+MATCH($D161,'[2]End - Use Prices'!$B$9:$B$11,0)-1,MATCH(AL$1,'[2]End - Use Prices'!$C$7:$AL$7,0))</f>
        <v>48.02</v>
      </c>
      <c r="AM161" s="41">
        <f>INDEX('[2]End - Use Prices'!$C$6:$AL$89,MATCH($C161,'[2]End - Use Prices'!$A$6:$A$89,0)+MATCH($D161,'[2]End - Use Prices'!$B$9:$B$11,0)-1,MATCH(AM$1,'[2]End - Use Prices'!$C$7:$AL$7,0))</f>
        <v>48.18</v>
      </c>
      <c r="AN161" s="41">
        <f>INDEX('[2]End - Use Prices'!$C$6:$AL$89,MATCH($C161,'[2]End - Use Prices'!$A$6:$A$89,0)+MATCH($D161,'[2]End - Use Prices'!$B$9:$B$11,0)-1,MATCH(AN$1,'[2]End - Use Prices'!$C$7:$AL$7,0))</f>
        <v>48.35</v>
      </c>
      <c r="AO161" s="41">
        <f>INDEX('[2]End - Use Prices'!$C$6:$AL$89,MATCH($C161,'[2]End - Use Prices'!$A$6:$A$89,0)+MATCH($D161,'[2]End - Use Prices'!$B$9:$B$11,0)-1,MATCH(AO$1,'[2]End - Use Prices'!$C$7:$AL$7,0))</f>
        <v>48.52</v>
      </c>
      <c r="AP161" s="41">
        <f>INDEX('[2]End - Use Prices'!$C$6:$AL$89,MATCH($C161,'[2]End - Use Prices'!$A$6:$A$89,0)+MATCH($D161,'[2]End - Use Prices'!$B$9:$B$11,0)-1,MATCH(AP$1,'[2]End - Use Prices'!$C$7:$AL$7,0))</f>
        <v>48.69</v>
      </c>
      <c r="AQ161" s="41">
        <f>INDEX('[2]End - Use Prices'!$C$6:$AL$89,MATCH($C161,'[2]End - Use Prices'!$A$6:$A$89,0)+MATCH($D161,'[2]End - Use Prices'!$B$9:$B$11,0)-1,MATCH(AQ$1,'[2]End - Use Prices'!$C$7:$AL$7,0))</f>
        <v>48.86</v>
      </c>
      <c r="AR161" s="41">
        <f>INDEX('[2]End - Use Prices'!$C$6:$AL$89,MATCH($C161,'[2]End - Use Prices'!$A$6:$A$89,0)+MATCH($D161,'[2]End - Use Prices'!$B$9:$B$11,0)-1,MATCH(AR$1,'[2]End - Use Prices'!$C$7:$AL$7,0))</f>
        <v>49.04</v>
      </c>
      <c r="AS161" s="41">
        <f>INDEX('[2]End - Use Prices'!$C$6:$AL$89,MATCH($C161,'[2]End - Use Prices'!$A$6:$A$89,0)+MATCH($D161,'[2]End - Use Prices'!$B$9:$B$11,0)-1,MATCH(AS$1,'[2]End - Use Prices'!$C$7:$AL$7,0))</f>
        <v>49.22</v>
      </c>
      <c r="AT161" s="41">
        <f>INDEX('[2]End - Use Prices'!$C$6:$AL$89,MATCH($C161,'[2]End - Use Prices'!$A$6:$A$89,0)+MATCH($D161,'[2]End - Use Prices'!$B$9:$B$11,0)-1,MATCH(AT$1,'[2]End - Use Prices'!$C$7:$AL$7,0))</f>
        <v>49.41</v>
      </c>
      <c r="AU161" s="41">
        <f>INDEX('[2]End - Use Prices'!$C$6:$AL$89,MATCH($C161,'[2]End - Use Prices'!$A$6:$A$89,0)+MATCH($D161,'[2]End - Use Prices'!$B$9:$B$11,0)-1,MATCH(AU$1,'[2]End - Use Prices'!$C$7:$AL$7,0))</f>
        <v>49.59</v>
      </c>
      <c r="AV161" s="41">
        <f>INDEX('[2]End - Use Prices'!$C$6:$AL$89,MATCH($C161,'[2]End - Use Prices'!$A$6:$A$89,0)+MATCH($D161,'[2]End - Use Prices'!$B$9:$B$11,0)-1,MATCH(AV$1,'[2]End - Use Prices'!$C$7:$AL$7,0))</f>
        <v>49.78</v>
      </c>
      <c r="AW161" s="41">
        <f>INDEX('[2]End - Use Prices'!$C$6:$AL$89,MATCH($C161,'[2]End - Use Prices'!$A$6:$A$89,0)+MATCH($D161,'[2]End - Use Prices'!$B$9:$B$11,0)-1,MATCH(AW$1,'[2]End - Use Prices'!$C$7:$AL$7,0))</f>
        <v>49.97</v>
      </c>
      <c r="AX161" s="41">
        <f>INDEX('[2]End - Use Prices'!$C$6:$AL$89,MATCH($C161,'[2]End - Use Prices'!$A$6:$A$89,0)+MATCH($D161,'[2]End - Use Prices'!$B$9:$B$11,0)-1,MATCH(AX$1,'[2]End - Use Prices'!$C$7:$AL$7,0))</f>
        <v>50.16</v>
      </c>
      <c r="AY161" s="41">
        <f>INDEX('[2]End - Use Prices'!$C$6:$AL$89,MATCH($C161,'[2]End - Use Prices'!$A$6:$A$89,0)+MATCH($D161,'[2]End - Use Prices'!$B$9:$B$11,0)-1,MATCH(AY$1,'[2]End - Use Prices'!$C$7:$AL$7,0))</f>
        <v>50.35</v>
      </c>
      <c r="AZ161" s="41">
        <f>INDEX('[2]End - Use Prices'!$C$6:$AL$89,MATCH($C161,'[2]End - Use Prices'!$A$6:$A$89,0)+MATCH($D161,'[2]End - Use Prices'!$B$9:$B$11,0)-1,MATCH(AZ$1,'[2]End - Use Prices'!$C$7:$AL$7,0))</f>
        <v>50.54</v>
      </c>
      <c r="BA161" s="41">
        <f>INDEX('[2]End - Use Prices'!$C$6:$AL$89,MATCH($C161,'[2]End - Use Prices'!$A$6:$A$89,0)+MATCH($D161,'[2]End - Use Prices'!$B$9:$B$11,0)-1,MATCH(BA$1,'[2]End - Use Prices'!$C$7:$AL$7,0))</f>
        <v>50.73</v>
      </c>
      <c r="BB161" s="41">
        <f>INDEX('[2]End - Use Prices'!$C$6:$AL$89,MATCH($C161,'[2]End - Use Prices'!$A$6:$A$89,0)+MATCH($D161,'[2]End - Use Prices'!$B$9:$B$11,0)-1,MATCH(BB$1,'[2]End - Use Prices'!$C$7:$AL$7,0))</f>
        <v>50.92</v>
      </c>
      <c r="BC161" s="41">
        <f>INDEX('[2]End - Use Prices'!$C$6:$AL$89,MATCH($C161,'[2]End - Use Prices'!$A$6:$A$89,0)+MATCH($D161,'[2]End - Use Prices'!$B$9:$B$11,0)-1,MATCH(BC$1,'[2]End - Use Prices'!$C$7:$AL$7,0))</f>
        <v>51.11</v>
      </c>
      <c r="BD161" s="41">
        <f>INDEX('[2]End - Use Prices'!$C$6:$AL$89,MATCH($C161,'[2]End - Use Prices'!$A$6:$A$89,0)+MATCH($D161,'[2]End - Use Prices'!$B$9:$B$11,0)-1,MATCH(BD$1,'[2]End - Use Prices'!$C$7:$AL$7,0))</f>
        <v>51.3</v>
      </c>
      <c r="BE161" s="41">
        <f>INDEX('[2]End - Use Prices'!$C$6:$AL$89,MATCH($C161,'[2]End - Use Prices'!$A$6:$A$89,0)+MATCH($D161,'[2]End - Use Prices'!$B$9:$B$11,0)-1,MATCH(BE$1,'[2]End - Use Prices'!$C$7:$AL$7,0))</f>
        <v>51.48</v>
      </c>
      <c r="BF161" s="41">
        <f>INDEX('[2]End - Use Prices'!$C$6:$AL$89,MATCH($C161,'[2]End - Use Prices'!$A$6:$A$89,0)+MATCH($D161,'[2]End - Use Prices'!$B$9:$B$11,0)-1,MATCH(BF$1,'[2]End - Use Prices'!$C$7:$AL$7,0))</f>
        <v>51.67</v>
      </c>
      <c r="BG161" s="41">
        <f>INDEX('[2]End - Use Prices'!$C$6:$AL$89,MATCH($C161,'[2]End - Use Prices'!$A$6:$A$89,0)+MATCH($D161,'[2]End - Use Prices'!$B$9:$B$11,0)-1,MATCH(BG$1,'[2]End - Use Prices'!$C$7:$AL$7,0))</f>
        <v>51.85</v>
      </c>
      <c r="BR161" s="39"/>
      <c r="BS161" s="39"/>
      <c r="BT161" s="39"/>
      <c r="BU161" s="39"/>
      <c r="BV161" s="39"/>
      <c r="BW161" s="39"/>
      <c r="BX161" s="39"/>
      <c r="BY161" s="39"/>
      <c r="BZ161" s="39"/>
      <c r="CA161" s="39"/>
    </row>
    <row r="162" spans="1:79">
      <c r="A162" s="5"/>
      <c r="B162" s="3"/>
      <c r="C162" s="25" t="s">
        <v>94</v>
      </c>
      <c r="D162" s="25" t="s">
        <v>2</v>
      </c>
      <c r="E162" s="25" t="s">
        <v>277</v>
      </c>
      <c r="F162" s="67" t="s">
        <v>275</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INDEX('[2]End - Use Prices'!$C$6:$AL$89,MATCH($C162,'[2]End - Use Prices'!$A$6:$A$89,0)+MATCH($D162,'[2]End - Use Prices'!$B$9:$B$11,0)-1,MATCH(X$1,'[2]End - Use Prices'!$C$7:$AL$7,0))</f>
        <v>80.930000000000007</v>
      </c>
      <c r="Y162" s="41">
        <f>INDEX('[2]End - Use Prices'!$C$6:$AL$89,MATCH($C162,'[2]End - Use Prices'!$A$6:$A$89,0)+MATCH($D162,'[2]End - Use Prices'!$B$9:$B$11,0)-1,MATCH(Y$1,'[2]End - Use Prices'!$C$7:$AL$7,0))</f>
        <v>83.41</v>
      </c>
      <c r="Z162" s="41">
        <f>INDEX('[2]End - Use Prices'!$C$6:$AL$89,MATCH($C162,'[2]End - Use Prices'!$A$6:$A$89,0)+MATCH($D162,'[2]End - Use Prices'!$B$9:$B$11,0)-1,MATCH(Z$1,'[2]End - Use Prices'!$C$7:$AL$7,0))</f>
        <v>82.56</v>
      </c>
      <c r="AA162" s="41">
        <f>INDEX('[2]End - Use Prices'!$C$6:$AL$89,MATCH($C162,'[2]End - Use Prices'!$A$6:$A$89,0)+MATCH($D162,'[2]End - Use Prices'!$B$9:$B$11,0)-1,MATCH(AA$1,'[2]End - Use Prices'!$C$7:$AL$7,0))</f>
        <v>81.98</v>
      </c>
      <c r="AB162" s="41">
        <f>INDEX('[2]End - Use Prices'!$C$6:$AL$89,MATCH($C162,'[2]End - Use Prices'!$A$6:$A$89,0)+MATCH($D162,'[2]End - Use Prices'!$B$9:$B$11,0)-1,MATCH(AB$1,'[2]End - Use Prices'!$C$7:$AL$7,0))</f>
        <v>85.14</v>
      </c>
      <c r="AC162" s="41">
        <f>INDEX('[2]End - Use Prices'!$C$6:$AL$89,MATCH($C162,'[2]End - Use Prices'!$A$6:$A$89,0)+MATCH($D162,'[2]End - Use Prices'!$B$9:$B$11,0)-1,MATCH(AC$1,'[2]End - Use Prices'!$C$7:$AL$7,0))</f>
        <v>89.34</v>
      </c>
      <c r="AD162" s="41">
        <f>INDEX('[2]End - Use Prices'!$C$6:$AL$89,MATCH($C162,'[2]End - Use Prices'!$A$6:$A$89,0)+MATCH($D162,'[2]End - Use Prices'!$B$9:$B$11,0)-1,MATCH(AD$1,'[2]End - Use Prices'!$C$7:$AL$7,0))</f>
        <v>85.75</v>
      </c>
      <c r="AE162" s="41">
        <f>INDEX('[2]End - Use Prices'!$C$6:$AL$89,MATCH($C162,'[2]End - Use Prices'!$A$6:$A$89,0)+MATCH($D162,'[2]End - Use Prices'!$B$9:$B$11,0)-1,MATCH(AE$1,'[2]End - Use Prices'!$C$7:$AL$7,0))</f>
        <v>94.73</v>
      </c>
      <c r="AF162" s="41">
        <f>INDEX('[2]End - Use Prices'!$C$6:$AL$89,MATCH($C162,'[2]End - Use Prices'!$A$6:$A$89,0)+MATCH($D162,'[2]End - Use Prices'!$B$9:$B$11,0)-1,MATCH(AF$1,'[2]End - Use Prices'!$C$7:$AL$7,0))</f>
        <v>94.52</v>
      </c>
      <c r="AG162" s="41">
        <f>INDEX('[2]End - Use Prices'!$C$6:$AL$89,MATCH($C162,'[2]End - Use Prices'!$A$6:$A$89,0)+MATCH($D162,'[2]End - Use Prices'!$B$9:$B$11,0)-1,MATCH(AG$1,'[2]End - Use Prices'!$C$7:$AL$7,0))</f>
        <v>94.52</v>
      </c>
      <c r="AH162" s="41">
        <f>INDEX('[2]End - Use Prices'!$C$6:$AL$89,MATCH($C162,'[2]End - Use Prices'!$A$6:$A$89,0)+MATCH($D162,'[2]End - Use Prices'!$B$9:$B$11,0)-1,MATCH(AH$1,'[2]End - Use Prices'!$C$7:$AL$7,0))</f>
        <v>95.28</v>
      </c>
      <c r="AI162" s="41">
        <f>INDEX('[2]End - Use Prices'!$C$6:$AL$89,MATCH($C162,'[2]End - Use Prices'!$A$6:$A$89,0)+MATCH($D162,'[2]End - Use Prices'!$B$9:$B$11,0)-1,MATCH(AI$1,'[2]End - Use Prices'!$C$7:$AL$7,0))</f>
        <v>94.69</v>
      </c>
      <c r="AJ162" s="41">
        <f>INDEX('[2]End - Use Prices'!$C$6:$AL$89,MATCH($C162,'[2]End - Use Prices'!$A$6:$A$89,0)+MATCH($D162,'[2]End - Use Prices'!$B$9:$B$11,0)-1,MATCH(AJ$1,'[2]End - Use Prices'!$C$7:$AL$7,0))</f>
        <v>95.56</v>
      </c>
      <c r="AK162" s="41">
        <f>INDEX('[2]End - Use Prices'!$C$6:$AL$89,MATCH($C162,'[2]End - Use Prices'!$A$6:$A$89,0)+MATCH($D162,'[2]End - Use Prices'!$B$9:$B$11,0)-1,MATCH(AK$1,'[2]End - Use Prices'!$C$7:$AL$7,0))</f>
        <v>96.01</v>
      </c>
      <c r="AL162" s="41">
        <f>INDEX('[2]End - Use Prices'!$C$6:$AL$89,MATCH($C162,'[2]End - Use Prices'!$A$6:$A$89,0)+MATCH($D162,'[2]End - Use Prices'!$B$9:$B$11,0)-1,MATCH(AL$1,'[2]End - Use Prices'!$C$7:$AL$7,0))</f>
        <v>96.45</v>
      </c>
      <c r="AM162" s="41">
        <f>INDEX('[2]End - Use Prices'!$C$6:$AL$89,MATCH($C162,'[2]End - Use Prices'!$A$6:$A$89,0)+MATCH($D162,'[2]End - Use Prices'!$B$9:$B$11,0)-1,MATCH(AM$1,'[2]End - Use Prices'!$C$7:$AL$7,0))</f>
        <v>96.87</v>
      </c>
      <c r="AN162" s="41">
        <f>INDEX('[2]End - Use Prices'!$C$6:$AL$89,MATCH($C162,'[2]End - Use Prices'!$A$6:$A$89,0)+MATCH($D162,'[2]End - Use Prices'!$B$9:$B$11,0)-1,MATCH(AN$1,'[2]End - Use Prices'!$C$7:$AL$7,0))</f>
        <v>97.29</v>
      </c>
      <c r="AO162" s="41">
        <f>INDEX('[2]End - Use Prices'!$C$6:$AL$89,MATCH($C162,'[2]End - Use Prices'!$A$6:$A$89,0)+MATCH($D162,'[2]End - Use Prices'!$B$9:$B$11,0)-1,MATCH(AO$1,'[2]End - Use Prices'!$C$7:$AL$7,0))</f>
        <v>97.69</v>
      </c>
      <c r="AP162" s="41">
        <f>INDEX('[2]End - Use Prices'!$C$6:$AL$89,MATCH($C162,'[2]End - Use Prices'!$A$6:$A$89,0)+MATCH($D162,'[2]End - Use Prices'!$B$9:$B$11,0)-1,MATCH(AP$1,'[2]End - Use Prices'!$C$7:$AL$7,0))</f>
        <v>98.09</v>
      </c>
      <c r="AQ162" s="41">
        <f>INDEX('[2]End - Use Prices'!$C$6:$AL$89,MATCH($C162,'[2]End - Use Prices'!$A$6:$A$89,0)+MATCH($D162,'[2]End - Use Prices'!$B$9:$B$11,0)-1,MATCH(AQ$1,'[2]End - Use Prices'!$C$7:$AL$7,0))</f>
        <v>98.48</v>
      </c>
      <c r="AR162" s="41">
        <f>INDEX('[2]End - Use Prices'!$C$6:$AL$89,MATCH($C162,'[2]End - Use Prices'!$A$6:$A$89,0)+MATCH($D162,'[2]End - Use Prices'!$B$9:$B$11,0)-1,MATCH(AR$1,'[2]End - Use Prices'!$C$7:$AL$7,0))</f>
        <v>98.86</v>
      </c>
      <c r="AS162" s="41">
        <f>INDEX('[2]End - Use Prices'!$C$6:$AL$89,MATCH($C162,'[2]End - Use Prices'!$A$6:$A$89,0)+MATCH($D162,'[2]End - Use Prices'!$B$9:$B$11,0)-1,MATCH(AS$1,'[2]End - Use Prices'!$C$7:$AL$7,0))</f>
        <v>99.23</v>
      </c>
      <c r="AT162" s="41">
        <f>INDEX('[2]End - Use Prices'!$C$6:$AL$89,MATCH($C162,'[2]End - Use Prices'!$A$6:$A$89,0)+MATCH($D162,'[2]End - Use Prices'!$B$9:$B$11,0)-1,MATCH(AT$1,'[2]End - Use Prices'!$C$7:$AL$7,0))</f>
        <v>99.6</v>
      </c>
      <c r="AU162" s="41">
        <f>INDEX('[2]End - Use Prices'!$C$6:$AL$89,MATCH($C162,'[2]End - Use Prices'!$A$6:$A$89,0)+MATCH($D162,'[2]End - Use Prices'!$B$9:$B$11,0)-1,MATCH(AU$1,'[2]End - Use Prices'!$C$7:$AL$7,0))</f>
        <v>99.97</v>
      </c>
      <c r="AV162" s="41">
        <f>INDEX('[2]End - Use Prices'!$C$6:$AL$89,MATCH($C162,'[2]End - Use Prices'!$A$6:$A$89,0)+MATCH($D162,'[2]End - Use Prices'!$B$9:$B$11,0)-1,MATCH(AV$1,'[2]End - Use Prices'!$C$7:$AL$7,0))</f>
        <v>100.34</v>
      </c>
      <c r="AW162" s="41">
        <f>INDEX('[2]End - Use Prices'!$C$6:$AL$89,MATCH($C162,'[2]End - Use Prices'!$A$6:$A$89,0)+MATCH($D162,'[2]End - Use Prices'!$B$9:$B$11,0)-1,MATCH(AW$1,'[2]End - Use Prices'!$C$7:$AL$7,0))</f>
        <v>100.71</v>
      </c>
      <c r="AX162" s="41">
        <f>INDEX('[2]End - Use Prices'!$C$6:$AL$89,MATCH($C162,'[2]End - Use Prices'!$A$6:$A$89,0)+MATCH($D162,'[2]End - Use Prices'!$B$9:$B$11,0)-1,MATCH(AX$1,'[2]End - Use Prices'!$C$7:$AL$7,0))</f>
        <v>101.08</v>
      </c>
      <c r="AY162" s="41">
        <f>INDEX('[2]End - Use Prices'!$C$6:$AL$89,MATCH($C162,'[2]End - Use Prices'!$A$6:$A$89,0)+MATCH($D162,'[2]End - Use Prices'!$B$9:$B$11,0)-1,MATCH(AY$1,'[2]End - Use Prices'!$C$7:$AL$7,0))</f>
        <v>101.45</v>
      </c>
      <c r="AZ162" s="41">
        <f>INDEX('[2]End - Use Prices'!$C$6:$AL$89,MATCH($C162,'[2]End - Use Prices'!$A$6:$A$89,0)+MATCH($D162,'[2]End - Use Prices'!$B$9:$B$11,0)-1,MATCH(AZ$1,'[2]End - Use Prices'!$C$7:$AL$7,0))</f>
        <v>101.83</v>
      </c>
      <c r="BA162" s="41">
        <f>INDEX('[2]End - Use Prices'!$C$6:$AL$89,MATCH($C162,'[2]End - Use Prices'!$A$6:$A$89,0)+MATCH($D162,'[2]End - Use Prices'!$B$9:$B$11,0)-1,MATCH(BA$1,'[2]End - Use Prices'!$C$7:$AL$7,0))</f>
        <v>102.21</v>
      </c>
      <c r="BB162" s="41">
        <f>INDEX('[2]End - Use Prices'!$C$6:$AL$89,MATCH($C162,'[2]End - Use Prices'!$A$6:$A$89,0)+MATCH($D162,'[2]End - Use Prices'!$B$9:$B$11,0)-1,MATCH(BB$1,'[2]End - Use Prices'!$C$7:$AL$7,0))</f>
        <v>102.6</v>
      </c>
      <c r="BC162" s="41">
        <f>INDEX('[2]End - Use Prices'!$C$6:$AL$89,MATCH($C162,'[2]End - Use Prices'!$A$6:$A$89,0)+MATCH($D162,'[2]End - Use Prices'!$B$9:$B$11,0)-1,MATCH(BC$1,'[2]End - Use Prices'!$C$7:$AL$7,0))</f>
        <v>103</v>
      </c>
      <c r="BD162" s="41">
        <f>INDEX('[2]End - Use Prices'!$C$6:$AL$89,MATCH($C162,'[2]End - Use Prices'!$A$6:$A$89,0)+MATCH($D162,'[2]End - Use Prices'!$B$9:$B$11,0)-1,MATCH(BD$1,'[2]End - Use Prices'!$C$7:$AL$7,0))</f>
        <v>103.4</v>
      </c>
      <c r="BE162" s="41">
        <f>INDEX('[2]End - Use Prices'!$C$6:$AL$89,MATCH($C162,'[2]End - Use Prices'!$A$6:$A$89,0)+MATCH($D162,'[2]End - Use Prices'!$B$9:$B$11,0)-1,MATCH(BE$1,'[2]End - Use Prices'!$C$7:$AL$7,0))</f>
        <v>103.82</v>
      </c>
      <c r="BF162" s="41">
        <f>INDEX('[2]End - Use Prices'!$C$6:$AL$89,MATCH($C162,'[2]End - Use Prices'!$A$6:$A$89,0)+MATCH($D162,'[2]End - Use Prices'!$B$9:$B$11,0)-1,MATCH(BF$1,'[2]End - Use Prices'!$C$7:$AL$7,0))</f>
        <v>104.25</v>
      </c>
      <c r="BG162" s="41">
        <f>INDEX('[2]End - Use Prices'!$C$6:$AL$89,MATCH($C162,'[2]End - Use Prices'!$A$6:$A$89,0)+MATCH($D162,'[2]End - Use Prices'!$B$9:$B$11,0)-1,MATCH(BG$1,'[2]End - Use Prices'!$C$7:$AL$7,0))</f>
        <v>104.69</v>
      </c>
      <c r="BR162" s="39"/>
      <c r="BS162" s="39"/>
      <c r="BT162" s="39"/>
      <c r="BU162" s="39"/>
      <c r="BV162" s="39"/>
      <c r="BW162" s="39"/>
      <c r="BX162" s="39"/>
      <c r="BY162" s="39"/>
      <c r="BZ162" s="39"/>
      <c r="CA162" s="39"/>
    </row>
    <row r="163" spans="1:79">
      <c r="A163" s="5"/>
      <c r="B163" s="3"/>
      <c r="C163" s="25" t="s">
        <v>93</v>
      </c>
      <c r="D163" s="25" t="s">
        <v>2</v>
      </c>
      <c r="E163" s="25" t="s">
        <v>277</v>
      </c>
      <c r="F163" s="67" t="s">
        <v>275</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INDEX('[2]End - Use Prices'!$C$6:$AL$89,MATCH($C163,'[2]End - Use Prices'!$A$6:$A$89,0)+MATCH($D163,'[2]End - Use Prices'!$B$9:$B$11,0)-1,MATCH(X$1,'[2]End - Use Prices'!$C$7:$AL$7,0))</f>
        <v>83.79</v>
      </c>
      <c r="Y163" s="41">
        <f>INDEX('[2]End - Use Prices'!$C$6:$AL$89,MATCH($C163,'[2]End - Use Prices'!$A$6:$A$89,0)+MATCH($D163,'[2]End - Use Prices'!$B$9:$B$11,0)-1,MATCH(Y$1,'[2]End - Use Prices'!$C$7:$AL$7,0))</f>
        <v>86.36</v>
      </c>
      <c r="Z163" s="41">
        <f>INDEX('[2]End - Use Prices'!$C$6:$AL$89,MATCH($C163,'[2]End - Use Prices'!$A$6:$A$89,0)+MATCH($D163,'[2]End - Use Prices'!$B$9:$B$11,0)-1,MATCH(Z$1,'[2]End - Use Prices'!$C$7:$AL$7,0))</f>
        <v>85.49</v>
      </c>
      <c r="AA163" s="41">
        <f>INDEX('[2]End - Use Prices'!$C$6:$AL$89,MATCH($C163,'[2]End - Use Prices'!$A$6:$A$89,0)+MATCH($D163,'[2]End - Use Prices'!$B$9:$B$11,0)-1,MATCH(AA$1,'[2]End - Use Prices'!$C$7:$AL$7,0))</f>
        <v>84.88</v>
      </c>
      <c r="AB163" s="41">
        <f>INDEX('[2]End - Use Prices'!$C$6:$AL$89,MATCH($C163,'[2]End - Use Prices'!$A$6:$A$89,0)+MATCH($D163,'[2]End - Use Prices'!$B$9:$B$11,0)-1,MATCH(AB$1,'[2]End - Use Prices'!$C$7:$AL$7,0))</f>
        <v>88.16</v>
      </c>
      <c r="AC163" s="41">
        <f>INDEX('[2]End - Use Prices'!$C$6:$AL$89,MATCH($C163,'[2]End - Use Prices'!$A$6:$A$89,0)+MATCH($D163,'[2]End - Use Prices'!$B$9:$B$11,0)-1,MATCH(AC$1,'[2]End - Use Prices'!$C$7:$AL$7,0))</f>
        <v>92.5</v>
      </c>
      <c r="AD163" s="41">
        <f>INDEX('[2]End - Use Prices'!$C$6:$AL$89,MATCH($C163,'[2]End - Use Prices'!$A$6:$A$89,0)+MATCH($D163,'[2]End - Use Prices'!$B$9:$B$11,0)-1,MATCH(AD$1,'[2]End - Use Prices'!$C$7:$AL$7,0))</f>
        <v>88.79</v>
      </c>
      <c r="AE163" s="41">
        <f>INDEX('[2]End - Use Prices'!$C$6:$AL$89,MATCH($C163,'[2]End - Use Prices'!$A$6:$A$89,0)+MATCH($D163,'[2]End - Use Prices'!$B$9:$B$11,0)-1,MATCH(AE$1,'[2]End - Use Prices'!$C$7:$AL$7,0))</f>
        <v>98.09</v>
      </c>
      <c r="AF163" s="41">
        <f>INDEX('[2]End - Use Prices'!$C$6:$AL$89,MATCH($C163,'[2]End - Use Prices'!$A$6:$A$89,0)+MATCH($D163,'[2]End - Use Prices'!$B$9:$B$11,0)-1,MATCH(AF$1,'[2]End - Use Prices'!$C$7:$AL$7,0))</f>
        <v>97.87</v>
      </c>
      <c r="AG163" s="41">
        <f>INDEX('[2]End - Use Prices'!$C$6:$AL$89,MATCH($C163,'[2]End - Use Prices'!$A$6:$A$89,0)+MATCH($D163,'[2]End - Use Prices'!$B$9:$B$11,0)-1,MATCH(AG$1,'[2]End - Use Prices'!$C$7:$AL$7,0))</f>
        <v>97.87</v>
      </c>
      <c r="AH163" s="41">
        <f>INDEX('[2]End - Use Prices'!$C$6:$AL$89,MATCH($C163,'[2]End - Use Prices'!$A$6:$A$89,0)+MATCH($D163,'[2]End - Use Prices'!$B$9:$B$11,0)-1,MATCH(AH$1,'[2]End - Use Prices'!$C$7:$AL$7,0))</f>
        <v>98.65</v>
      </c>
      <c r="AI163" s="41">
        <f>INDEX('[2]End - Use Prices'!$C$6:$AL$89,MATCH($C163,'[2]End - Use Prices'!$A$6:$A$89,0)+MATCH($D163,'[2]End - Use Prices'!$B$9:$B$11,0)-1,MATCH(AI$1,'[2]End - Use Prices'!$C$7:$AL$7,0))</f>
        <v>98.04</v>
      </c>
      <c r="AJ163" s="41">
        <f>INDEX('[2]End - Use Prices'!$C$6:$AL$89,MATCH($C163,'[2]End - Use Prices'!$A$6:$A$89,0)+MATCH($D163,'[2]End - Use Prices'!$B$9:$B$11,0)-1,MATCH(AJ$1,'[2]End - Use Prices'!$C$7:$AL$7,0))</f>
        <v>98.81</v>
      </c>
      <c r="AK163" s="41">
        <f>INDEX('[2]End - Use Prices'!$C$6:$AL$89,MATCH($C163,'[2]End - Use Prices'!$A$6:$A$89,0)+MATCH($D163,'[2]End - Use Prices'!$B$9:$B$11,0)-1,MATCH(AK$1,'[2]End - Use Prices'!$C$7:$AL$7,0))</f>
        <v>98.94</v>
      </c>
      <c r="AL163" s="41">
        <f>INDEX('[2]End - Use Prices'!$C$6:$AL$89,MATCH($C163,'[2]End - Use Prices'!$A$6:$A$89,0)+MATCH($D163,'[2]End - Use Prices'!$B$9:$B$11,0)-1,MATCH(AL$1,'[2]End - Use Prices'!$C$7:$AL$7,0))</f>
        <v>99.05</v>
      </c>
      <c r="AM163" s="41">
        <f>INDEX('[2]End - Use Prices'!$C$6:$AL$89,MATCH($C163,'[2]End - Use Prices'!$A$6:$A$89,0)+MATCH($D163,'[2]End - Use Prices'!$B$9:$B$11,0)-1,MATCH(AM$1,'[2]End - Use Prices'!$C$7:$AL$7,0))</f>
        <v>99.14</v>
      </c>
      <c r="AN163" s="41">
        <f>INDEX('[2]End - Use Prices'!$C$6:$AL$89,MATCH($C163,'[2]End - Use Prices'!$A$6:$A$89,0)+MATCH($D163,'[2]End - Use Prices'!$B$9:$B$11,0)-1,MATCH(AN$1,'[2]End - Use Prices'!$C$7:$AL$7,0))</f>
        <v>99.2</v>
      </c>
      <c r="AO163" s="41">
        <f>INDEX('[2]End - Use Prices'!$C$6:$AL$89,MATCH($C163,'[2]End - Use Prices'!$A$6:$A$89,0)+MATCH($D163,'[2]End - Use Prices'!$B$9:$B$11,0)-1,MATCH(AO$1,'[2]End - Use Prices'!$C$7:$AL$7,0))</f>
        <v>99.25</v>
      </c>
      <c r="AP163" s="41">
        <f>INDEX('[2]End - Use Prices'!$C$6:$AL$89,MATCH($C163,'[2]End - Use Prices'!$A$6:$A$89,0)+MATCH($D163,'[2]End - Use Prices'!$B$9:$B$11,0)-1,MATCH(AP$1,'[2]End - Use Prices'!$C$7:$AL$7,0))</f>
        <v>99.28</v>
      </c>
      <c r="AQ163" s="41">
        <f>INDEX('[2]End - Use Prices'!$C$6:$AL$89,MATCH($C163,'[2]End - Use Prices'!$A$6:$A$89,0)+MATCH($D163,'[2]End - Use Prices'!$B$9:$B$11,0)-1,MATCH(AQ$1,'[2]End - Use Prices'!$C$7:$AL$7,0))</f>
        <v>99.3</v>
      </c>
      <c r="AR163" s="41">
        <f>INDEX('[2]End - Use Prices'!$C$6:$AL$89,MATCH($C163,'[2]End - Use Prices'!$A$6:$A$89,0)+MATCH($D163,'[2]End - Use Prices'!$B$9:$B$11,0)-1,MATCH(AR$1,'[2]End - Use Prices'!$C$7:$AL$7,0))</f>
        <v>99.31</v>
      </c>
      <c r="AS163" s="41">
        <f>INDEX('[2]End - Use Prices'!$C$6:$AL$89,MATCH($C163,'[2]End - Use Prices'!$A$6:$A$89,0)+MATCH($D163,'[2]End - Use Prices'!$B$9:$B$11,0)-1,MATCH(AS$1,'[2]End - Use Prices'!$C$7:$AL$7,0))</f>
        <v>99.3</v>
      </c>
      <c r="AT163" s="41">
        <f>INDEX('[2]End - Use Prices'!$C$6:$AL$89,MATCH($C163,'[2]End - Use Prices'!$A$6:$A$89,0)+MATCH($D163,'[2]End - Use Prices'!$B$9:$B$11,0)-1,MATCH(AT$1,'[2]End - Use Prices'!$C$7:$AL$7,0))</f>
        <v>99.29</v>
      </c>
      <c r="AU163" s="41">
        <f>INDEX('[2]End - Use Prices'!$C$6:$AL$89,MATCH($C163,'[2]End - Use Prices'!$A$6:$A$89,0)+MATCH($D163,'[2]End - Use Prices'!$B$9:$B$11,0)-1,MATCH(AU$1,'[2]End - Use Prices'!$C$7:$AL$7,0))</f>
        <v>99.27</v>
      </c>
      <c r="AV163" s="41">
        <f>INDEX('[2]End - Use Prices'!$C$6:$AL$89,MATCH($C163,'[2]End - Use Prices'!$A$6:$A$89,0)+MATCH($D163,'[2]End - Use Prices'!$B$9:$B$11,0)-1,MATCH(AV$1,'[2]End - Use Prices'!$C$7:$AL$7,0))</f>
        <v>99.25</v>
      </c>
      <c r="AW163" s="41">
        <f>INDEX('[2]End - Use Prices'!$C$6:$AL$89,MATCH($C163,'[2]End - Use Prices'!$A$6:$A$89,0)+MATCH($D163,'[2]End - Use Prices'!$B$9:$B$11,0)-1,MATCH(AW$1,'[2]End - Use Prices'!$C$7:$AL$7,0))</f>
        <v>99.23</v>
      </c>
      <c r="AX163" s="41">
        <f>INDEX('[2]End - Use Prices'!$C$6:$AL$89,MATCH($C163,'[2]End - Use Prices'!$A$6:$A$89,0)+MATCH($D163,'[2]End - Use Prices'!$B$9:$B$11,0)-1,MATCH(AX$1,'[2]End - Use Prices'!$C$7:$AL$7,0))</f>
        <v>99.2</v>
      </c>
      <c r="AY163" s="41">
        <f>INDEX('[2]End - Use Prices'!$C$6:$AL$89,MATCH($C163,'[2]End - Use Prices'!$A$6:$A$89,0)+MATCH($D163,'[2]End - Use Prices'!$B$9:$B$11,0)-1,MATCH(AY$1,'[2]End - Use Prices'!$C$7:$AL$7,0))</f>
        <v>99.18</v>
      </c>
      <c r="AZ163" s="41">
        <f>INDEX('[2]End - Use Prices'!$C$6:$AL$89,MATCH($C163,'[2]End - Use Prices'!$A$6:$A$89,0)+MATCH($D163,'[2]End - Use Prices'!$B$9:$B$11,0)-1,MATCH(AZ$1,'[2]End - Use Prices'!$C$7:$AL$7,0))</f>
        <v>99.16</v>
      </c>
      <c r="BA163" s="41">
        <f>INDEX('[2]End - Use Prices'!$C$6:$AL$89,MATCH($C163,'[2]End - Use Prices'!$A$6:$A$89,0)+MATCH($D163,'[2]End - Use Prices'!$B$9:$B$11,0)-1,MATCH(BA$1,'[2]End - Use Prices'!$C$7:$AL$7,0))</f>
        <v>99.15</v>
      </c>
      <c r="BB163" s="41">
        <f>INDEX('[2]End - Use Prices'!$C$6:$AL$89,MATCH($C163,'[2]End - Use Prices'!$A$6:$A$89,0)+MATCH($D163,'[2]End - Use Prices'!$B$9:$B$11,0)-1,MATCH(BB$1,'[2]End - Use Prices'!$C$7:$AL$7,0))</f>
        <v>99.15</v>
      </c>
      <c r="BC163" s="41">
        <f>INDEX('[2]End - Use Prices'!$C$6:$AL$89,MATCH($C163,'[2]End - Use Prices'!$A$6:$A$89,0)+MATCH($D163,'[2]End - Use Prices'!$B$9:$B$11,0)-1,MATCH(BC$1,'[2]End - Use Prices'!$C$7:$AL$7,0))</f>
        <v>99.15</v>
      </c>
      <c r="BD163" s="41">
        <f>INDEX('[2]End - Use Prices'!$C$6:$AL$89,MATCH($C163,'[2]End - Use Prices'!$A$6:$A$89,0)+MATCH($D163,'[2]End - Use Prices'!$B$9:$B$11,0)-1,MATCH(BD$1,'[2]End - Use Prices'!$C$7:$AL$7,0))</f>
        <v>99.17</v>
      </c>
      <c r="BE163" s="41">
        <f>INDEX('[2]End - Use Prices'!$C$6:$AL$89,MATCH($C163,'[2]End - Use Prices'!$A$6:$A$89,0)+MATCH($D163,'[2]End - Use Prices'!$B$9:$B$11,0)-1,MATCH(BE$1,'[2]End - Use Prices'!$C$7:$AL$7,0))</f>
        <v>99.2</v>
      </c>
      <c r="BF163" s="41">
        <f>INDEX('[2]End - Use Prices'!$C$6:$AL$89,MATCH($C163,'[2]End - Use Prices'!$A$6:$A$89,0)+MATCH($D163,'[2]End - Use Prices'!$B$9:$B$11,0)-1,MATCH(BF$1,'[2]End - Use Prices'!$C$7:$AL$7,0))</f>
        <v>99.25</v>
      </c>
      <c r="BG163" s="41">
        <f>INDEX('[2]End - Use Prices'!$C$6:$AL$89,MATCH($C163,'[2]End - Use Prices'!$A$6:$A$89,0)+MATCH($D163,'[2]End - Use Prices'!$B$9:$B$11,0)-1,MATCH(BG$1,'[2]End - Use Prices'!$C$7:$AL$7,0))</f>
        <v>99.32</v>
      </c>
      <c r="BR163" s="39"/>
      <c r="BS163" s="39"/>
      <c r="BT163" s="39"/>
      <c r="BU163" s="39"/>
      <c r="BV163" s="39"/>
      <c r="BW163" s="39"/>
      <c r="BX163" s="39"/>
      <c r="BY163" s="39"/>
      <c r="BZ163" s="39"/>
      <c r="CA163" s="39"/>
    </row>
    <row r="164" spans="1:79">
      <c r="A164" s="5"/>
      <c r="B164" s="3"/>
      <c r="C164" s="25" t="s">
        <v>47</v>
      </c>
      <c r="D164" s="25" t="s">
        <v>13</v>
      </c>
      <c r="E164" s="25" t="s">
        <v>277</v>
      </c>
      <c r="F164" s="67" t="s">
        <v>275</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INDEX('[2]End - Use Prices'!$C$6:$AL$89,MATCH($C164,'[2]End - Use Prices'!$A$6:$A$89,0)+MATCH($D164,'[2]End - Use Prices'!$B$9:$B$11,0)-1,MATCH(X$1,'[2]End - Use Prices'!$C$7:$AL$7,0))</f>
        <v>15.81</v>
      </c>
      <c r="Y164" s="41">
        <f>INDEX('[2]End - Use Prices'!$C$6:$AL$89,MATCH($C164,'[2]End - Use Prices'!$A$6:$A$89,0)+MATCH($D164,'[2]End - Use Prices'!$B$9:$B$11,0)-1,MATCH(Y$1,'[2]End - Use Prices'!$C$7:$AL$7,0))</f>
        <v>16.04</v>
      </c>
      <c r="Z164" s="41">
        <f>INDEX('[2]End - Use Prices'!$C$6:$AL$89,MATCH($C164,'[2]End - Use Prices'!$A$6:$A$89,0)+MATCH($D164,'[2]End - Use Prices'!$B$9:$B$11,0)-1,MATCH(Z$1,'[2]End - Use Prices'!$C$7:$AL$7,0))</f>
        <v>14.76</v>
      </c>
      <c r="AA164" s="41">
        <f>INDEX('[2]End - Use Prices'!$C$6:$AL$89,MATCH($C164,'[2]End - Use Prices'!$A$6:$A$89,0)+MATCH($D164,'[2]End - Use Prices'!$B$9:$B$11,0)-1,MATCH(AA$1,'[2]End - Use Prices'!$C$7:$AL$7,0))</f>
        <v>14.82</v>
      </c>
      <c r="AB164" s="41">
        <f>INDEX('[2]End - Use Prices'!$C$6:$AL$89,MATCH($C164,'[2]End - Use Prices'!$A$6:$A$89,0)+MATCH($D164,'[2]End - Use Prices'!$B$9:$B$11,0)-1,MATCH(AB$1,'[2]End - Use Prices'!$C$7:$AL$7,0))</f>
        <v>12.89</v>
      </c>
      <c r="AC164" s="41">
        <f>INDEX('[2]End - Use Prices'!$C$6:$AL$89,MATCH($C164,'[2]End - Use Prices'!$A$6:$A$89,0)+MATCH($D164,'[2]End - Use Prices'!$B$9:$B$11,0)-1,MATCH(AC$1,'[2]End - Use Prices'!$C$7:$AL$7,0))</f>
        <v>12.69</v>
      </c>
      <c r="AD164" s="41">
        <f>INDEX('[2]End - Use Prices'!$C$6:$AL$89,MATCH($C164,'[2]End - Use Prices'!$A$6:$A$89,0)+MATCH($D164,'[2]End - Use Prices'!$B$9:$B$11,0)-1,MATCH(AD$1,'[2]End - Use Prices'!$C$7:$AL$7,0))</f>
        <v>11.75</v>
      </c>
      <c r="AE164" s="41">
        <f>INDEX('[2]End - Use Prices'!$C$6:$AL$89,MATCH($C164,'[2]End - Use Prices'!$A$6:$A$89,0)+MATCH($D164,'[2]End - Use Prices'!$B$9:$B$11,0)-1,MATCH(AE$1,'[2]End - Use Prices'!$C$7:$AL$7,0))</f>
        <v>10.82</v>
      </c>
      <c r="AF164" s="41">
        <f>INDEX('[2]End - Use Prices'!$C$6:$AL$89,MATCH($C164,'[2]End - Use Prices'!$A$6:$A$89,0)+MATCH($D164,'[2]End - Use Prices'!$B$9:$B$11,0)-1,MATCH(AF$1,'[2]End - Use Prices'!$C$7:$AL$7,0))</f>
        <v>10.77</v>
      </c>
      <c r="AG164" s="41">
        <f>INDEX('[2]End - Use Prices'!$C$6:$AL$89,MATCH($C164,'[2]End - Use Prices'!$A$6:$A$89,0)+MATCH($D164,'[2]End - Use Prices'!$B$9:$B$11,0)-1,MATCH(AG$1,'[2]End - Use Prices'!$C$7:$AL$7,0))</f>
        <v>11.71</v>
      </c>
      <c r="AH164" s="41">
        <f>INDEX('[2]End - Use Prices'!$C$6:$AL$89,MATCH($C164,'[2]End - Use Prices'!$A$6:$A$89,0)+MATCH($D164,'[2]End - Use Prices'!$B$9:$B$11,0)-1,MATCH(AH$1,'[2]End - Use Prices'!$C$7:$AL$7,0))</f>
        <v>10.65</v>
      </c>
      <c r="AI164" s="41">
        <f>INDEX('[2]End - Use Prices'!$C$6:$AL$89,MATCH($C164,'[2]End - Use Prices'!$A$6:$A$89,0)+MATCH($D164,'[2]End - Use Prices'!$B$9:$B$11,0)-1,MATCH(AI$1,'[2]End - Use Prices'!$C$7:$AL$7,0))</f>
        <v>8.93</v>
      </c>
      <c r="AJ164" s="41">
        <f>INDEX('[2]End - Use Prices'!$C$6:$AL$89,MATCH($C164,'[2]End - Use Prices'!$A$6:$A$89,0)+MATCH($D164,'[2]End - Use Prices'!$B$9:$B$11,0)-1,MATCH(AJ$1,'[2]End - Use Prices'!$C$7:$AL$7,0))</f>
        <v>10.82</v>
      </c>
      <c r="AK164" s="41">
        <f>INDEX('[2]End - Use Prices'!$C$6:$AL$89,MATCH($C164,'[2]End - Use Prices'!$A$6:$A$89,0)+MATCH($D164,'[2]End - Use Prices'!$B$9:$B$11,0)-1,MATCH(AK$1,'[2]End - Use Prices'!$C$7:$AL$7,0))</f>
        <v>9.86</v>
      </c>
      <c r="AL164" s="41">
        <f>INDEX('[2]End - Use Prices'!$C$6:$AL$89,MATCH($C164,'[2]End - Use Prices'!$A$6:$A$89,0)+MATCH($D164,'[2]End - Use Prices'!$B$9:$B$11,0)-1,MATCH(AL$1,'[2]End - Use Prices'!$C$7:$AL$7,0))</f>
        <v>9.5299999999999994</v>
      </c>
      <c r="AM164" s="41">
        <f>INDEX('[2]End - Use Prices'!$C$6:$AL$89,MATCH($C164,'[2]End - Use Prices'!$A$6:$A$89,0)+MATCH($D164,'[2]End - Use Prices'!$B$9:$B$11,0)-1,MATCH(AM$1,'[2]End - Use Prices'!$C$7:$AL$7,0))</f>
        <v>9.67</v>
      </c>
      <c r="AN164" s="41">
        <f>INDEX('[2]End - Use Prices'!$C$6:$AL$89,MATCH($C164,'[2]End - Use Prices'!$A$6:$A$89,0)+MATCH($D164,'[2]End - Use Prices'!$B$9:$B$11,0)-1,MATCH(AN$1,'[2]End - Use Prices'!$C$7:$AL$7,0))</f>
        <v>9.8699999999999992</v>
      </c>
      <c r="AO164" s="41">
        <f>INDEX('[2]End - Use Prices'!$C$6:$AL$89,MATCH($C164,'[2]End - Use Prices'!$A$6:$A$89,0)+MATCH($D164,'[2]End - Use Prices'!$B$9:$B$11,0)-1,MATCH(AO$1,'[2]End - Use Prices'!$C$7:$AL$7,0))</f>
        <v>10.19</v>
      </c>
      <c r="AP164" s="41">
        <f>INDEX('[2]End - Use Prices'!$C$6:$AL$89,MATCH($C164,'[2]End - Use Prices'!$A$6:$A$89,0)+MATCH($D164,'[2]End - Use Prices'!$B$9:$B$11,0)-1,MATCH(AP$1,'[2]End - Use Prices'!$C$7:$AL$7,0))</f>
        <v>10.44</v>
      </c>
      <c r="AQ164" s="41">
        <f>INDEX('[2]End - Use Prices'!$C$6:$AL$89,MATCH($C164,'[2]End - Use Prices'!$A$6:$A$89,0)+MATCH($D164,'[2]End - Use Prices'!$B$9:$B$11,0)-1,MATCH(AQ$1,'[2]End - Use Prices'!$C$7:$AL$7,0))</f>
        <v>10.53</v>
      </c>
      <c r="AR164" s="41">
        <f>INDEX('[2]End - Use Prices'!$C$6:$AL$89,MATCH($C164,'[2]End - Use Prices'!$A$6:$A$89,0)+MATCH($D164,'[2]End - Use Prices'!$B$9:$B$11,0)-1,MATCH(AR$1,'[2]End - Use Prices'!$C$7:$AL$7,0))</f>
        <v>10.64</v>
      </c>
      <c r="AS164" s="41">
        <f>INDEX('[2]End - Use Prices'!$C$6:$AL$89,MATCH($C164,'[2]End - Use Prices'!$A$6:$A$89,0)+MATCH($D164,'[2]End - Use Prices'!$B$9:$B$11,0)-1,MATCH(AS$1,'[2]End - Use Prices'!$C$7:$AL$7,0))</f>
        <v>10.82</v>
      </c>
      <c r="AT164" s="41">
        <f>INDEX('[2]End - Use Prices'!$C$6:$AL$89,MATCH($C164,'[2]End - Use Prices'!$A$6:$A$89,0)+MATCH($D164,'[2]End - Use Prices'!$B$9:$B$11,0)-1,MATCH(AT$1,'[2]End - Use Prices'!$C$7:$AL$7,0))</f>
        <v>10.85</v>
      </c>
      <c r="AU164" s="41">
        <f>INDEX('[2]End - Use Prices'!$C$6:$AL$89,MATCH($C164,'[2]End - Use Prices'!$A$6:$A$89,0)+MATCH($D164,'[2]End - Use Prices'!$B$9:$B$11,0)-1,MATCH(AU$1,'[2]End - Use Prices'!$C$7:$AL$7,0))</f>
        <v>10.9</v>
      </c>
      <c r="AV164" s="41">
        <f>INDEX('[2]End - Use Prices'!$C$6:$AL$89,MATCH($C164,'[2]End - Use Prices'!$A$6:$A$89,0)+MATCH($D164,'[2]End - Use Prices'!$B$9:$B$11,0)-1,MATCH(AV$1,'[2]End - Use Prices'!$C$7:$AL$7,0))</f>
        <v>10.96</v>
      </c>
      <c r="AW164" s="41">
        <f>INDEX('[2]End - Use Prices'!$C$6:$AL$89,MATCH($C164,'[2]End - Use Prices'!$A$6:$A$89,0)+MATCH($D164,'[2]End - Use Prices'!$B$9:$B$11,0)-1,MATCH(AW$1,'[2]End - Use Prices'!$C$7:$AL$7,0))</f>
        <v>11.02</v>
      </c>
      <c r="AX164" s="41">
        <f>INDEX('[2]End - Use Prices'!$C$6:$AL$89,MATCH($C164,'[2]End - Use Prices'!$A$6:$A$89,0)+MATCH($D164,'[2]End - Use Prices'!$B$9:$B$11,0)-1,MATCH(AX$1,'[2]End - Use Prices'!$C$7:$AL$7,0))</f>
        <v>11.09</v>
      </c>
      <c r="AY164" s="41">
        <f>INDEX('[2]End - Use Prices'!$C$6:$AL$89,MATCH($C164,'[2]End - Use Prices'!$A$6:$A$89,0)+MATCH($D164,'[2]End - Use Prices'!$B$9:$B$11,0)-1,MATCH(AY$1,'[2]End - Use Prices'!$C$7:$AL$7,0))</f>
        <v>11.18</v>
      </c>
      <c r="AZ164" s="41">
        <f>INDEX('[2]End - Use Prices'!$C$6:$AL$89,MATCH($C164,'[2]End - Use Prices'!$A$6:$A$89,0)+MATCH($D164,'[2]End - Use Prices'!$B$9:$B$11,0)-1,MATCH(AZ$1,'[2]End - Use Prices'!$C$7:$AL$7,0))</f>
        <v>11.28</v>
      </c>
      <c r="BA164" s="41">
        <f>INDEX('[2]End - Use Prices'!$C$6:$AL$89,MATCH($C164,'[2]End - Use Prices'!$A$6:$A$89,0)+MATCH($D164,'[2]End - Use Prices'!$B$9:$B$11,0)-1,MATCH(BA$1,'[2]End - Use Prices'!$C$7:$AL$7,0))</f>
        <v>11.33</v>
      </c>
      <c r="BB164" s="41">
        <f>INDEX('[2]End - Use Prices'!$C$6:$AL$89,MATCH($C164,'[2]End - Use Prices'!$A$6:$A$89,0)+MATCH($D164,'[2]End - Use Prices'!$B$9:$B$11,0)-1,MATCH(BB$1,'[2]End - Use Prices'!$C$7:$AL$7,0))</f>
        <v>11.37</v>
      </c>
      <c r="BC164" s="41">
        <f>INDEX('[2]End - Use Prices'!$C$6:$AL$89,MATCH($C164,'[2]End - Use Prices'!$A$6:$A$89,0)+MATCH($D164,'[2]End - Use Prices'!$B$9:$B$11,0)-1,MATCH(BC$1,'[2]End - Use Prices'!$C$7:$AL$7,0))</f>
        <v>11.41</v>
      </c>
      <c r="BD164" s="41">
        <f>INDEX('[2]End - Use Prices'!$C$6:$AL$89,MATCH($C164,'[2]End - Use Prices'!$A$6:$A$89,0)+MATCH($D164,'[2]End - Use Prices'!$B$9:$B$11,0)-1,MATCH(BD$1,'[2]End - Use Prices'!$C$7:$AL$7,0))</f>
        <v>11.43</v>
      </c>
      <c r="BE164" s="41">
        <f>INDEX('[2]End - Use Prices'!$C$6:$AL$89,MATCH($C164,'[2]End - Use Prices'!$A$6:$A$89,0)+MATCH($D164,'[2]End - Use Prices'!$B$9:$B$11,0)-1,MATCH(BE$1,'[2]End - Use Prices'!$C$7:$AL$7,0))</f>
        <v>11.43</v>
      </c>
      <c r="BF164" s="41">
        <f>INDEX('[2]End - Use Prices'!$C$6:$AL$89,MATCH($C164,'[2]End - Use Prices'!$A$6:$A$89,0)+MATCH($D164,'[2]End - Use Prices'!$B$9:$B$11,0)-1,MATCH(BF$1,'[2]End - Use Prices'!$C$7:$AL$7,0))</f>
        <v>11.44</v>
      </c>
      <c r="BG164" s="41">
        <f>INDEX('[2]End - Use Prices'!$C$6:$AL$89,MATCH($C164,'[2]End - Use Prices'!$A$6:$A$89,0)+MATCH($D164,'[2]End - Use Prices'!$B$9:$B$11,0)-1,MATCH(BG$1,'[2]End - Use Prices'!$C$7:$AL$7,0))</f>
        <v>11.44</v>
      </c>
      <c r="BR164" s="39"/>
      <c r="BS164" s="39"/>
      <c r="BT164" s="39"/>
      <c r="BU164" s="39"/>
      <c r="BV164" s="39"/>
      <c r="BW164" s="39"/>
      <c r="BX164" s="39"/>
      <c r="BY164" s="39"/>
      <c r="BZ164" s="39"/>
      <c r="CA164" s="39"/>
    </row>
    <row r="165" spans="1:79">
      <c r="A165" s="5"/>
      <c r="B165" s="3"/>
      <c r="C165" s="25" t="s">
        <v>84</v>
      </c>
      <c r="D165" s="25" t="s">
        <v>13</v>
      </c>
      <c r="E165" s="25" t="s">
        <v>277</v>
      </c>
      <c r="F165" s="67" t="s">
        <v>275</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INDEX('[2]End - Use Prices'!$C$6:$AL$89,MATCH($C165,'[2]End - Use Prices'!$A$6:$A$89,0)+MATCH($D165,'[2]End - Use Prices'!$B$9:$B$11,0)-1,MATCH(X$1,'[2]End - Use Prices'!$C$7:$AL$7,0))</f>
        <v>18.899999999999999</v>
      </c>
      <c r="Y165" s="41">
        <f>INDEX('[2]End - Use Prices'!$C$6:$AL$89,MATCH($C165,'[2]End - Use Prices'!$A$6:$A$89,0)+MATCH($D165,'[2]End - Use Prices'!$B$9:$B$11,0)-1,MATCH(Y$1,'[2]End - Use Prices'!$C$7:$AL$7,0))</f>
        <v>18.940000000000001</v>
      </c>
      <c r="Z165" s="41">
        <f>INDEX('[2]End - Use Prices'!$C$6:$AL$89,MATCH($C165,'[2]End - Use Prices'!$A$6:$A$89,0)+MATCH($D165,'[2]End - Use Prices'!$B$9:$B$11,0)-1,MATCH(Z$1,'[2]End - Use Prices'!$C$7:$AL$7,0))</f>
        <v>11.86</v>
      </c>
      <c r="AA165" s="41">
        <f>INDEX('[2]End - Use Prices'!$C$6:$AL$89,MATCH($C165,'[2]End - Use Prices'!$A$6:$A$89,0)+MATCH($D165,'[2]End - Use Prices'!$B$9:$B$11,0)-1,MATCH(AA$1,'[2]End - Use Prices'!$C$7:$AL$7,0))</f>
        <v>14.01</v>
      </c>
      <c r="AB165" s="41">
        <f>INDEX('[2]End - Use Prices'!$C$6:$AL$89,MATCH($C165,'[2]End - Use Prices'!$A$6:$A$89,0)+MATCH($D165,'[2]End - Use Prices'!$B$9:$B$11,0)-1,MATCH(AB$1,'[2]End - Use Prices'!$C$7:$AL$7,0))</f>
        <v>14.6</v>
      </c>
      <c r="AC165" s="41">
        <f>INDEX('[2]End - Use Prices'!$C$6:$AL$89,MATCH($C165,'[2]End - Use Prices'!$A$6:$A$89,0)+MATCH($D165,'[2]End - Use Prices'!$B$9:$B$11,0)-1,MATCH(AC$1,'[2]End - Use Prices'!$C$7:$AL$7,0))</f>
        <v>20.09</v>
      </c>
      <c r="AD165" s="41">
        <f>INDEX('[2]End - Use Prices'!$C$6:$AL$89,MATCH($C165,'[2]End - Use Prices'!$A$6:$A$89,0)+MATCH($D165,'[2]End - Use Prices'!$B$9:$B$11,0)-1,MATCH(AD$1,'[2]End - Use Prices'!$C$7:$AL$7,0))</f>
        <v>17.2</v>
      </c>
      <c r="AE165" s="41">
        <f>INDEX('[2]End - Use Prices'!$C$6:$AL$89,MATCH($C165,'[2]End - Use Prices'!$A$6:$A$89,0)+MATCH($D165,'[2]End - Use Prices'!$B$9:$B$11,0)-1,MATCH(AE$1,'[2]End - Use Prices'!$C$7:$AL$7,0))</f>
        <v>17.59</v>
      </c>
      <c r="AF165" s="41">
        <f>INDEX('[2]End - Use Prices'!$C$6:$AL$89,MATCH($C165,'[2]End - Use Prices'!$A$6:$A$89,0)+MATCH($D165,'[2]End - Use Prices'!$B$9:$B$11,0)-1,MATCH(AF$1,'[2]End - Use Prices'!$C$7:$AL$7,0))</f>
        <v>18.75</v>
      </c>
      <c r="AG165" s="41">
        <f>INDEX('[2]End - Use Prices'!$C$6:$AL$89,MATCH($C165,'[2]End - Use Prices'!$A$6:$A$89,0)+MATCH($D165,'[2]End - Use Prices'!$B$9:$B$11,0)-1,MATCH(AG$1,'[2]End - Use Prices'!$C$7:$AL$7,0))</f>
        <v>18.48</v>
      </c>
      <c r="AH165" s="41">
        <f>INDEX('[2]End - Use Prices'!$C$6:$AL$89,MATCH($C165,'[2]End - Use Prices'!$A$6:$A$89,0)+MATCH($D165,'[2]End - Use Prices'!$B$9:$B$11,0)-1,MATCH(AH$1,'[2]End - Use Prices'!$C$7:$AL$7,0))</f>
        <v>13.86</v>
      </c>
      <c r="AI165" s="41">
        <f>INDEX('[2]End - Use Prices'!$C$6:$AL$89,MATCH($C165,'[2]End - Use Prices'!$A$6:$A$89,0)+MATCH($D165,'[2]End - Use Prices'!$B$9:$B$11,0)-1,MATCH(AI$1,'[2]End - Use Prices'!$C$7:$AL$7,0))</f>
        <v>9.4700000000000006</v>
      </c>
      <c r="AJ165" s="41">
        <f>INDEX('[2]End - Use Prices'!$C$6:$AL$89,MATCH($C165,'[2]End - Use Prices'!$A$6:$A$89,0)+MATCH($D165,'[2]End - Use Prices'!$B$9:$B$11,0)-1,MATCH(AJ$1,'[2]End - Use Prices'!$C$7:$AL$7,0))</f>
        <v>10.75</v>
      </c>
      <c r="AK165" s="41">
        <f>INDEX('[2]End - Use Prices'!$C$6:$AL$89,MATCH($C165,'[2]End - Use Prices'!$A$6:$A$89,0)+MATCH($D165,'[2]End - Use Prices'!$B$9:$B$11,0)-1,MATCH(AK$1,'[2]End - Use Prices'!$C$7:$AL$7,0))</f>
        <v>10.63</v>
      </c>
      <c r="AL165" s="41">
        <f>INDEX('[2]End - Use Prices'!$C$6:$AL$89,MATCH($C165,'[2]End - Use Prices'!$A$6:$A$89,0)+MATCH($D165,'[2]End - Use Prices'!$B$9:$B$11,0)-1,MATCH(AL$1,'[2]End - Use Prices'!$C$7:$AL$7,0))</f>
        <v>10.61</v>
      </c>
      <c r="AM165" s="41">
        <f>INDEX('[2]End - Use Prices'!$C$6:$AL$89,MATCH($C165,'[2]End - Use Prices'!$A$6:$A$89,0)+MATCH($D165,'[2]End - Use Prices'!$B$9:$B$11,0)-1,MATCH(AM$1,'[2]End - Use Prices'!$C$7:$AL$7,0))</f>
        <v>10.91</v>
      </c>
      <c r="AN165" s="41">
        <f>INDEX('[2]End - Use Prices'!$C$6:$AL$89,MATCH($C165,'[2]End - Use Prices'!$A$6:$A$89,0)+MATCH($D165,'[2]End - Use Prices'!$B$9:$B$11,0)-1,MATCH(AN$1,'[2]End - Use Prices'!$C$7:$AL$7,0))</f>
        <v>11.07</v>
      </c>
      <c r="AO165" s="41">
        <f>INDEX('[2]End - Use Prices'!$C$6:$AL$89,MATCH($C165,'[2]End - Use Prices'!$A$6:$A$89,0)+MATCH($D165,'[2]End - Use Prices'!$B$9:$B$11,0)-1,MATCH(AO$1,'[2]End - Use Prices'!$C$7:$AL$7,0))</f>
        <v>11.22</v>
      </c>
      <c r="AP165" s="41">
        <f>INDEX('[2]End - Use Prices'!$C$6:$AL$89,MATCH($C165,'[2]End - Use Prices'!$A$6:$A$89,0)+MATCH($D165,'[2]End - Use Prices'!$B$9:$B$11,0)-1,MATCH(AP$1,'[2]End - Use Prices'!$C$7:$AL$7,0))</f>
        <v>11.35</v>
      </c>
      <c r="AQ165" s="41">
        <f>INDEX('[2]End - Use Prices'!$C$6:$AL$89,MATCH($C165,'[2]End - Use Prices'!$A$6:$A$89,0)+MATCH($D165,'[2]End - Use Prices'!$B$9:$B$11,0)-1,MATCH(AQ$1,'[2]End - Use Prices'!$C$7:$AL$7,0))</f>
        <v>11.35</v>
      </c>
      <c r="AR165" s="41">
        <f>INDEX('[2]End - Use Prices'!$C$6:$AL$89,MATCH($C165,'[2]End - Use Prices'!$A$6:$A$89,0)+MATCH($D165,'[2]End - Use Prices'!$B$9:$B$11,0)-1,MATCH(AR$1,'[2]End - Use Prices'!$C$7:$AL$7,0))</f>
        <v>11.38</v>
      </c>
      <c r="AS165" s="41">
        <f>INDEX('[2]End - Use Prices'!$C$6:$AL$89,MATCH($C165,'[2]End - Use Prices'!$A$6:$A$89,0)+MATCH($D165,'[2]End - Use Prices'!$B$9:$B$11,0)-1,MATCH(AS$1,'[2]End - Use Prices'!$C$7:$AL$7,0))</f>
        <v>11.48</v>
      </c>
      <c r="AT165" s="41">
        <f>INDEX('[2]End - Use Prices'!$C$6:$AL$89,MATCH($C165,'[2]End - Use Prices'!$A$6:$A$89,0)+MATCH($D165,'[2]End - Use Prices'!$B$9:$B$11,0)-1,MATCH(AT$1,'[2]End - Use Prices'!$C$7:$AL$7,0))</f>
        <v>11.57</v>
      </c>
      <c r="AU165" s="41">
        <f>INDEX('[2]End - Use Prices'!$C$6:$AL$89,MATCH($C165,'[2]End - Use Prices'!$A$6:$A$89,0)+MATCH($D165,'[2]End - Use Prices'!$B$9:$B$11,0)-1,MATCH(AU$1,'[2]End - Use Prices'!$C$7:$AL$7,0))</f>
        <v>11.67</v>
      </c>
      <c r="AV165" s="41">
        <f>INDEX('[2]End - Use Prices'!$C$6:$AL$89,MATCH($C165,'[2]End - Use Prices'!$A$6:$A$89,0)+MATCH($D165,'[2]End - Use Prices'!$B$9:$B$11,0)-1,MATCH(AV$1,'[2]End - Use Prices'!$C$7:$AL$7,0))</f>
        <v>11.79</v>
      </c>
      <c r="AW165" s="41">
        <f>INDEX('[2]End - Use Prices'!$C$6:$AL$89,MATCH($C165,'[2]End - Use Prices'!$A$6:$A$89,0)+MATCH($D165,'[2]End - Use Prices'!$B$9:$B$11,0)-1,MATCH(AW$1,'[2]End - Use Prices'!$C$7:$AL$7,0))</f>
        <v>11.9</v>
      </c>
      <c r="AX165" s="41">
        <f>INDEX('[2]End - Use Prices'!$C$6:$AL$89,MATCH($C165,'[2]End - Use Prices'!$A$6:$A$89,0)+MATCH($D165,'[2]End - Use Prices'!$B$9:$B$11,0)-1,MATCH(AX$1,'[2]End - Use Prices'!$C$7:$AL$7,0))</f>
        <v>12.02</v>
      </c>
      <c r="AY165" s="41">
        <f>INDEX('[2]End - Use Prices'!$C$6:$AL$89,MATCH($C165,'[2]End - Use Prices'!$A$6:$A$89,0)+MATCH($D165,'[2]End - Use Prices'!$B$9:$B$11,0)-1,MATCH(AY$1,'[2]End - Use Prices'!$C$7:$AL$7,0))</f>
        <v>12.15</v>
      </c>
      <c r="AZ165" s="41">
        <f>INDEX('[2]End - Use Prices'!$C$6:$AL$89,MATCH($C165,'[2]End - Use Prices'!$A$6:$A$89,0)+MATCH($D165,'[2]End - Use Prices'!$B$9:$B$11,0)-1,MATCH(AZ$1,'[2]End - Use Prices'!$C$7:$AL$7,0))</f>
        <v>12.3</v>
      </c>
      <c r="BA165" s="41">
        <f>INDEX('[2]End - Use Prices'!$C$6:$AL$89,MATCH($C165,'[2]End - Use Prices'!$A$6:$A$89,0)+MATCH($D165,'[2]End - Use Prices'!$B$9:$B$11,0)-1,MATCH(BA$1,'[2]End - Use Prices'!$C$7:$AL$7,0))</f>
        <v>12.38</v>
      </c>
      <c r="BB165" s="41">
        <f>INDEX('[2]End - Use Prices'!$C$6:$AL$89,MATCH($C165,'[2]End - Use Prices'!$A$6:$A$89,0)+MATCH($D165,'[2]End - Use Prices'!$B$9:$B$11,0)-1,MATCH(BB$1,'[2]End - Use Prices'!$C$7:$AL$7,0))</f>
        <v>12.45</v>
      </c>
      <c r="BC165" s="41">
        <f>INDEX('[2]End - Use Prices'!$C$6:$AL$89,MATCH($C165,'[2]End - Use Prices'!$A$6:$A$89,0)+MATCH($D165,'[2]End - Use Prices'!$B$9:$B$11,0)-1,MATCH(BC$1,'[2]End - Use Prices'!$C$7:$AL$7,0))</f>
        <v>12.52</v>
      </c>
      <c r="BD165" s="41">
        <f>INDEX('[2]End - Use Prices'!$C$6:$AL$89,MATCH($C165,'[2]End - Use Prices'!$A$6:$A$89,0)+MATCH($D165,'[2]End - Use Prices'!$B$9:$B$11,0)-1,MATCH(BD$1,'[2]End - Use Prices'!$C$7:$AL$7,0))</f>
        <v>12.57</v>
      </c>
      <c r="BE165" s="41">
        <f>INDEX('[2]End - Use Prices'!$C$6:$AL$89,MATCH($C165,'[2]End - Use Prices'!$A$6:$A$89,0)+MATCH($D165,'[2]End - Use Prices'!$B$9:$B$11,0)-1,MATCH(BE$1,'[2]End - Use Prices'!$C$7:$AL$7,0))</f>
        <v>12.6</v>
      </c>
      <c r="BF165" s="41">
        <f>INDEX('[2]End - Use Prices'!$C$6:$AL$89,MATCH($C165,'[2]End - Use Prices'!$A$6:$A$89,0)+MATCH($D165,'[2]End - Use Prices'!$B$9:$B$11,0)-1,MATCH(BF$1,'[2]End - Use Prices'!$C$7:$AL$7,0))</f>
        <v>12.64</v>
      </c>
      <c r="BG165" s="41">
        <f>INDEX('[2]End - Use Prices'!$C$6:$AL$89,MATCH($C165,'[2]End - Use Prices'!$A$6:$A$89,0)+MATCH($D165,'[2]End - Use Prices'!$B$9:$B$11,0)-1,MATCH(BG$1,'[2]End - Use Prices'!$C$7:$AL$7,0))</f>
        <v>12.67</v>
      </c>
      <c r="BR165" s="39"/>
      <c r="BS165" s="39"/>
      <c r="BT165" s="39"/>
      <c r="BU165" s="39"/>
      <c r="BV165" s="39"/>
      <c r="BW165" s="39"/>
      <c r="BX165" s="39"/>
      <c r="BY165" s="39"/>
      <c r="BZ165" s="39"/>
      <c r="CA165" s="39"/>
    </row>
    <row r="166" spans="1:79">
      <c r="A166" s="5"/>
      <c r="B166" s="3"/>
      <c r="C166" s="25" t="s">
        <v>85</v>
      </c>
      <c r="D166" s="25" t="s">
        <v>13</v>
      </c>
      <c r="E166" s="25" t="s">
        <v>277</v>
      </c>
      <c r="F166" s="67" t="s">
        <v>275</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INDEX('[2]End - Use Prices'!$C$6:$AL$89,MATCH($C166,'[2]End - Use Prices'!$A$6:$A$89,0)+MATCH($D166,'[2]End - Use Prices'!$B$9:$B$11,0)-1,MATCH(X$1,'[2]End - Use Prices'!$C$7:$AL$7,0))</f>
        <v>18.899999999999999</v>
      </c>
      <c r="Y166" s="41">
        <f>INDEX('[2]End - Use Prices'!$C$6:$AL$89,MATCH($C166,'[2]End - Use Prices'!$A$6:$A$89,0)+MATCH($D166,'[2]End - Use Prices'!$B$9:$B$11,0)-1,MATCH(Y$1,'[2]End - Use Prices'!$C$7:$AL$7,0))</f>
        <v>18.940000000000001</v>
      </c>
      <c r="Z166" s="41">
        <f>INDEX('[2]End - Use Prices'!$C$6:$AL$89,MATCH($C166,'[2]End - Use Prices'!$A$6:$A$89,0)+MATCH($D166,'[2]End - Use Prices'!$B$9:$B$11,0)-1,MATCH(Z$1,'[2]End - Use Prices'!$C$7:$AL$7,0))</f>
        <v>11.86</v>
      </c>
      <c r="AA166" s="41">
        <f>INDEX('[2]End - Use Prices'!$C$6:$AL$89,MATCH($C166,'[2]End - Use Prices'!$A$6:$A$89,0)+MATCH($D166,'[2]End - Use Prices'!$B$9:$B$11,0)-1,MATCH(AA$1,'[2]End - Use Prices'!$C$7:$AL$7,0))</f>
        <v>14.01</v>
      </c>
      <c r="AB166" s="41">
        <f>INDEX('[2]End - Use Prices'!$C$6:$AL$89,MATCH($C166,'[2]End - Use Prices'!$A$6:$A$89,0)+MATCH($D166,'[2]End - Use Prices'!$B$9:$B$11,0)-1,MATCH(AB$1,'[2]End - Use Prices'!$C$7:$AL$7,0))</f>
        <v>14.6</v>
      </c>
      <c r="AC166" s="41">
        <f>INDEX('[2]End - Use Prices'!$C$6:$AL$89,MATCH($C166,'[2]End - Use Prices'!$A$6:$A$89,0)+MATCH($D166,'[2]End - Use Prices'!$B$9:$B$11,0)-1,MATCH(AC$1,'[2]End - Use Prices'!$C$7:$AL$7,0))</f>
        <v>20.09</v>
      </c>
      <c r="AD166" s="41">
        <f>INDEX('[2]End - Use Prices'!$C$6:$AL$89,MATCH($C166,'[2]End - Use Prices'!$A$6:$A$89,0)+MATCH($D166,'[2]End - Use Prices'!$B$9:$B$11,0)-1,MATCH(AD$1,'[2]End - Use Prices'!$C$7:$AL$7,0))</f>
        <v>17.2</v>
      </c>
      <c r="AE166" s="41">
        <f>INDEX('[2]End - Use Prices'!$C$6:$AL$89,MATCH($C166,'[2]End - Use Prices'!$A$6:$A$89,0)+MATCH($D166,'[2]End - Use Prices'!$B$9:$B$11,0)-1,MATCH(AE$1,'[2]End - Use Prices'!$C$7:$AL$7,0))</f>
        <v>17.59</v>
      </c>
      <c r="AF166" s="41">
        <f>INDEX('[2]End - Use Prices'!$C$6:$AL$89,MATCH($C166,'[2]End - Use Prices'!$A$6:$A$89,0)+MATCH($D166,'[2]End - Use Prices'!$B$9:$B$11,0)-1,MATCH(AF$1,'[2]End - Use Prices'!$C$7:$AL$7,0))</f>
        <v>18.38</v>
      </c>
      <c r="AG166" s="41">
        <f>INDEX('[2]End - Use Prices'!$C$6:$AL$89,MATCH($C166,'[2]End - Use Prices'!$A$6:$A$89,0)+MATCH($D166,'[2]End - Use Prices'!$B$9:$B$11,0)-1,MATCH(AG$1,'[2]End - Use Prices'!$C$7:$AL$7,0))</f>
        <v>18.48</v>
      </c>
      <c r="AH166" s="41">
        <f>INDEX('[2]End - Use Prices'!$C$6:$AL$89,MATCH($C166,'[2]End - Use Prices'!$A$6:$A$89,0)+MATCH($D166,'[2]End - Use Prices'!$B$9:$B$11,0)-1,MATCH(AH$1,'[2]End - Use Prices'!$C$7:$AL$7,0))</f>
        <v>10.53</v>
      </c>
      <c r="AI166" s="41">
        <f>INDEX('[2]End - Use Prices'!$C$6:$AL$89,MATCH($C166,'[2]End - Use Prices'!$A$6:$A$89,0)+MATCH($D166,'[2]End - Use Prices'!$B$9:$B$11,0)-1,MATCH(AI$1,'[2]End - Use Prices'!$C$7:$AL$7,0))</f>
        <v>9.49</v>
      </c>
      <c r="AJ166" s="41">
        <f>INDEX('[2]End - Use Prices'!$C$6:$AL$89,MATCH($C166,'[2]End - Use Prices'!$A$6:$A$89,0)+MATCH($D166,'[2]End - Use Prices'!$B$9:$B$11,0)-1,MATCH(AJ$1,'[2]End - Use Prices'!$C$7:$AL$7,0))</f>
        <v>10.75</v>
      </c>
      <c r="AK166" s="41">
        <f>INDEX('[2]End - Use Prices'!$C$6:$AL$89,MATCH($C166,'[2]End - Use Prices'!$A$6:$A$89,0)+MATCH($D166,'[2]End - Use Prices'!$B$9:$B$11,0)-1,MATCH(AK$1,'[2]End - Use Prices'!$C$7:$AL$7,0))</f>
        <v>10.63</v>
      </c>
      <c r="AL166" s="41">
        <f>INDEX('[2]End - Use Prices'!$C$6:$AL$89,MATCH($C166,'[2]End - Use Prices'!$A$6:$A$89,0)+MATCH($D166,'[2]End - Use Prices'!$B$9:$B$11,0)-1,MATCH(AL$1,'[2]End - Use Prices'!$C$7:$AL$7,0))</f>
        <v>10.61</v>
      </c>
      <c r="AM166" s="41">
        <f>INDEX('[2]End - Use Prices'!$C$6:$AL$89,MATCH($C166,'[2]End - Use Prices'!$A$6:$A$89,0)+MATCH($D166,'[2]End - Use Prices'!$B$9:$B$11,0)-1,MATCH(AM$1,'[2]End - Use Prices'!$C$7:$AL$7,0))</f>
        <v>10.91</v>
      </c>
      <c r="AN166" s="41">
        <f>INDEX('[2]End - Use Prices'!$C$6:$AL$89,MATCH($C166,'[2]End - Use Prices'!$A$6:$A$89,0)+MATCH($D166,'[2]End - Use Prices'!$B$9:$B$11,0)-1,MATCH(AN$1,'[2]End - Use Prices'!$C$7:$AL$7,0))</f>
        <v>11.07</v>
      </c>
      <c r="AO166" s="41">
        <f>INDEX('[2]End - Use Prices'!$C$6:$AL$89,MATCH($C166,'[2]End - Use Prices'!$A$6:$A$89,0)+MATCH($D166,'[2]End - Use Prices'!$B$9:$B$11,0)-1,MATCH(AO$1,'[2]End - Use Prices'!$C$7:$AL$7,0))</f>
        <v>11.22</v>
      </c>
      <c r="AP166" s="41">
        <f>INDEX('[2]End - Use Prices'!$C$6:$AL$89,MATCH($C166,'[2]End - Use Prices'!$A$6:$A$89,0)+MATCH($D166,'[2]End - Use Prices'!$B$9:$B$11,0)-1,MATCH(AP$1,'[2]End - Use Prices'!$C$7:$AL$7,0))</f>
        <v>11.35</v>
      </c>
      <c r="AQ166" s="41">
        <f>INDEX('[2]End - Use Prices'!$C$6:$AL$89,MATCH($C166,'[2]End - Use Prices'!$A$6:$A$89,0)+MATCH($D166,'[2]End - Use Prices'!$B$9:$B$11,0)-1,MATCH(AQ$1,'[2]End - Use Prices'!$C$7:$AL$7,0))</f>
        <v>11.35</v>
      </c>
      <c r="AR166" s="41">
        <f>INDEX('[2]End - Use Prices'!$C$6:$AL$89,MATCH($C166,'[2]End - Use Prices'!$A$6:$A$89,0)+MATCH($D166,'[2]End - Use Prices'!$B$9:$B$11,0)-1,MATCH(AR$1,'[2]End - Use Prices'!$C$7:$AL$7,0))</f>
        <v>11.38</v>
      </c>
      <c r="AS166" s="41">
        <f>INDEX('[2]End - Use Prices'!$C$6:$AL$89,MATCH($C166,'[2]End - Use Prices'!$A$6:$A$89,0)+MATCH($D166,'[2]End - Use Prices'!$B$9:$B$11,0)-1,MATCH(AS$1,'[2]End - Use Prices'!$C$7:$AL$7,0))</f>
        <v>11.48</v>
      </c>
      <c r="AT166" s="41">
        <f>INDEX('[2]End - Use Prices'!$C$6:$AL$89,MATCH($C166,'[2]End - Use Prices'!$A$6:$A$89,0)+MATCH($D166,'[2]End - Use Prices'!$B$9:$B$11,0)-1,MATCH(AT$1,'[2]End - Use Prices'!$C$7:$AL$7,0))</f>
        <v>11.57</v>
      </c>
      <c r="AU166" s="41">
        <f>INDEX('[2]End - Use Prices'!$C$6:$AL$89,MATCH($C166,'[2]End - Use Prices'!$A$6:$A$89,0)+MATCH($D166,'[2]End - Use Prices'!$B$9:$B$11,0)-1,MATCH(AU$1,'[2]End - Use Prices'!$C$7:$AL$7,0))</f>
        <v>11.67</v>
      </c>
      <c r="AV166" s="41">
        <f>INDEX('[2]End - Use Prices'!$C$6:$AL$89,MATCH($C166,'[2]End - Use Prices'!$A$6:$A$89,0)+MATCH($D166,'[2]End - Use Prices'!$B$9:$B$11,0)-1,MATCH(AV$1,'[2]End - Use Prices'!$C$7:$AL$7,0))</f>
        <v>11.79</v>
      </c>
      <c r="AW166" s="41">
        <f>INDEX('[2]End - Use Prices'!$C$6:$AL$89,MATCH($C166,'[2]End - Use Prices'!$A$6:$A$89,0)+MATCH($D166,'[2]End - Use Prices'!$B$9:$B$11,0)-1,MATCH(AW$1,'[2]End - Use Prices'!$C$7:$AL$7,0))</f>
        <v>11.9</v>
      </c>
      <c r="AX166" s="41">
        <f>INDEX('[2]End - Use Prices'!$C$6:$AL$89,MATCH($C166,'[2]End - Use Prices'!$A$6:$A$89,0)+MATCH($D166,'[2]End - Use Prices'!$B$9:$B$11,0)-1,MATCH(AX$1,'[2]End - Use Prices'!$C$7:$AL$7,0))</f>
        <v>12.02</v>
      </c>
      <c r="AY166" s="41">
        <f>INDEX('[2]End - Use Prices'!$C$6:$AL$89,MATCH($C166,'[2]End - Use Prices'!$A$6:$A$89,0)+MATCH($D166,'[2]End - Use Prices'!$B$9:$B$11,0)-1,MATCH(AY$1,'[2]End - Use Prices'!$C$7:$AL$7,0))</f>
        <v>12.15</v>
      </c>
      <c r="AZ166" s="41">
        <f>INDEX('[2]End - Use Prices'!$C$6:$AL$89,MATCH($C166,'[2]End - Use Prices'!$A$6:$A$89,0)+MATCH($D166,'[2]End - Use Prices'!$B$9:$B$11,0)-1,MATCH(AZ$1,'[2]End - Use Prices'!$C$7:$AL$7,0))</f>
        <v>12.3</v>
      </c>
      <c r="BA166" s="41">
        <f>INDEX('[2]End - Use Prices'!$C$6:$AL$89,MATCH($C166,'[2]End - Use Prices'!$A$6:$A$89,0)+MATCH($D166,'[2]End - Use Prices'!$B$9:$B$11,0)-1,MATCH(BA$1,'[2]End - Use Prices'!$C$7:$AL$7,0))</f>
        <v>12.38</v>
      </c>
      <c r="BB166" s="41">
        <f>INDEX('[2]End - Use Prices'!$C$6:$AL$89,MATCH($C166,'[2]End - Use Prices'!$A$6:$A$89,0)+MATCH($D166,'[2]End - Use Prices'!$B$9:$B$11,0)-1,MATCH(BB$1,'[2]End - Use Prices'!$C$7:$AL$7,0))</f>
        <v>12.45</v>
      </c>
      <c r="BC166" s="41">
        <f>INDEX('[2]End - Use Prices'!$C$6:$AL$89,MATCH($C166,'[2]End - Use Prices'!$A$6:$A$89,0)+MATCH($D166,'[2]End - Use Prices'!$B$9:$B$11,0)-1,MATCH(BC$1,'[2]End - Use Prices'!$C$7:$AL$7,0))</f>
        <v>12.52</v>
      </c>
      <c r="BD166" s="41">
        <f>INDEX('[2]End - Use Prices'!$C$6:$AL$89,MATCH($C166,'[2]End - Use Prices'!$A$6:$A$89,0)+MATCH($D166,'[2]End - Use Prices'!$B$9:$B$11,0)-1,MATCH(BD$1,'[2]End - Use Prices'!$C$7:$AL$7,0))</f>
        <v>12.57</v>
      </c>
      <c r="BE166" s="41">
        <f>INDEX('[2]End - Use Prices'!$C$6:$AL$89,MATCH($C166,'[2]End - Use Prices'!$A$6:$A$89,0)+MATCH($D166,'[2]End - Use Prices'!$B$9:$B$11,0)-1,MATCH(BE$1,'[2]End - Use Prices'!$C$7:$AL$7,0))</f>
        <v>12.6</v>
      </c>
      <c r="BF166" s="41">
        <f>INDEX('[2]End - Use Prices'!$C$6:$AL$89,MATCH($C166,'[2]End - Use Prices'!$A$6:$A$89,0)+MATCH($D166,'[2]End - Use Prices'!$B$9:$B$11,0)-1,MATCH(BF$1,'[2]End - Use Prices'!$C$7:$AL$7,0))</f>
        <v>12.64</v>
      </c>
      <c r="BG166" s="41">
        <f>INDEX('[2]End - Use Prices'!$C$6:$AL$89,MATCH($C166,'[2]End - Use Prices'!$A$6:$A$89,0)+MATCH($D166,'[2]End - Use Prices'!$B$9:$B$11,0)-1,MATCH(BG$1,'[2]End - Use Prices'!$C$7:$AL$7,0))</f>
        <v>12.67</v>
      </c>
      <c r="BR166" s="39"/>
      <c r="BS166" s="39"/>
      <c r="BT166" s="39"/>
      <c r="BU166" s="39"/>
      <c r="BV166" s="39"/>
      <c r="BW166" s="39"/>
      <c r="BX166" s="39"/>
      <c r="BY166" s="39"/>
      <c r="BZ166" s="39"/>
      <c r="CA166" s="39"/>
    </row>
    <row r="167" spans="1:79">
      <c r="A167" s="5"/>
      <c r="B167" s="3"/>
      <c r="C167" s="25" t="s">
        <v>86</v>
      </c>
      <c r="D167" s="25" t="s">
        <v>13</v>
      </c>
      <c r="E167" s="25" t="s">
        <v>277</v>
      </c>
      <c r="F167" s="67" t="s">
        <v>275</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INDEX('[2]End - Use Prices'!$C$6:$AL$89,MATCH($C167,'[2]End - Use Prices'!$A$6:$A$89,0)+MATCH($D167,'[2]End - Use Prices'!$B$9:$B$11,0)-1,MATCH(X$1,'[2]End - Use Prices'!$C$7:$AL$7,0))</f>
        <v>48.47</v>
      </c>
      <c r="Y167" s="41">
        <f>INDEX('[2]End - Use Prices'!$C$6:$AL$89,MATCH($C167,'[2]End - Use Prices'!$A$6:$A$89,0)+MATCH($D167,'[2]End - Use Prices'!$B$9:$B$11,0)-1,MATCH(Y$1,'[2]End - Use Prices'!$C$7:$AL$7,0))</f>
        <v>44.05</v>
      </c>
      <c r="Z167" s="41">
        <f>INDEX('[2]End - Use Prices'!$C$6:$AL$89,MATCH($C167,'[2]End - Use Prices'!$A$6:$A$89,0)+MATCH($D167,'[2]End - Use Prices'!$B$9:$B$11,0)-1,MATCH(Z$1,'[2]End - Use Prices'!$C$7:$AL$7,0))</f>
        <v>40.97</v>
      </c>
      <c r="AA167" s="41">
        <f>INDEX('[2]End - Use Prices'!$C$6:$AL$89,MATCH($C167,'[2]End - Use Prices'!$A$6:$A$89,0)+MATCH($D167,'[2]End - Use Prices'!$B$9:$B$11,0)-1,MATCH(AA$1,'[2]End - Use Prices'!$C$7:$AL$7,0))</f>
        <v>39.74</v>
      </c>
      <c r="AB167" s="41">
        <f>INDEX('[2]End - Use Prices'!$C$6:$AL$89,MATCH($C167,'[2]End - Use Prices'!$A$6:$A$89,0)+MATCH($D167,'[2]End - Use Prices'!$B$9:$B$11,0)-1,MATCH(AB$1,'[2]End - Use Prices'!$C$7:$AL$7,0))</f>
        <v>38.31</v>
      </c>
      <c r="AC167" s="41">
        <f>INDEX('[2]End - Use Prices'!$C$6:$AL$89,MATCH($C167,'[2]End - Use Prices'!$A$6:$A$89,0)+MATCH($D167,'[2]End - Use Prices'!$B$9:$B$11,0)-1,MATCH(AC$1,'[2]End - Use Prices'!$C$7:$AL$7,0))</f>
        <v>36.06</v>
      </c>
      <c r="AD167" s="41">
        <f>INDEX('[2]End - Use Prices'!$C$6:$AL$89,MATCH($C167,'[2]End - Use Prices'!$A$6:$A$89,0)+MATCH($D167,'[2]End - Use Prices'!$B$9:$B$11,0)-1,MATCH(AD$1,'[2]End - Use Prices'!$C$7:$AL$7,0))</f>
        <v>33.869999999999997</v>
      </c>
      <c r="AE167" s="41">
        <f>INDEX('[2]End - Use Prices'!$C$6:$AL$89,MATCH($C167,'[2]End - Use Prices'!$A$6:$A$89,0)+MATCH($D167,'[2]End - Use Prices'!$B$9:$B$11,0)-1,MATCH(AE$1,'[2]End - Use Prices'!$C$7:$AL$7,0))</f>
        <v>32.549999999999997</v>
      </c>
      <c r="AF167" s="41">
        <f>INDEX('[2]End - Use Prices'!$C$6:$AL$89,MATCH($C167,'[2]End - Use Prices'!$A$6:$A$89,0)+MATCH($D167,'[2]End - Use Prices'!$B$9:$B$11,0)-1,MATCH(AF$1,'[2]End - Use Prices'!$C$7:$AL$7,0))</f>
        <v>25.3</v>
      </c>
      <c r="AG167" s="41">
        <f>INDEX('[2]End - Use Prices'!$C$6:$AL$89,MATCH($C167,'[2]End - Use Prices'!$A$6:$A$89,0)+MATCH($D167,'[2]End - Use Prices'!$B$9:$B$11,0)-1,MATCH(AG$1,'[2]End - Use Prices'!$C$7:$AL$7,0))</f>
        <v>26.06</v>
      </c>
      <c r="AH167" s="41">
        <f>INDEX('[2]End - Use Prices'!$C$6:$AL$89,MATCH($C167,'[2]End - Use Prices'!$A$6:$A$89,0)+MATCH($D167,'[2]End - Use Prices'!$B$9:$B$11,0)-1,MATCH(AH$1,'[2]End - Use Prices'!$C$7:$AL$7,0))</f>
        <v>30.99</v>
      </c>
      <c r="AI167" s="41">
        <f>INDEX('[2]End - Use Prices'!$C$6:$AL$89,MATCH($C167,'[2]End - Use Prices'!$A$6:$A$89,0)+MATCH($D167,'[2]End - Use Prices'!$B$9:$B$11,0)-1,MATCH(AI$1,'[2]End - Use Prices'!$C$7:$AL$7,0))</f>
        <v>27.98</v>
      </c>
      <c r="AJ167" s="41">
        <f>INDEX('[2]End - Use Prices'!$C$6:$AL$89,MATCH($C167,'[2]End - Use Prices'!$A$6:$A$89,0)+MATCH($D167,'[2]End - Use Prices'!$B$9:$B$11,0)-1,MATCH(AJ$1,'[2]End - Use Prices'!$C$7:$AL$7,0))</f>
        <v>25.3</v>
      </c>
      <c r="AK167" s="41">
        <f>INDEX('[2]End - Use Prices'!$C$6:$AL$89,MATCH($C167,'[2]End - Use Prices'!$A$6:$A$89,0)+MATCH($D167,'[2]End - Use Prices'!$B$9:$B$11,0)-1,MATCH(AK$1,'[2]End - Use Prices'!$C$7:$AL$7,0))</f>
        <v>25.21</v>
      </c>
      <c r="AL167" s="41">
        <f>INDEX('[2]End - Use Prices'!$C$6:$AL$89,MATCH($C167,'[2]End - Use Prices'!$A$6:$A$89,0)+MATCH($D167,'[2]End - Use Prices'!$B$9:$B$11,0)-1,MATCH(AL$1,'[2]End - Use Prices'!$C$7:$AL$7,0))</f>
        <v>25.2</v>
      </c>
      <c r="AM167" s="41">
        <f>INDEX('[2]End - Use Prices'!$C$6:$AL$89,MATCH($C167,'[2]End - Use Prices'!$A$6:$A$89,0)+MATCH($D167,'[2]End - Use Prices'!$B$9:$B$11,0)-1,MATCH(AM$1,'[2]End - Use Prices'!$C$7:$AL$7,0))</f>
        <v>25.99</v>
      </c>
      <c r="AN167" s="41">
        <f>INDEX('[2]End - Use Prices'!$C$6:$AL$89,MATCH($C167,'[2]End - Use Prices'!$A$6:$A$89,0)+MATCH($D167,'[2]End - Use Prices'!$B$9:$B$11,0)-1,MATCH(AN$1,'[2]End - Use Prices'!$C$7:$AL$7,0))</f>
        <v>26.36</v>
      </c>
      <c r="AO167" s="41">
        <f>INDEX('[2]End - Use Prices'!$C$6:$AL$89,MATCH($C167,'[2]End - Use Prices'!$A$6:$A$89,0)+MATCH($D167,'[2]End - Use Prices'!$B$9:$B$11,0)-1,MATCH(AO$1,'[2]End - Use Prices'!$C$7:$AL$7,0))</f>
        <v>26.71</v>
      </c>
      <c r="AP167" s="41">
        <f>INDEX('[2]End - Use Prices'!$C$6:$AL$89,MATCH($C167,'[2]End - Use Prices'!$A$6:$A$89,0)+MATCH($D167,'[2]End - Use Prices'!$B$9:$B$11,0)-1,MATCH(AP$1,'[2]End - Use Prices'!$C$7:$AL$7,0))</f>
        <v>27.03</v>
      </c>
      <c r="AQ167" s="41">
        <f>INDEX('[2]End - Use Prices'!$C$6:$AL$89,MATCH($C167,'[2]End - Use Prices'!$A$6:$A$89,0)+MATCH($D167,'[2]End - Use Prices'!$B$9:$B$11,0)-1,MATCH(AQ$1,'[2]End - Use Prices'!$C$7:$AL$7,0))</f>
        <v>26.98</v>
      </c>
      <c r="AR167" s="41">
        <f>INDEX('[2]End - Use Prices'!$C$6:$AL$89,MATCH($C167,'[2]End - Use Prices'!$A$6:$A$89,0)+MATCH($D167,'[2]End - Use Prices'!$B$9:$B$11,0)-1,MATCH(AR$1,'[2]End - Use Prices'!$C$7:$AL$7,0))</f>
        <v>26.97</v>
      </c>
      <c r="AS167" s="41">
        <f>INDEX('[2]End - Use Prices'!$C$6:$AL$89,MATCH($C167,'[2]End - Use Prices'!$A$6:$A$89,0)+MATCH($D167,'[2]End - Use Prices'!$B$9:$B$11,0)-1,MATCH(AS$1,'[2]End - Use Prices'!$C$7:$AL$7,0))</f>
        <v>27.01</v>
      </c>
      <c r="AT167" s="41">
        <f>INDEX('[2]End - Use Prices'!$C$6:$AL$89,MATCH($C167,'[2]End - Use Prices'!$A$6:$A$89,0)+MATCH($D167,'[2]End - Use Prices'!$B$9:$B$11,0)-1,MATCH(AT$1,'[2]End - Use Prices'!$C$7:$AL$7,0))</f>
        <v>27.04</v>
      </c>
      <c r="AU167" s="41">
        <f>INDEX('[2]End - Use Prices'!$C$6:$AL$89,MATCH($C167,'[2]End - Use Prices'!$A$6:$A$89,0)+MATCH($D167,'[2]End - Use Prices'!$B$9:$B$11,0)-1,MATCH(AU$1,'[2]End - Use Prices'!$C$7:$AL$7,0))</f>
        <v>27.1</v>
      </c>
      <c r="AV167" s="41">
        <f>INDEX('[2]End - Use Prices'!$C$6:$AL$89,MATCH($C167,'[2]End - Use Prices'!$A$6:$A$89,0)+MATCH($D167,'[2]End - Use Prices'!$B$9:$B$11,0)-1,MATCH(AV$1,'[2]End - Use Prices'!$C$7:$AL$7,0))</f>
        <v>27.16</v>
      </c>
      <c r="AW167" s="41">
        <f>INDEX('[2]End - Use Prices'!$C$6:$AL$89,MATCH($C167,'[2]End - Use Prices'!$A$6:$A$89,0)+MATCH($D167,'[2]End - Use Prices'!$B$9:$B$11,0)-1,MATCH(AW$1,'[2]End - Use Prices'!$C$7:$AL$7,0))</f>
        <v>27.22</v>
      </c>
      <c r="AX167" s="41">
        <f>INDEX('[2]End - Use Prices'!$C$6:$AL$89,MATCH($C167,'[2]End - Use Prices'!$A$6:$A$89,0)+MATCH($D167,'[2]End - Use Prices'!$B$9:$B$11,0)-1,MATCH(AX$1,'[2]End - Use Prices'!$C$7:$AL$7,0))</f>
        <v>27.29</v>
      </c>
      <c r="AY167" s="41">
        <f>INDEX('[2]End - Use Prices'!$C$6:$AL$89,MATCH($C167,'[2]End - Use Prices'!$A$6:$A$89,0)+MATCH($D167,'[2]End - Use Prices'!$B$9:$B$11,0)-1,MATCH(AY$1,'[2]End - Use Prices'!$C$7:$AL$7,0))</f>
        <v>27.37</v>
      </c>
      <c r="AZ167" s="41">
        <f>INDEX('[2]End - Use Prices'!$C$6:$AL$89,MATCH($C167,'[2]End - Use Prices'!$A$6:$A$89,0)+MATCH($D167,'[2]End - Use Prices'!$B$9:$B$11,0)-1,MATCH(AZ$1,'[2]End - Use Prices'!$C$7:$AL$7,0))</f>
        <v>27.46</v>
      </c>
      <c r="BA167" s="41">
        <f>INDEX('[2]End - Use Prices'!$C$6:$AL$89,MATCH($C167,'[2]End - Use Prices'!$A$6:$A$89,0)+MATCH($D167,'[2]End - Use Prices'!$B$9:$B$11,0)-1,MATCH(BA$1,'[2]End - Use Prices'!$C$7:$AL$7,0))</f>
        <v>27.51</v>
      </c>
      <c r="BB167" s="41">
        <f>INDEX('[2]End - Use Prices'!$C$6:$AL$89,MATCH($C167,'[2]End - Use Prices'!$A$6:$A$89,0)+MATCH($D167,'[2]End - Use Prices'!$B$9:$B$11,0)-1,MATCH(BB$1,'[2]End - Use Prices'!$C$7:$AL$7,0))</f>
        <v>27.55</v>
      </c>
      <c r="BC167" s="41">
        <f>INDEX('[2]End - Use Prices'!$C$6:$AL$89,MATCH($C167,'[2]End - Use Prices'!$A$6:$A$89,0)+MATCH($D167,'[2]End - Use Prices'!$B$9:$B$11,0)-1,MATCH(BC$1,'[2]End - Use Prices'!$C$7:$AL$7,0))</f>
        <v>27.58</v>
      </c>
      <c r="BD167" s="41">
        <f>INDEX('[2]End - Use Prices'!$C$6:$AL$89,MATCH($C167,'[2]End - Use Prices'!$A$6:$A$89,0)+MATCH($D167,'[2]End - Use Prices'!$B$9:$B$11,0)-1,MATCH(BD$1,'[2]End - Use Prices'!$C$7:$AL$7,0))</f>
        <v>27.6</v>
      </c>
      <c r="BE167" s="41">
        <f>INDEX('[2]End - Use Prices'!$C$6:$AL$89,MATCH($C167,'[2]End - Use Prices'!$A$6:$A$89,0)+MATCH($D167,'[2]End - Use Prices'!$B$9:$B$11,0)-1,MATCH(BE$1,'[2]End - Use Prices'!$C$7:$AL$7,0))</f>
        <v>27.61</v>
      </c>
      <c r="BF167" s="41">
        <f>INDEX('[2]End - Use Prices'!$C$6:$AL$89,MATCH($C167,'[2]End - Use Prices'!$A$6:$A$89,0)+MATCH($D167,'[2]End - Use Prices'!$B$9:$B$11,0)-1,MATCH(BF$1,'[2]End - Use Prices'!$C$7:$AL$7,0))</f>
        <v>27.62</v>
      </c>
      <c r="BG167" s="41">
        <f>INDEX('[2]End - Use Prices'!$C$6:$AL$89,MATCH($C167,'[2]End - Use Prices'!$A$6:$A$89,0)+MATCH($D167,'[2]End - Use Prices'!$B$9:$B$11,0)-1,MATCH(BG$1,'[2]End - Use Prices'!$C$7:$AL$7,0))</f>
        <v>27.62</v>
      </c>
      <c r="BR167" s="39"/>
      <c r="BS167" s="39"/>
      <c r="BT167" s="39"/>
      <c r="BU167" s="39"/>
      <c r="BV167" s="39"/>
      <c r="BW167" s="39"/>
      <c r="BX167" s="39"/>
      <c r="BY167" s="39"/>
      <c r="BZ167" s="39"/>
      <c r="CA167" s="39"/>
    </row>
    <row r="168" spans="1:79">
      <c r="A168" s="5"/>
      <c r="B168" s="3"/>
      <c r="C168" s="25" t="s">
        <v>87</v>
      </c>
      <c r="D168" s="25" t="s">
        <v>13</v>
      </c>
      <c r="E168" s="25" t="s">
        <v>277</v>
      </c>
      <c r="F168" s="67" t="s">
        <v>275</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INDEX('[2]End - Use Prices'!$C$6:$AL$89,MATCH($C168,'[2]End - Use Prices'!$A$6:$A$89,0)+MATCH($D168,'[2]End - Use Prices'!$B$9:$B$11,0)-1,MATCH(X$1,'[2]End - Use Prices'!$C$7:$AL$7,0))</f>
        <v>18.899999999999999</v>
      </c>
      <c r="Y168" s="41">
        <f>INDEX('[2]End - Use Prices'!$C$6:$AL$89,MATCH($C168,'[2]End - Use Prices'!$A$6:$A$89,0)+MATCH($D168,'[2]End - Use Prices'!$B$9:$B$11,0)-1,MATCH(Y$1,'[2]End - Use Prices'!$C$7:$AL$7,0))</f>
        <v>18.940000000000001</v>
      </c>
      <c r="Z168" s="41">
        <f>INDEX('[2]End - Use Prices'!$C$6:$AL$89,MATCH($C168,'[2]End - Use Prices'!$A$6:$A$89,0)+MATCH($D168,'[2]End - Use Prices'!$B$9:$B$11,0)-1,MATCH(Z$1,'[2]End - Use Prices'!$C$7:$AL$7,0))</f>
        <v>11.86</v>
      </c>
      <c r="AA168" s="41">
        <f>INDEX('[2]End - Use Prices'!$C$6:$AL$89,MATCH($C168,'[2]End - Use Prices'!$A$6:$A$89,0)+MATCH($D168,'[2]End - Use Prices'!$B$9:$B$11,0)-1,MATCH(AA$1,'[2]End - Use Prices'!$C$7:$AL$7,0))</f>
        <v>14.01</v>
      </c>
      <c r="AB168" s="41">
        <f>INDEX('[2]End - Use Prices'!$C$6:$AL$89,MATCH($C168,'[2]End - Use Prices'!$A$6:$A$89,0)+MATCH($D168,'[2]End - Use Prices'!$B$9:$B$11,0)-1,MATCH(AB$1,'[2]End - Use Prices'!$C$7:$AL$7,0))</f>
        <v>14.6</v>
      </c>
      <c r="AC168" s="41">
        <f>INDEX('[2]End - Use Prices'!$C$6:$AL$89,MATCH($C168,'[2]End - Use Prices'!$A$6:$A$89,0)+MATCH($D168,'[2]End - Use Prices'!$B$9:$B$11,0)-1,MATCH(AC$1,'[2]End - Use Prices'!$C$7:$AL$7,0))</f>
        <v>20.09</v>
      </c>
      <c r="AD168" s="41">
        <f>INDEX('[2]End - Use Prices'!$C$6:$AL$89,MATCH($C168,'[2]End - Use Prices'!$A$6:$A$89,0)+MATCH($D168,'[2]End - Use Prices'!$B$9:$B$11,0)-1,MATCH(AD$1,'[2]End - Use Prices'!$C$7:$AL$7,0))</f>
        <v>17.2</v>
      </c>
      <c r="AE168" s="41">
        <f>INDEX('[2]End - Use Prices'!$C$6:$AL$89,MATCH($C168,'[2]End - Use Prices'!$A$6:$A$89,0)+MATCH($D168,'[2]End - Use Prices'!$B$9:$B$11,0)-1,MATCH(AE$1,'[2]End - Use Prices'!$C$7:$AL$7,0))</f>
        <v>17.59</v>
      </c>
      <c r="AF168" s="41">
        <f>INDEX('[2]End - Use Prices'!$C$6:$AL$89,MATCH($C168,'[2]End - Use Prices'!$A$6:$A$89,0)+MATCH($D168,'[2]End - Use Prices'!$B$9:$B$11,0)-1,MATCH(AF$1,'[2]End - Use Prices'!$C$7:$AL$7,0))</f>
        <v>18.75</v>
      </c>
      <c r="AG168" s="41">
        <f>INDEX('[2]End - Use Prices'!$C$6:$AL$89,MATCH($C168,'[2]End - Use Prices'!$A$6:$A$89,0)+MATCH($D168,'[2]End - Use Prices'!$B$9:$B$11,0)-1,MATCH(AG$1,'[2]End - Use Prices'!$C$7:$AL$7,0))</f>
        <v>18.48</v>
      </c>
      <c r="AH168" s="41">
        <f>INDEX('[2]End - Use Prices'!$C$6:$AL$89,MATCH($C168,'[2]End - Use Prices'!$A$6:$A$89,0)+MATCH($D168,'[2]End - Use Prices'!$B$9:$B$11,0)-1,MATCH(AH$1,'[2]End - Use Prices'!$C$7:$AL$7,0))</f>
        <v>13.86</v>
      </c>
      <c r="AI168" s="41">
        <f>INDEX('[2]End - Use Prices'!$C$6:$AL$89,MATCH($C168,'[2]End - Use Prices'!$A$6:$A$89,0)+MATCH($D168,'[2]End - Use Prices'!$B$9:$B$11,0)-1,MATCH(AI$1,'[2]End - Use Prices'!$C$7:$AL$7,0))</f>
        <v>9.4700000000000006</v>
      </c>
      <c r="AJ168" s="41">
        <f>INDEX('[2]End - Use Prices'!$C$6:$AL$89,MATCH($C168,'[2]End - Use Prices'!$A$6:$A$89,0)+MATCH($D168,'[2]End - Use Prices'!$B$9:$B$11,0)-1,MATCH(AJ$1,'[2]End - Use Prices'!$C$7:$AL$7,0))</f>
        <v>10.75</v>
      </c>
      <c r="AK168" s="41">
        <f>INDEX('[2]End - Use Prices'!$C$6:$AL$89,MATCH($C168,'[2]End - Use Prices'!$A$6:$A$89,0)+MATCH($D168,'[2]End - Use Prices'!$B$9:$B$11,0)-1,MATCH(AK$1,'[2]End - Use Prices'!$C$7:$AL$7,0))</f>
        <v>10.63</v>
      </c>
      <c r="AL168" s="41">
        <f>INDEX('[2]End - Use Prices'!$C$6:$AL$89,MATCH($C168,'[2]End - Use Prices'!$A$6:$A$89,0)+MATCH($D168,'[2]End - Use Prices'!$B$9:$B$11,0)-1,MATCH(AL$1,'[2]End - Use Prices'!$C$7:$AL$7,0))</f>
        <v>10.61</v>
      </c>
      <c r="AM168" s="41">
        <f>INDEX('[2]End - Use Prices'!$C$6:$AL$89,MATCH($C168,'[2]End - Use Prices'!$A$6:$A$89,0)+MATCH($D168,'[2]End - Use Prices'!$B$9:$B$11,0)-1,MATCH(AM$1,'[2]End - Use Prices'!$C$7:$AL$7,0))</f>
        <v>11.56</v>
      </c>
      <c r="AN168" s="41">
        <f>INDEX('[2]End - Use Prices'!$C$6:$AL$89,MATCH($C168,'[2]End - Use Prices'!$A$6:$A$89,0)+MATCH($D168,'[2]End - Use Prices'!$B$9:$B$11,0)-1,MATCH(AN$1,'[2]End - Use Prices'!$C$7:$AL$7,0))</f>
        <v>12.01</v>
      </c>
      <c r="AO168" s="41">
        <f>INDEX('[2]End - Use Prices'!$C$6:$AL$89,MATCH($C168,'[2]End - Use Prices'!$A$6:$A$89,0)+MATCH($D168,'[2]End - Use Prices'!$B$9:$B$11,0)-1,MATCH(AO$1,'[2]End - Use Prices'!$C$7:$AL$7,0))</f>
        <v>12.44</v>
      </c>
      <c r="AP168" s="41">
        <f>INDEX('[2]End - Use Prices'!$C$6:$AL$89,MATCH($C168,'[2]End - Use Prices'!$A$6:$A$89,0)+MATCH($D168,'[2]End - Use Prices'!$B$9:$B$11,0)-1,MATCH(AP$1,'[2]End - Use Prices'!$C$7:$AL$7,0))</f>
        <v>12.83</v>
      </c>
      <c r="AQ168" s="41">
        <f>INDEX('[2]End - Use Prices'!$C$6:$AL$89,MATCH($C168,'[2]End - Use Prices'!$A$6:$A$89,0)+MATCH($D168,'[2]End - Use Prices'!$B$9:$B$11,0)-1,MATCH(AQ$1,'[2]End - Use Prices'!$C$7:$AL$7,0))</f>
        <v>12.77</v>
      </c>
      <c r="AR168" s="41">
        <f>INDEX('[2]End - Use Prices'!$C$6:$AL$89,MATCH($C168,'[2]End - Use Prices'!$A$6:$A$89,0)+MATCH($D168,'[2]End - Use Prices'!$B$9:$B$11,0)-1,MATCH(AR$1,'[2]End - Use Prices'!$C$7:$AL$7,0))</f>
        <v>12.76</v>
      </c>
      <c r="AS168" s="41">
        <f>INDEX('[2]End - Use Prices'!$C$6:$AL$89,MATCH($C168,'[2]End - Use Prices'!$A$6:$A$89,0)+MATCH($D168,'[2]End - Use Prices'!$B$9:$B$11,0)-1,MATCH(AS$1,'[2]End - Use Prices'!$C$7:$AL$7,0))</f>
        <v>12.82</v>
      </c>
      <c r="AT168" s="41">
        <f>INDEX('[2]End - Use Prices'!$C$6:$AL$89,MATCH($C168,'[2]End - Use Prices'!$A$6:$A$89,0)+MATCH($D168,'[2]End - Use Prices'!$B$9:$B$11,0)-1,MATCH(AT$1,'[2]End - Use Prices'!$C$7:$AL$7,0))</f>
        <v>12.87</v>
      </c>
      <c r="AU168" s="41">
        <f>INDEX('[2]End - Use Prices'!$C$6:$AL$89,MATCH($C168,'[2]End - Use Prices'!$A$6:$A$89,0)+MATCH($D168,'[2]End - Use Prices'!$B$9:$B$11,0)-1,MATCH(AU$1,'[2]End - Use Prices'!$C$7:$AL$7,0))</f>
        <v>12.94</v>
      </c>
      <c r="AV168" s="41">
        <f>INDEX('[2]End - Use Prices'!$C$6:$AL$89,MATCH($C168,'[2]End - Use Prices'!$A$6:$A$89,0)+MATCH($D168,'[2]End - Use Prices'!$B$9:$B$11,0)-1,MATCH(AV$1,'[2]End - Use Prices'!$C$7:$AL$7,0))</f>
        <v>13.03</v>
      </c>
      <c r="AW168" s="41">
        <f>INDEX('[2]End - Use Prices'!$C$6:$AL$89,MATCH($C168,'[2]End - Use Prices'!$A$6:$A$89,0)+MATCH($D168,'[2]End - Use Prices'!$B$9:$B$11,0)-1,MATCH(AW$1,'[2]End - Use Prices'!$C$7:$AL$7,0))</f>
        <v>13.11</v>
      </c>
      <c r="AX168" s="41">
        <f>INDEX('[2]End - Use Prices'!$C$6:$AL$89,MATCH($C168,'[2]End - Use Prices'!$A$6:$A$89,0)+MATCH($D168,'[2]End - Use Prices'!$B$9:$B$11,0)-1,MATCH(AX$1,'[2]End - Use Prices'!$C$7:$AL$7,0))</f>
        <v>13.21</v>
      </c>
      <c r="AY168" s="41">
        <f>INDEX('[2]End - Use Prices'!$C$6:$AL$89,MATCH($C168,'[2]End - Use Prices'!$A$6:$A$89,0)+MATCH($D168,'[2]End - Use Prices'!$B$9:$B$11,0)-1,MATCH(AY$1,'[2]End - Use Prices'!$C$7:$AL$7,0))</f>
        <v>13.32</v>
      </c>
      <c r="AZ168" s="41">
        <f>INDEX('[2]End - Use Prices'!$C$6:$AL$89,MATCH($C168,'[2]End - Use Prices'!$A$6:$A$89,0)+MATCH($D168,'[2]End - Use Prices'!$B$9:$B$11,0)-1,MATCH(AZ$1,'[2]End - Use Prices'!$C$7:$AL$7,0))</f>
        <v>13.44</v>
      </c>
      <c r="BA168" s="41">
        <f>INDEX('[2]End - Use Prices'!$C$6:$AL$89,MATCH($C168,'[2]End - Use Prices'!$A$6:$A$89,0)+MATCH($D168,'[2]End - Use Prices'!$B$9:$B$11,0)-1,MATCH(BA$1,'[2]End - Use Prices'!$C$7:$AL$7,0))</f>
        <v>13.5</v>
      </c>
      <c r="BB168" s="41">
        <f>INDEX('[2]End - Use Prices'!$C$6:$AL$89,MATCH($C168,'[2]End - Use Prices'!$A$6:$A$89,0)+MATCH($D168,'[2]End - Use Prices'!$B$9:$B$11,0)-1,MATCH(BB$1,'[2]End - Use Prices'!$C$7:$AL$7,0))</f>
        <v>13.55</v>
      </c>
      <c r="BC168" s="41">
        <f>INDEX('[2]End - Use Prices'!$C$6:$AL$89,MATCH($C168,'[2]End - Use Prices'!$A$6:$A$89,0)+MATCH($D168,'[2]End - Use Prices'!$B$9:$B$11,0)-1,MATCH(BC$1,'[2]End - Use Prices'!$C$7:$AL$7,0))</f>
        <v>13.6</v>
      </c>
      <c r="BD168" s="41">
        <f>INDEX('[2]End - Use Prices'!$C$6:$AL$89,MATCH($C168,'[2]End - Use Prices'!$A$6:$A$89,0)+MATCH($D168,'[2]End - Use Prices'!$B$9:$B$11,0)-1,MATCH(BD$1,'[2]End - Use Prices'!$C$7:$AL$7,0))</f>
        <v>13.63</v>
      </c>
      <c r="BE168" s="41">
        <f>INDEX('[2]End - Use Prices'!$C$6:$AL$89,MATCH($C168,'[2]End - Use Prices'!$A$6:$A$89,0)+MATCH($D168,'[2]End - Use Prices'!$B$9:$B$11,0)-1,MATCH(BE$1,'[2]End - Use Prices'!$C$7:$AL$7,0))</f>
        <v>13.64</v>
      </c>
      <c r="BF168" s="41">
        <f>INDEX('[2]End - Use Prices'!$C$6:$AL$89,MATCH($C168,'[2]End - Use Prices'!$A$6:$A$89,0)+MATCH($D168,'[2]End - Use Prices'!$B$9:$B$11,0)-1,MATCH(BF$1,'[2]End - Use Prices'!$C$7:$AL$7,0))</f>
        <v>13.66</v>
      </c>
      <c r="BG168" s="41">
        <f>INDEX('[2]End - Use Prices'!$C$6:$AL$89,MATCH($C168,'[2]End - Use Prices'!$A$6:$A$89,0)+MATCH($D168,'[2]End - Use Prices'!$B$9:$B$11,0)-1,MATCH(BG$1,'[2]End - Use Prices'!$C$7:$AL$7,0))</f>
        <v>13.67</v>
      </c>
      <c r="BR168" s="39"/>
      <c r="BS168" s="39"/>
      <c r="BT168" s="39"/>
      <c r="BU168" s="39"/>
      <c r="BV168" s="39"/>
      <c r="BW168" s="39"/>
      <c r="BX168" s="39"/>
      <c r="BY168" s="39"/>
      <c r="BZ168" s="39"/>
      <c r="CA168" s="39"/>
    </row>
    <row r="169" spans="1:79">
      <c r="A169" s="5"/>
      <c r="B169" s="3"/>
      <c r="C169" s="25" t="s">
        <v>88</v>
      </c>
      <c r="D169" s="25" t="s">
        <v>13</v>
      </c>
      <c r="E169" s="25" t="s">
        <v>277</v>
      </c>
      <c r="F169" s="67" t="s">
        <v>275</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INDEX('[2]End - Use Prices'!$C$6:$AL$89,MATCH($C169,'[2]End - Use Prices'!$A$6:$A$89,0)+MATCH($D169,'[2]End - Use Prices'!$B$9:$B$11,0)-1,MATCH(X$1,'[2]End - Use Prices'!$C$7:$AL$7,0))</f>
        <v>20.32</v>
      </c>
      <c r="Y169" s="41">
        <f>INDEX('[2]End - Use Prices'!$C$6:$AL$89,MATCH($C169,'[2]End - Use Prices'!$A$6:$A$89,0)+MATCH($D169,'[2]End - Use Prices'!$B$9:$B$11,0)-1,MATCH(Y$1,'[2]End - Use Prices'!$C$7:$AL$7,0))</f>
        <v>20.36</v>
      </c>
      <c r="Z169" s="41">
        <f>INDEX('[2]End - Use Prices'!$C$6:$AL$89,MATCH($C169,'[2]End - Use Prices'!$A$6:$A$89,0)+MATCH($D169,'[2]End - Use Prices'!$B$9:$B$11,0)-1,MATCH(Z$1,'[2]End - Use Prices'!$C$7:$AL$7,0))</f>
        <v>19</v>
      </c>
      <c r="AA169" s="41">
        <f>INDEX('[2]End - Use Prices'!$C$6:$AL$89,MATCH($C169,'[2]End - Use Prices'!$A$6:$A$89,0)+MATCH($D169,'[2]End - Use Prices'!$B$9:$B$11,0)-1,MATCH(AA$1,'[2]End - Use Prices'!$C$7:$AL$7,0))</f>
        <v>19.5</v>
      </c>
      <c r="AB169" s="41">
        <f>INDEX('[2]End - Use Prices'!$C$6:$AL$89,MATCH($C169,'[2]End - Use Prices'!$A$6:$A$89,0)+MATCH($D169,'[2]End - Use Prices'!$B$9:$B$11,0)-1,MATCH(AB$1,'[2]End - Use Prices'!$C$7:$AL$7,0))</f>
        <v>18.579999999999998</v>
      </c>
      <c r="AC169" s="41">
        <f>INDEX('[2]End - Use Prices'!$C$6:$AL$89,MATCH($C169,'[2]End - Use Prices'!$A$6:$A$89,0)+MATCH($D169,'[2]End - Use Prices'!$B$9:$B$11,0)-1,MATCH(AC$1,'[2]End - Use Prices'!$C$7:$AL$7,0))</f>
        <v>18.399999999999999</v>
      </c>
      <c r="AD169" s="41">
        <f>INDEX('[2]End - Use Prices'!$C$6:$AL$89,MATCH($C169,'[2]End - Use Prices'!$A$6:$A$89,0)+MATCH($D169,'[2]End - Use Prices'!$B$9:$B$11,0)-1,MATCH(AD$1,'[2]End - Use Prices'!$C$7:$AL$7,0))</f>
        <v>17.54</v>
      </c>
      <c r="AE169" s="41">
        <f>INDEX('[2]End - Use Prices'!$C$6:$AL$89,MATCH($C169,'[2]End - Use Prices'!$A$6:$A$89,0)+MATCH($D169,'[2]End - Use Prices'!$B$9:$B$11,0)-1,MATCH(AE$1,'[2]End - Use Prices'!$C$7:$AL$7,0))</f>
        <v>17.05</v>
      </c>
      <c r="AF169" s="41">
        <f>INDEX('[2]End - Use Prices'!$C$6:$AL$89,MATCH($C169,'[2]End - Use Prices'!$A$6:$A$89,0)+MATCH($D169,'[2]End - Use Prices'!$B$9:$B$11,0)-1,MATCH(AF$1,'[2]End - Use Prices'!$C$7:$AL$7,0))</f>
        <v>15.49</v>
      </c>
      <c r="AG169" s="41">
        <f>INDEX('[2]End - Use Prices'!$C$6:$AL$89,MATCH($C169,'[2]End - Use Prices'!$A$6:$A$89,0)+MATCH($D169,'[2]End - Use Prices'!$B$9:$B$11,0)-1,MATCH(AG$1,'[2]End - Use Prices'!$C$7:$AL$7,0))</f>
        <v>16.84</v>
      </c>
      <c r="AH169" s="41">
        <f>INDEX('[2]End - Use Prices'!$C$6:$AL$89,MATCH($C169,'[2]End - Use Prices'!$A$6:$A$89,0)+MATCH($D169,'[2]End - Use Prices'!$B$9:$B$11,0)-1,MATCH(AH$1,'[2]End - Use Prices'!$C$7:$AL$7,0))</f>
        <v>15.95</v>
      </c>
      <c r="AI169" s="41">
        <f>INDEX('[2]End - Use Prices'!$C$6:$AL$89,MATCH($C169,'[2]End - Use Prices'!$A$6:$A$89,0)+MATCH($D169,'[2]End - Use Prices'!$B$9:$B$11,0)-1,MATCH(AI$1,'[2]End - Use Prices'!$C$7:$AL$7,0))</f>
        <v>14.86</v>
      </c>
      <c r="AJ169" s="41">
        <f>INDEX('[2]End - Use Prices'!$C$6:$AL$89,MATCH($C169,'[2]End - Use Prices'!$A$6:$A$89,0)+MATCH($D169,'[2]End - Use Prices'!$B$9:$B$11,0)-1,MATCH(AJ$1,'[2]End - Use Prices'!$C$7:$AL$7,0))</f>
        <v>15.15</v>
      </c>
      <c r="AK169" s="41">
        <f>INDEX('[2]End - Use Prices'!$C$6:$AL$89,MATCH($C169,'[2]End - Use Prices'!$A$6:$A$89,0)+MATCH($D169,'[2]End - Use Prices'!$B$9:$B$11,0)-1,MATCH(AK$1,'[2]End - Use Prices'!$C$7:$AL$7,0))</f>
        <v>15</v>
      </c>
      <c r="AL169" s="41">
        <f>INDEX('[2]End - Use Prices'!$C$6:$AL$89,MATCH($C169,'[2]End - Use Prices'!$A$6:$A$89,0)+MATCH($D169,'[2]End - Use Prices'!$B$9:$B$11,0)-1,MATCH(AL$1,'[2]End - Use Prices'!$C$7:$AL$7,0))</f>
        <v>14.94</v>
      </c>
      <c r="AM169" s="41">
        <f>INDEX('[2]End - Use Prices'!$C$6:$AL$89,MATCH($C169,'[2]End - Use Prices'!$A$6:$A$89,0)+MATCH($D169,'[2]End - Use Prices'!$B$9:$B$11,0)-1,MATCH(AM$1,'[2]End - Use Prices'!$C$7:$AL$7,0))</f>
        <v>15</v>
      </c>
      <c r="AN169" s="41">
        <f>INDEX('[2]End - Use Prices'!$C$6:$AL$89,MATCH($C169,'[2]End - Use Prices'!$A$6:$A$89,0)+MATCH($D169,'[2]End - Use Prices'!$B$9:$B$11,0)-1,MATCH(AN$1,'[2]End - Use Prices'!$C$7:$AL$7,0))</f>
        <v>15.24</v>
      </c>
      <c r="AO169" s="41">
        <f>INDEX('[2]End - Use Prices'!$C$6:$AL$89,MATCH($C169,'[2]End - Use Prices'!$A$6:$A$89,0)+MATCH($D169,'[2]End - Use Prices'!$B$9:$B$11,0)-1,MATCH(AO$1,'[2]End - Use Prices'!$C$7:$AL$7,0))</f>
        <v>15.47</v>
      </c>
      <c r="AP169" s="41">
        <f>INDEX('[2]End - Use Prices'!$C$6:$AL$89,MATCH($C169,'[2]End - Use Prices'!$A$6:$A$89,0)+MATCH($D169,'[2]End - Use Prices'!$B$9:$B$11,0)-1,MATCH(AP$1,'[2]End - Use Prices'!$C$7:$AL$7,0))</f>
        <v>15.66</v>
      </c>
      <c r="AQ169" s="41">
        <f>INDEX('[2]End - Use Prices'!$C$6:$AL$89,MATCH($C169,'[2]End - Use Prices'!$A$6:$A$89,0)+MATCH($D169,'[2]End - Use Prices'!$B$9:$B$11,0)-1,MATCH(AQ$1,'[2]End - Use Prices'!$C$7:$AL$7,0))</f>
        <v>15.86</v>
      </c>
      <c r="AR169" s="41">
        <f>INDEX('[2]End - Use Prices'!$C$6:$AL$89,MATCH($C169,'[2]End - Use Prices'!$A$6:$A$89,0)+MATCH($D169,'[2]End - Use Prices'!$B$9:$B$11,0)-1,MATCH(AR$1,'[2]End - Use Prices'!$C$7:$AL$7,0))</f>
        <v>16.07</v>
      </c>
      <c r="AS169" s="41">
        <f>INDEX('[2]End - Use Prices'!$C$6:$AL$89,MATCH($C169,'[2]End - Use Prices'!$A$6:$A$89,0)+MATCH($D169,'[2]End - Use Prices'!$B$9:$B$11,0)-1,MATCH(AS$1,'[2]End - Use Prices'!$C$7:$AL$7,0))</f>
        <v>16.350000000000001</v>
      </c>
      <c r="AT169" s="41">
        <f>INDEX('[2]End - Use Prices'!$C$6:$AL$89,MATCH($C169,'[2]End - Use Prices'!$A$6:$A$89,0)+MATCH($D169,'[2]End - Use Prices'!$B$9:$B$11,0)-1,MATCH(AT$1,'[2]End - Use Prices'!$C$7:$AL$7,0))</f>
        <v>16.36</v>
      </c>
      <c r="AU169" s="41">
        <f>INDEX('[2]End - Use Prices'!$C$6:$AL$89,MATCH($C169,'[2]End - Use Prices'!$A$6:$A$89,0)+MATCH($D169,'[2]End - Use Prices'!$B$9:$B$11,0)-1,MATCH(AU$1,'[2]End - Use Prices'!$C$7:$AL$7,0))</f>
        <v>16.399999999999999</v>
      </c>
      <c r="AV169" s="41">
        <f>INDEX('[2]End - Use Prices'!$C$6:$AL$89,MATCH($C169,'[2]End - Use Prices'!$A$6:$A$89,0)+MATCH($D169,'[2]End - Use Prices'!$B$9:$B$11,0)-1,MATCH(AV$1,'[2]End - Use Prices'!$C$7:$AL$7,0))</f>
        <v>16.45</v>
      </c>
      <c r="AW169" s="41">
        <f>INDEX('[2]End - Use Prices'!$C$6:$AL$89,MATCH($C169,'[2]End - Use Prices'!$A$6:$A$89,0)+MATCH($D169,'[2]End - Use Prices'!$B$9:$B$11,0)-1,MATCH(AW$1,'[2]End - Use Prices'!$C$7:$AL$7,0))</f>
        <v>16.5</v>
      </c>
      <c r="AX169" s="41">
        <f>INDEX('[2]End - Use Prices'!$C$6:$AL$89,MATCH($C169,'[2]End - Use Prices'!$A$6:$A$89,0)+MATCH($D169,'[2]End - Use Prices'!$B$9:$B$11,0)-1,MATCH(AX$1,'[2]End - Use Prices'!$C$7:$AL$7,0))</f>
        <v>16.57</v>
      </c>
      <c r="AY169" s="41">
        <f>INDEX('[2]End - Use Prices'!$C$6:$AL$89,MATCH($C169,'[2]End - Use Prices'!$A$6:$A$89,0)+MATCH($D169,'[2]End - Use Prices'!$B$9:$B$11,0)-1,MATCH(AY$1,'[2]End - Use Prices'!$C$7:$AL$7,0))</f>
        <v>16.649999999999999</v>
      </c>
      <c r="AZ169" s="41">
        <f>INDEX('[2]End - Use Prices'!$C$6:$AL$89,MATCH($C169,'[2]End - Use Prices'!$A$6:$A$89,0)+MATCH($D169,'[2]End - Use Prices'!$B$9:$B$11,0)-1,MATCH(AZ$1,'[2]End - Use Prices'!$C$7:$AL$7,0))</f>
        <v>16.739999999999998</v>
      </c>
      <c r="BA169" s="41">
        <f>INDEX('[2]End - Use Prices'!$C$6:$AL$89,MATCH($C169,'[2]End - Use Prices'!$A$6:$A$89,0)+MATCH($D169,'[2]End - Use Prices'!$B$9:$B$11,0)-1,MATCH(BA$1,'[2]End - Use Prices'!$C$7:$AL$7,0))</f>
        <v>16.77</v>
      </c>
      <c r="BB169" s="41">
        <f>INDEX('[2]End - Use Prices'!$C$6:$AL$89,MATCH($C169,'[2]End - Use Prices'!$A$6:$A$89,0)+MATCH($D169,'[2]End - Use Prices'!$B$9:$B$11,0)-1,MATCH(BB$1,'[2]End - Use Prices'!$C$7:$AL$7,0))</f>
        <v>16.809999999999999</v>
      </c>
      <c r="BC169" s="41">
        <f>INDEX('[2]End - Use Prices'!$C$6:$AL$89,MATCH($C169,'[2]End - Use Prices'!$A$6:$A$89,0)+MATCH($D169,'[2]End - Use Prices'!$B$9:$B$11,0)-1,MATCH(BC$1,'[2]End - Use Prices'!$C$7:$AL$7,0))</f>
        <v>16.829999999999998</v>
      </c>
      <c r="BD169" s="41">
        <f>INDEX('[2]End - Use Prices'!$C$6:$AL$89,MATCH($C169,'[2]End - Use Prices'!$A$6:$A$89,0)+MATCH($D169,'[2]End - Use Prices'!$B$9:$B$11,0)-1,MATCH(BD$1,'[2]End - Use Prices'!$C$7:$AL$7,0))</f>
        <v>16.829999999999998</v>
      </c>
      <c r="BE169" s="41">
        <f>INDEX('[2]End - Use Prices'!$C$6:$AL$89,MATCH($C169,'[2]End - Use Prices'!$A$6:$A$89,0)+MATCH($D169,'[2]End - Use Prices'!$B$9:$B$11,0)-1,MATCH(BE$1,'[2]End - Use Prices'!$C$7:$AL$7,0))</f>
        <v>16.829999999999998</v>
      </c>
      <c r="BF169" s="41">
        <f>INDEX('[2]End - Use Prices'!$C$6:$AL$89,MATCH($C169,'[2]End - Use Prices'!$A$6:$A$89,0)+MATCH($D169,'[2]End - Use Prices'!$B$9:$B$11,0)-1,MATCH(BF$1,'[2]End - Use Prices'!$C$7:$AL$7,0))</f>
        <v>16.82</v>
      </c>
      <c r="BG169" s="41">
        <f>INDEX('[2]End - Use Prices'!$C$6:$AL$89,MATCH($C169,'[2]End - Use Prices'!$A$6:$A$89,0)+MATCH($D169,'[2]End - Use Prices'!$B$9:$B$11,0)-1,MATCH(BG$1,'[2]End - Use Prices'!$C$7:$AL$7,0))</f>
        <v>16.809999999999999</v>
      </c>
      <c r="BR169" s="39"/>
      <c r="BS169" s="39"/>
      <c r="BT169" s="39"/>
      <c r="BU169" s="39"/>
      <c r="BV169" s="39"/>
      <c r="BW169" s="39"/>
      <c r="BX169" s="39"/>
      <c r="BY169" s="39"/>
      <c r="BZ169" s="39"/>
      <c r="CA169" s="39"/>
    </row>
    <row r="170" spans="1:79">
      <c r="A170" s="5"/>
      <c r="B170" s="3"/>
      <c r="C170" s="25" t="s">
        <v>89</v>
      </c>
      <c r="D170" s="25" t="s">
        <v>13</v>
      </c>
      <c r="E170" s="25" t="s">
        <v>277</v>
      </c>
      <c r="F170" s="67" t="s">
        <v>275</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INDEX('[2]End - Use Prices'!$C$6:$AL$89,MATCH($C170,'[2]End - Use Prices'!$A$6:$A$89,0)+MATCH($D170,'[2]End - Use Prices'!$B$9:$B$11,0)-1,MATCH(X$1,'[2]End - Use Prices'!$C$7:$AL$7,0))</f>
        <v>16.739999999999998</v>
      </c>
      <c r="Y170" s="41">
        <f>INDEX('[2]End - Use Prices'!$C$6:$AL$89,MATCH($C170,'[2]End - Use Prices'!$A$6:$A$89,0)+MATCH($D170,'[2]End - Use Prices'!$B$9:$B$11,0)-1,MATCH(Y$1,'[2]End - Use Prices'!$C$7:$AL$7,0))</f>
        <v>17.82</v>
      </c>
      <c r="Z170" s="41">
        <f>INDEX('[2]End - Use Prices'!$C$6:$AL$89,MATCH($C170,'[2]End - Use Prices'!$A$6:$A$89,0)+MATCH($D170,'[2]End - Use Prices'!$B$9:$B$11,0)-1,MATCH(Z$1,'[2]End - Use Prices'!$C$7:$AL$7,0))</f>
        <v>16.100000000000001</v>
      </c>
      <c r="AA170" s="41">
        <f>INDEX('[2]End - Use Prices'!$C$6:$AL$89,MATCH($C170,'[2]End - Use Prices'!$A$6:$A$89,0)+MATCH($D170,'[2]End - Use Prices'!$B$9:$B$11,0)-1,MATCH(AA$1,'[2]End - Use Prices'!$C$7:$AL$7,0))</f>
        <v>16.25</v>
      </c>
      <c r="AB170" s="41">
        <f>INDEX('[2]End - Use Prices'!$C$6:$AL$89,MATCH($C170,'[2]End - Use Prices'!$A$6:$A$89,0)+MATCH($D170,'[2]End - Use Prices'!$B$9:$B$11,0)-1,MATCH(AB$1,'[2]End - Use Prices'!$C$7:$AL$7,0))</f>
        <v>13.76</v>
      </c>
      <c r="AC170" s="41">
        <f>INDEX('[2]End - Use Prices'!$C$6:$AL$89,MATCH($C170,'[2]End - Use Prices'!$A$6:$A$89,0)+MATCH($D170,'[2]End - Use Prices'!$B$9:$B$11,0)-1,MATCH(AC$1,'[2]End - Use Prices'!$C$7:$AL$7,0))</f>
        <v>13.57</v>
      </c>
      <c r="AD170" s="41">
        <f>INDEX('[2]End - Use Prices'!$C$6:$AL$89,MATCH($C170,'[2]End - Use Prices'!$A$6:$A$89,0)+MATCH($D170,'[2]End - Use Prices'!$B$9:$B$11,0)-1,MATCH(AD$1,'[2]End - Use Prices'!$C$7:$AL$7,0))</f>
        <v>11.83</v>
      </c>
      <c r="AE170" s="41">
        <f>INDEX('[2]End - Use Prices'!$C$6:$AL$89,MATCH($C170,'[2]End - Use Prices'!$A$6:$A$89,0)+MATCH($D170,'[2]End - Use Prices'!$B$9:$B$11,0)-1,MATCH(AE$1,'[2]End - Use Prices'!$C$7:$AL$7,0))</f>
        <v>11.22</v>
      </c>
      <c r="AF170" s="41">
        <f>INDEX('[2]End - Use Prices'!$C$6:$AL$89,MATCH($C170,'[2]End - Use Prices'!$A$6:$A$89,0)+MATCH($D170,'[2]End - Use Prices'!$B$9:$B$11,0)-1,MATCH(AF$1,'[2]End - Use Prices'!$C$7:$AL$7,0))</f>
        <v>11.17</v>
      </c>
      <c r="AG170" s="41">
        <f>INDEX('[2]End - Use Prices'!$C$6:$AL$89,MATCH($C170,'[2]End - Use Prices'!$A$6:$A$89,0)+MATCH($D170,'[2]End - Use Prices'!$B$9:$B$11,0)-1,MATCH(AG$1,'[2]End - Use Prices'!$C$7:$AL$7,0))</f>
        <v>12.03</v>
      </c>
      <c r="AH170" s="41">
        <f>INDEX('[2]End - Use Prices'!$C$6:$AL$89,MATCH($C170,'[2]End - Use Prices'!$A$6:$A$89,0)+MATCH($D170,'[2]End - Use Prices'!$B$9:$B$11,0)-1,MATCH(AH$1,'[2]End - Use Prices'!$C$7:$AL$7,0))</f>
        <v>12.15</v>
      </c>
      <c r="AI170" s="41">
        <f>INDEX('[2]End - Use Prices'!$C$6:$AL$89,MATCH($C170,'[2]End - Use Prices'!$A$6:$A$89,0)+MATCH($D170,'[2]End - Use Prices'!$B$9:$B$11,0)-1,MATCH(AI$1,'[2]End - Use Prices'!$C$7:$AL$7,0))</f>
        <v>9.42</v>
      </c>
      <c r="AJ170" s="41">
        <f>INDEX('[2]End - Use Prices'!$C$6:$AL$89,MATCH($C170,'[2]End - Use Prices'!$A$6:$A$89,0)+MATCH($D170,'[2]End - Use Prices'!$B$9:$B$11,0)-1,MATCH(AJ$1,'[2]End - Use Prices'!$C$7:$AL$7,0))</f>
        <v>13.49</v>
      </c>
      <c r="AK170" s="41">
        <f>INDEX('[2]End - Use Prices'!$C$6:$AL$89,MATCH($C170,'[2]End - Use Prices'!$A$6:$A$89,0)+MATCH($D170,'[2]End - Use Prices'!$B$9:$B$11,0)-1,MATCH(AK$1,'[2]End - Use Prices'!$C$7:$AL$7,0))</f>
        <v>10.95</v>
      </c>
      <c r="AL170" s="41">
        <f>INDEX('[2]End - Use Prices'!$C$6:$AL$89,MATCH($C170,'[2]End - Use Prices'!$A$6:$A$89,0)+MATCH($D170,'[2]End - Use Prices'!$B$9:$B$11,0)-1,MATCH(AL$1,'[2]End - Use Prices'!$C$7:$AL$7,0))</f>
        <v>10.029999999999999</v>
      </c>
      <c r="AM170" s="41">
        <f>INDEX('[2]End - Use Prices'!$C$6:$AL$89,MATCH($C170,'[2]End - Use Prices'!$A$6:$A$89,0)+MATCH($D170,'[2]End - Use Prices'!$B$9:$B$11,0)-1,MATCH(AM$1,'[2]End - Use Prices'!$C$7:$AL$7,0))</f>
        <v>10.119999999999999</v>
      </c>
      <c r="AN170" s="41">
        <f>INDEX('[2]End - Use Prices'!$C$6:$AL$89,MATCH($C170,'[2]End - Use Prices'!$A$6:$A$89,0)+MATCH($D170,'[2]End - Use Prices'!$B$9:$B$11,0)-1,MATCH(AN$1,'[2]End - Use Prices'!$C$7:$AL$7,0))</f>
        <v>10.4</v>
      </c>
      <c r="AO170" s="41">
        <f>INDEX('[2]End - Use Prices'!$C$6:$AL$89,MATCH($C170,'[2]End - Use Prices'!$A$6:$A$89,0)+MATCH($D170,'[2]End - Use Prices'!$B$9:$B$11,0)-1,MATCH(AO$1,'[2]End - Use Prices'!$C$7:$AL$7,0))</f>
        <v>10.68</v>
      </c>
      <c r="AP170" s="41">
        <f>INDEX('[2]End - Use Prices'!$C$6:$AL$89,MATCH($C170,'[2]End - Use Prices'!$A$6:$A$89,0)+MATCH($D170,'[2]End - Use Prices'!$B$9:$B$11,0)-1,MATCH(AP$1,'[2]End - Use Prices'!$C$7:$AL$7,0))</f>
        <v>10.91</v>
      </c>
      <c r="AQ170" s="41">
        <f>INDEX('[2]End - Use Prices'!$C$6:$AL$89,MATCH($C170,'[2]End - Use Prices'!$A$6:$A$89,0)+MATCH($D170,'[2]End - Use Prices'!$B$9:$B$11,0)-1,MATCH(AQ$1,'[2]End - Use Prices'!$C$7:$AL$7,0))</f>
        <v>11.15</v>
      </c>
      <c r="AR170" s="41">
        <f>INDEX('[2]End - Use Prices'!$C$6:$AL$89,MATCH($C170,'[2]End - Use Prices'!$A$6:$A$89,0)+MATCH($D170,'[2]End - Use Prices'!$B$9:$B$11,0)-1,MATCH(AR$1,'[2]End - Use Prices'!$C$7:$AL$7,0))</f>
        <v>11.4</v>
      </c>
      <c r="AS170" s="41">
        <f>INDEX('[2]End - Use Prices'!$C$6:$AL$89,MATCH($C170,'[2]End - Use Prices'!$A$6:$A$89,0)+MATCH($D170,'[2]End - Use Prices'!$B$9:$B$11,0)-1,MATCH(AS$1,'[2]End - Use Prices'!$C$7:$AL$7,0))</f>
        <v>11.72</v>
      </c>
      <c r="AT170" s="41">
        <f>INDEX('[2]End - Use Prices'!$C$6:$AL$89,MATCH($C170,'[2]End - Use Prices'!$A$6:$A$89,0)+MATCH($D170,'[2]End - Use Prices'!$B$9:$B$11,0)-1,MATCH(AT$1,'[2]End - Use Prices'!$C$7:$AL$7,0))</f>
        <v>11.76</v>
      </c>
      <c r="AU170" s="41">
        <f>INDEX('[2]End - Use Prices'!$C$6:$AL$89,MATCH($C170,'[2]End - Use Prices'!$A$6:$A$89,0)+MATCH($D170,'[2]End - Use Prices'!$B$9:$B$11,0)-1,MATCH(AU$1,'[2]End - Use Prices'!$C$7:$AL$7,0))</f>
        <v>11.83</v>
      </c>
      <c r="AV170" s="41">
        <f>INDEX('[2]End - Use Prices'!$C$6:$AL$89,MATCH($C170,'[2]End - Use Prices'!$A$6:$A$89,0)+MATCH($D170,'[2]End - Use Prices'!$B$9:$B$11,0)-1,MATCH(AV$1,'[2]End - Use Prices'!$C$7:$AL$7,0))</f>
        <v>11.91</v>
      </c>
      <c r="AW170" s="41">
        <f>INDEX('[2]End - Use Prices'!$C$6:$AL$89,MATCH($C170,'[2]End - Use Prices'!$A$6:$A$89,0)+MATCH($D170,'[2]End - Use Prices'!$B$9:$B$11,0)-1,MATCH(AW$1,'[2]End - Use Prices'!$C$7:$AL$7,0))</f>
        <v>11.98</v>
      </c>
      <c r="AX170" s="41">
        <f>INDEX('[2]End - Use Prices'!$C$6:$AL$89,MATCH($C170,'[2]End - Use Prices'!$A$6:$A$89,0)+MATCH($D170,'[2]End - Use Prices'!$B$9:$B$11,0)-1,MATCH(AX$1,'[2]End - Use Prices'!$C$7:$AL$7,0))</f>
        <v>12.07</v>
      </c>
      <c r="AY170" s="41">
        <f>INDEX('[2]End - Use Prices'!$C$6:$AL$89,MATCH($C170,'[2]End - Use Prices'!$A$6:$A$89,0)+MATCH($D170,'[2]End - Use Prices'!$B$9:$B$11,0)-1,MATCH(AY$1,'[2]End - Use Prices'!$C$7:$AL$7,0))</f>
        <v>12.18</v>
      </c>
      <c r="AZ170" s="41">
        <f>INDEX('[2]End - Use Prices'!$C$6:$AL$89,MATCH($C170,'[2]End - Use Prices'!$A$6:$A$89,0)+MATCH($D170,'[2]End - Use Prices'!$B$9:$B$11,0)-1,MATCH(AZ$1,'[2]End - Use Prices'!$C$7:$AL$7,0))</f>
        <v>12.29</v>
      </c>
      <c r="BA170" s="41">
        <f>INDEX('[2]End - Use Prices'!$C$6:$AL$89,MATCH($C170,'[2]End - Use Prices'!$A$6:$A$89,0)+MATCH($D170,'[2]End - Use Prices'!$B$9:$B$11,0)-1,MATCH(BA$1,'[2]End - Use Prices'!$C$7:$AL$7,0))</f>
        <v>12.35</v>
      </c>
      <c r="BB170" s="41">
        <f>INDEX('[2]End - Use Prices'!$C$6:$AL$89,MATCH($C170,'[2]End - Use Prices'!$A$6:$A$89,0)+MATCH($D170,'[2]End - Use Prices'!$B$9:$B$11,0)-1,MATCH(BB$1,'[2]End - Use Prices'!$C$7:$AL$7,0))</f>
        <v>12.4</v>
      </c>
      <c r="BC170" s="41">
        <f>INDEX('[2]End - Use Prices'!$C$6:$AL$89,MATCH($C170,'[2]End - Use Prices'!$A$6:$A$89,0)+MATCH($D170,'[2]End - Use Prices'!$B$9:$B$11,0)-1,MATCH(BC$1,'[2]End - Use Prices'!$C$7:$AL$7,0))</f>
        <v>12.45</v>
      </c>
      <c r="BD170" s="41">
        <f>INDEX('[2]End - Use Prices'!$C$6:$AL$89,MATCH($C170,'[2]End - Use Prices'!$A$6:$A$89,0)+MATCH($D170,'[2]End - Use Prices'!$B$9:$B$11,0)-1,MATCH(BD$1,'[2]End - Use Prices'!$C$7:$AL$7,0))</f>
        <v>12.48</v>
      </c>
      <c r="BE170" s="41">
        <f>INDEX('[2]End - Use Prices'!$C$6:$AL$89,MATCH($C170,'[2]End - Use Prices'!$A$6:$A$89,0)+MATCH($D170,'[2]End - Use Prices'!$B$9:$B$11,0)-1,MATCH(BE$1,'[2]End - Use Prices'!$C$7:$AL$7,0))</f>
        <v>12.49</v>
      </c>
      <c r="BF170" s="41">
        <f>INDEX('[2]End - Use Prices'!$C$6:$AL$89,MATCH($C170,'[2]End - Use Prices'!$A$6:$A$89,0)+MATCH($D170,'[2]End - Use Prices'!$B$9:$B$11,0)-1,MATCH(BF$1,'[2]End - Use Prices'!$C$7:$AL$7,0))</f>
        <v>12.51</v>
      </c>
      <c r="BG170" s="41">
        <f>INDEX('[2]End - Use Prices'!$C$6:$AL$89,MATCH($C170,'[2]End - Use Prices'!$A$6:$A$89,0)+MATCH($D170,'[2]End - Use Prices'!$B$9:$B$11,0)-1,MATCH(BG$1,'[2]End - Use Prices'!$C$7:$AL$7,0))</f>
        <v>12.52</v>
      </c>
      <c r="BR170" s="39"/>
      <c r="BS170" s="39"/>
      <c r="BT170" s="39"/>
      <c r="BU170" s="39"/>
      <c r="BV170" s="39"/>
      <c r="BW170" s="39"/>
      <c r="BX170" s="39"/>
      <c r="BY170" s="39"/>
      <c r="BZ170" s="39"/>
      <c r="CA170" s="39"/>
    </row>
    <row r="171" spans="1:79">
      <c r="A171" s="5"/>
      <c r="B171" s="3"/>
      <c r="C171" s="25" t="s">
        <v>90</v>
      </c>
      <c r="D171" s="25" t="s">
        <v>13</v>
      </c>
      <c r="E171" s="25" t="s">
        <v>277</v>
      </c>
      <c r="F171" s="67" t="s">
        <v>275</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INDEX('[2]End - Use Prices'!$C$6:$AL$89,MATCH($C171,'[2]End - Use Prices'!$A$6:$A$89,0)+MATCH($D171,'[2]End - Use Prices'!$B$9:$B$11,0)-1,MATCH(X$1,'[2]End - Use Prices'!$C$7:$AL$7,0))</f>
        <v>16.21</v>
      </c>
      <c r="Y171" s="41">
        <f>INDEX('[2]End - Use Prices'!$C$6:$AL$89,MATCH($C171,'[2]End - Use Prices'!$A$6:$A$89,0)+MATCH($D171,'[2]End - Use Prices'!$B$9:$B$11,0)-1,MATCH(Y$1,'[2]End - Use Prices'!$C$7:$AL$7,0))</f>
        <v>15.41</v>
      </c>
      <c r="Z171" s="41">
        <f>INDEX('[2]End - Use Prices'!$C$6:$AL$89,MATCH($C171,'[2]End - Use Prices'!$A$6:$A$89,0)+MATCH($D171,'[2]End - Use Prices'!$B$9:$B$11,0)-1,MATCH(Z$1,'[2]End - Use Prices'!$C$7:$AL$7,0))</f>
        <v>14.81</v>
      </c>
      <c r="AA171" s="41">
        <f>INDEX('[2]End - Use Prices'!$C$6:$AL$89,MATCH($C171,'[2]End - Use Prices'!$A$6:$A$89,0)+MATCH($D171,'[2]End - Use Prices'!$B$9:$B$11,0)-1,MATCH(AA$1,'[2]End - Use Prices'!$C$7:$AL$7,0))</f>
        <v>14.53</v>
      </c>
      <c r="AB171" s="41">
        <f>INDEX('[2]End - Use Prices'!$C$6:$AL$89,MATCH($C171,'[2]End - Use Prices'!$A$6:$A$89,0)+MATCH($D171,'[2]End - Use Prices'!$B$9:$B$11,0)-1,MATCH(AB$1,'[2]End - Use Prices'!$C$7:$AL$7,0))</f>
        <v>14.23</v>
      </c>
      <c r="AC171" s="41">
        <f>INDEX('[2]End - Use Prices'!$C$6:$AL$89,MATCH($C171,'[2]End - Use Prices'!$A$6:$A$89,0)+MATCH($D171,'[2]End - Use Prices'!$B$9:$B$11,0)-1,MATCH(AC$1,'[2]End - Use Prices'!$C$7:$AL$7,0))</f>
        <v>11.7</v>
      </c>
      <c r="AD171" s="41">
        <f>INDEX('[2]End - Use Prices'!$C$6:$AL$89,MATCH($C171,'[2]End - Use Prices'!$A$6:$A$89,0)+MATCH($D171,'[2]End - Use Prices'!$B$9:$B$11,0)-1,MATCH(AD$1,'[2]End - Use Prices'!$C$7:$AL$7,0))</f>
        <v>11.6</v>
      </c>
      <c r="AE171" s="41">
        <f>INDEX('[2]End - Use Prices'!$C$6:$AL$89,MATCH($C171,'[2]End - Use Prices'!$A$6:$A$89,0)+MATCH($D171,'[2]End - Use Prices'!$B$9:$B$11,0)-1,MATCH(AE$1,'[2]End - Use Prices'!$C$7:$AL$7,0))</f>
        <v>10.07</v>
      </c>
      <c r="AF171" s="41">
        <f>INDEX('[2]End - Use Prices'!$C$6:$AL$89,MATCH($C171,'[2]End - Use Prices'!$A$6:$A$89,0)+MATCH($D171,'[2]End - Use Prices'!$B$9:$B$11,0)-1,MATCH(AF$1,'[2]End - Use Prices'!$C$7:$AL$7,0))</f>
        <v>10.41</v>
      </c>
      <c r="AG171" s="41">
        <f>INDEX('[2]End - Use Prices'!$C$6:$AL$89,MATCH($C171,'[2]End - Use Prices'!$A$6:$A$89,0)+MATCH($D171,'[2]End - Use Prices'!$B$9:$B$11,0)-1,MATCH(AG$1,'[2]End - Use Prices'!$C$7:$AL$7,0))</f>
        <v>10.98</v>
      </c>
      <c r="AH171" s="41">
        <f>INDEX('[2]End - Use Prices'!$C$6:$AL$89,MATCH($C171,'[2]End - Use Prices'!$A$6:$A$89,0)+MATCH($D171,'[2]End - Use Prices'!$B$9:$B$11,0)-1,MATCH(AH$1,'[2]End - Use Prices'!$C$7:$AL$7,0))</f>
        <v>11.47</v>
      </c>
      <c r="AI171" s="41">
        <f>INDEX('[2]End - Use Prices'!$C$6:$AL$89,MATCH($C171,'[2]End - Use Prices'!$A$6:$A$89,0)+MATCH($D171,'[2]End - Use Prices'!$B$9:$B$11,0)-1,MATCH(AI$1,'[2]End - Use Prices'!$C$7:$AL$7,0))</f>
        <v>9.65</v>
      </c>
      <c r="AJ171" s="41">
        <f>INDEX('[2]End - Use Prices'!$C$6:$AL$89,MATCH($C171,'[2]End - Use Prices'!$A$6:$A$89,0)+MATCH($D171,'[2]End - Use Prices'!$B$9:$B$11,0)-1,MATCH(AJ$1,'[2]End - Use Prices'!$C$7:$AL$7,0))</f>
        <v>9.7100000000000009</v>
      </c>
      <c r="AK171" s="41">
        <f>INDEX('[2]End - Use Prices'!$C$6:$AL$89,MATCH($C171,'[2]End - Use Prices'!$A$6:$A$89,0)+MATCH($D171,'[2]End - Use Prices'!$B$9:$B$11,0)-1,MATCH(AK$1,'[2]End - Use Prices'!$C$7:$AL$7,0))</f>
        <v>9.6300000000000008</v>
      </c>
      <c r="AL171" s="41">
        <f>INDEX('[2]End - Use Prices'!$C$6:$AL$89,MATCH($C171,'[2]End - Use Prices'!$A$6:$A$89,0)+MATCH($D171,'[2]End - Use Prices'!$B$9:$B$11,0)-1,MATCH(AL$1,'[2]End - Use Prices'!$C$7:$AL$7,0))</f>
        <v>9.6199999999999992</v>
      </c>
      <c r="AM171" s="41">
        <f>INDEX('[2]End - Use Prices'!$C$6:$AL$89,MATCH($C171,'[2]End - Use Prices'!$A$6:$A$89,0)+MATCH($D171,'[2]End - Use Prices'!$B$9:$B$11,0)-1,MATCH(AM$1,'[2]End - Use Prices'!$C$7:$AL$7,0))</f>
        <v>10.53</v>
      </c>
      <c r="AN171" s="41">
        <f>INDEX('[2]End - Use Prices'!$C$6:$AL$89,MATCH($C171,'[2]End - Use Prices'!$A$6:$A$89,0)+MATCH($D171,'[2]End - Use Prices'!$B$9:$B$11,0)-1,MATCH(AN$1,'[2]End - Use Prices'!$C$7:$AL$7,0))</f>
        <v>10.96</v>
      </c>
      <c r="AO171" s="41">
        <f>INDEX('[2]End - Use Prices'!$C$6:$AL$89,MATCH($C171,'[2]End - Use Prices'!$A$6:$A$89,0)+MATCH($D171,'[2]End - Use Prices'!$B$9:$B$11,0)-1,MATCH(AO$1,'[2]End - Use Prices'!$C$7:$AL$7,0))</f>
        <v>11.37</v>
      </c>
      <c r="AP171" s="41">
        <f>INDEX('[2]End - Use Prices'!$C$6:$AL$89,MATCH($C171,'[2]End - Use Prices'!$A$6:$A$89,0)+MATCH($D171,'[2]End - Use Prices'!$B$9:$B$11,0)-1,MATCH(AP$1,'[2]End - Use Prices'!$C$7:$AL$7,0))</f>
        <v>11.74</v>
      </c>
      <c r="AQ171" s="41">
        <f>INDEX('[2]End - Use Prices'!$C$6:$AL$89,MATCH($C171,'[2]End - Use Prices'!$A$6:$A$89,0)+MATCH($D171,'[2]End - Use Prices'!$B$9:$B$11,0)-1,MATCH(AQ$1,'[2]End - Use Prices'!$C$7:$AL$7,0))</f>
        <v>11.76</v>
      </c>
      <c r="AR171" s="41">
        <f>INDEX('[2]End - Use Prices'!$C$6:$AL$89,MATCH($C171,'[2]End - Use Prices'!$A$6:$A$89,0)+MATCH($D171,'[2]End - Use Prices'!$B$9:$B$11,0)-1,MATCH(AR$1,'[2]End - Use Prices'!$C$7:$AL$7,0))</f>
        <v>11.81</v>
      </c>
      <c r="AS171" s="41">
        <f>INDEX('[2]End - Use Prices'!$C$6:$AL$89,MATCH($C171,'[2]End - Use Prices'!$A$6:$A$89,0)+MATCH($D171,'[2]End - Use Prices'!$B$9:$B$11,0)-1,MATCH(AS$1,'[2]End - Use Prices'!$C$7:$AL$7,0))</f>
        <v>11.93</v>
      </c>
      <c r="AT171" s="41">
        <f>INDEX('[2]End - Use Prices'!$C$6:$AL$89,MATCH($C171,'[2]End - Use Prices'!$A$6:$A$89,0)+MATCH($D171,'[2]End - Use Prices'!$B$9:$B$11,0)-1,MATCH(AT$1,'[2]End - Use Prices'!$C$7:$AL$7,0))</f>
        <v>12.04</v>
      </c>
      <c r="AU171" s="41">
        <f>INDEX('[2]End - Use Prices'!$C$6:$AL$89,MATCH($C171,'[2]End - Use Prices'!$A$6:$A$89,0)+MATCH($D171,'[2]End - Use Prices'!$B$9:$B$11,0)-1,MATCH(AU$1,'[2]End - Use Prices'!$C$7:$AL$7,0))</f>
        <v>12.16</v>
      </c>
      <c r="AV171" s="41">
        <f>INDEX('[2]End - Use Prices'!$C$6:$AL$89,MATCH($C171,'[2]End - Use Prices'!$A$6:$A$89,0)+MATCH($D171,'[2]End - Use Prices'!$B$9:$B$11,0)-1,MATCH(AV$1,'[2]End - Use Prices'!$C$7:$AL$7,0))</f>
        <v>12.3</v>
      </c>
      <c r="AW171" s="41">
        <f>INDEX('[2]End - Use Prices'!$C$6:$AL$89,MATCH($C171,'[2]End - Use Prices'!$A$6:$A$89,0)+MATCH($D171,'[2]End - Use Prices'!$B$9:$B$11,0)-1,MATCH(AW$1,'[2]End - Use Prices'!$C$7:$AL$7,0))</f>
        <v>12.43</v>
      </c>
      <c r="AX171" s="41">
        <f>INDEX('[2]End - Use Prices'!$C$6:$AL$89,MATCH($C171,'[2]End - Use Prices'!$A$6:$A$89,0)+MATCH($D171,'[2]End - Use Prices'!$B$9:$B$11,0)-1,MATCH(AX$1,'[2]End - Use Prices'!$C$7:$AL$7,0))</f>
        <v>12.56</v>
      </c>
      <c r="AY171" s="41">
        <f>INDEX('[2]End - Use Prices'!$C$6:$AL$89,MATCH($C171,'[2]End - Use Prices'!$A$6:$A$89,0)+MATCH($D171,'[2]End - Use Prices'!$B$9:$B$11,0)-1,MATCH(AY$1,'[2]End - Use Prices'!$C$7:$AL$7,0))</f>
        <v>12.7</v>
      </c>
      <c r="AZ171" s="41">
        <f>INDEX('[2]End - Use Prices'!$C$6:$AL$89,MATCH($C171,'[2]End - Use Prices'!$A$6:$A$89,0)+MATCH($D171,'[2]End - Use Prices'!$B$9:$B$11,0)-1,MATCH(AZ$1,'[2]End - Use Prices'!$C$7:$AL$7,0))</f>
        <v>12.86</v>
      </c>
      <c r="BA171" s="41">
        <f>INDEX('[2]End - Use Prices'!$C$6:$AL$89,MATCH($C171,'[2]End - Use Prices'!$A$6:$A$89,0)+MATCH($D171,'[2]End - Use Prices'!$B$9:$B$11,0)-1,MATCH(BA$1,'[2]End - Use Prices'!$C$7:$AL$7,0))</f>
        <v>12.95</v>
      </c>
      <c r="BB171" s="41">
        <f>INDEX('[2]End - Use Prices'!$C$6:$AL$89,MATCH($C171,'[2]End - Use Prices'!$A$6:$A$89,0)+MATCH($D171,'[2]End - Use Prices'!$B$9:$B$11,0)-1,MATCH(BB$1,'[2]End - Use Prices'!$C$7:$AL$7,0))</f>
        <v>13.03</v>
      </c>
      <c r="BC171" s="41">
        <f>INDEX('[2]End - Use Prices'!$C$6:$AL$89,MATCH($C171,'[2]End - Use Prices'!$A$6:$A$89,0)+MATCH($D171,'[2]End - Use Prices'!$B$9:$B$11,0)-1,MATCH(BC$1,'[2]End - Use Prices'!$C$7:$AL$7,0))</f>
        <v>13.11</v>
      </c>
      <c r="BD171" s="41">
        <f>INDEX('[2]End - Use Prices'!$C$6:$AL$89,MATCH($C171,'[2]End - Use Prices'!$A$6:$A$89,0)+MATCH($D171,'[2]End - Use Prices'!$B$9:$B$11,0)-1,MATCH(BD$1,'[2]End - Use Prices'!$C$7:$AL$7,0))</f>
        <v>13.17</v>
      </c>
      <c r="BE171" s="41">
        <f>INDEX('[2]End - Use Prices'!$C$6:$AL$89,MATCH($C171,'[2]End - Use Prices'!$A$6:$A$89,0)+MATCH($D171,'[2]End - Use Prices'!$B$9:$B$11,0)-1,MATCH(BE$1,'[2]End - Use Prices'!$C$7:$AL$7,0))</f>
        <v>13.22</v>
      </c>
      <c r="BF171" s="41">
        <f>INDEX('[2]End - Use Prices'!$C$6:$AL$89,MATCH($C171,'[2]End - Use Prices'!$A$6:$A$89,0)+MATCH($D171,'[2]End - Use Prices'!$B$9:$B$11,0)-1,MATCH(BF$1,'[2]End - Use Prices'!$C$7:$AL$7,0))</f>
        <v>13.27</v>
      </c>
      <c r="BG171" s="41">
        <f>INDEX('[2]End - Use Prices'!$C$6:$AL$89,MATCH($C171,'[2]End - Use Prices'!$A$6:$A$89,0)+MATCH($D171,'[2]End - Use Prices'!$B$9:$B$11,0)-1,MATCH(BG$1,'[2]End - Use Prices'!$C$7:$AL$7,0))</f>
        <v>13.31</v>
      </c>
      <c r="BR171" s="39"/>
      <c r="BS171" s="39"/>
      <c r="BT171" s="39"/>
      <c r="BU171" s="39"/>
      <c r="BV171" s="39"/>
      <c r="BW171" s="39"/>
      <c r="BX171" s="39"/>
      <c r="BY171" s="39"/>
      <c r="BZ171" s="39"/>
      <c r="CA171" s="39"/>
    </row>
    <row r="172" spans="1:79">
      <c r="A172" s="5"/>
      <c r="B172" s="3"/>
      <c r="C172" s="25" t="s">
        <v>91</v>
      </c>
      <c r="D172" s="25" t="s">
        <v>13</v>
      </c>
      <c r="E172" s="25" t="s">
        <v>277</v>
      </c>
      <c r="F172" s="67" t="s">
        <v>275</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INDEX('[2]End - Use Prices'!$C$6:$AL$89,MATCH($C172,'[2]End - Use Prices'!$A$6:$A$89,0)+MATCH($D172,'[2]End - Use Prices'!$B$9:$B$11,0)-1,MATCH(X$1,'[2]End - Use Prices'!$C$7:$AL$7,0))</f>
        <v>14.11</v>
      </c>
      <c r="Y172" s="41">
        <f>INDEX('[2]End - Use Prices'!$C$6:$AL$89,MATCH($C172,'[2]End - Use Prices'!$A$6:$A$89,0)+MATCH($D172,'[2]End - Use Prices'!$B$9:$B$11,0)-1,MATCH(Y$1,'[2]End - Use Prices'!$C$7:$AL$7,0))</f>
        <v>13.96</v>
      </c>
      <c r="Z172" s="41">
        <f>INDEX('[2]End - Use Prices'!$C$6:$AL$89,MATCH($C172,'[2]End - Use Prices'!$A$6:$A$89,0)+MATCH($D172,'[2]End - Use Prices'!$B$9:$B$11,0)-1,MATCH(Z$1,'[2]End - Use Prices'!$C$7:$AL$7,0))</f>
        <v>13.58</v>
      </c>
      <c r="AA172" s="41">
        <f>INDEX('[2]End - Use Prices'!$C$6:$AL$89,MATCH($C172,'[2]End - Use Prices'!$A$6:$A$89,0)+MATCH($D172,'[2]End - Use Prices'!$B$9:$B$11,0)-1,MATCH(AA$1,'[2]End - Use Prices'!$C$7:$AL$7,0))</f>
        <v>12.3</v>
      </c>
      <c r="AB172" s="41">
        <f>INDEX('[2]End - Use Prices'!$C$6:$AL$89,MATCH($C172,'[2]End - Use Prices'!$A$6:$A$89,0)+MATCH($D172,'[2]End - Use Prices'!$B$9:$B$11,0)-1,MATCH(AB$1,'[2]End - Use Prices'!$C$7:$AL$7,0))</f>
        <v>14.1</v>
      </c>
      <c r="AC172" s="41">
        <f>INDEX('[2]End - Use Prices'!$C$6:$AL$89,MATCH($C172,'[2]End - Use Prices'!$A$6:$A$89,0)+MATCH($D172,'[2]End - Use Prices'!$B$9:$B$11,0)-1,MATCH(AC$1,'[2]End - Use Prices'!$C$7:$AL$7,0))</f>
        <v>12.28</v>
      </c>
      <c r="AD172" s="41">
        <f>INDEX('[2]End - Use Prices'!$C$6:$AL$89,MATCH($C172,'[2]End - Use Prices'!$A$6:$A$89,0)+MATCH($D172,'[2]End - Use Prices'!$B$9:$B$11,0)-1,MATCH(AD$1,'[2]End - Use Prices'!$C$7:$AL$7,0))</f>
        <v>11.25</v>
      </c>
      <c r="AE172" s="41">
        <f>INDEX('[2]End - Use Prices'!$C$6:$AL$89,MATCH($C172,'[2]End - Use Prices'!$A$6:$A$89,0)+MATCH($D172,'[2]End - Use Prices'!$B$9:$B$11,0)-1,MATCH(AE$1,'[2]End - Use Prices'!$C$7:$AL$7,0))</f>
        <v>10.93</v>
      </c>
      <c r="AF172" s="41">
        <f>INDEX('[2]End - Use Prices'!$C$6:$AL$89,MATCH($C172,'[2]End - Use Prices'!$A$6:$A$89,0)+MATCH($D172,'[2]End - Use Prices'!$B$9:$B$11,0)-1,MATCH(AF$1,'[2]End - Use Prices'!$C$7:$AL$7,0))</f>
        <v>10.61</v>
      </c>
      <c r="AG172" s="41">
        <f>INDEX('[2]End - Use Prices'!$C$6:$AL$89,MATCH($C172,'[2]End - Use Prices'!$A$6:$A$89,0)+MATCH($D172,'[2]End - Use Prices'!$B$9:$B$11,0)-1,MATCH(AG$1,'[2]End - Use Prices'!$C$7:$AL$7,0))</f>
        <v>9.19</v>
      </c>
      <c r="AH172" s="41">
        <f>INDEX('[2]End - Use Prices'!$C$6:$AL$89,MATCH($C172,'[2]End - Use Prices'!$A$6:$A$89,0)+MATCH($D172,'[2]End - Use Prices'!$B$9:$B$11,0)-1,MATCH(AH$1,'[2]End - Use Prices'!$C$7:$AL$7,0))</f>
        <v>11.81</v>
      </c>
      <c r="AI172" s="41">
        <f>INDEX('[2]End - Use Prices'!$C$6:$AL$89,MATCH($C172,'[2]End - Use Prices'!$A$6:$A$89,0)+MATCH($D172,'[2]End - Use Prices'!$B$9:$B$11,0)-1,MATCH(AI$1,'[2]End - Use Prices'!$C$7:$AL$7,0))</f>
        <v>8.8000000000000007</v>
      </c>
      <c r="AJ172" s="41">
        <f>INDEX('[2]End - Use Prices'!$C$6:$AL$89,MATCH($C172,'[2]End - Use Prices'!$A$6:$A$89,0)+MATCH($D172,'[2]End - Use Prices'!$B$9:$B$11,0)-1,MATCH(AJ$1,'[2]End - Use Prices'!$C$7:$AL$7,0))</f>
        <v>7.48</v>
      </c>
      <c r="AK172" s="41">
        <f>INDEX('[2]End - Use Prices'!$C$6:$AL$89,MATCH($C172,'[2]End - Use Prices'!$A$6:$A$89,0)+MATCH($D172,'[2]End - Use Prices'!$B$9:$B$11,0)-1,MATCH(AK$1,'[2]End - Use Prices'!$C$7:$AL$7,0))</f>
        <v>7.4</v>
      </c>
      <c r="AL172" s="41">
        <f>INDEX('[2]End - Use Prices'!$C$6:$AL$89,MATCH($C172,'[2]End - Use Prices'!$A$6:$A$89,0)+MATCH($D172,'[2]End - Use Prices'!$B$9:$B$11,0)-1,MATCH(AL$1,'[2]End - Use Prices'!$C$7:$AL$7,0))</f>
        <v>7.39</v>
      </c>
      <c r="AM172" s="41">
        <f>INDEX('[2]End - Use Prices'!$C$6:$AL$89,MATCH($C172,'[2]End - Use Prices'!$A$6:$A$89,0)+MATCH($D172,'[2]End - Use Prices'!$B$9:$B$11,0)-1,MATCH(AM$1,'[2]End - Use Prices'!$C$7:$AL$7,0))</f>
        <v>8.3000000000000007</v>
      </c>
      <c r="AN172" s="41">
        <f>INDEX('[2]End - Use Prices'!$C$6:$AL$89,MATCH($C172,'[2]End - Use Prices'!$A$6:$A$89,0)+MATCH($D172,'[2]End - Use Prices'!$B$9:$B$11,0)-1,MATCH(AN$1,'[2]End - Use Prices'!$C$7:$AL$7,0))</f>
        <v>8.73</v>
      </c>
      <c r="AO172" s="41">
        <f>INDEX('[2]End - Use Prices'!$C$6:$AL$89,MATCH($C172,'[2]End - Use Prices'!$A$6:$A$89,0)+MATCH($D172,'[2]End - Use Prices'!$B$9:$B$11,0)-1,MATCH(AO$1,'[2]End - Use Prices'!$C$7:$AL$7,0))</f>
        <v>9.14</v>
      </c>
      <c r="AP172" s="41">
        <f>INDEX('[2]End - Use Prices'!$C$6:$AL$89,MATCH($C172,'[2]End - Use Prices'!$A$6:$A$89,0)+MATCH($D172,'[2]End - Use Prices'!$B$9:$B$11,0)-1,MATCH(AP$1,'[2]End - Use Prices'!$C$7:$AL$7,0))</f>
        <v>9.51</v>
      </c>
      <c r="AQ172" s="41">
        <f>INDEX('[2]End - Use Prices'!$C$6:$AL$89,MATCH($C172,'[2]End - Use Prices'!$A$6:$A$89,0)+MATCH($D172,'[2]End - Use Prices'!$B$9:$B$11,0)-1,MATCH(AQ$1,'[2]End - Use Prices'!$C$7:$AL$7,0))</f>
        <v>9.4499999999999993</v>
      </c>
      <c r="AR172" s="41">
        <f>INDEX('[2]End - Use Prices'!$C$6:$AL$89,MATCH($C172,'[2]End - Use Prices'!$A$6:$A$89,0)+MATCH($D172,'[2]End - Use Prices'!$B$9:$B$11,0)-1,MATCH(AR$1,'[2]End - Use Prices'!$C$7:$AL$7,0))</f>
        <v>9.42</v>
      </c>
      <c r="AS172" s="41">
        <f>INDEX('[2]End - Use Prices'!$C$6:$AL$89,MATCH($C172,'[2]End - Use Prices'!$A$6:$A$89,0)+MATCH($D172,'[2]End - Use Prices'!$B$9:$B$11,0)-1,MATCH(AS$1,'[2]End - Use Prices'!$C$7:$AL$7,0))</f>
        <v>9.4600000000000009</v>
      </c>
      <c r="AT172" s="41">
        <f>INDEX('[2]End - Use Prices'!$C$6:$AL$89,MATCH($C172,'[2]End - Use Prices'!$A$6:$A$89,0)+MATCH($D172,'[2]End - Use Prices'!$B$9:$B$11,0)-1,MATCH(AT$1,'[2]End - Use Prices'!$C$7:$AL$7,0))</f>
        <v>9.48</v>
      </c>
      <c r="AU172" s="41">
        <f>INDEX('[2]End - Use Prices'!$C$6:$AL$89,MATCH($C172,'[2]End - Use Prices'!$A$6:$A$89,0)+MATCH($D172,'[2]End - Use Prices'!$B$9:$B$11,0)-1,MATCH(AU$1,'[2]End - Use Prices'!$C$7:$AL$7,0))</f>
        <v>9.52</v>
      </c>
      <c r="AV172" s="41">
        <f>INDEX('[2]End - Use Prices'!$C$6:$AL$89,MATCH($C172,'[2]End - Use Prices'!$A$6:$A$89,0)+MATCH($D172,'[2]End - Use Prices'!$B$9:$B$11,0)-1,MATCH(AV$1,'[2]End - Use Prices'!$C$7:$AL$7,0))</f>
        <v>9.57</v>
      </c>
      <c r="AW172" s="41">
        <f>INDEX('[2]End - Use Prices'!$C$6:$AL$89,MATCH($C172,'[2]End - Use Prices'!$A$6:$A$89,0)+MATCH($D172,'[2]End - Use Prices'!$B$9:$B$11,0)-1,MATCH(AW$1,'[2]End - Use Prices'!$C$7:$AL$7,0))</f>
        <v>9.6199999999999992</v>
      </c>
      <c r="AX172" s="41">
        <f>INDEX('[2]End - Use Prices'!$C$6:$AL$89,MATCH($C172,'[2]End - Use Prices'!$A$6:$A$89,0)+MATCH($D172,'[2]End - Use Prices'!$B$9:$B$11,0)-1,MATCH(AX$1,'[2]End - Use Prices'!$C$7:$AL$7,0))</f>
        <v>9.68</v>
      </c>
      <c r="AY172" s="41">
        <f>INDEX('[2]End - Use Prices'!$C$6:$AL$89,MATCH($C172,'[2]End - Use Prices'!$A$6:$A$89,0)+MATCH($D172,'[2]End - Use Prices'!$B$9:$B$11,0)-1,MATCH(AY$1,'[2]End - Use Prices'!$C$7:$AL$7,0))</f>
        <v>9.75</v>
      </c>
      <c r="AZ172" s="41">
        <f>INDEX('[2]End - Use Prices'!$C$6:$AL$89,MATCH($C172,'[2]End - Use Prices'!$A$6:$A$89,0)+MATCH($D172,'[2]End - Use Prices'!$B$9:$B$11,0)-1,MATCH(AZ$1,'[2]End - Use Prices'!$C$7:$AL$7,0))</f>
        <v>9.83</v>
      </c>
      <c r="BA172" s="41">
        <f>INDEX('[2]End - Use Prices'!$C$6:$AL$89,MATCH($C172,'[2]End - Use Prices'!$A$6:$A$89,0)+MATCH($D172,'[2]End - Use Prices'!$B$9:$B$11,0)-1,MATCH(BA$1,'[2]End - Use Prices'!$C$7:$AL$7,0))</f>
        <v>9.8699999999999992</v>
      </c>
      <c r="BB172" s="41">
        <f>INDEX('[2]End - Use Prices'!$C$6:$AL$89,MATCH($C172,'[2]End - Use Prices'!$A$6:$A$89,0)+MATCH($D172,'[2]End - Use Prices'!$B$9:$B$11,0)-1,MATCH(BB$1,'[2]End - Use Prices'!$C$7:$AL$7,0))</f>
        <v>9.9</v>
      </c>
      <c r="BC172" s="41">
        <f>INDEX('[2]End - Use Prices'!$C$6:$AL$89,MATCH($C172,'[2]End - Use Prices'!$A$6:$A$89,0)+MATCH($D172,'[2]End - Use Prices'!$B$9:$B$11,0)-1,MATCH(BC$1,'[2]End - Use Prices'!$C$7:$AL$7,0))</f>
        <v>9.93</v>
      </c>
      <c r="BD172" s="41">
        <f>INDEX('[2]End - Use Prices'!$C$6:$AL$89,MATCH($C172,'[2]End - Use Prices'!$A$6:$A$89,0)+MATCH($D172,'[2]End - Use Prices'!$B$9:$B$11,0)-1,MATCH(BD$1,'[2]End - Use Prices'!$C$7:$AL$7,0))</f>
        <v>9.94</v>
      </c>
      <c r="BE172" s="41">
        <f>INDEX('[2]End - Use Prices'!$C$6:$AL$89,MATCH($C172,'[2]End - Use Prices'!$A$6:$A$89,0)+MATCH($D172,'[2]End - Use Prices'!$B$9:$B$11,0)-1,MATCH(BE$1,'[2]End - Use Prices'!$C$7:$AL$7,0))</f>
        <v>9.94</v>
      </c>
      <c r="BF172" s="41">
        <f>INDEX('[2]End - Use Prices'!$C$6:$AL$89,MATCH($C172,'[2]End - Use Prices'!$A$6:$A$89,0)+MATCH($D172,'[2]End - Use Prices'!$B$9:$B$11,0)-1,MATCH(BF$1,'[2]End - Use Prices'!$C$7:$AL$7,0))</f>
        <v>9.9499999999999993</v>
      </c>
      <c r="BG172" s="41">
        <f>INDEX('[2]End - Use Prices'!$C$6:$AL$89,MATCH($C172,'[2]End - Use Prices'!$A$6:$A$89,0)+MATCH($D172,'[2]End - Use Prices'!$B$9:$B$11,0)-1,MATCH(BG$1,'[2]End - Use Prices'!$C$7:$AL$7,0))</f>
        <v>9.9499999999999993</v>
      </c>
      <c r="BR172" s="39"/>
      <c r="BS172" s="39"/>
      <c r="BT172" s="39"/>
      <c r="BU172" s="39"/>
      <c r="BV172" s="39"/>
      <c r="BW172" s="39"/>
      <c r="BX172" s="39"/>
      <c r="BY172" s="39"/>
      <c r="BZ172" s="39"/>
      <c r="CA172" s="39"/>
    </row>
    <row r="173" spans="1:79">
      <c r="A173" s="5"/>
      <c r="B173" s="3"/>
      <c r="C173" s="25" t="s">
        <v>5</v>
      </c>
      <c r="D173" s="25" t="s">
        <v>13</v>
      </c>
      <c r="E173" s="25" t="s">
        <v>277</v>
      </c>
      <c r="F173" s="67" t="s">
        <v>275</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INDEX('[2]End - Use Prices'!$C$6:$AL$89,MATCH($C173,'[2]End - Use Prices'!$A$6:$A$89,0)+MATCH($D173,'[2]End - Use Prices'!$B$9:$B$11,0)-1,MATCH(X$1,'[2]End - Use Prices'!$C$7:$AL$7,0))</f>
        <v>12.98</v>
      </c>
      <c r="Y173" s="41">
        <f>INDEX('[2]End - Use Prices'!$C$6:$AL$89,MATCH($C173,'[2]End - Use Prices'!$A$6:$A$89,0)+MATCH($D173,'[2]End - Use Prices'!$B$9:$B$11,0)-1,MATCH(Y$1,'[2]End - Use Prices'!$C$7:$AL$7,0))</f>
        <v>11.76</v>
      </c>
      <c r="Z173" s="41">
        <f>INDEX('[2]End - Use Prices'!$C$6:$AL$89,MATCH($C173,'[2]End - Use Prices'!$A$6:$A$89,0)+MATCH($D173,'[2]End - Use Prices'!$B$9:$B$11,0)-1,MATCH(Z$1,'[2]End - Use Prices'!$C$7:$AL$7,0))</f>
        <v>10.95</v>
      </c>
      <c r="AA173" s="41">
        <f>INDEX('[2]End - Use Prices'!$C$6:$AL$89,MATCH($C173,'[2]End - Use Prices'!$A$6:$A$89,0)+MATCH($D173,'[2]End - Use Prices'!$B$9:$B$11,0)-1,MATCH(AA$1,'[2]End - Use Prices'!$C$7:$AL$7,0))</f>
        <v>11.03</v>
      </c>
      <c r="AB173" s="41">
        <f>INDEX('[2]End - Use Prices'!$C$6:$AL$89,MATCH($C173,'[2]End - Use Prices'!$A$6:$A$89,0)+MATCH($D173,'[2]End - Use Prices'!$B$9:$B$11,0)-1,MATCH(AB$1,'[2]End - Use Prices'!$C$7:$AL$7,0))</f>
        <v>7.77</v>
      </c>
      <c r="AC173" s="41">
        <f>INDEX('[2]End - Use Prices'!$C$6:$AL$89,MATCH($C173,'[2]End - Use Prices'!$A$6:$A$89,0)+MATCH($D173,'[2]End - Use Prices'!$B$9:$B$11,0)-1,MATCH(AC$1,'[2]End - Use Prices'!$C$7:$AL$7,0))</f>
        <v>7.97</v>
      </c>
      <c r="AD173" s="41">
        <f>INDEX('[2]End - Use Prices'!$C$6:$AL$89,MATCH($C173,'[2]End - Use Prices'!$A$6:$A$89,0)+MATCH($D173,'[2]End - Use Prices'!$B$9:$B$11,0)-1,MATCH(AD$1,'[2]End - Use Prices'!$C$7:$AL$7,0))</f>
        <v>8.15</v>
      </c>
      <c r="AE173" s="41">
        <f>INDEX('[2]End - Use Prices'!$C$6:$AL$89,MATCH($C173,'[2]End - Use Prices'!$A$6:$A$89,0)+MATCH($D173,'[2]End - Use Prices'!$B$9:$B$11,0)-1,MATCH(AE$1,'[2]End - Use Prices'!$C$7:$AL$7,0))</f>
        <v>6.63</v>
      </c>
      <c r="AF173" s="41">
        <f>INDEX('[2]End - Use Prices'!$C$6:$AL$89,MATCH($C173,'[2]End - Use Prices'!$A$6:$A$89,0)+MATCH($D173,'[2]End - Use Prices'!$B$9:$B$11,0)-1,MATCH(AF$1,'[2]End - Use Prices'!$C$7:$AL$7,0))</f>
        <v>6.93</v>
      </c>
      <c r="AG173" s="41">
        <f>INDEX('[2]End - Use Prices'!$C$6:$AL$89,MATCH($C173,'[2]End - Use Prices'!$A$6:$A$89,0)+MATCH($D173,'[2]End - Use Prices'!$B$9:$B$11,0)-1,MATCH(AG$1,'[2]End - Use Prices'!$C$7:$AL$7,0))</f>
        <v>8.5399999999999991</v>
      </c>
      <c r="AH173" s="41">
        <f>INDEX('[2]End - Use Prices'!$C$6:$AL$89,MATCH($C173,'[2]End - Use Prices'!$A$6:$A$89,0)+MATCH($D173,'[2]End - Use Prices'!$B$9:$B$11,0)-1,MATCH(AH$1,'[2]End - Use Prices'!$C$7:$AL$7,0))</f>
        <v>3.36</v>
      </c>
      <c r="AI173" s="41">
        <f>INDEX('[2]End - Use Prices'!$C$6:$AL$89,MATCH($C173,'[2]End - Use Prices'!$A$6:$A$89,0)+MATCH($D173,'[2]End - Use Prices'!$B$9:$B$11,0)-1,MATCH(AI$1,'[2]End - Use Prices'!$C$7:$AL$7,0))</f>
        <v>5.3</v>
      </c>
      <c r="AJ173" s="41">
        <f>INDEX('[2]End - Use Prices'!$C$6:$AL$89,MATCH($C173,'[2]End - Use Prices'!$A$6:$A$89,0)+MATCH($D173,'[2]End - Use Prices'!$B$9:$B$11,0)-1,MATCH(AJ$1,'[2]End - Use Prices'!$C$7:$AL$7,0))</f>
        <v>4.5599999999999996</v>
      </c>
      <c r="AK173" s="41">
        <f>INDEX('[2]End - Use Prices'!$C$6:$AL$89,MATCH($C173,'[2]End - Use Prices'!$A$6:$A$89,0)+MATCH($D173,'[2]End - Use Prices'!$B$9:$B$11,0)-1,MATCH(AK$1,'[2]End - Use Prices'!$C$7:$AL$7,0))</f>
        <v>5.99</v>
      </c>
      <c r="AL173" s="41">
        <f>INDEX('[2]End - Use Prices'!$C$6:$AL$89,MATCH($C173,'[2]End - Use Prices'!$A$6:$A$89,0)+MATCH($D173,'[2]End - Use Prices'!$B$9:$B$11,0)-1,MATCH(AL$1,'[2]End - Use Prices'!$C$7:$AL$7,0))</f>
        <v>6.47</v>
      </c>
      <c r="AM173" s="41">
        <f>INDEX('[2]End - Use Prices'!$C$6:$AL$89,MATCH($C173,'[2]End - Use Prices'!$A$6:$A$89,0)+MATCH($D173,'[2]End - Use Prices'!$B$9:$B$11,0)-1,MATCH(AM$1,'[2]End - Use Prices'!$C$7:$AL$7,0))</f>
        <v>6.42</v>
      </c>
      <c r="AN173" s="41">
        <f>INDEX('[2]End - Use Prices'!$C$6:$AL$89,MATCH($C173,'[2]End - Use Prices'!$A$6:$A$89,0)+MATCH($D173,'[2]End - Use Prices'!$B$9:$B$11,0)-1,MATCH(AN$1,'[2]End - Use Prices'!$C$7:$AL$7,0))</f>
        <v>6.38</v>
      </c>
      <c r="AO173" s="41">
        <f>INDEX('[2]End - Use Prices'!$C$6:$AL$89,MATCH($C173,'[2]End - Use Prices'!$A$6:$A$89,0)+MATCH($D173,'[2]End - Use Prices'!$B$9:$B$11,0)-1,MATCH(AO$1,'[2]End - Use Prices'!$C$7:$AL$7,0))</f>
        <v>6.84</v>
      </c>
      <c r="AP173" s="41">
        <f>INDEX('[2]End - Use Prices'!$C$6:$AL$89,MATCH($C173,'[2]End - Use Prices'!$A$6:$A$89,0)+MATCH($D173,'[2]End - Use Prices'!$B$9:$B$11,0)-1,MATCH(AP$1,'[2]End - Use Prices'!$C$7:$AL$7,0))</f>
        <v>7.25</v>
      </c>
      <c r="AQ173" s="41">
        <f>INDEX('[2]End - Use Prices'!$C$6:$AL$89,MATCH($C173,'[2]End - Use Prices'!$A$6:$A$89,0)+MATCH($D173,'[2]End - Use Prices'!$B$9:$B$11,0)-1,MATCH(AQ$1,'[2]End - Use Prices'!$C$7:$AL$7,0))</f>
        <v>7.19</v>
      </c>
      <c r="AR173" s="41">
        <f>INDEX('[2]End - Use Prices'!$C$6:$AL$89,MATCH($C173,'[2]End - Use Prices'!$A$6:$A$89,0)+MATCH($D173,'[2]End - Use Prices'!$B$9:$B$11,0)-1,MATCH(AR$1,'[2]End - Use Prices'!$C$7:$AL$7,0))</f>
        <v>7.15</v>
      </c>
      <c r="AS173" s="41">
        <f>INDEX('[2]End - Use Prices'!$C$6:$AL$89,MATCH($C173,'[2]End - Use Prices'!$A$6:$A$89,0)+MATCH($D173,'[2]End - Use Prices'!$B$9:$B$11,0)-1,MATCH(AS$1,'[2]End - Use Prices'!$C$7:$AL$7,0))</f>
        <v>7.18</v>
      </c>
      <c r="AT173" s="41">
        <f>INDEX('[2]End - Use Prices'!$C$6:$AL$89,MATCH($C173,'[2]End - Use Prices'!$A$6:$A$89,0)+MATCH($D173,'[2]End - Use Prices'!$B$9:$B$11,0)-1,MATCH(AT$1,'[2]End - Use Prices'!$C$7:$AL$7,0))</f>
        <v>7.2</v>
      </c>
      <c r="AU173" s="41">
        <f>INDEX('[2]End - Use Prices'!$C$6:$AL$89,MATCH($C173,'[2]End - Use Prices'!$A$6:$A$89,0)+MATCH($D173,'[2]End - Use Prices'!$B$9:$B$11,0)-1,MATCH(AU$1,'[2]End - Use Prices'!$C$7:$AL$7,0))</f>
        <v>7.23</v>
      </c>
      <c r="AV173" s="41">
        <f>INDEX('[2]End - Use Prices'!$C$6:$AL$89,MATCH($C173,'[2]End - Use Prices'!$A$6:$A$89,0)+MATCH($D173,'[2]End - Use Prices'!$B$9:$B$11,0)-1,MATCH(AV$1,'[2]End - Use Prices'!$C$7:$AL$7,0))</f>
        <v>7.28</v>
      </c>
      <c r="AW173" s="41">
        <f>INDEX('[2]End - Use Prices'!$C$6:$AL$89,MATCH($C173,'[2]End - Use Prices'!$A$6:$A$89,0)+MATCH($D173,'[2]End - Use Prices'!$B$9:$B$11,0)-1,MATCH(AW$1,'[2]End - Use Prices'!$C$7:$AL$7,0))</f>
        <v>7.33</v>
      </c>
      <c r="AX173" s="41">
        <f>INDEX('[2]End - Use Prices'!$C$6:$AL$89,MATCH($C173,'[2]End - Use Prices'!$A$6:$A$89,0)+MATCH($D173,'[2]End - Use Prices'!$B$9:$B$11,0)-1,MATCH(AX$1,'[2]End - Use Prices'!$C$7:$AL$7,0))</f>
        <v>7.38</v>
      </c>
      <c r="AY173" s="41">
        <f>INDEX('[2]End - Use Prices'!$C$6:$AL$89,MATCH($C173,'[2]End - Use Prices'!$A$6:$A$89,0)+MATCH($D173,'[2]End - Use Prices'!$B$9:$B$11,0)-1,MATCH(AY$1,'[2]End - Use Prices'!$C$7:$AL$7,0))</f>
        <v>7.45</v>
      </c>
      <c r="AZ173" s="41">
        <f>INDEX('[2]End - Use Prices'!$C$6:$AL$89,MATCH($C173,'[2]End - Use Prices'!$A$6:$A$89,0)+MATCH($D173,'[2]End - Use Prices'!$B$9:$B$11,0)-1,MATCH(AZ$1,'[2]End - Use Prices'!$C$7:$AL$7,0))</f>
        <v>7.53</v>
      </c>
      <c r="BA173" s="41">
        <f>INDEX('[2]End - Use Prices'!$C$6:$AL$89,MATCH($C173,'[2]End - Use Prices'!$A$6:$A$89,0)+MATCH($D173,'[2]End - Use Prices'!$B$9:$B$11,0)-1,MATCH(BA$1,'[2]End - Use Prices'!$C$7:$AL$7,0))</f>
        <v>7.57</v>
      </c>
      <c r="BB173" s="41">
        <f>INDEX('[2]End - Use Prices'!$C$6:$AL$89,MATCH($C173,'[2]End - Use Prices'!$A$6:$A$89,0)+MATCH($D173,'[2]End - Use Prices'!$B$9:$B$11,0)-1,MATCH(BB$1,'[2]End - Use Prices'!$C$7:$AL$7,0))</f>
        <v>7.6</v>
      </c>
      <c r="BC173" s="41">
        <f>INDEX('[2]End - Use Prices'!$C$6:$AL$89,MATCH($C173,'[2]End - Use Prices'!$A$6:$A$89,0)+MATCH($D173,'[2]End - Use Prices'!$B$9:$B$11,0)-1,MATCH(BC$1,'[2]End - Use Prices'!$C$7:$AL$7,0))</f>
        <v>7.62</v>
      </c>
      <c r="BD173" s="41">
        <f>INDEX('[2]End - Use Prices'!$C$6:$AL$89,MATCH($C173,'[2]End - Use Prices'!$A$6:$A$89,0)+MATCH($D173,'[2]End - Use Prices'!$B$9:$B$11,0)-1,MATCH(BD$1,'[2]End - Use Prices'!$C$7:$AL$7,0))</f>
        <v>7.63</v>
      </c>
      <c r="BE173" s="41">
        <f>INDEX('[2]End - Use Prices'!$C$6:$AL$89,MATCH($C173,'[2]End - Use Prices'!$A$6:$A$89,0)+MATCH($D173,'[2]End - Use Prices'!$B$9:$B$11,0)-1,MATCH(BE$1,'[2]End - Use Prices'!$C$7:$AL$7,0))</f>
        <v>7.63</v>
      </c>
      <c r="BF173" s="41">
        <f>INDEX('[2]End - Use Prices'!$C$6:$AL$89,MATCH($C173,'[2]End - Use Prices'!$A$6:$A$89,0)+MATCH($D173,'[2]End - Use Prices'!$B$9:$B$11,0)-1,MATCH(BF$1,'[2]End - Use Prices'!$C$7:$AL$7,0))</f>
        <v>7.63</v>
      </c>
      <c r="BG173" s="41">
        <f>INDEX('[2]End - Use Prices'!$C$6:$AL$89,MATCH($C173,'[2]End - Use Prices'!$A$6:$A$89,0)+MATCH($D173,'[2]End - Use Prices'!$B$9:$B$11,0)-1,MATCH(BG$1,'[2]End - Use Prices'!$C$7:$AL$7,0))</f>
        <v>7.63</v>
      </c>
      <c r="BR173" s="39"/>
      <c r="BS173" s="39"/>
      <c r="BT173" s="39"/>
      <c r="BU173" s="39"/>
      <c r="BV173" s="39"/>
      <c r="BW173" s="39"/>
      <c r="BX173" s="39"/>
      <c r="BY173" s="39"/>
      <c r="BZ173" s="39"/>
      <c r="CA173" s="39"/>
    </row>
    <row r="174" spans="1:79">
      <c r="A174" s="5"/>
      <c r="B174" s="3"/>
      <c r="C174" s="25" t="s">
        <v>60</v>
      </c>
      <c r="D174" s="25" t="s">
        <v>13</v>
      </c>
      <c r="E174" s="25" t="s">
        <v>277</v>
      </c>
      <c r="F174" s="67" t="s">
        <v>275</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INDEX('[2]End - Use Prices'!$C$6:$AL$89,MATCH($C174,'[2]End - Use Prices'!$A$6:$A$89,0)+MATCH($D174,'[2]End - Use Prices'!$B$9:$B$11,0)-1,MATCH(X$1,'[2]End - Use Prices'!$C$7:$AL$7,0))</f>
        <v>15.71</v>
      </c>
      <c r="Y174" s="41">
        <f>INDEX('[2]End - Use Prices'!$C$6:$AL$89,MATCH($C174,'[2]End - Use Prices'!$A$6:$A$89,0)+MATCH($D174,'[2]End - Use Prices'!$B$9:$B$11,0)-1,MATCH(Y$1,'[2]End - Use Prices'!$C$7:$AL$7,0))</f>
        <v>16.100000000000001</v>
      </c>
      <c r="Z174" s="41">
        <f>INDEX('[2]End - Use Prices'!$C$6:$AL$89,MATCH($C174,'[2]End - Use Prices'!$A$6:$A$89,0)+MATCH($D174,'[2]End - Use Prices'!$B$9:$B$11,0)-1,MATCH(Z$1,'[2]End - Use Prices'!$C$7:$AL$7,0))</f>
        <v>15.95</v>
      </c>
      <c r="AA174" s="41">
        <f>INDEX('[2]End - Use Prices'!$C$6:$AL$89,MATCH($C174,'[2]End - Use Prices'!$A$6:$A$89,0)+MATCH($D174,'[2]End - Use Prices'!$B$9:$B$11,0)-1,MATCH(AA$1,'[2]End - Use Prices'!$C$7:$AL$7,0))</f>
        <v>15.79</v>
      </c>
      <c r="AB174" s="41">
        <f>INDEX('[2]End - Use Prices'!$C$6:$AL$89,MATCH($C174,'[2]End - Use Prices'!$A$6:$A$89,0)+MATCH($D174,'[2]End - Use Prices'!$B$9:$B$11,0)-1,MATCH(AB$1,'[2]End - Use Prices'!$C$7:$AL$7,0))</f>
        <v>16.8</v>
      </c>
      <c r="AC174" s="41">
        <f>INDEX('[2]End - Use Prices'!$C$6:$AL$89,MATCH($C174,'[2]End - Use Prices'!$A$6:$A$89,0)+MATCH($D174,'[2]End - Use Prices'!$B$9:$B$11,0)-1,MATCH(AC$1,'[2]End - Use Prices'!$C$7:$AL$7,0))</f>
        <v>17.63</v>
      </c>
      <c r="AD174" s="41">
        <f>INDEX('[2]End - Use Prices'!$C$6:$AL$89,MATCH($C174,'[2]End - Use Prices'!$A$6:$A$89,0)+MATCH($D174,'[2]End - Use Prices'!$B$9:$B$11,0)-1,MATCH(AD$1,'[2]End - Use Prices'!$C$7:$AL$7,0))</f>
        <v>17.100000000000001</v>
      </c>
      <c r="AE174" s="41">
        <f>INDEX('[2]End - Use Prices'!$C$6:$AL$89,MATCH($C174,'[2]End - Use Prices'!$A$6:$A$89,0)+MATCH($D174,'[2]End - Use Prices'!$B$9:$B$11,0)-1,MATCH(AE$1,'[2]End - Use Prices'!$C$7:$AL$7,0))</f>
        <v>16.28</v>
      </c>
      <c r="AF174" s="41">
        <f>INDEX('[2]End - Use Prices'!$C$6:$AL$89,MATCH($C174,'[2]End - Use Prices'!$A$6:$A$89,0)+MATCH($D174,'[2]End - Use Prices'!$B$9:$B$11,0)-1,MATCH(AF$1,'[2]End - Use Prices'!$C$7:$AL$7,0))</f>
        <v>15.65</v>
      </c>
      <c r="AG174" s="41">
        <f>INDEX('[2]End - Use Prices'!$C$6:$AL$89,MATCH($C174,'[2]End - Use Prices'!$A$6:$A$89,0)+MATCH($D174,'[2]End - Use Prices'!$B$9:$B$11,0)-1,MATCH(AG$1,'[2]End - Use Prices'!$C$7:$AL$7,0))</f>
        <v>16.579999999999998</v>
      </c>
      <c r="AH174" s="41">
        <f>INDEX('[2]End - Use Prices'!$C$6:$AL$89,MATCH($C174,'[2]End - Use Prices'!$A$6:$A$89,0)+MATCH($D174,'[2]End - Use Prices'!$B$9:$B$11,0)-1,MATCH(AH$1,'[2]End - Use Prices'!$C$7:$AL$7,0))</f>
        <v>15.79</v>
      </c>
      <c r="AI174" s="41">
        <f>INDEX('[2]End - Use Prices'!$C$6:$AL$89,MATCH($C174,'[2]End - Use Prices'!$A$6:$A$89,0)+MATCH($D174,'[2]End - Use Prices'!$B$9:$B$11,0)-1,MATCH(AI$1,'[2]End - Use Prices'!$C$7:$AL$7,0))</f>
        <v>12.09</v>
      </c>
      <c r="AJ174" s="41">
        <f>INDEX('[2]End - Use Prices'!$C$6:$AL$89,MATCH($C174,'[2]End - Use Prices'!$A$6:$A$89,0)+MATCH($D174,'[2]End - Use Prices'!$B$9:$B$11,0)-1,MATCH(AJ$1,'[2]End - Use Prices'!$C$7:$AL$7,0))</f>
        <v>12.97</v>
      </c>
      <c r="AK174" s="41">
        <f>INDEX('[2]End - Use Prices'!$C$6:$AL$89,MATCH($C174,'[2]End - Use Prices'!$A$6:$A$89,0)+MATCH($D174,'[2]End - Use Prices'!$B$9:$B$11,0)-1,MATCH(AK$1,'[2]End - Use Prices'!$C$7:$AL$7,0))</f>
        <v>12.73</v>
      </c>
      <c r="AL174" s="41">
        <f>INDEX('[2]End - Use Prices'!$C$6:$AL$89,MATCH($C174,'[2]End - Use Prices'!$A$6:$A$89,0)+MATCH($D174,'[2]End - Use Prices'!$B$9:$B$11,0)-1,MATCH(AL$1,'[2]End - Use Prices'!$C$7:$AL$7,0))</f>
        <v>12.86</v>
      </c>
      <c r="AM174" s="41">
        <f>INDEX('[2]End - Use Prices'!$C$6:$AL$89,MATCH($C174,'[2]End - Use Prices'!$A$6:$A$89,0)+MATCH($D174,'[2]End - Use Prices'!$B$9:$B$11,0)-1,MATCH(AM$1,'[2]End - Use Prices'!$C$7:$AL$7,0))</f>
        <v>13.09</v>
      </c>
      <c r="AN174" s="41">
        <f>INDEX('[2]End - Use Prices'!$C$6:$AL$89,MATCH($C174,'[2]End - Use Prices'!$A$6:$A$89,0)+MATCH($D174,'[2]End - Use Prices'!$B$9:$B$11,0)-1,MATCH(AN$1,'[2]End - Use Prices'!$C$7:$AL$7,0))</f>
        <v>13.29</v>
      </c>
      <c r="AO174" s="41">
        <f>INDEX('[2]End - Use Prices'!$C$6:$AL$89,MATCH($C174,'[2]End - Use Prices'!$A$6:$A$89,0)+MATCH($D174,'[2]End - Use Prices'!$B$9:$B$11,0)-1,MATCH(AO$1,'[2]End - Use Prices'!$C$7:$AL$7,0))</f>
        <v>13.49</v>
      </c>
      <c r="AP174" s="41">
        <f>INDEX('[2]End - Use Prices'!$C$6:$AL$89,MATCH($C174,'[2]End - Use Prices'!$A$6:$A$89,0)+MATCH($D174,'[2]End - Use Prices'!$B$9:$B$11,0)-1,MATCH(AP$1,'[2]End - Use Prices'!$C$7:$AL$7,0))</f>
        <v>13.43</v>
      </c>
      <c r="AQ174" s="41">
        <f>INDEX('[2]End - Use Prices'!$C$6:$AL$89,MATCH($C174,'[2]End - Use Prices'!$A$6:$A$89,0)+MATCH($D174,'[2]End - Use Prices'!$B$9:$B$11,0)-1,MATCH(AQ$1,'[2]End - Use Prices'!$C$7:$AL$7,0))</f>
        <v>13.32</v>
      </c>
      <c r="AR174" s="41">
        <f>INDEX('[2]End - Use Prices'!$C$6:$AL$89,MATCH($C174,'[2]End - Use Prices'!$A$6:$A$89,0)+MATCH($D174,'[2]End - Use Prices'!$B$9:$B$11,0)-1,MATCH(AR$1,'[2]End - Use Prices'!$C$7:$AL$7,0))</f>
        <v>13.24</v>
      </c>
      <c r="AS174" s="41">
        <f>INDEX('[2]End - Use Prices'!$C$6:$AL$89,MATCH($C174,'[2]End - Use Prices'!$A$6:$A$89,0)+MATCH($D174,'[2]End - Use Prices'!$B$9:$B$11,0)-1,MATCH(AS$1,'[2]End - Use Prices'!$C$7:$AL$7,0))</f>
        <v>13.25</v>
      </c>
      <c r="AT174" s="41">
        <f>INDEX('[2]End - Use Prices'!$C$6:$AL$89,MATCH($C174,'[2]End - Use Prices'!$A$6:$A$89,0)+MATCH($D174,'[2]End - Use Prices'!$B$9:$B$11,0)-1,MATCH(AT$1,'[2]End - Use Prices'!$C$7:$AL$7,0))</f>
        <v>13.24</v>
      </c>
      <c r="AU174" s="41">
        <f>INDEX('[2]End - Use Prices'!$C$6:$AL$89,MATCH($C174,'[2]End - Use Prices'!$A$6:$A$89,0)+MATCH($D174,'[2]End - Use Prices'!$B$9:$B$11,0)-1,MATCH(AU$1,'[2]End - Use Prices'!$C$7:$AL$7,0))</f>
        <v>13.26</v>
      </c>
      <c r="AV174" s="41">
        <f>INDEX('[2]End - Use Prices'!$C$6:$AL$89,MATCH($C174,'[2]End - Use Prices'!$A$6:$A$89,0)+MATCH($D174,'[2]End - Use Prices'!$B$9:$B$11,0)-1,MATCH(AV$1,'[2]End - Use Prices'!$C$7:$AL$7,0))</f>
        <v>13.3</v>
      </c>
      <c r="AW174" s="41">
        <f>INDEX('[2]End - Use Prices'!$C$6:$AL$89,MATCH($C174,'[2]End - Use Prices'!$A$6:$A$89,0)+MATCH($D174,'[2]End - Use Prices'!$B$9:$B$11,0)-1,MATCH(AW$1,'[2]End - Use Prices'!$C$7:$AL$7,0))</f>
        <v>13.33</v>
      </c>
      <c r="AX174" s="41">
        <f>INDEX('[2]End - Use Prices'!$C$6:$AL$89,MATCH($C174,'[2]End - Use Prices'!$A$6:$A$89,0)+MATCH($D174,'[2]End - Use Prices'!$B$9:$B$11,0)-1,MATCH(AX$1,'[2]End - Use Prices'!$C$7:$AL$7,0))</f>
        <v>13.38</v>
      </c>
      <c r="AY174" s="41">
        <f>INDEX('[2]End - Use Prices'!$C$6:$AL$89,MATCH($C174,'[2]End - Use Prices'!$A$6:$A$89,0)+MATCH($D174,'[2]End - Use Prices'!$B$9:$B$11,0)-1,MATCH(AY$1,'[2]End - Use Prices'!$C$7:$AL$7,0))</f>
        <v>13.44</v>
      </c>
      <c r="AZ174" s="41">
        <f>INDEX('[2]End - Use Prices'!$C$6:$AL$89,MATCH($C174,'[2]End - Use Prices'!$A$6:$A$89,0)+MATCH($D174,'[2]End - Use Prices'!$B$9:$B$11,0)-1,MATCH(AZ$1,'[2]End - Use Prices'!$C$7:$AL$7,0))</f>
        <v>13.51</v>
      </c>
      <c r="BA174" s="41">
        <f>INDEX('[2]End - Use Prices'!$C$6:$AL$89,MATCH($C174,'[2]End - Use Prices'!$A$6:$A$89,0)+MATCH($D174,'[2]End - Use Prices'!$B$9:$B$11,0)-1,MATCH(BA$1,'[2]End - Use Prices'!$C$7:$AL$7,0))</f>
        <v>13.54</v>
      </c>
      <c r="BB174" s="41">
        <f>INDEX('[2]End - Use Prices'!$C$6:$AL$89,MATCH($C174,'[2]End - Use Prices'!$A$6:$A$89,0)+MATCH($D174,'[2]End - Use Prices'!$B$9:$B$11,0)-1,MATCH(BB$1,'[2]End - Use Prices'!$C$7:$AL$7,0))</f>
        <v>13.56</v>
      </c>
      <c r="BC174" s="41">
        <f>INDEX('[2]End - Use Prices'!$C$6:$AL$89,MATCH($C174,'[2]End - Use Prices'!$A$6:$A$89,0)+MATCH($D174,'[2]End - Use Prices'!$B$9:$B$11,0)-1,MATCH(BC$1,'[2]End - Use Prices'!$C$7:$AL$7,0))</f>
        <v>13.57</v>
      </c>
      <c r="BD174" s="41">
        <f>INDEX('[2]End - Use Prices'!$C$6:$AL$89,MATCH($C174,'[2]End - Use Prices'!$A$6:$A$89,0)+MATCH($D174,'[2]End - Use Prices'!$B$9:$B$11,0)-1,MATCH(BD$1,'[2]End - Use Prices'!$C$7:$AL$7,0))</f>
        <v>13.56</v>
      </c>
      <c r="BE174" s="41">
        <f>INDEX('[2]End - Use Prices'!$C$6:$AL$89,MATCH($C174,'[2]End - Use Prices'!$A$6:$A$89,0)+MATCH($D174,'[2]End - Use Prices'!$B$9:$B$11,0)-1,MATCH(BE$1,'[2]End - Use Prices'!$C$7:$AL$7,0))</f>
        <v>13.54</v>
      </c>
      <c r="BF174" s="41">
        <f>INDEX('[2]End - Use Prices'!$C$6:$AL$89,MATCH($C174,'[2]End - Use Prices'!$A$6:$A$89,0)+MATCH($D174,'[2]End - Use Prices'!$B$9:$B$11,0)-1,MATCH(BF$1,'[2]End - Use Prices'!$C$7:$AL$7,0))</f>
        <v>13.52</v>
      </c>
      <c r="BG174" s="41">
        <f>INDEX('[2]End - Use Prices'!$C$6:$AL$89,MATCH($C174,'[2]End - Use Prices'!$A$6:$A$89,0)+MATCH($D174,'[2]End - Use Prices'!$B$9:$B$11,0)-1,MATCH(BG$1,'[2]End - Use Prices'!$C$7:$AL$7,0))</f>
        <v>13.49</v>
      </c>
      <c r="BR174" s="39"/>
      <c r="BS174" s="39"/>
      <c r="BT174" s="39"/>
      <c r="BU174" s="39"/>
      <c r="BV174" s="39"/>
      <c r="BW174" s="39"/>
      <c r="BX174" s="39"/>
      <c r="BY174" s="39"/>
      <c r="BZ174" s="39"/>
      <c r="CA174" s="39"/>
    </row>
    <row r="175" spans="1:79">
      <c r="A175" s="5"/>
      <c r="B175" s="3"/>
      <c r="C175" s="25" t="s">
        <v>92</v>
      </c>
      <c r="D175" s="25" t="s">
        <v>13</v>
      </c>
      <c r="E175" s="25" t="s">
        <v>277</v>
      </c>
      <c r="F175" s="67" t="s">
        <v>275</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INDEX('[2]End - Use Prices'!$C$6:$AL$89,MATCH($C175,'[2]End - Use Prices'!$A$6:$A$89,0)+MATCH($D175,'[2]End - Use Prices'!$B$9:$B$11,0)-1,MATCH(X$1,'[2]End - Use Prices'!$C$7:$AL$7,0))</f>
        <v>15.71</v>
      </c>
      <c r="Y175" s="41">
        <f>INDEX('[2]End - Use Prices'!$C$6:$AL$89,MATCH($C175,'[2]End - Use Prices'!$A$6:$A$89,0)+MATCH($D175,'[2]End - Use Prices'!$B$9:$B$11,0)-1,MATCH(Y$1,'[2]End - Use Prices'!$C$7:$AL$7,0))</f>
        <v>16.100000000000001</v>
      </c>
      <c r="Z175" s="41">
        <f>INDEX('[2]End - Use Prices'!$C$6:$AL$89,MATCH($C175,'[2]End - Use Prices'!$A$6:$A$89,0)+MATCH($D175,'[2]End - Use Prices'!$B$9:$B$11,0)-1,MATCH(Z$1,'[2]End - Use Prices'!$C$7:$AL$7,0))</f>
        <v>15.74</v>
      </c>
      <c r="AA175" s="41">
        <f>INDEX('[2]End - Use Prices'!$C$6:$AL$89,MATCH($C175,'[2]End - Use Prices'!$A$6:$A$89,0)+MATCH($D175,'[2]End - Use Prices'!$B$9:$B$11,0)-1,MATCH(AA$1,'[2]End - Use Prices'!$C$7:$AL$7,0))</f>
        <v>15.46</v>
      </c>
      <c r="AB175" s="41">
        <f>INDEX('[2]End - Use Prices'!$C$6:$AL$89,MATCH($C175,'[2]End - Use Prices'!$A$6:$A$89,0)+MATCH($D175,'[2]End - Use Prices'!$B$9:$B$11,0)-1,MATCH(AB$1,'[2]End - Use Prices'!$C$7:$AL$7,0))</f>
        <v>15.41</v>
      </c>
      <c r="AC175" s="41">
        <f>INDEX('[2]End - Use Prices'!$C$6:$AL$89,MATCH($C175,'[2]End - Use Prices'!$A$6:$A$89,0)+MATCH($D175,'[2]End - Use Prices'!$B$9:$B$11,0)-1,MATCH(AC$1,'[2]End - Use Prices'!$C$7:$AL$7,0))</f>
        <v>14.92</v>
      </c>
      <c r="AD175" s="41">
        <f>INDEX('[2]End - Use Prices'!$C$6:$AL$89,MATCH($C175,'[2]End - Use Prices'!$A$6:$A$89,0)+MATCH($D175,'[2]End - Use Prices'!$B$9:$B$11,0)-1,MATCH(AD$1,'[2]End - Use Prices'!$C$7:$AL$7,0))</f>
        <v>13.77</v>
      </c>
      <c r="AE175" s="41">
        <f>INDEX('[2]End - Use Prices'!$C$6:$AL$89,MATCH($C175,'[2]End - Use Prices'!$A$6:$A$89,0)+MATCH($D175,'[2]End - Use Prices'!$B$9:$B$11,0)-1,MATCH(AE$1,'[2]End - Use Prices'!$C$7:$AL$7,0))</f>
        <v>12.54</v>
      </c>
      <c r="AF175" s="41">
        <f>INDEX('[2]End - Use Prices'!$C$6:$AL$89,MATCH($C175,'[2]End - Use Prices'!$A$6:$A$89,0)+MATCH($D175,'[2]End - Use Prices'!$B$9:$B$11,0)-1,MATCH(AF$1,'[2]End - Use Prices'!$C$7:$AL$7,0))</f>
        <v>12.18</v>
      </c>
      <c r="AG175" s="41">
        <f>INDEX('[2]End - Use Prices'!$C$6:$AL$89,MATCH($C175,'[2]End - Use Prices'!$A$6:$A$89,0)+MATCH($D175,'[2]End - Use Prices'!$B$9:$B$11,0)-1,MATCH(AG$1,'[2]End - Use Prices'!$C$7:$AL$7,0))</f>
        <v>13.28</v>
      </c>
      <c r="AH175" s="41">
        <f>INDEX('[2]End - Use Prices'!$C$6:$AL$89,MATCH($C175,'[2]End - Use Prices'!$A$6:$A$89,0)+MATCH($D175,'[2]End - Use Prices'!$B$9:$B$11,0)-1,MATCH(AH$1,'[2]End - Use Prices'!$C$7:$AL$7,0))</f>
        <v>12.25</v>
      </c>
      <c r="AI175" s="41">
        <f>INDEX('[2]End - Use Prices'!$C$6:$AL$89,MATCH($C175,'[2]End - Use Prices'!$A$6:$A$89,0)+MATCH($D175,'[2]End - Use Prices'!$B$9:$B$11,0)-1,MATCH(AI$1,'[2]End - Use Prices'!$C$7:$AL$7,0))</f>
        <v>8.43</v>
      </c>
      <c r="AJ175" s="41">
        <f>INDEX('[2]End - Use Prices'!$C$6:$AL$89,MATCH($C175,'[2]End - Use Prices'!$A$6:$A$89,0)+MATCH($D175,'[2]End - Use Prices'!$B$9:$B$11,0)-1,MATCH(AJ$1,'[2]End - Use Prices'!$C$7:$AL$7,0))</f>
        <v>8.91</v>
      </c>
      <c r="AK175" s="41">
        <f>INDEX('[2]End - Use Prices'!$C$6:$AL$89,MATCH($C175,'[2]End - Use Prices'!$A$6:$A$89,0)+MATCH($D175,'[2]End - Use Prices'!$B$9:$B$11,0)-1,MATCH(AK$1,'[2]End - Use Prices'!$C$7:$AL$7,0))</f>
        <v>8.81</v>
      </c>
      <c r="AL175" s="41">
        <f>INDEX('[2]End - Use Prices'!$C$6:$AL$89,MATCH($C175,'[2]End - Use Prices'!$A$6:$A$89,0)+MATCH($D175,'[2]End - Use Prices'!$B$9:$B$11,0)-1,MATCH(AL$1,'[2]End - Use Prices'!$C$7:$AL$7,0))</f>
        <v>8.7899999999999991</v>
      </c>
      <c r="AM175" s="41">
        <f>INDEX('[2]End - Use Prices'!$C$6:$AL$89,MATCH($C175,'[2]End - Use Prices'!$A$6:$A$89,0)+MATCH($D175,'[2]End - Use Prices'!$B$9:$B$11,0)-1,MATCH(AM$1,'[2]End - Use Prices'!$C$7:$AL$7,0))</f>
        <v>9.07</v>
      </c>
      <c r="AN175" s="41">
        <f>INDEX('[2]End - Use Prices'!$C$6:$AL$89,MATCH($C175,'[2]End - Use Prices'!$A$6:$A$89,0)+MATCH($D175,'[2]End - Use Prices'!$B$9:$B$11,0)-1,MATCH(AN$1,'[2]End - Use Prices'!$C$7:$AL$7,0))</f>
        <v>9.2200000000000006</v>
      </c>
      <c r="AO175" s="41">
        <f>INDEX('[2]End - Use Prices'!$C$6:$AL$89,MATCH($C175,'[2]End - Use Prices'!$A$6:$A$89,0)+MATCH($D175,'[2]End - Use Prices'!$B$9:$B$11,0)-1,MATCH(AO$1,'[2]End - Use Prices'!$C$7:$AL$7,0))</f>
        <v>9.36</v>
      </c>
      <c r="AP175" s="41">
        <f>INDEX('[2]End - Use Prices'!$C$6:$AL$89,MATCH($C175,'[2]End - Use Prices'!$A$6:$A$89,0)+MATCH($D175,'[2]End - Use Prices'!$B$9:$B$11,0)-1,MATCH(AP$1,'[2]End - Use Prices'!$C$7:$AL$7,0))</f>
        <v>9.48</v>
      </c>
      <c r="AQ175" s="41">
        <f>INDEX('[2]End - Use Prices'!$C$6:$AL$89,MATCH($C175,'[2]End - Use Prices'!$A$6:$A$89,0)+MATCH($D175,'[2]End - Use Prices'!$B$9:$B$11,0)-1,MATCH(AQ$1,'[2]End - Use Prices'!$C$7:$AL$7,0))</f>
        <v>9.48</v>
      </c>
      <c r="AR175" s="41">
        <f>INDEX('[2]End - Use Prices'!$C$6:$AL$89,MATCH($C175,'[2]End - Use Prices'!$A$6:$A$89,0)+MATCH($D175,'[2]End - Use Prices'!$B$9:$B$11,0)-1,MATCH(AR$1,'[2]End - Use Prices'!$C$7:$AL$7,0))</f>
        <v>9.5</v>
      </c>
      <c r="AS175" s="41">
        <f>INDEX('[2]End - Use Prices'!$C$6:$AL$89,MATCH($C175,'[2]End - Use Prices'!$A$6:$A$89,0)+MATCH($D175,'[2]End - Use Prices'!$B$9:$B$11,0)-1,MATCH(AS$1,'[2]End - Use Prices'!$C$7:$AL$7,0))</f>
        <v>9.58</v>
      </c>
      <c r="AT175" s="41">
        <f>INDEX('[2]End - Use Prices'!$C$6:$AL$89,MATCH($C175,'[2]End - Use Prices'!$A$6:$A$89,0)+MATCH($D175,'[2]End - Use Prices'!$B$9:$B$11,0)-1,MATCH(AT$1,'[2]End - Use Prices'!$C$7:$AL$7,0))</f>
        <v>9.66</v>
      </c>
      <c r="AU175" s="41">
        <f>INDEX('[2]End - Use Prices'!$C$6:$AL$89,MATCH($C175,'[2]End - Use Prices'!$A$6:$A$89,0)+MATCH($D175,'[2]End - Use Prices'!$B$9:$B$11,0)-1,MATCH(AU$1,'[2]End - Use Prices'!$C$7:$AL$7,0))</f>
        <v>9.75</v>
      </c>
      <c r="AV175" s="41">
        <f>INDEX('[2]End - Use Prices'!$C$6:$AL$89,MATCH($C175,'[2]End - Use Prices'!$A$6:$A$89,0)+MATCH($D175,'[2]End - Use Prices'!$B$9:$B$11,0)-1,MATCH(AV$1,'[2]End - Use Prices'!$C$7:$AL$7,0))</f>
        <v>9.85</v>
      </c>
      <c r="AW175" s="41">
        <f>INDEX('[2]End - Use Prices'!$C$6:$AL$89,MATCH($C175,'[2]End - Use Prices'!$A$6:$A$89,0)+MATCH($D175,'[2]End - Use Prices'!$B$9:$B$11,0)-1,MATCH(AW$1,'[2]End - Use Prices'!$C$7:$AL$7,0))</f>
        <v>9.94</v>
      </c>
      <c r="AX175" s="41">
        <f>INDEX('[2]End - Use Prices'!$C$6:$AL$89,MATCH($C175,'[2]End - Use Prices'!$A$6:$A$89,0)+MATCH($D175,'[2]End - Use Prices'!$B$9:$B$11,0)-1,MATCH(AX$1,'[2]End - Use Prices'!$C$7:$AL$7,0))</f>
        <v>10.039999999999999</v>
      </c>
      <c r="AY175" s="41">
        <f>INDEX('[2]End - Use Prices'!$C$6:$AL$89,MATCH($C175,'[2]End - Use Prices'!$A$6:$A$89,0)+MATCH($D175,'[2]End - Use Prices'!$B$9:$B$11,0)-1,MATCH(AY$1,'[2]End - Use Prices'!$C$7:$AL$7,0))</f>
        <v>10.16</v>
      </c>
      <c r="AZ175" s="41">
        <f>INDEX('[2]End - Use Prices'!$C$6:$AL$89,MATCH($C175,'[2]End - Use Prices'!$A$6:$A$89,0)+MATCH($D175,'[2]End - Use Prices'!$B$9:$B$11,0)-1,MATCH(AZ$1,'[2]End - Use Prices'!$C$7:$AL$7,0))</f>
        <v>10.28</v>
      </c>
      <c r="BA175" s="41">
        <f>INDEX('[2]End - Use Prices'!$C$6:$AL$89,MATCH($C175,'[2]End - Use Prices'!$A$6:$A$89,0)+MATCH($D175,'[2]End - Use Prices'!$B$9:$B$11,0)-1,MATCH(BA$1,'[2]End - Use Prices'!$C$7:$AL$7,0))</f>
        <v>10.34</v>
      </c>
      <c r="BB175" s="41">
        <f>INDEX('[2]End - Use Prices'!$C$6:$AL$89,MATCH($C175,'[2]End - Use Prices'!$A$6:$A$89,0)+MATCH($D175,'[2]End - Use Prices'!$B$9:$B$11,0)-1,MATCH(BB$1,'[2]End - Use Prices'!$C$7:$AL$7,0))</f>
        <v>10.41</v>
      </c>
      <c r="BC175" s="41">
        <f>INDEX('[2]End - Use Prices'!$C$6:$AL$89,MATCH($C175,'[2]End - Use Prices'!$A$6:$A$89,0)+MATCH($D175,'[2]End - Use Prices'!$B$9:$B$11,0)-1,MATCH(BC$1,'[2]End - Use Prices'!$C$7:$AL$7,0))</f>
        <v>10.46</v>
      </c>
      <c r="BD175" s="41">
        <f>INDEX('[2]End - Use Prices'!$C$6:$AL$89,MATCH($C175,'[2]End - Use Prices'!$A$6:$A$89,0)+MATCH($D175,'[2]End - Use Prices'!$B$9:$B$11,0)-1,MATCH(BD$1,'[2]End - Use Prices'!$C$7:$AL$7,0))</f>
        <v>10.5</v>
      </c>
      <c r="BE175" s="41">
        <f>INDEX('[2]End - Use Prices'!$C$6:$AL$89,MATCH($C175,'[2]End - Use Prices'!$A$6:$A$89,0)+MATCH($D175,'[2]End - Use Prices'!$B$9:$B$11,0)-1,MATCH(BE$1,'[2]End - Use Prices'!$C$7:$AL$7,0))</f>
        <v>10.54</v>
      </c>
      <c r="BF175" s="41">
        <f>INDEX('[2]End - Use Prices'!$C$6:$AL$89,MATCH($C175,'[2]End - Use Prices'!$A$6:$A$89,0)+MATCH($D175,'[2]End - Use Prices'!$B$9:$B$11,0)-1,MATCH(BF$1,'[2]End - Use Prices'!$C$7:$AL$7,0))</f>
        <v>10.57</v>
      </c>
      <c r="BG175" s="41">
        <f>INDEX('[2]End - Use Prices'!$C$6:$AL$89,MATCH($C175,'[2]End - Use Prices'!$A$6:$A$89,0)+MATCH($D175,'[2]End - Use Prices'!$B$9:$B$11,0)-1,MATCH(BG$1,'[2]End - Use Prices'!$C$7:$AL$7,0))</f>
        <v>10.59</v>
      </c>
      <c r="BR175" s="39"/>
      <c r="BS175" s="39"/>
      <c r="BT175" s="39"/>
      <c r="BU175" s="39"/>
      <c r="BV175" s="39"/>
      <c r="BW175" s="39"/>
      <c r="BX175" s="39"/>
      <c r="BY175" s="39"/>
      <c r="BZ175" s="39"/>
      <c r="CA175" s="39"/>
    </row>
    <row r="176" spans="1:79">
      <c r="A176" s="5"/>
      <c r="B176" s="3"/>
      <c r="C176" s="25" t="s">
        <v>94</v>
      </c>
      <c r="D176" s="25" t="s">
        <v>13</v>
      </c>
      <c r="E176" s="25" t="s">
        <v>277</v>
      </c>
      <c r="F176" s="67" t="s">
        <v>275</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INDEX('[2]End - Use Prices'!$C$6:$AL$89,MATCH($C176,'[2]End - Use Prices'!$A$6:$A$89,0)+MATCH($D176,'[2]End - Use Prices'!$B$9:$B$11,0)-1,MATCH(X$1,'[2]End - Use Prices'!$C$7:$AL$7,0))</f>
        <v>32.04</v>
      </c>
      <c r="Y176" s="41">
        <f>INDEX('[2]End - Use Prices'!$C$6:$AL$89,MATCH($C176,'[2]End - Use Prices'!$A$6:$A$89,0)+MATCH($D176,'[2]End - Use Prices'!$B$9:$B$11,0)-1,MATCH(Y$1,'[2]End - Use Prices'!$C$7:$AL$7,0))</f>
        <v>31.25</v>
      </c>
      <c r="Z176" s="41">
        <f>INDEX('[2]End - Use Prices'!$C$6:$AL$89,MATCH($C176,'[2]End - Use Prices'!$A$6:$A$89,0)+MATCH($D176,'[2]End - Use Prices'!$B$9:$B$11,0)-1,MATCH(Z$1,'[2]End - Use Prices'!$C$7:$AL$7,0))</f>
        <v>32.020000000000003</v>
      </c>
      <c r="AA176" s="41">
        <f>INDEX('[2]End - Use Prices'!$C$6:$AL$89,MATCH($C176,'[2]End - Use Prices'!$A$6:$A$89,0)+MATCH($D176,'[2]End - Use Prices'!$B$9:$B$11,0)-1,MATCH(AA$1,'[2]End - Use Prices'!$C$7:$AL$7,0))</f>
        <v>31.29</v>
      </c>
      <c r="AB176" s="41">
        <f>INDEX('[2]End - Use Prices'!$C$6:$AL$89,MATCH($C176,'[2]End - Use Prices'!$A$6:$A$89,0)+MATCH($D176,'[2]End - Use Prices'!$B$9:$B$11,0)-1,MATCH(AB$1,'[2]End - Use Prices'!$C$7:$AL$7,0))</f>
        <v>30.74</v>
      </c>
      <c r="AC176" s="41">
        <f>INDEX('[2]End - Use Prices'!$C$6:$AL$89,MATCH($C176,'[2]End - Use Prices'!$A$6:$A$89,0)+MATCH($D176,'[2]End - Use Prices'!$B$9:$B$11,0)-1,MATCH(AC$1,'[2]End - Use Prices'!$C$7:$AL$7,0))</f>
        <v>30.65</v>
      </c>
      <c r="AD176" s="41">
        <f>INDEX('[2]End - Use Prices'!$C$6:$AL$89,MATCH($C176,'[2]End - Use Prices'!$A$6:$A$89,0)+MATCH($D176,'[2]End - Use Prices'!$B$9:$B$11,0)-1,MATCH(AD$1,'[2]End - Use Prices'!$C$7:$AL$7,0))</f>
        <v>29.66</v>
      </c>
      <c r="AE176" s="41">
        <f>INDEX('[2]End - Use Prices'!$C$6:$AL$89,MATCH($C176,'[2]End - Use Prices'!$A$6:$A$89,0)+MATCH($D176,'[2]End - Use Prices'!$B$9:$B$11,0)-1,MATCH(AE$1,'[2]End - Use Prices'!$C$7:$AL$7,0))</f>
        <v>33.369999999999997</v>
      </c>
      <c r="AF176" s="41">
        <f>INDEX('[2]End - Use Prices'!$C$6:$AL$89,MATCH($C176,'[2]End - Use Prices'!$A$6:$A$89,0)+MATCH($D176,'[2]End - Use Prices'!$B$9:$B$11,0)-1,MATCH(AF$1,'[2]End - Use Prices'!$C$7:$AL$7,0))</f>
        <v>33.28</v>
      </c>
      <c r="AG176" s="41">
        <f>INDEX('[2]End - Use Prices'!$C$6:$AL$89,MATCH($C176,'[2]End - Use Prices'!$A$6:$A$89,0)+MATCH($D176,'[2]End - Use Prices'!$B$9:$B$11,0)-1,MATCH(AG$1,'[2]End - Use Prices'!$C$7:$AL$7,0))</f>
        <v>39.119999999999997</v>
      </c>
      <c r="AH176" s="41">
        <f>INDEX('[2]End - Use Prices'!$C$6:$AL$89,MATCH($C176,'[2]End - Use Prices'!$A$6:$A$89,0)+MATCH($D176,'[2]End - Use Prices'!$B$9:$B$11,0)-1,MATCH(AH$1,'[2]End - Use Prices'!$C$7:$AL$7,0))</f>
        <v>39.43</v>
      </c>
      <c r="AI176" s="41">
        <f>INDEX('[2]End - Use Prices'!$C$6:$AL$89,MATCH($C176,'[2]End - Use Prices'!$A$6:$A$89,0)+MATCH($D176,'[2]End - Use Prices'!$B$9:$B$11,0)-1,MATCH(AI$1,'[2]End - Use Prices'!$C$7:$AL$7,0))</f>
        <v>39.19</v>
      </c>
      <c r="AJ176" s="41">
        <f>INDEX('[2]End - Use Prices'!$C$6:$AL$89,MATCH($C176,'[2]End - Use Prices'!$A$6:$A$89,0)+MATCH($D176,'[2]End - Use Prices'!$B$9:$B$11,0)-1,MATCH(AJ$1,'[2]End - Use Prices'!$C$7:$AL$7,0))</f>
        <v>39.659999999999997</v>
      </c>
      <c r="AK176" s="41">
        <f>INDEX('[2]End - Use Prices'!$C$6:$AL$89,MATCH($C176,'[2]End - Use Prices'!$A$6:$A$89,0)+MATCH($D176,'[2]End - Use Prices'!$B$9:$B$11,0)-1,MATCH(AK$1,'[2]End - Use Prices'!$C$7:$AL$7,0))</f>
        <v>39.57</v>
      </c>
      <c r="AL176" s="41">
        <f>INDEX('[2]End - Use Prices'!$C$6:$AL$89,MATCH($C176,'[2]End - Use Prices'!$A$6:$A$89,0)+MATCH($D176,'[2]End - Use Prices'!$B$9:$B$11,0)-1,MATCH(AL$1,'[2]End - Use Prices'!$C$7:$AL$7,0))</f>
        <v>39.549999999999997</v>
      </c>
      <c r="AM176" s="41">
        <f>INDEX('[2]End - Use Prices'!$C$6:$AL$89,MATCH($C176,'[2]End - Use Prices'!$A$6:$A$89,0)+MATCH($D176,'[2]End - Use Prices'!$B$9:$B$11,0)-1,MATCH(AM$1,'[2]End - Use Prices'!$C$7:$AL$7,0))</f>
        <v>41.09</v>
      </c>
      <c r="AN176" s="41">
        <f>INDEX('[2]End - Use Prices'!$C$6:$AL$89,MATCH($C176,'[2]End - Use Prices'!$A$6:$A$89,0)+MATCH($D176,'[2]End - Use Prices'!$B$9:$B$11,0)-1,MATCH(AN$1,'[2]End - Use Prices'!$C$7:$AL$7,0))</f>
        <v>41.81</v>
      </c>
      <c r="AO176" s="41">
        <f>INDEX('[2]End - Use Prices'!$C$6:$AL$89,MATCH($C176,'[2]End - Use Prices'!$A$6:$A$89,0)+MATCH($D176,'[2]End - Use Prices'!$B$9:$B$11,0)-1,MATCH(AO$1,'[2]End - Use Prices'!$C$7:$AL$7,0))</f>
        <v>42.49</v>
      </c>
      <c r="AP176" s="41">
        <f>INDEX('[2]End - Use Prices'!$C$6:$AL$89,MATCH($C176,'[2]End - Use Prices'!$A$6:$A$89,0)+MATCH($D176,'[2]End - Use Prices'!$B$9:$B$11,0)-1,MATCH(AP$1,'[2]End - Use Prices'!$C$7:$AL$7,0))</f>
        <v>43.1</v>
      </c>
      <c r="AQ176" s="41">
        <f>INDEX('[2]End - Use Prices'!$C$6:$AL$89,MATCH($C176,'[2]End - Use Prices'!$A$6:$A$89,0)+MATCH($D176,'[2]End - Use Prices'!$B$9:$B$11,0)-1,MATCH(AQ$1,'[2]End - Use Prices'!$C$7:$AL$7,0))</f>
        <v>43</v>
      </c>
      <c r="AR176" s="41">
        <f>INDEX('[2]End - Use Prices'!$C$6:$AL$89,MATCH($C176,'[2]End - Use Prices'!$A$6:$A$89,0)+MATCH($D176,'[2]End - Use Prices'!$B$9:$B$11,0)-1,MATCH(AR$1,'[2]End - Use Prices'!$C$7:$AL$7,0))</f>
        <v>42.93</v>
      </c>
      <c r="AS176" s="41">
        <f>INDEX('[2]End - Use Prices'!$C$6:$AL$89,MATCH($C176,'[2]End - Use Prices'!$A$6:$A$89,0)+MATCH($D176,'[2]End - Use Prices'!$B$9:$B$11,0)-1,MATCH(AS$1,'[2]End - Use Prices'!$C$7:$AL$7,0))</f>
        <v>42.95</v>
      </c>
      <c r="AT176" s="41">
        <f>INDEX('[2]End - Use Prices'!$C$6:$AL$89,MATCH($C176,'[2]End - Use Prices'!$A$6:$A$89,0)+MATCH($D176,'[2]End - Use Prices'!$B$9:$B$11,0)-1,MATCH(AT$1,'[2]End - Use Prices'!$C$7:$AL$7,0))</f>
        <v>42.95</v>
      </c>
      <c r="AU176" s="41">
        <f>INDEX('[2]End - Use Prices'!$C$6:$AL$89,MATCH($C176,'[2]End - Use Prices'!$A$6:$A$89,0)+MATCH($D176,'[2]End - Use Prices'!$B$9:$B$11,0)-1,MATCH(AU$1,'[2]End - Use Prices'!$C$7:$AL$7,0))</f>
        <v>42.97</v>
      </c>
      <c r="AV176" s="41">
        <f>INDEX('[2]End - Use Prices'!$C$6:$AL$89,MATCH($C176,'[2]End - Use Prices'!$A$6:$A$89,0)+MATCH($D176,'[2]End - Use Prices'!$B$9:$B$11,0)-1,MATCH(AV$1,'[2]End - Use Prices'!$C$7:$AL$7,0))</f>
        <v>43.01</v>
      </c>
      <c r="AW176" s="41">
        <f>INDEX('[2]End - Use Prices'!$C$6:$AL$89,MATCH($C176,'[2]End - Use Prices'!$A$6:$A$89,0)+MATCH($D176,'[2]End - Use Prices'!$B$9:$B$11,0)-1,MATCH(AW$1,'[2]End - Use Prices'!$C$7:$AL$7,0))</f>
        <v>43.05</v>
      </c>
      <c r="AX176" s="41">
        <f>INDEX('[2]End - Use Prices'!$C$6:$AL$89,MATCH($C176,'[2]End - Use Prices'!$A$6:$A$89,0)+MATCH($D176,'[2]End - Use Prices'!$B$9:$B$11,0)-1,MATCH(AX$1,'[2]End - Use Prices'!$C$7:$AL$7,0))</f>
        <v>43.1</v>
      </c>
      <c r="AY176" s="41">
        <f>INDEX('[2]End - Use Prices'!$C$6:$AL$89,MATCH($C176,'[2]End - Use Prices'!$A$6:$A$89,0)+MATCH($D176,'[2]End - Use Prices'!$B$9:$B$11,0)-1,MATCH(AY$1,'[2]End - Use Prices'!$C$7:$AL$7,0))</f>
        <v>43.17</v>
      </c>
      <c r="AZ176" s="41">
        <f>INDEX('[2]End - Use Prices'!$C$6:$AL$89,MATCH($C176,'[2]End - Use Prices'!$A$6:$A$89,0)+MATCH($D176,'[2]End - Use Prices'!$B$9:$B$11,0)-1,MATCH(AZ$1,'[2]End - Use Prices'!$C$7:$AL$7,0))</f>
        <v>43.25</v>
      </c>
      <c r="BA176" s="41">
        <f>INDEX('[2]End - Use Prices'!$C$6:$AL$89,MATCH($C176,'[2]End - Use Prices'!$A$6:$A$89,0)+MATCH($D176,'[2]End - Use Prices'!$B$9:$B$11,0)-1,MATCH(BA$1,'[2]End - Use Prices'!$C$7:$AL$7,0))</f>
        <v>43.28</v>
      </c>
      <c r="BB176" s="41">
        <f>INDEX('[2]End - Use Prices'!$C$6:$AL$89,MATCH($C176,'[2]End - Use Prices'!$A$6:$A$89,0)+MATCH($D176,'[2]End - Use Prices'!$B$9:$B$11,0)-1,MATCH(BB$1,'[2]End - Use Prices'!$C$7:$AL$7,0))</f>
        <v>43.31</v>
      </c>
      <c r="BC176" s="41">
        <f>INDEX('[2]End - Use Prices'!$C$6:$AL$89,MATCH($C176,'[2]End - Use Prices'!$A$6:$A$89,0)+MATCH($D176,'[2]End - Use Prices'!$B$9:$B$11,0)-1,MATCH(BC$1,'[2]End - Use Prices'!$C$7:$AL$7,0))</f>
        <v>43.33</v>
      </c>
      <c r="BD176" s="41">
        <f>INDEX('[2]End - Use Prices'!$C$6:$AL$89,MATCH($C176,'[2]End - Use Prices'!$A$6:$A$89,0)+MATCH($D176,'[2]End - Use Prices'!$B$9:$B$11,0)-1,MATCH(BD$1,'[2]End - Use Prices'!$C$7:$AL$7,0))</f>
        <v>43.33</v>
      </c>
      <c r="BE176" s="41">
        <f>INDEX('[2]End - Use Prices'!$C$6:$AL$89,MATCH($C176,'[2]End - Use Prices'!$A$6:$A$89,0)+MATCH($D176,'[2]End - Use Prices'!$B$9:$B$11,0)-1,MATCH(BE$1,'[2]End - Use Prices'!$C$7:$AL$7,0))</f>
        <v>43.31</v>
      </c>
      <c r="BF176" s="41">
        <f>INDEX('[2]End - Use Prices'!$C$6:$AL$89,MATCH($C176,'[2]End - Use Prices'!$A$6:$A$89,0)+MATCH($D176,'[2]End - Use Prices'!$B$9:$B$11,0)-1,MATCH(BF$1,'[2]End - Use Prices'!$C$7:$AL$7,0))</f>
        <v>43.3</v>
      </c>
      <c r="BG176" s="41">
        <f>INDEX('[2]End - Use Prices'!$C$6:$AL$89,MATCH($C176,'[2]End - Use Prices'!$A$6:$A$89,0)+MATCH($D176,'[2]End - Use Prices'!$B$9:$B$11,0)-1,MATCH(BG$1,'[2]End - Use Prices'!$C$7:$AL$7,0))</f>
        <v>43.29</v>
      </c>
      <c r="BR176" s="39"/>
      <c r="BS176" s="39"/>
      <c r="BT176" s="39"/>
      <c r="BU176" s="39"/>
      <c r="BV176" s="39"/>
      <c r="BW176" s="39"/>
      <c r="BX176" s="39"/>
      <c r="BY176" s="39"/>
      <c r="BZ176" s="39"/>
      <c r="CA176" s="39"/>
    </row>
    <row r="177" spans="1:79">
      <c r="A177" s="5"/>
      <c r="B177" s="3"/>
      <c r="C177" s="25" t="s">
        <v>93</v>
      </c>
      <c r="D177" s="25" t="s">
        <v>13</v>
      </c>
      <c r="E177" s="25" t="s">
        <v>277</v>
      </c>
      <c r="F177" s="67" t="s">
        <v>275</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INDEX('[2]End - Use Prices'!$C$6:$AL$89,MATCH($C177,'[2]End - Use Prices'!$A$6:$A$89,0)+MATCH($D177,'[2]End - Use Prices'!$B$9:$B$11,0)-1,MATCH(X$1,'[2]End - Use Prices'!$C$7:$AL$7,0))</f>
        <v>15.71</v>
      </c>
      <c r="Y177" s="41">
        <f>INDEX('[2]End - Use Prices'!$C$6:$AL$89,MATCH($C177,'[2]End - Use Prices'!$A$6:$A$89,0)+MATCH($D177,'[2]End - Use Prices'!$B$9:$B$11,0)-1,MATCH(Y$1,'[2]End - Use Prices'!$C$7:$AL$7,0))</f>
        <v>16.100000000000001</v>
      </c>
      <c r="Z177" s="41">
        <f>INDEX('[2]End - Use Prices'!$C$6:$AL$89,MATCH($C177,'[2]End - Use Prices'!$A$6:$A$89,0)+MATCH($D177,'[2]End - Use Prices'!$B$9:$B$11,0)-1,MATCH(Z$1,'[2]End - Use Prices'!$C$7:$AL$7,0))</f>
        <v>15.74</v>
      </c>
      <c r="AA177" s="41">
        <f>INDEX('[2]End - Use Prices'!$C$6:$AL$89,MATCH($C177,'[2]End - Use Prices'!$A$6:$A$89,0)+MATCH($D177,'[2]End - Use Prices'!$B$9:$B$11,0)-1,MATCH(AA$1,'[2]End - Use Prices'!$C$7:$AL$7,0))</f>
        <v>15.46</v>
      </c>
      <c r="AB177" s="41">
        <f>INDEX('[2]End - Use Prices'!$C$6:$AL$89,MATCH($C177,'[2]End - Use Prices'!$A$6:$A$89,0)+MATCH($D177,'[2]End - Use Prices'!$B$9:$B$11,0)-1,MATCH(AB$1,'[2]End - Use Prices'!$C$7:$AL$7,0))</f>
        <v>15.41</v>
      </c>
      <c r="AC177" s="41">
        <f>INDEX('[2]End - Use Prices'!$C$6:$AL$89,MATCH($C177,'[2]End - Use Prices'!$A$6:$A$89,0)+MATCH($D177,'[2]End - Use Prices'!$B$9:$B$11,0)-1,MATCH(AC$1,'[2]End - Use Prices'!$C$7:$AL$7,0))</f>
        <v>14.92</v>
      </c>
      <c r="AD177" s="41">
        <f>INDEX('[2]End - Use Prices'!$C$6:$AL$89,MATCH($C177,'[2]End - Use Prices'!$A$6:$A$89,0)+MATCH($D177,'[2]End - Use Prices'!$B$9:$B$11,0)-1,MATCH(AD$1,'[2]End - Use Prices'!$C$7:$AL$7,0))</f>
        <v>13.77</v>
      </c>
      <c r="AE177" s="41">
        <f>INDEX('[2]End - Use Prices'!$C$6:$AL$89,MATCH($C177,'[2]End - Use Prices'!$A$6:$A$89,0)+MATCH($D177,'[2]End - Use Prices'!$B$9:$B$11,0)-1,MATCH(AE$1,'[2]End - Use Prices'!$C$7:$AL$7,0))</f>
        <v>12.54</v>
      </c>
      <c r="AF177" s="41">
        <f>INDEX('[2]End - Use Prices'!$C$6:$AL$89,MATCH($C177,'[2]End - Use Prices'!$A$6:$A$89,0)+MATCH($D177,'[2]End - Use Prices'!$B$9:$B$11,0)-1,MATCH(AF$1,'[2]End - Use Prices'!$C$7:$AL$7,0))</f>
        <v>12.18</v>
      </c>
      <c r="AG177" s="41">
        <f>INDEX('[2]End - Use Prices'!$C$6:$AL$89,MATCH($C177,'[2]End - Use Prices'!$A$6:$A$89,0)+MATCH($D177,'[2]End - Use Prices'!$B$9:$B$11,0)-1,MATCH(AG$1,'[2]End - Use Prices'!$C$7:$AL$7,0))</f>
        <v>13.28</v>
      </c>
      <c r="AH177" s="41">
        <f>INDEX('[2]End - Use Prices'!$C$6:$AL$89,MATCH($C177,'[2]End - Use Prices'!$A$6:$A$89,0)+MATCH($D177,'[2]End - Use Prices'!$B$9:$B$11,0)-1,MATCH(AH$1,'[2]End - Use Prices'!$C$7:$AL$7,0))</f>
        <v>12.25</v>
      </c>
      <c r="AI177" s="41">
        <f>INDEX('[2]End - Use Prices'!$C$6:$AL$89,MATCH($C177,'[2]End - Use Prices'!$A$6:$A$89,0)+MATCH($D177,'[2]End - Use Prices'!$B$9:$B$11,0)-1,MATCH(AI$1,'[2]End - Use Prices'!$C$7:$AL$7,0))</f>
        <v>8.43</v>
      </c>
      <c r="AJ177" s="41">
        <f>INDEX('[2]End - Use Prices'!$C$6:$AL$89,MATCH($C177,'[2]End - Use Prices'!$A$6:$A$89,0)+MATCH($D177,'[2]End - Use Prices'!$B$9:$B$11,0)-1,MATCH(AJ$1,'[2]End - Use Prices'!$C$7:$AL$7,0))</f>
        <v>8.91</v>
      </c>
      <c r="AK177" s="41">
        <f>INDEX('[2]End - Use Prices'!$C$6:$AL$89,MATCH($C177,'[2]End - Use Prices'!$A$6:$A$89,0)+MATCH($D177,'[2]End - Use Prices'!$B$9:$B$11,0)-1,MATCH(AK$1,'[2]End - Use Prices'!$C$7:$AL$7,0))</f>
        <v>8.81</v>
      </c>
      <c r="AL177" s="41">
        <f>INDEX('[2]End - Use Prices'!$C$6:$AL$89,MATCH($C177,'[2]End - Use Prices'!$A$6:$A$89,0)+MATCH($D177,'[2]End - Use Prices'!$B$9:$B$11,0)-1,MATCH(AL$1,'[2]End - Use Prices'!$C$7:$AL$7,0))</f>
        <v>8.7899999999999991</v>
      </c>
      <c r="AM177" s="41">
        <f>INDEX('[2]End - Use Prices'!$C$6:$AL$89,MATCH($C177,'[2]End - Use Prices'!$A$6:$A$89,0)+MATCH($D177,'[2]End - Use Prices'!$B$9:$B$11,0)-1,MATCH(AM$1,'[2]End - Use Prices'!$C$7:$AL$7,0))</f>
        <v>9.07</v>
      </c>
      <c r="AN177" s="41">
        <f>INDEX('[2]End - Use Prices'!$C$6:$AL$89,MATCH($C177,'[2]End - Use Prices'!$A$6:$A$89,0)+MATCH($D177,'[2]End - Use Prices'!$B$9:$B$11,0)-1,MATCH(AN$1,'[2]End - Use Prices'!$C$7:$AL$7,0))</f>
        <v>9.2200000000000006</v>
      </c>
      <c r="AO177" s="41">
        <f>INDEX('[2]End - Use Prices'!$C$6:$AL$89,MATCH($C177,'[2]End - Use Prices'!$A$6:$A$89,0)+MATCH($D177,'[2]End - Use Prices'!$B$9:$B$11,0)-1,MATCH(AO$1,'[2]End - Use Prices'!$C$7:$AL$7,0))</f>
        <v>9.36</v>
      </c>
      <c r="AP177" s="41">
        <f>INDEX('[2]End - Use Prices'!$C$6:$AL$89,MATCH($C177,'[2]End - Use Prices'!$A$6:$A$89,0)+MATCH($D177,'[2]End - Use Prices'!$B$9:$B$11,0)-1,MATCH(AP$1,'[2]End - Use Prices'!$C$7:$AL$7,0))</f>
        <v>9.48</v>
      </c>
      <c r="AQ177" s="41">
        <f>INDEX('[2]End - Use Prices'!$C$6:$AL$89,MATCH($C177,'[2]End - Use Prices'!$A$6:$A$89,0)+MATCH($D177,'[2]End - Use Prices'!$B$9:$B$11,0)-1,MATCH(AQ$1,'[2]End - Use Prices'!$C$7:$AL$7,0))</f>
        <v>9.48</v>
      </c>
      <c r="AR177" s="41">
        <f>INDEX('[2]End - Use Prices'!$C$6:$AL$89,MATCH($C177,'[2]End - Use Prices'!$A$6:$A$89,0)+MATCH($D177,'[2]End - Use Prices'!$B$9:$B$11,0)-1,MATCH(AR$1,'[2]End - Use Prices'!$C$7:$AL$7,0))</f>
        <v>9.5</v>
      </c>
      <c r="AS177" s="41">
        <f>INDEX('[2]End - Use Prices'!$C$6:$AL$89,MATCH($C177,'[2]End - Use Prices'!$A$6:$A$89,0)+MATCH($D177,'[2]End - Use Prices'!$B$9:$B$11,0)-1,MATCH(AS$1,'[2]End - Use Prices'!$C$7:$AL$7,0))</f>
        <v>9.58</v>
      </c>
      <c r="AT177" s="41">
        <f>INDEX('[2]End - Use Prices'!$C$6:$AL$89,MATCH($C177,'[2]End - Use Prices'!$A$6:$A$89,0)+MATCH($D177,'[2]End - Use Prices'!$B$9:$B$11,0)-1,MATCH(AT$1,'[2]End - Use Prices'!$C$7:$AL$7,0))</f>
        <v>9.66</v>
      </c>
      <c r="AU177" s="41">
        <f>INDEX('[2]End - Use Prices'!$C$6:$AL$89,MATCH($C177,'[2]End - Use Prices'!$A$6:$A$89,0)+MATCH($D177,'[2]End - Use Prices'!$B$9:$B$11,0)-1,MATCH(AU$1,'[2]End - Use Prices'!$C$7:$AL$7,0))</f>
        <v>9.75</v>
      </c>
      <c r="AV177" s="41">
        <f>INDEX('[2]End - Use Prices'!$C$6:$AL$89,MATCH($C177,'[2]End - Use Prices'!$A$6:$A$89,0)+MATCH($D177,'[2]End - Use Prices'!$B$9:$B$11,0)-1,MATCH(AV$1,'[2]End - Use Prices'!$C$7:$AL$7,0))</f>
        <v>9.85</v>
      </c>
      <c r="AW177" s="41">
        <f>INDEX('[2]End - Use Prices'!$C$6:$AL$89,MATCH($C177,'[2]End - Use Prices'!$A$6:$A$89,0)+MATCH($D177,'[2]End - Use Prices'!$B$9:$B$11,0)-1,MATCH(AW$1,'[2]End - Use Prices'!$C$7:$AL$7,0))</f>
        <v>9.94</v>
      </c>
      <c r="AX177" s="41">
        <f>INDEX('[2]End - Use Prices'!$C$6:$AL$89,MATCH($C177,'[2]End - Use Prices'!$A$6:$A$89,0)+MATCH($D177,'[2]End - Use Prices'!$B$9:$B$11,0)-1,MATCH(AX$1,'[2]End - Use Prices'!$C$7:$AL$7,0))</f>
        <v>10.039999999999999</v>
      </c>
      <c r="AY177" s="41">
        <f>INDEX('[2]End - Use Prices'!$C$6:$AL$89,MATCH($C177,'[2]End - Use Prices'!$A$6:$A$89,0)+MATCH($D177,'[2]End - Use Prices'!$B$9:$B$11,0)-1,MATCH(AY$1,'[2]End - Use Prices'!$C$7:$AL$7,0))</f>
        <v>10.16</v>
      </c>
      <c r="AZ177" s="41">
        <f>INDEX('[2]End - Use Prices'!$C$6:$AL$89,MATCH($C177,'[2]End - Use Prices'!$A$6:$A$89,0)+MATCH($D177,'[2]End - Use Prices'!$B$9:$B$11,0)-1,MATCH(AZ$1,'[2]End - Use Prices'!$C$7:$AL$7,0))</f>
        <v>10.28</v>
      </c>
      <c r="BA177" s="41">
        <f>INDEX('[2]End - Use Prices'!$C$6:$AL$89,MATCH($C177,'[2]End - Use Prices'!$A$6:$A$89,0)+MATCH($D177,'[2]End - Use Prices'!$B$9:$B$11,0)-1,MATCH(BA$1,'[2]End - Use Prices'!$C$7:$AL$7,0))</f>
        <v>10.34</v>
      </c>
      <c r="BB177" s="41">
        <f>INDEX('[2]End - Use Prices'!$C$6:$AL$89,MATCH($C177,'[2]End - Use Prices'!$A$6:$A$89,0)+MATCH($D177,'[2]End - Use Prices'!$B$9:$B$11,0)-1,MATCH(BB$1,'[2]End - Use Prices'!$C$7:$AL$7,0))</f>
        <v>10.41</v>
      </c>
      <c r="BC177" s="41">
        <f>INDEX('[2]End - Use Prices'!$C$6:$AL$89,MATCH($C177,'[2]End - Use Prices'!$A$6:$A$89,0)+MATCH($D177,'[2]End - Use Prices'!$B$9:$B$11,0)-1,MATCH(BC$1,'[2]End - Use Prices'!$C$7:$AL$7,0))</f>
        <v>10.46</v>
      </c>
      <c r="BD177" s="41">
        <f>INDEX('[2]End - Use Prices'!$C$6:$AL$89,MATCH($C177,'[2]End - Use Prices'!$A$6:$A$89,0)+MATCH($D177,'[2]End - Use Prices'!$B$9:$B$11,0)-1,MATCH(BD$1,'[2]End - Use Prices'!$C$7:$AL$7,0))</f>
        <v>10.5</v>
      </c>
      <c r="BE177" s="41">
        <f>INDEX('[2]End - Use Prices'!$C$6:$AL$89,MATCH($C177,'[2]End - Use Prices'!$A$6:$A$89,0)+MATCH($D177,'[2]End - Use Prices'!$B$9:$B$11,0)-1,MATCH(BE$1,'[2]End - Use Prices'!$C$7:$AL$7,0))</f>
        <v>10.54</v>
      </c>
      <c r="BF177" s="41">
        <f>INDEX('[2]End - Use Prices'!$C$6:$AL$89,MATCH($C177,'[2]End - Use Prices'!$A$6:$A$89,0)+MATCH($D177,'[2]End - Use Prices'!$B$9:$B$11,0)-1,MATCH(BF$1,'[2]End - Use Prices'!$C$7:$AL$7,0))</f>
        <v>10.57</v>
      </c>
      <c r="BG177" s="41">
        <f>INDEX('[2]End - Use Prices'!$C$6:$AL$89,MATCH($C177,'[2]End - Use Prices'!$A$6:$A$89,0)+MATCH($D177,'[2]End - Use Prices'!$B$9:$B$11,0)-1,MATCH(BG$1,'[2]End - Use Prices'!$C$7:$AL$7,0))</f>
        <v>10.59</v>
      </c>
      <c r="BR177" s="39"/>
      <c r="BS177" s="39"/>
      <c r="BT177" s="39"/>
      <c r="BU177" s="39"/>
      <c r="BV177" s="39"/>
      <c r="BW177" s="39"/>
      <c r="BX177" s="39"/>
      <c r="BY177" s="39"/>
      <c r="BZ177" s="39"/>
      <c r="CA177" s="39"/>
    </row>
    <row r="178" spans="1:79">
      <c r="A178" s="5"/>
      <c r="B178" s="3"/>
      <c r="C178" s="25" t="s">
        <v>47</v>
      </c>
      <c r="D178" s="25" t="s">
        <v>276</v>
      </c>
      <c r="E178" s="25" t="s">
        <v>277</v>
      </c>
      <c r="F178" s="67" t="s">
        <v>275</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INDEX('[2]End - Use Prices'!$C$6:$AL$89,MATCH($C178,'[2]End - Use Prices'!$A$6:$A$89,0)+MATCH($D178,'[2]End - Use Prices'!$B$9:$B$11,0)-1,MATCH(X$1,'[2]End - Use Prices'!$C$7:$AL$7,0))</f>
        <v>25.71</v>
      </c>
      <c r="Y178" s="41">
        <f>INDEX('[2]End - Use Prices'!$C$6:$AL$89,MATCH($C178,'[2]End - Use Prices'!$A$6:$A$89,0)+MATCH($D178,'[2]End - Use Prices'!$B$9:$B$11,0)-1,MATCH(Y$1,'[2]End - Use Prices'!$C$7:$AL$7,0))</f>
        <v>26.31</v>
      </c>
      <c r="Z178" s="41">
        <f>INDEX('[2]End - Use Prices'!$C$6:$AL$89,MATCH($C178,'[2]End - Use Prices'!$A$6:$A$89,0)+MATCH($D178,'[2]End - Use Prices'!$B$9:$B$11,0)-1,MATCH(Z$1,'[2]End - Use Prices'!$C$7:$AL$7,0))</f>
        <v>26.43</v>
      </c>
      <c r="AA178" s="41">
        <f>INDEX('[2]End - Use Prices'!$C$6:$AL$89,MATCH($C178,'[2]End - Use Prices'!$A$6:$A$89,0)+MATCH($D178,'[2]End - Use Prices'!$B$9:$B$11,0)-1,MATCH(AA$1,'[2]End - Use Prices'!$C$7:$AL$7,0))</f>
        <v>33.200000000000003</v>
      </c>
      <c r="AB178" s="41">
        <f>INDEX('[2]End - Use Prices'!$C$6:$AL$89,MATCH($C178,'[2]End - Use Prices'!$A$6:$A$89,0)+MATCH($D178,'[2]End - Use Prices'!$B$9:$B$11,0)-1,MATCH(AB$1,'[2]End - Use Prices'!$C$7:$AL$7,0))</f>
        <v>23.79</v>
      </c>
      <c r="AC178" s="41">
        <f>INDEX('[2]End - Use Prices'!$C$6:$AL$89,MATCH($C178,'[2]End - Use Prices'!$A$6:$A$89,0)+MATCH($D178,'[2]End - Use Prices'!$B$9:$B$11,0)-1,MATCH(AC$1,'[2]End - Use Prices'!$C$7:$AL$7,0))</f>
        <v>26.91</v>
      </c>
      <c r="AD178" s="41">
        <f>INDEX('[2]End - Use Prices'!$C$6:$AL$89,MATCH($C178,'[2]End - Use Prices'!$A$6:$A$89,0)+MATCH($D178,'[2]End - Use Prices'!$B$9:$B$11,0)-1,MATCH(AD$1,'[2]End - Use Prices'!$C$7:$AL$7,0))</f>
        <v>32.58</v>
      </c>
      <c r="AE178" s="41">
        <f>INDEX('[2]End - Use Prices'!$C$6:$AL$89,MATCH($C178,'[2]End - Use Prices'!$A$6:$A$89,0)+MATCH($D178,'[2]End - Use Prices'!$B$9:$B$11,0)-1,MATCH(AE$1,'[2]End - Use Prices'!$C$7:$AL$7,0))</f>
        <v>33.74</v>
      </c>
      <c r="AF178" s="41">
        <f>INDEX('[2]End - Use Prices'!$C$6:$AL$89,MATCH($C178,'[2]End - Use Prices'!$A$6:$A$89,0)+MATCH($D178,'[2]End - Use Prices'!$B$9:$B$11,0)-1,MATCH(AF$1,'[2]End - Use Prices'!$C$7:$AL$7,0))</f>
        <v>33.31</v>
      </c>
      <c r="AG178" s="41">
        <f>INDEX('[2]End - Use Prices'!$C$6:$AL$89,MATCH($C178,'[2]End - Use Prices'!$A$6:$A$89,0)+MATCH($D178,'[2]End - Use Prices'!$B$9:$B$11,0)-1,MATCH(AG$1,'[2]End - Use Prices'!$C$7:$AL$7,0))</f>
        <v>34.46</v>
      </c>
      <c r="AH178" s="41">
        <f>INDEX('[2]End - Use Prices'!$C$6:$AL$89,MATCH($C178,'[2]End - Use Prices'!$A$6:$A$89,0)+MATCH($D178,'[2]End - Use Prices'!$B$9:$B$11,0)-1,MATCH(AH$1,'[2]End - Use Prices'!$C$7:$AL$7,0))</f>
        <v>28.23</v>
      </c>
      <c r="AI178" s="41">
        <f>INDEX('[2]End - Use Prices'!$C$6:$AL$89,MATCH($C178,'[2]End - Use Prices'!$A$6:$A$89,0)+MATCH($D178,'[2]End - Use Prices'!$B$9:$B$11,0)-1,MATCH(AI$1,'[2]End - Use Prices'!$C$7:$AL$7,0))</f>
        <v>24.61</v>
      </c>
      <c r="AJ178" s="41">
        <f>INDEX('[2]End - Use Prices'!$C$6:$AL$89,MATCH($C178,'[2]End - Use Prices'!$A$6:$A$89,0)+MATCH($D178,'[2]End - Use Prices'!$B$9:$B$11,0)-1,MATCH(AJ$1,'[2]End - Use Prices'!$C$7:$AL$7,0))</f>
        <v>27.26</v>
      </c>
      <c r="AK178" s="41">
        <f>INDEX('[2]End - Use Prices'!$C$6:$AL$89,MATCH($C178,'[2]End - Use Prices'!$A$6:$A$89,0)+MATCH($D178,'[2]End - Use Prices'!$B$9:$B$11,0)-1,MATCH(AK$1,'[2]End - Use Prices'!$C$7:$AL$7,0))</f>
        <v>31.59</v>
      </c>
      <c r="AL178" s="41">
        <f>INDEX('[2]End - Use Prices'!$C$6:$AL$89,MATCH($C178,'[2]End - Use Prices'!$A$6:$A$89,0)+MATCH($D178,'[2]End - Use Prices'!$B$9:$B$11,0)-1,MATCH(AL$1,'[2]End - Use Prices'!$C$7:$AL$7,0))</f>
        <v>35.08</v>
      </c>
      <c r="AM178" s="41">
        <f>INDEX('[2]End - Use Prices'!$C$6:$AL$89,MATCH($C178,'[2]End - Use Prices'!$A$6:$A$89,0)+MATCH($D178,'[2]End - Use Prices'!$B$9:$B$11,0)-1,MATCH(AM$1,'[2]End - Use Prices'!$C$7:$AL$7,0))</f>
        <v>38.950000000000003</v>
      </c>
      <c r="AN178" s="41">
        <f>INDEX('[2]End - Use Prices'!$C$6:$AL$89,MATCH($C178,'[2]End - Use Prices'!$A$6:$A$89,0)+MATCH($D178,'[2]End - Use Prices'!$B$9:$B$11,0)-1,MATCH(AN$1,'[2]End - Use Prices'!$C$7:$AL$7,0))</f>
        <v>36.01</v>
      </c>
      <c r="AO178" s="41">
        <f>INDEX('[2]End - Use Prices'!$C$6:$AL$89,MATCH($C178,'[2]End - Use Prices'!$A$6:$A$89,0)+MATCH($D178,'[2]End - Use Prices'!$B$9:$B$11,0)-1,MATCH(AO$1,'[2]End - Use Prices'!$C$7:$AL$7,0))</f>
        <v>34.17</v>
      </c>
      <c r="AP178" s="41">
        <f>INDEX('[2]End - Use Prices'!$C$6:$AL$89,MATCH($C178,'[2]End - Use Prices'!$A$6:$A$89,0)+MATCH($D178,'[2]End - Use Prices'!$B$9:$B$11,0)-1,MATCH(AP$1,'[2]End - Use Prices'!$C$7:$AL$7,0))</f>
        <v>34.06</v>
      </c>
      <c r="AQ178" s="41">
        <f>INDEX('[2]End - Use Prices'!$C$6:$AL$89,MATCH($C178,'[2]End - Use Prices'!$A$6:$A$89,0)+MATCH($D178,'[2]End - Use Prices'!$B$9:$B$11,0)-1,MATCH(AQ$1,'[2]End - Use Prices'!$C$7:$AL$7,0))</f>
        <v>34.04</v>
      </c>
      <c r="AR178" s="41">
        <f>INDEX('[2]End - Use Prices'!$C$6:$AL$89,MATCH($C178,'[2]End - Use Prices'!$A$6:$A$89,0)+MATCH($D178,'[2]End - Use Prices'!$B$9:$B$11,0)-1,MATCH(AR$1,'[2]End - Use Prices'!$C$7:$AL$7,0))</f>
        <v>34.25</v>
      </c>
      <c r="AS178" s="41">
        <f>INDEX('[2]End - Use Prices'!$C$6:$AL$89,MATCH($C178,'[2]End - Use Prices'!$A$6:$A$89,0)+MATCH($D178,'[2]End - Use Prices'!$B$9:$B$11,0)-1,MATCH(AS$1,'[2]End - Use Prices'!$C$7:$AL$7,0))</f>
        <v>34.39</v>
      </c>
      <c r="AT178" s="41">
        <f>INDEX('[2]End - Use Prices'!$C$6:$AL$89,MATCH($C178,'[2]End - Use Prices'!$A$6:$A$89,0)+MATCH($D178,'[2]End - Use Prices'!$B$9:$B$11,0)-1,MATCH(AT$1,'[2]End - Use Prices'!$C$7:$AL$7,0))</f>
        <v>34.22</v>
      </c>
      <c r="AU178" s="41">
        <f>INDEX('[2]End - Use Prices'!$C$6:$AL$89,MATCH($C178,'[2]End - Use Prices'!$A$6:$A$89,0)+MATCH($D178,'[2]End - Use Prices'!$B$9:$B$11,0)-1,MATCH(AU$1,'[2]End - Use Prices'!$C$7:$AL$7,0))</f>
        <v>34.020000000000003</v>
      </c>
      <c r="AV178" s="41">
        <f>INDEX('[2]End - Use Prices'!$C$6:$AL$89,MATCH($C178,'[2]End - Use Prices'!$A$6:$A$89,0)+MATCH($D178,'[2]End - Use Prices'!$B$9:$B$11,0)-1,MATCH(AV$1,'[2]End - Use Prices'!$C$7:$AL$7,0))</f>
        <v>33.840000000000003</v>
      </c>
      <c r="AW178" s="41">
        <f>INDEX('[2]End - Use Prices'!$C$6:$AL$89,MATCH($C178,'[2]End - Use Prices'!$A$6:$A$89,0)+MATCH($D178,'[2]End - Use Prices'!$B$9:$B$11,0)-1,MATCH(AW$1,'[2]End - Use Prices'!$C$7:$AL$7,0))</f>
        <v>33.67</v>
      </c>
      <c r="AX178" s="41">
        <f>INDEX('[2]End - Use Prices'!$C$6:$AL$89,MATCH($C178,'[2]End - Use Prices'!$A$6:$A$89,0)+MATCH($D178,'[2]End - Use Prices'!$B$9:$B$11,0)-1,MATCH(AX$1,'[2]End - Use Prices'!$C$7:$AL$7,0))</f>
        <v>33.58</v>
      </c>
      <c r="AY178" s="41">
        <f>INDEX('[2]End - Use Prices'!$C$6:$AL$89,MATCH($C178,'[2]End - Use Prices'!$A$6:$A$89,0)+MATCH($D178,'[2]End - Use Prices'!$B$9:$B$11,0)-1,MATCH(AY$1,'[2]End - Use Prices'!$C$7:$AL$7,0))</f>
        <v>33.51</v>
      </c>
      <c r="AZ178" s="41">
        <f>INDEX('[2]End - Use Prices'!$C$6:$AL$89,MATCH($C178,'[2]End - Use Prices'!$A$6:$A$89,0)+MATCH($D178,'[2]End - Use Prices'!$B$9:$B$11,0)-1,MATCH(AZ$1,'[2]End - Use Prices'!$C$7:$AL$7,0))</f>
        <v>33.49</v>
      </c>
      <c r="BA178" s="41">
        <f>INDEX('[2]End - Use Prices'!$C$6:$AL$89,MATCH($C178,'[2]End - Use Prices'!$A$6:$A$89,0)+MATCH($D178,'[2]End - Use Prices'!$B$9:$B$11,0)-1,MATCH(BA$1,'[2]End - Use Prices'!$C$7:$AL$7,0))</f>
        <v>33.5</v>
      </c>
      <c r="BB178" s="41">
        <f>INDEX('[2]End - Use Prices'!$C$6:$AL$89,MATCH($C178,'[2]End - Use Prices'!$A$6:$A$89,0)+MATCH($D178,'[2]End - Use Prices'!$B$9:$B$11,0)-1,MATCH(BB$1,'[2]End - Use Prices'!$C$7:$AL$7,0))</f>
        <v>33.49</v>
      </c>
      <c r="BC178" s="41">
        <f>INDEX('[2]End - Use Prices'!$C$6:$AL$89,MATCH($C178,'[2]End - Use Prices'!$A$6:$A$89,0)+MATCH($D178,'[2]End - Use Prices'!$B$9:$B$11,0)-1,MATCH(BC$1,'[2]End - Use Prices'!$C$7:$AL$7,0))</f>
        <v>33.46</v>
      </c>
      <c r="BD178" s="41">
        <f>INDEX('[2]End - Use Prices'!$C$6:$AL$89,MATCH($C178,'[2]End - Use Prices'!$A$6:$A$89,0)+MATCH($D178,'[2]End - Use Prices'!$B$9:$B$11,0)-1,MATCH(BD$1,'[2]End - Use Prices'!$C$7:$AL$7,0))</f>
        <v>33.42</v>
      </c>
      <c r="BE178" s="41">
        <f>INDEX('[2]End - Use Prices'!$C$6:$AL$89,MATCH($C178,'[2]End - Use Prices'!$A$6:$A$89,0)+MATCH($D178,'[2]End - Use Prices'!$B$9:$B$11,0)-1,MATCH(BE$1,'[2]End - Use Prices'!$C$7:$AL$7,0))</f>
        <v>33.340000000000003</v>
      </c>
      <c r="BF178" s="41">
        <f>INDEX('[2]End - Use Prices'!$C$6:$AL$89,MATCH($C178,'[2]End - Use Prices'!$A$6:$A$89,0)+MATCH($D178,'[2]End - Use Prices'!$B$9:$B$11,0)-1,MATCH(BF$1,'[2]End - Use Prices'!$C$7:$AL$7,0))</f>
        <v>33.270000000000003</v>
      </c>
      <c r="BG178" s="41">
        <f>INDEX('[2]End - Use Prices'!$C$6:$AL$89,MATCH($C178,'[2]End - Use Prices'!$A$6:$A$89,0)+MATCH($D178,'[2]End - Use Prices'!$B$9:$B$11,0)-1,MATCH(BG$1,'[2]End - Use Prices'!$C$7:$AL$7,0))</f>
        <v>33.18</v>
      </c>
      <c r="BR178" s="39"/>
      <c r="BS178" s="39"/>
      <c r="BT178" s="39"/>
      <c r="BU178" s="39"/>
      <c r="BV178" s="39"/>
      <c r="BW178" s="39"/>
      <c r="BX178" s="39"/>
      <c r="BY178" s="39"/>
      <c r="BZ178" s="39"/>
      <c r="CA178" s="39"/>
    </row>
    <row r="179" spans="1:79">
      <c r="A179" s="5"/>
      <c r="B179" s="3"/>
      <c r="C179" s="25" t="s">
        <v>84</v>
      </c>
      <c r="D179" s="25" t="s">
        <v>276</v>
      </c>
      <c r="E179" s="25" t="s">
        <v>277</v>
      </c>
      <c r="F179" s="67" t="s">
        <v>275</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INDEX('[2]End - Use Prices'!$C$6:$AL$89,MATCH($C179,'[2]End - Use Prices'!$A$6:$A$89,0)+MATCH($D179,'[2]End - Use Prices'!$B$9:$B$11,0)-1,MATCH(X$1,'[2]End - Use Prices'!$C$7:$AL$7,0))</f>
        <v>25.86</v>
      </c>
      <c r="Y179" s="41">
        <f>INDEX('[2]End - Use Prices'!$C$6:$AL$89,MATCH($C179,'[2]End - Use Prices'!$A$6:$A$89,0)+MATCH($D179,'[2]End - Use Prices'!$B$9:$B$11,0)-1,MATCH(Y$1,'[2]End - Use Prices'!$C$7:$AL$7,0))</f>
        <v>27.18</v>
      </c>
      <c r="Z179" s="41">
        <f>INDEX('[2]End - Use Prices'!$C$6:$AL$89,MATCH($C179,'[2]End - Use Prices'!$A$6:$A$89,0)+MATCH($D179,'[2]End - Use Prices'!$B$9:$B$11,0)-1,MATCH(Z$1,'[2]End - Use Prices'!$C$7:$AL$7,0))</f>
        <v>27.19</v>
      </c>
      <c r="AA179" s="41">
        <f>INDEX('[2]End - Use Prices'!$C$6:$AL$89,MATCH($C179,'[2]End - Use Prices'!$A$6:$A$89,0)+MATCH($D179,'[2]End - Use Prices'!$B$9:$B$11,0)-1,MATCH(AA$1,'[2]End - Use Prices'!$C$7:$AL$7,0))</f>
        <v>32.65</v>
      </c>
      <c r="AB179" s="41">
        <f>INDEX('[2]End - Use Prices'!$C$6:$AL$89,MATCH($C179,'[2]End - Use Prices'!$A$6:$A$89,0)+MATCH($D179,'[2]End - Use Prices'!$B$9:$B$11,0)-1,MATCH(AB$1,'[2]End - Use Prices'!$C$7:$AL$7,0))</f>
        <v>22.7</v>
      </c>
      <c r="AC179" s="41">
        <f>INDEX('[2]End - Use Prices'!$C$6:$AL$89,MATCH($C179,'[2]End - Use Prices'!$A$6:$A$89,0)+MATCH($D179,'[2]End - Use Prices'!$B$9:$B$11,0)-1,MATCH(AC$1,'[2]End - Use Prices'!$C$7:$AL$7,0))</f>
        <v>26.25</v>
      </c>
      <c r="AD179" s="41">
        <f>INDEX('[2]End - Use Prices'!$C$6:$AL$89,MATCH($C179,'[2]End - Use Prices'!$A$6:$A$89,0)+MATCH($D179,'[2]End - Use Prices'!$B$9:$B$11,0)-1,MATCH(AD$1,'[2]End - Use Prices'!$C$7:$AL$7,0))</f>
        <v>31.74</v>
      </c>
      <c r="AE179" s="41">
        <f>INDEX('[2]End - Use Prices'!$C$6:$AL$89,MATCH($C179,'[2]End - Use Prices'!$A$6:$A$89,0)+MATCH($D179,'[2]End - Use Prices'!$B$9:$B$11,0)-1,MATCH(AE$1,'[2]End - Use Prices'!$C$7:$AL$7,0))</f>
        <v>32.58</v>
      </c>
      <c r="AF179" s="41">
        <f>INDEX('[2]End - Use Prices'!$C$6:$AL$89,MATCH($C179,'[2]End - Use Prices'!$A$6:$A$89,0)+MATCH($D179,'[2]End - Use Prices'!$B$9:$B$11,0)-1,MATCH(AF$1,'[2]End - Use Prices'!$C$7:$AL$7,0))</f>
        <v>29.61</v>
      </c>
      <c r="AG179" s="41">
        <f>INDEX('[2]End - Use Prices'!$C$6:$AL$89,MATCH($C179,'[2]End - Use Prices'!$A$6:$A$89,0)+MATCH($D179,'[2]End - Use Prices'!$B$9:$B$11,0)-1,MATCH(AG$1,'[2]End - Use Prices'!$C$7:$AL$7,0))</f>
        <v>29.41</v>
      </c>
      <c r="AH179" s="41">
        <f>INDEX('[2]End - Use Prices'!$C$6:$AL$89,MATCH($C179,'[2]End - Use Prices'!$A$6:$A$89,0)+MATCH($D179,'[2]End - Use Prices'!$B$9:$B$11,0)-1,MATCH(AH$1,'[2]End - Use Prices'!$C$7:$AL$7,0))</f>
        <v>22.78</v>
      </c>
      <c r="AI179" s="41">
        <f>INDEX('[2]End - Use Prices'!$C$6:$AL$89,MATCH($C179,'[2]End - Use Prices'!$A$6:$A$89,0)+MATCH($D179,'[2]End - Use Prices'!$B$9:$B$11,0)-1,MATCH(AI$1,'[2]End - Use Prices'!$C$7:$AL$7,0))</f>
        <v>21.05</v>
      </c>
      <c r="AJ179" s="41">
        <f>INDEX('[2]End - Use Prices'!$C$6:$AL$89,MATCH($C179,'[2]End - Use Prices'!$A$6:$A$89,0)+MATCH($D179,'[2]End - Use Prices'!$B$9:$B$11,0)-1,MATCH(AJ$1,'[2]End - Use Prices'!$C$7:$AL$7,0))</f>
        <v>24</v>
      </c>
      <c r="AK179" s="41">
        <f>INDEX('[2]End - Use Prices'!$C$6:$AL$89,MATCH($C179,'[2]End - Use Prices'!$A$6:$A$89,0)+MATCH($D179,'[2]End - Use Prices'!$B$9:$B$11,0)-1,MATCH(AK$1,'[2]End - Use Prices'!$C$7:$AL$7,0))</f>
        <v>27.31</v>
      </c>
      <c r="AL179" s="41">
        <f>INDEX('[2]End - Use Prices'!$C$6:$AL$89,MATCH($C179,'[2]End - Use Prices'!$A$6:$A$89,0)+MATCH($D179,'[2]End - Use Prices'!$B$9:$B$11,0)-1,MATCH(AL$1,'[2]End - Use Prices'!$C$7:$AL$7,0))</f>
        <v>30.69</v>
      </c>
      <c r="AM179" s="41">
        <f>INDEX('[2]End - Use Prices'!$C$6:$AL$89,MATCH($C179,'[2]End - Use Prices'!$A$6:$A$89,0)+MATCH($D179,'[2]End - Use Prices'!$B$9:$B$11,0)-1,MATCH(AM$1,'[2]End - Use Prices'!$C$7:$AL$7,0))</f>
        <v>35.65</v>
      </c>
      <c r="AN179" s="41">
        <f>INDEX('[2]End - Use Prices'!$C$6:$AL$89,MATCH($C179,'[2]End - Use Prices'!$A$6:$A$89,0)+MATCH($D179,'[2]End - Use Prices'!$B$9:$B$11,0)-1,MATCH(AN$1,'[2]End - Use Prices'!$C$7:$AL$7,0))</f>
        <v>32.92</v>
      </c>
      <c r="AO179" s="41">
        <f>INDEX('[2]End - Use Prices'!$C$6:$AL$89,MATCH($C179,'[2]End - Use Prices'!$A$6:$A$89,0)+MATCH($D179,'[2]End - Use Prices'!$B$9:$B$11,0)-1,MATCH(AO$1,'[2]End - Use Prices'!$C$7:$AL$7,0))</f>
        <v>31.27</v>
      </c>
      <c r="AP179" s="41">
        <f>INDEX('[2]End - Use Prices'!$C$6:$AL$89,MATCH($C179,'[2]End - Use Prices'!$A$6:$A$89,0)+MATCH($D179,'[2]End - Use Prices'!$B$9:$B$11,0)-1,MATCH(AP$1,'[2]End - Use Prices'!$C$7:$AL$7,0))</f>
        <v>31.4</v>
      </c>
      <c r="AQ179" s="41">
        <f>INDEX('[2]End - Use Prices'!$C$6:$AL$89,MATCH($C179,'[2]End - Use Prices'!$A$6:$A$89,0)+MATCH($D179,'[2]End - Use Prices'!$B$9:$B$11,0)-1,MATCH(AQ$1,'[2]End - Use Prices'!$C$7:$AL$7,0))</f>
        <v>31.13</v>
      </c>
      <c r="AR179" s="41">
        <f>INDEX('[2]End - Use Prices'!$C$6:$AL$89,MATCH($C179,'[2]End - Use Prices'!$A$6:$A$89,0)+MATCH($D179,'[2]End - Use Prices'!$B$9:$B$11,0)-1,MATCH(AR$1,'[2]End - Use Prices'!$C$7:$AL$7,0))</f>
        <v>31.1</v>
      </c>
      <c r="AS179" s="41">
        <f>INDEX('[2]End - Use Prices'!$C$6:$AL$89,MATCH($C179,'[2]End - Use Prices'!$A$6:$A$89,0)+MATCH($D179,'[2]End - Use Prices'!$B$9:$B$11,0)-1,MATCH(AS$1,'[2]End - Use Prices'!$C$7:$AL$7,0))</f>
        <v>31.02</v>
      </c>
      <c r="AT179" s="41">
        <f>INDEX('[2]End - Use Prices'!$C$6:$AL$89,MATCH($C179,'[2]End - Use Prices'!$A$6:$A$89,0)+MATCH($D179,'[2]End - Use Prices'!$B$9:$B$11,0)-1,MATCH(AT$1,'[2]End - Use Prices'!$C$7:$AL$7,0))</f>
        <v>30.85</v>
      </c>
      <c r="AU179" s="41">
        <f>INDEX('[2]End - Use Prices'!$C$6:$AL$89,MATCH($C179,'[2]End - Use Prices'!$A$6:$A$89,0)+MATCH($D179,'[2]End - Use Prices'!$B$9:$B$11,0)-1,MATCH(AU$1,'[2]End - Use Prices'!$C$7:$AL$7,0))</f>
        <v>30.63</v>
      </c>
      <c r="AV179" s="41">
        <f>INDEX('[2]End - Use Prices'!$C$6:$AL$89,MATCH($C179,'[2]End - Use Prices'!$A$6:$A$89,0)+MATCH($D179,'[2]End - Use Prices'!$B$9:$B$11,0)-1,MATCH(AV$1,'[2]End - Use Prices'!$C$7:$AL$7,0))</f>
        <v>30.45</v>
      </c>
      <c r="AW179" s="41">
        <f>INDEX('[2]End - Use Prices'!$C$6:$AL$89,MATCH($C179,'[2]End - Use Prices'!$A$6:$A$89,0)+MATCH($D179,'[2]End - Use Prices'!$B$9:$B$11,0)-1,MATCH(AW$1,'[2]End - Use Prices'!$C$7:$AL$7,0))</f>
        <v>30.26</v>
      </c>
      <c r="AX179" s="41">
        <f>INDEX('[2]End - Use Prices'!$C$6:$AL$89,MATCH($C179,'[2]End - Use Prices'!$A$6:$A$89,0)+MATCH($D179,'[2]End - Use Prices'!$B$9:$B$11,0)-1,MATCH(AX$1,'[2]End - Use Prices'!$C$7:$AL$7,0))</f>
        <v>30.15</v>
      </c>
      <c r="AY179" s="41">
        <f>INDEX('[2]End - Use Prices'!$C$6:$AL$89,MATCH($C179,'[2]End - Use Prices'!$A$6:$A$89,0)+MATCH($D179,'[2]End - Use Prices'!$B$9:$B$11,0)-1,MATCH(AY$1,'[2]End - Use Prices'!$C$7:$AL$7,0))</f>
        <v>30.08</v>
      </c>
      <c r="AZ179" s="41">
        <f>INDEX('[2]End - Use Prices'!$C$6:$AL$89,MATCH($C179,'[2]End - Use Prices'!$A$6:$A$89,0)+MATCH($D179,'[2]End - Use Prices'!$B$9:$B$11,0)-1,MATCH(AZ$1,'[2]End - Use Prices'!$C$7:$AL$7,0))</f>
        <v>30.05</v>
      </c>
      <c r="BA179" s="41">
        <f>INDEX('[2]End - Use Prices'!$C$6:$AL$89,MATCH($C179,'[2]End - Use Prices'!$A$6:$A$89,0)+MATCH($D179,'[2]End - Use Prices'!$B$9:$B$11,0)-1,MATCH(BA$1,'[2]End - Use Prices'!$C$7:$AL$7,0))</f>
        <v>30.05</v>
      </c>
      <c r="BB179" s="41">
        <f>INDEX('[2]End - Use Prices'!$C$6:$AL$89,MATCH($C179,'[2]End - Use Prices'!$A$6:$A$89,0)+MATCH($D179,'[2]End - Use Prices'!$B$9:$B$11,0)-1,MATCH(BB$1,'[2]End - Use Prices'!$C$7:$AL$7,0))</f>
        <v>30.03</v>
      </c>
      <c r="BC179" s="41">
        <f>INDEX('[2]End - Use Prices'!$C$6:$AL$89,MATCH($C179,'[2]End - Use Prices'!$A$6:$A$89,0)+MATCH($D179,'[2]End - Use Prices'!$B$9:$B$11,0)-1,MATCH(BC$1,'[2]End - Use Prices'!$C$7:$AL$7,0))</f>
        <v>29.99</v>
      </c>
      <c r="BD179" s="41">
        <f>INDEX('[2]End - Use Prices'!$C$6:$AL$89,MATCH($C179,'[2]End - Use Prices'!$A$6:$A$89,0)+MATCH($D179,'[2]End - Use Prices'!$B$9:$B$11,0)-1,MATCH(BD$1,'[2]End - Use Prices'!$C$7:$AL$7,0))</f>
        <v>29.93</v>
      </c>
      <c r="BE179" s="41">
        <f>INDEX('[2]End - Use Prices'!$C$6:$AL$89,MATCH($C179,'[2]End - Use Prices'!$A$6:$A$89,0)+MATCH($D179,'[2]End - Use Prices'!$B$9:$B$11,0)-1,MATCH(BE$1,'[2]End - Use Prices'!$C$7:$AL$7,0))</f>
        <v>29.84</v>
      </c>
      <c r="BF179" s="41">
        <f>INDEX('[2]End - Use Prices'!$C$6:$AL$89,MATCH($C179,'[2]End - Use Prices'!$A$6:$A$89,0)+MATCH($D179,'[2]End - Use Prices'!$B$9:$B$11,0)-1,MATCH(BF$1,'[2]End - Use Prices'!$C$7:$AL$7,0))</f>
        <v>29.75</v>
      </c>
      <c r="BG179" s="41">
        <f>INDEX('[2]End - Use Prices'!$C$6:$AL$89,MATCH($C179,'[2]End - Use Prices'!$A$6:$A$89,0)+MATCH($D179,'[2]End - Use Prices'!$B$9:$B$11,0)-1,MATCH(BG$1,'[2]End - Use Prices'!$C$7:$AL$7,0))</f>
        <v>29.65</v>
      </c>
      <c r="BR179" s="39"/>
      <c r="BS179" s="39"/>
      <c r="BT179" s="39"/>
      <c r="BU179" s="39"/>
      <c r="BV179" s="39"/>
      <c r="BW179" s="39"/>
      <c r="BX179" s="39"/>
      <c r="BY179" s="39"/>
      <c r="BZ179" s="39"/>
      <c r="CA179" s="39"/>
    </row>
    <row r="180" spans="1:79">
      <c r="A180" s="5"/>
      <c r="B180" s="3"/>
      <c r="C180" s="25" t="s">
        <v>85</v>
      </c>
      <c r="D180" s="25" t="s">
        <v>276</v>
      </c>
      <c r="E180" s="25" t="s">
        <v>277</v>
      </c>
      <c r="F180" s="67" t="s">
        <v>275</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INDEX('[2]End - Use Prices'!$C$6:$AL$89,MATCH($C180,'[2]End - Use Prices'!$A$6:$A$89,0)+MATCH($D180,'[2]End - Use Prices'!$B$9:$B$11,0)-1,MATCH(X$1,'[2]End - Use Prices'!$C$7:$AL$7,0))</f>
        <v>24.29</v>
      </c>
      <c r="Y180" s="41">
        <f>INDEX('[2]End - Use Prices'!$C$6:$AL$89,MATCH($C180,'[2]End - Use Prices'!$A$6:$A$89,0)+MATCH($D180,'[2]End - Use Prices'!$B$9:$B$11,0)-1,MATCH(Y$1,'[2]End - Use Prices'!$C$7:$AL$7,0))</f>
        <v>24.86</v>
      </c>
      <c r="Z180" s="41">
        <f>INDEX('[2]End - Use Prices'!$C$6:$AL$89,MATCH($C180,'[2]End - Use Prices'!$A$6:$A$89,0)+MATCH($D180,'[2]End - Use Prices'!$B$9:$B$11,0)-1,MATCH(Z$1,'[2]End - Use Prices'!$C$7:$AL$7,0))</f>
        <v>24.61</v>
      </c>
      <c r="AA180" s="41">
        <f>INDEX('[2]End - Use Prices'!$C$6:$AL$89,MATCH($C180,'[2]End - Use Prices'!$A$6:$A$89,0)+MATCH($D180,'[2]End - Use Prices'!$B$9:$B$11,0)-1,MATCH(AA$1,'[2]End - Use Prices'!$C$7:$AL$7,0))</f>
        <v>30.51</v>
      </c>
      <c r="AB180" s="41">
        <f>INDEX('[2]End - Use Prices'!$C$6:$AL$89,MATCH($C180,'[2]End - Use Prices'!$A$6:$A$89,0)+MATCH($D180,'[2]End - Use Prices'!$B$9:$B$11,0)-1,MATCH(AB$1,'[2]End - Use Prices'!$C$7:$AL$7,0))</f>
        <v>21.93</v>
      </c>
      <c r="AC180" s="41">
        <f>INDEX('[2]End - Use Prices'!$C$6:$AL$89,MATCH($C180,'[2]End - Use Prices'!$A$6:$A$89,0)+MATCH($D180,'[2]End - Use Prices'!$B$9:$B$11,0)-1,MATCH(AC$1,'[2]End - Use Prices'!$C$7:$AL$7,0))</f>
        <v>24.71</v>
      </c>
      <c r="AD180" s="41">
        <f>INDEX('[2]End - Use Prices'!$C$6:$AL$89,MATCH($C180,'[2]End - Use Prices'!$A$6:$A$89,0)+MATCH($D180,'[2]End - Use Prices'!$B$9:$B$11,0)-1,MATCH(AD$1,'[2]End - Use Prices'!$C$7:$AL$7,0))</f>
        <v>30.18</v>
      </c>
      <c r="AE180" s="41">
        <f>INDEX('[2]End - Use Prices'!$C$6:$AL$89,MATCH($C180,'[2]End - Use Prices'!$A$6:$A$89,0)+MATCH($D180,'[2]End - Use Prices'!$B$9:$B$11,0)-1,MATCH(AE$1,'[2]End - Use Prices'!$C$7:$AL$7,0))</f>
        <v>31.33</v>
      </c>
      <c r="AF180" s="41">
        <f>INDEX('[2]End - Use Prices'!$C$6:$AL$89,MATCH($C180,'[2]End - Use Prices'!$A$6:$A$89,0)+MATCH($D180,'[2]End - Use Prices'!$B$9:$B$11,0)-1,MATCH(AF$1,'[2]End - Use Prices'!$C$7:$AL$7,0))</f>
        <v>30.91</v>
      </c>
      <c r="AG180" s="41">
        <f>INDEX('[2]End - Use Prices'!$C$6:$AL$89,MATCH($C180,'[2]End - Use Prices'!$A$6:$A$89,0)+MATCH($D180,'[2]End - Use Prices'!$B$9:$B$11,0)-1,MATCH(AG$1,'[2]End - Use Prices'!$C$7:$AL$7,0))</f>
        <v>31</v>
      </c>
      <c r="AH180" s="41">
        <f>INDEX('[2]End - Use Prices'!$C$6:$AL$89,MATCH($C180,'[2]End - Use Prices'!$A$6:$A$89,0)+MATCH($D180,'[2]End - Use Prices'!$B$9:$B$11,0)-1,MATCH(AH$1,'[2]End - Use Prices'!$C$7:$AL$7,0))</f>
        <v>24.09</v>
      </c>
      <c r="AI180" s="41">
        <f>INDEX('[2]End - Use Prices'!$C$6:$AL$89,MATCH($C180,'[2]End - Use Prices'!$A$6:$A$89,0)+MATCH($D180,'[2]End - Use Prices'!$B$9:$B$11,0)-1,MATCH(AI$1,'[2]End - Use Prices'!$C$7:$AL$7,0))</f>
        <v>20.85</v>
      </c>
      <c r="AJ180" s="41">
        <f>INDEX('[2]End - Use Prices'!$C$6:$AL$89,MATCH($C180,'[2]End - Use Prices'!$A$6:$A$89,0)+MATCH($D180,'[2]End - Use Prices'!$B$9:$B$11,0)-1,MATCH(AJ$1,'[2]End - Use Prices'!$C$7:$AL$7,0))</f>
        <v>22.06</v>
      </c>
      <c r="AK180" s="41">
        <f>INDEX('[2]End - Use Prices'!$C$6:$AL$89,MATCH($C180,'[2]End - Use Prices'!$A$6:$A$89,0)+MATCH($D180,'[2]End - Use Prices'!$B$9:$B$11,0)-1,MATCH(AK$1,'[2]End - Use Prices'!$C$7:$AL$7,0))</f>
        <v>26.58</v>
      </c>
      <c r="AL180" s="41">
        <f>INDEX('[2]End - Use Prices'!$C$6:$AL$89,MATCH($C180,'[2]End - Use Prices'!$A$6:$A$89,0)+MATCH($D180,'[2]End - Use Prices'!$B$9:$B$11,0)-1,MATCH(AL$1,'[2]End - Use Prices'!$C$7:$AL$7,0))</f>
        <v>29.7</v>
      </c>
      <c r="AM180" s="41">
        <f>INDEX('[2]End - Use Prices'!$C$6:$AL$89,MATCH($C180,'[2]End - Use Prices'!$A$6:$A$89,0)+MATCH($D180,'[2]End - Use Prices'!$B$9:$B$11,0)-1,MATCH(AM$1,'[2]End - Use Prices'!$C$7:$AL$7,0))</f>
        <v>34.39</v>
      </c>
      <c r="AN180" s="41">
        <f>INDEX('[2]End - Use Prices'!$C$6:$AL$89,MATCH($C180,'[2]End - Use Prices'!$A$6:$A$89,0)+MATCH($D180,'[2]End - Use Prices'!$B$9:$B$11,0)-1,MATCH(AN$1,'[2]End - Use Prices'!$C$7:$AL$7,0))</f>
        <v>31.95</v>
      </c>
      <c r="AO180" s="41">
        <f>INDEX('[2]End - Use Prices'!$C$6:$AL$89,MATCH($C180,'[2]End - Use Prices'!$A$6:$A$89,0)+MATCH($D180,'[2]End - Use Prices'!$B$9:$B$11,0)-1,MATCH(AO$1,'[2]End - Use Prices'!$C$7:$AL$7,0))</f>
        <v>30.49</v>
      </c>
      <c r="AP180" s="41">
        <f>INDEX('[2]End - Use Prices'!$C$6:$AL$89,MATCH($C180,'[2]End - Use Prices'!$A$6:$A$89,0)+MATCH($D180,'[2]End - Use Prices'!$B$9:$B$11,0)-1,MATCH(AP$1,'[2]End - Use Prices'!$C$7:$AL$7,0))</f>
        <v>30.66</v>
      </c>
      <c r="AQ180" s="41">
        <f>INDEX('[2]End - Use Prices'!$C$6:$AL$89,MATCH($C180,'[2]End - Use Prices'!$A$6:$A$89,0)+MATCH($D180,'[2]End - Use Prices'!$B$9:$B$11,0)-1,MATCH(AQ$1,'[2]End - Use Prices'!$C$7:$AL$7,0))</f>
        <v>30.4</v>
      </c>
      <c r="AR180" s="41">
        <f>INDEX('[2]End - Use Prices'!$C$6:$AL$89,MATCH($C180,'[2]End - Use Prices'!$A$6:$A$89,0)+MATCH($D180,'[2]End - Use Prices'!$B$9:$B$11,0)-1,MATCH(AR$1,'[2]End - Use Prices'!$C$7:$AL$7,0))</f>
        <v>30.37</v>
      </c>
      <c r="AS180" s="41">
        <f>INDEX('[2]End - Use Prices'!$C$6:$AL$89,MATCH($C180,'[2]End - Use Prices'!$A$6:$A$89,0)+MATCH($D180,'[2]End - Use Prices'!$B$9:$B$11,0)-1,MATCH(AS$1,'[2]End - Use Prices'!$C$7:$AL$7,0))</f>
        <v>30.29</v>
      </c>
      <c r="AT180" s="41">
        <f>INDEX('[2]End - Use Prices'!$C$6:$AL$89,MATCH($C180,'[2]End - Use Prices'!$A$6:$A$89,0)+MATCH($D180,'[2]End - Use Prices'!$B$9:$B$11,0)-1,MATCH(AT$1,'[2]End - Use Prices'!$C$7:$AL$7,0))</f>
        <v>30.12</v>
      </c>
      <c r="AU180" s="41">
        <f>INDEX('[2]End - Use Prices'!$C$6:$AL$89,MATCH($C180,'[2]End - Use Prices'!$A$6:$A$89,0)+MATCH($D180,'[2]End - Use Prices'!$B$9:$B$11,0)-1,MATCH(AU$1,'[2]End - Use Prices'!$C$7:$AL$7,0))</f>
        <v>29.91</v>
      </c>
      <c r="AV180" s="41">
        <f>INDEX('[2]End - Use Prices'!$C$6:$AL$89,MATCH($C180,'[2]End - Use Prices'!$A$6:$A$89,0)+MATCH($D180,'[2]End - Use Prices'!$B$9:$B$11,0)-1,MATCH(AV$1,'[2]End - Use Prices'!$C$7:$AL$7,0))</f>
        <v>29.74</v>
      </c>
      <c r="AW180" s="41">
        <f>INDEX('[2]End - Use Prices'!$C$6:$AL$89,MATCH($C180,'[2]End - Use Prices'!$A$6:$A$89,0)+MATCH($D180,'[2]End - Use Prices'!$B$9:$B$11,0)-1,MATCH(AW$1,'[2]End - Use Prices'!$C$7:$AL$7,0))</f>
        <v>29.56</v>
      </c>
      <c r="AX180" s="41">
        <f>INDEX('[2]End - Use Prices'!$C$6:$AL$89,MATCH($C180,'[2]End - Use Prices'!$A$6:$A$89,0)+MATCH($D180,'[2]End - Use Prices'!$B$9:$B$11,0)-1,MATCH(AX$1,'[2]End - Use Prices'!$C$7:$AL$7,0))</f>
        <v>29.46</v>
      </c>
      <c r="AY180" s="41">
        <f>INDEX('[2]End - Use Prices'!$C$6:$AL$89,MATCH($C180,'[2]End - Use Prices'!$A$6:$A$89,0)+MATCH($D180,'[2]End - Use Prices'!$B$9:$B$11,0)-1,MATCH(AY$1,'[2]End - Use Prices'!$C$7:$AL$7,0))</f>
        <v>29.39</v>
      </c>
      <c r="AZ180" s="41">
        <f>INDEX('[2]End - Use Prices'!$C$6:$AL$89,MATCH($C180,'[2]End - Use Prices'!$A$6:$A$89,0)+MATCH($D180,'[2]End - Use Prices'!$B$9:$B$11,0)-1,MATCH(AZ$1,'[2]End - Use Prices'!$C$7:$AL$7,0))</f>
        <v>29.35</v>
      </c>
      <c r="BA180" s="41">
        <f>INDEX('[2]End - Use Prices'!$C$6:$AL$89,MATCH($C180,'[2]End - Use Prices'!$A$6:$A$89,0)+MATCH($D180,'[2]End - Use Prices'!$B$9:$B$11,0)-1,MATCH(BA$1,'[2]End - Use Prices'!$C$7:$AL$7,0))</f>
        <v>29.35</v>
      </c>
      <c r="BB180" s="41">
        <f>INDEX('[2]End - Use Prices'!$C$6:$AL$89,MATCH($C180,'[2]End - Use Prices'!$A$6:$A$89,0)+MATCH($D180,'[2]End - Use Prices'!$B$9:$B$11,0)-1,MATCH(BB$1,'[2]End - Use Prices'!$C$7:$AL$7,0))</f>
        <v>29.32</v>
      </c>
      <c r="BC180" s="41">
        <f>INDEX('[2]End - Use Prices'!$C$6:$AL$89,MATCH($C180,'[2]End - Use Prices'!$A$6:$A$89,0)+MATCH($D180,'[2]End - Use Prices'!$B$9:$B$11,0)-1,MATCH(BC$1,'[2]End - Use Prices'!$C$7:$AL$7,0))</f>
        <v>29.28</v>
      </c>
      <c r="BD180" s="41">
        <f>INDEX('[2]End - Use Prices'!$C$6:$AL$89,MATCH($C180,'[2]End - Use Prices'!$A$6:$A$89,0)+MATCH($D180,'[2]End - Use Prices'!$B$9:$B$11,0)-1,MATCH(BD$1,'[2]End - Use Prices'!$C$7:$AL$7,0))</f>
        <v>29.23</v>
      </c>
      <c r="BE180" s="41">
        <f>INDEX('[2]End - Use Prices'!$C$6:$AL$89,MATCH($C180,'[2]End - Use Prices'!$A$6:$A$89,0)+MATCH($D180,'[2]End - Use Prices'!$B$9:$B$11,0)-1,MATCH(BE$1,'[2]End - Use Prices'!$C$7:$AL$7,0))</f>
        <v>29.14</v>
      </c>
      <c r="BF180" s="41">
        <f>INDEX('[2]End - Use Prices'!$C$6:$AL$89,MATCH($C180,'[2]End - Use Prices'!$A$6:$A$89,0)+MATCH($D180,'[2]End - Use Prices'!$B$9:$B$11,0)-1,MATCH(BF$1,'[2]End - Use Prices'!$C$7:$AL$7,0))</f>
        <v>29.05</v>
      </c>
      <c r="BG180" s="41">
        <f>INDEX('[2]End - Use Prices'!$C$6:$AL$89,MATCH($C180,'[2]End - Use Prices'!$A$6:$A$89,0)+MATCH($D180,'[2]End - Use Prices'!$B$9:$B$11,0)-1,MATCH(BG$1,'[2]End - Use Prices'!$C$7:$AL$7,0))</f>
        <v>28.95</v>
      </c>
      <c r="BR180" s="39"/>
      <c r="BS180" s="39"/>
      <c r="BT180" s="39"/>
      <c r="BU180" s="39"/>
      <c r="BV180" s="39"/>
      <c r="BW180" s="39"/>
      <c r="BX180" s="39"/>
      <c r="BY180" s="39"/>
      <c r="BZ180" s="39"/>
      <c r="CA180" s="39"/>
    </row>
    <row r="181" spans="1:79">
      <c r="A181" s="5"/>
      <c r="B181" s="3"/>
      <c r="C181" s="25" t="s">
        <v>86</v>
      </c>
      <c r="D181" s="25" t="s">
        <v>276</v>
      </c>
      <c r="E181" s="25" t="s">
        <v>277</v>
      </c>
      <c r="F181" s="67" t="s">
        <v>275</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INDEX('[2]End - Use Prices'!$C$6:$AL$89,MATCH($C181,'[2]End - Use Prices'!$A$6:$A$89,0)+MATCH($D181,'[2]End - Use Prices'!$B$9:$B$11,0)-1,MATCH(X$1,'[2]End - Use Prices'!$C$7:$AL$7,0))</f>
        <v>27.52</v>
      </c>
      <c r="Y181" s="41">
        <f>INDEX('[2]End - Use Prices'!$C$6:$AL$89,MATCH($C181,'[2]End - Use Prices'!$A$6:$A$89,0)+MATCH($D181,'[2]End - Use Prices'!$B$9:$B$11,0)-1,MATCH(Y$1,'[2]End - Use Prices'!$C$7:$AL$7,0))</f>
        <v>28.18</v>
      </c>
      <c r="Z181" s="41">
        <f>INDEX('[2]End - Use Prices'!$C$6:$AL$89,MATCH($C181,'[2]End - Use Prices'!$A$6:$A$89,0)+MATCH($D181,'[2]End - Use Prices'!$B$9:$B$11,0)-1,MATCH(Z$1,'[2]End - Use Prices'!$C$7:$AL$7,0))</f>
        <v>26.07</v>
      </c>
      <c r="AA181" s="41">
        <f>INDEX('[2]End - Use Prices'!$C$6:$AL$89,MATCH($C181,'[2]End - Use Prices'!$A$6:$A$89,0)+MATCH($D181,'[2]End - Use Prices'!$B$9:$B$11,0)-1,MATCH(AA$1,'[2]End - Use Prices'!$C$7:$AL$7,0))</f>
        <v>31.72</v>
      </c>
      <c r="AB181" s="41">
        <f>INDEX('[2]End - Use Prices'!$C$6:$AL$89,MATCH($C181,'[2]End - Use Prices'!$A$6:$A$89,0)+MATCH($D181,'[2]End - Use Prices'!$B$9:$B$11,0)-1,MATCH(AB$1,'[2]End - Use Prices'!$C$7:$AL$7,0))</f>
        <v>22.7</v>
      </c>
      <c r="AC181" s="41">
        <f>INDEX('[2]End - Use Prices'!$C$6:$AL$89,MATCH($C181,'[2]End - Use Prices'!$A$6:$A$89,0)+MATCH($D181,'[2]End - Use Prices'!$B$9:$B$11,0)-1,MATCH(AC$1,'[2]End - Use Prices'!$C$7:$AL$7,0))</f>
        <v>25.32</v>
      </c>
      <c r="AD181" s="41">
        <f>INDEX('[2]End - Use Prices'!$C$6:$AL$89,MATCH($C181,'[2]End - Use Prices'!$A$6:$A$89,0)+MATCH($D181,'[2]End - Use Prices'!$B$9:$B$11,0)-1,MATCH(AD$1,'[2]End - Use Prices'!$C$7:$AL$7,0))</f>
        <v>30.73</v>
      </c>
      <c r="AE181" s="41">
        <f>INDEX('[2]End - Use Prices'!$C$6:$AL$89,MATCH($C181,'[2]End - Use Prices'!$A$6:$A$89,0)+MATCH($D181,'[2]End - Use Prices'!$B$9:$B$11,0)-1,MATCH(AE$1,'[2]End - Use Prices'!$C$7:$AL$7,0))</f>
        <v>31.88</v>
      </c>
      <c r="AF181" s="41">
        <f>INDEX('[2]End - Use Prices'!$C$6:$AL$89,MATCH($C181,'[2]End - Use Prices'!$A$6:$A$89,0)+MATCH($D181,'[2]End - Use Prices'!$B$9:$B$11,0)-1,MATCH(AF$1,'[2]End - Use Prices'!$C$7:$AL$7,0))</f>
        <v>31.97</v>
      </c>
      <c r="AG181" s="41">
        <f>INDEX('[2]End - Use Prices'!$C$6:$AL$89,MATCH($C181,'[2]End - Use Prices'!$A$6:$A$89,0)+MATCH($D181,'[2]End - Use Prices'!$B$9:$B$11,0)-1,MATCH(AG$1,'[2]End - Use Prices'!$C$7:$AL$7,0))</f>
        <v>34.450000000000003</v>
      </c>
      <c r="AH181" s="41">
        <f>INDEX('[2]End - Use Prices'!$C$6:$AL$89,MATCH($C181,'[2]End - Use Prices'!$A$6:$A$89,0)+MATCH($D181,'[2]End - Use Prices'!$B$9:$B$11,0)-1,MATCH(AH$1,'[2]End - Use Prices'!$C$7:$AL$7,0))</f>
        <v>27.46</v>
      </c>
      <c r="AI181" s="41">
        <f>INDEX('[2]End - Use Prices'!$C$6:$AL$89,MATCH($C181,'[2]End - Use Prices'!$A$6:$A$89,0)+MATCH($D181,'[2]End - Use Prices'!$B$9:$B$11,0)-1,MATCH(AI$1,'[2]End - Use Prices'!$C$7:$AL$7,0))</f>
        <v>23.92</v>
      </c>
      <c r="AJ181" s="41">
        <f>INDEX('[2]End - Use Prices'!$C$6:$AL$89,MATCH($C181,'[2]End - Use Prices'!$A$6:$A$89,0)+MATCH($D181,'[2]End - Use Prices'!$B$9:$B$11,0)-1,MATCH(AJ$1,'[2]End - Use Prices'!$C$7:$AL$7,0))</f>
        <v>25.38</v>
      </c>
      <c r="AK181" s="41">
        <f>INDEX('[2]End - Use Prices'!$C$6:$AL$89,MATCH($C181,'[2]End - Use Prices'!$A$6:$A$89,0)+MATCH($D181,'[2]End - Use Prices'!$B$9:$B$11,0)-1,MATCH(AK$1,'[2]End - Use Prices'!$C$7:$AL$7,0))</f>
        <v>29.63</v>
      </c>
      <c r="AL181" s="41">
        <f>INDEX('[2]End - Use Prices'!$C$6:$AL$89,MATCH($C181,'[2]End - Use Prices'!$A$6:$A$89,0)+MATCH($D181,'[2]End - Use Prices'!$B$9:$B$11,0)-1,MATCH(AL$1,'[2]End - Use Prices'!$C$7:$AL$7,0))</f>
        <v>32.75</v>
      </c>
      <c r="AM181" s="41">
        <f>INDEX('[2]End - Use Prices'!$C$6:$AL$89,MATCH($C181,'[2]End - Use Prices'!$A$6:$A$89,0)+MATCH($D181,'[2]End - Use Prices'!$B$9:$B$11,0)-1,MATCH(AM$1,'[2]End - Use Prices'!$C$7:$AL$7,0))</f>
        <v>37.450000000000003</v>
      </c>
      <c r="AN181" s="41">
        <f>INDEX('[2]End - Use Prices'!$C$6:$AL$89,MATCH($C181,'[2]End - Use Prices'!$A$6:$A$89,0)+MATCH($D181,'[2]End - Use Prices'!$B$9:$B$11,0)-1,MATCH(AN$1,'[2]End - Use Prices'!$C$7:$AL$7,0))</f>
        <v>35</v>
      </c>
      <c r="AO181" s="41">
        <f>INDEX('[2]End - Use Prices'!$C$6:$AL$89,MATCH($C181,'[2]End - Use Prices'!$A$6:$A$89,0)+MATCH($D181,'[2]End - Use Prices'!$B$9:$B$11,0)-1,MATCH(AO$1,'[2]End - Use Prices'!$C$7:$AL$7,0))</f>
        <v>33.549999999999997</v>
      </c>
      <c r="AP181" s="41">
        <f>INDEX('[2]End - Use Prices'!$C$6:$AL$89,MATCH($C181,'[2]End - Use Prices'!$A$6:$A$89,0)+MATCH($D181,'[2]End - Use Prices'!$B$9:$B$11,0)-1,MATCH(AP$1,'[2]End - Use Prices'!$C$7:$AL$7,0))</f>
        <v>33.72</v>
      </c>
      <c r="AQ181" s="41">
        <f>INDEX('[2]End - Use Prices'!$C$6:$AL$89,MATCH($C181,'[2]End - Use Prices'!$A$6:$A$89,0)+MATCH($D181,'[2]End - Use Prices'!$B$9:$B$11,0)-1,MATCH(AQ$1,'[2]End - Use Prices'!$C$7:$AL$7,0))</f>
        <v>33.450000000000003</v>
      </c>
      <c r="AR181" s="41">
        <f>INDEX('[2]End - Use Prices'!$C$6:$AL$89,MATCH($C181,'[2]End - Use Prices'!$A$6:$A$89,0)+MATCH($D181,'[2]End - Use Prices'!$B$9:$B$11,0)-1,MATCH(AR$1,'[2]End - Use Prices'!$C$7:$AL$7,0))</f>
        <v>33.42</v>
      </c>
      <c r="AS181" s="41">
        <f>INDEX('[2]End - Use Prices'!$C$6:$AL$89,MATCH($C181,'[2]End - Use Prices'!$A$6:$A$89,0)+MATCH($D181,'[2]End - Use Prices'!$B$9:$B$11,0)-1,MATCH(AS$1,'[2]End - Use Prices'!$C$7:$AL$7,0))</f>
        <v>33.340000000000003</v>
      </c>
      <c r="AT181" s="41">
        <f>INDEX('[2]End - Use Prices'!$C$6:$AL$89,MATCH($C181,'[2]End - Use Prices'!$A$6:$A$89,0)+MATCH($D181,'[2]End - Use Prices'!$B$9:$B$11,0)-1,MATCH(AT$1,'[2]End - Use Prices'!$C$7:$AL$7,0))</f>
        <v>33.17</v>
      </c>
      <c r="AU181" s="41">
        <f>INDEX('[2]End - Use Prices'!$C$6:$AL$89,MATCH($C181,'[2]End - Use Prices'!$A$6:$A$89,0)+MATCH($D181,'[2]End - Use Prices'!$B$9:$B$11,0)-1,MATCH(AU$1,'[2]End - Use Prices'!$C$7:$AL$7,0))</f>
        <v>32.96</v>
      </c>
      <c r="AV181" s="41">
        <f>INDEX('[2]End - Use Prices'!$C$6:$AL$89,MATCH($C181,'[2]End - Use Prices'!$A$6:$A$89,0)+MATCH($D181,'[2]End - Use Prices'!$B$9:$B$11,0)-1,MATCH(AV$1,'[2]End - Use Prices'!$C$7:$AL$7,0))</f>
        <v>32.79</v>
      </c>
      <c r="AW181" s="41">
        <f>INDEX('[2]End - Use Prices'!$C$6:$AL$89,MATCH($C181,'[2]End - Use Prices'!$A$6:$A$89,0)+MATCH($D181,'[2]End - Use Prices'!$B$9:$B$11,0)-1,MATCH(AW$1,'[2]End - Use Prices'!$C$7:$AL$7,0))</f>
        <v>32.61</v>
      </c>
      <c r="AX181" s="41">
        <f>INDEX('[2]End - Use Prices'!$C$6:$AL$89,MATCH($C181,'[2]End - Use Prices'!$A$6:$A$89,0)+MATCH($D181,'[2]End - Use Prices'!$B$9:$B$11,0)-1,MATCH(AX$1,'[2]End - Use Prices'!$C$7:$AL$7,0))</f>
        <v>32.51</v>
      </c>
      <c r="AY181" s="41">
        <f>INDEX('[2]End - Use Prices'!$C$6:$AL$89,MATCH($C181,'[2]End - Use Prices'!$A$6:$A$89,0)+MATCH($D181,'[2]End - Use Prices'!$B$9:$B$11,0)-1,MATCH(AY$1,'[2]End - Use Prices'!$C$7:$AL$7,0))</f>
        <v>32.44</v>
      </c>
      <c r="AZ181" s="41">
        <f>INDEX('[2]End - Use Prices'!$C$6:$AL$89,MATCH($C181,'[2]End - Use Prices'!$A$6:$A$89,0)+MATCH($D181,'[2]End - Use Prices'!$B$9:$B$11,0)-1,MATCH(AZ$1,'[2]End - Use Prices'!$C$7:$AL$7,0))</f>
        <v>32.4</v>
      </c>
      <c r="BA181" s="41">
        <f>INDEX('[2]End - Use Prices'!$C$6:$AL$89,MATCH($C181,'[2]End - Use Prices'!$A$6:$A$89,0)+MATCH($D181,'[2]End - Use Prices'!$B$9:$B$11,0)-1,MATCH(BA$1,'[2]End - Use Prices'!$C$7:$AL$7,0))</f>
        <v>32.4</v>
      </c>
      <c r="BB181" s="41">
        <f>INDEX('[2]End - Use Prices'!$C$6:$AL$89,MATCH($C181,'[2]End - Use Prices'!$A$6:$A$89,0)+MATCH($D181,'[2]End - Use Prices'!$B$9:$B$11,0)-1,MATCH(BB$1,'[2]End - Use Prices'!$C$7:$AL$7,0))</f>
        <v>32.369999999999997</v>
      </c>
      <c r="BC181" s="41">
        <f>INDEX('[2]End - Use Prices'!$C$6:$AL$89,MATCH($C181,'[2]End - Use Prices'!$A$6:$A$89,0)+MATCH($D181,'[2]End - Use Prices'!$B$9:$B$11,0)-1,MATCH(BC$1,'[2]End - Use Prices'!$C$7:$AL$7,0))</f>
        <v>32.33</v>
      </c>
      <c r="BD181" s="41">
        <f>INDEX('[2]End - Use Prices'!$C$6:$AL$89,MATCH($C181,'[2]End - Use Prices'!$A$6:$A$89,0)+MATCH($D181,'[2]End - Use Prices'!$B$9:$B$11,0)-1,MATCH(BD$1,'[2]End - Use Prices'!$C$7:$AL$7,0))</f>
        <v>32.28</v>
      </c>
      <c r="BE181" s="41">
        <f>INDEX('[2]End - Use Prices'!$C$6:$AL$89,MATCH($C181,'[2]End - Use Prices'!$A$6:$A$89,0)+MATCH($D181,'[2]End - Use Prices'!$B$9:$B$11,0)-1,MATCH(BE$1,'[2]End - Use Prices'!$C$7:$AL$7,0))</f>
        <v>32.19</v>
      </c>
      <c r="BF181" s="41">
        <f>INDEX('[2]End - Use Prices'!$C$6:$AL$89,MATCH($C181,'[2]End - Use Prices'!$A$6:$A$89,0)+MATCH($D181,'[2]End - Use Prices'!$B$9:$B$11,0)-1,MATCH(BF$1,'[2]End - Use Prices'!$C$7:$AL$7,0))</f>
        <v>32.1</v>
      </c>
      <c r="BG181" s="41">
        <f>INDEX('[2]End - Use Prices'!$C$6:$AL$89,MATCH($C181,'[2]End - Use Prices'!$A$6:$A$89,0)+MATCH($D181,'[2]End - Use Prices'!$B$9:$B$11,0)-1,MATCH(BG$1,'[2]End - Use Prices'!$C$7:$AL$7,0))</f>
        <v>32</v>
      </c>
      <c r="BR181" s="39"/>
      <c r="BS181" s="39"/>
      <c r="BT181" s="39"/>
      <c r="BU181" s="39"/>
      <c r="BV181" s="39"/>
      <c r="BW181" s="39"/>
      <c r="BX181" s="39"/>
      <c r="BY181" s="39"/>
      <c r="BZ181" s="39"/>
      <c r="CA181" s="39"/>
    </row>
    <row r="182" spans="1:79">
      <c r="A182" s="5"/>
      <c r="B182" s="3"/>
      <c r="C182" s="25" t="s">
        <v>87</v>
      </c>
      <c r="D182" s="25" t="s">
        <v>276</v>
      </c>
      <c r="E182" s="25" t="s">
        <v>277</v>
      </c>
      <c r="F182" s="67" t="s">
        <v>275</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INDEX('[2]End - Use Prices'!$C$6:$AL$89,MATCH($C182,'[2]End - Use Prices'!$A$6:$A$89,0)+MATCH($D182,'[2]End - Use Prices'!$B$9:$B$11,0)-1,MATCH(X$1,'[2]End - Use Prices'!$C$7:$AL$7,0))</f>
        <v>27.36</v>
      </c>
      <c r="Y182" s="41">
        <f>INDEX('[2]End - Use Prices'!$C$6:$AL$89,MATCH($C182,'[2]End - Use Prices'!$A$6:$A$89,0)+MATCH($D182,'[2]End - Use Prices'!$B$9:$B$11,0)-1,MATCH(Y$1,'[2]End - Use Prices'!$C$7:$AL$7,0))</f>
        <v>27.14</v>
      </c>
      <c r="Z182" s="41">
        <f>INDEX('[2]End - Use Prices'!$C$6:$AL$89,MATCH($C182,'[2]End - Use Prices'!$A$6:$A$89,0)+MATCH($D182,'[2]End - Use Prices'!$B$9:$B$11,0)-1,MATCH(Z$1,'[2]End - Use Prices'!$C$7:$AL$7,0))</f>
        <v>27.83</v>
      </c>
      <c r="AA182" s="41">
        <f>INDEX('[2]End - Use Prices'!$C$6:$AL$89,MATCH($C182,'[2]End - Use Prices'!$A$6:$A$89,0)+MATCH($D182,'[2]End - Use Prices'!$B$9:$B$11,0)-1,MATCH(AA$1,'[2]End - Use Prices'!$C$7:$AL$7,0))</f>
        <v>34.340000000000003</v>
      </c>
      <c r="AB182" s="41">
        <f>INDEX('[2]End - Use Prices'!$C$6:$AL$89,MATCH($C182,'[2]End - Use Prices'!$A$6:$A$89,0)+MATCH($D182,'[2]End - Use Prices'!$B$9:$B$11,0)-1,MATCH(AB$1,'[2]End - Use Prices'!$C$7:$AL$7,0))</f>
        <v>24.16</v>
      </c>
      <c r="AC182" s="41">
        <f>INDEX('[2]End - Use Prices'!$C$6:$AL$89,MATCH($C182,'[2]End - Use Prices'!$A$6:$A$89,0)+MATCH($D182,'[2]End - Use Prices'!$B$9:$B$11,0)-1,MATCH(AC$1,'[2]End - Use Prices'!$C$7:$AL$7,0))</f>
        <v>27.36</v>
      </c>
      <c r="AD182" s="41">
        <f>INDEX('[2]End - Use Prices'!$C$6:$AL$89,MATCH($C182,'[2]End - Use Prices'!$A$6:$A$89,0)+MATCH($D182,'[2]End - Use Prices'!$B$9:$B$11,0)-1,MATCH(AD$1,'[2]End - Use Prices'!$C$7:$AL$7,0))</f>
        <v>32.19</v>
      </c>
      <c r="AE182" s="41">
        <f>INDEX('[2]End - Use Prices'!$C$6:$AL$89,MATCH($C182,'[2]End - Use Prices'!$A$6:$A$89,0)+MATCH($D182,'[2]End - Use Prices'!$B$9:$B$11,0)-1,MATCH(AE$1,'[2]End - Use Prices'!$C$7:$AL$7,0))</f>
        <v>33.76</v>
      </c>
      <c r="AF182" s="41">
        <f>INDEX('[2]End - Use Prices'!$C$6:$AL$89,MATCH($C182,'[2]End - Use Prices'!$A$6:$A$89,0)+MATCH($D182,'[2]End - Use Prices'!$B$9:$B$11,0)-1,MATCH(AF$1,'[2]End - Use Prices'!$C$7:$AL$7,0))</f>
        <v>32.590000000000003</v>
      </c>
      <c r="AG182" s="41">
        <f>INDEX('[2]End - Use Prices'!$C$6:$AL$89,MATCH($C182,'[2]End - Use Prices'!$A$6:$A$89,0)+MATCH($D182,'[2]End - Use Prices'!$B$9:$B$11,0)-1,MATCH(AG$1,'[2]End - Use Prices'!$C$7:$AL$7,0))</f>
        <v>34.17</v>
      </c>
      <c r="AH182" s="41">
        <f>INDEX('[2]End - Use Prices'!$C$6:$AL$89,MATCH($C182,'[2]End - Use Prices'!$A$6:$A$89,0)+MATCH($D182,'[2]End - Use Prices'!$B$9:$B$11,0)-1,MATCH(AH$1,'[2]End - Use Prices'!$C$7:$AL$7,0))</f>
        <v>28.05</v>
      </c>
      <c r="AI182" s="41">
        <f>INDEX('[2]End - Use Prices'!$C$6:$AL$89,MATCH($C182,'[2]End - Use Prices'!$A$6:$A$89,0)+MATCH($D182,'[2]End - Use Prices'!$B$9:$B$11,0)-1,MATCH(AI$1,'[2]End - Use Prices'!$C$7:$AL$7,0))</f>
        <v>24.4</v>
      </c>
      <c r="AJ182" s="41">
        <f>INDEX('[2]End - Use Prices'!$C$6:$AL$89,MATCH($C182,'[2]End - Use Prices'!$A$6:$A$89,0)+MATCH($D182,'[2]End - Use Prices'!$B$9:$B$11,0)-1,MATCH(AJ$1,'[2]End - Use Prices'!$C$7:$AL$7,0))</f>
        <v>26.95</v>
      </c>
      <c r="AK182" s="41">
        <f>INDEX('[2]End - Use Prices'!$C$6:$AL$89,MATCH($C182,'[2]End - Use Prices'!$A$6:$A$89,0)+MATCH($D182,'[2]End - Use Prices'!$B$9:$B$11,0)-1,MATCH(AK$1,'[2]End - Use Prices'!$C$7:$AL$7,0))</f>
        <v>30.62</v>
      </c>
      <c r="AL182" s="41">
        <f>INDEX('[2]End - Use Prices'!$C$6:$AL$89,MATCH($C182,'[2]End - Use Prices'!$A$6:$A$89,0)+MATCH($D182,'[2]End - Use Prices'!$B$9:$B$11,0)-1,MATCH(AL$1,'[2]End - Use Prices'!$C$7:$AL$7,0))</f>
        <v>34.01</v>
      </c>
      <c r="AM182" s="41">
        <f>INDEX('[2]End - Use Prices'!$C$6:$AL$89,MATCH($C182,'[2]End - Use Prices'!$A$6:$A$89,0)+MATCH($D182,'[2]End - Use Prices'!$B$9:$B$11,0)-1,MATCH(AM$1,'[2]End - Use Prices'!$C$7:$AL$7,0))</f>
        <v>38.97</v>
      </c>
      <c r="AN182" s="41">
        <f>INDEX('[2]End - Use Prices'!$C$6:$AL$89,MATCH($C182,'[2]End - Use Prices'!$A$6:$A$89,0)+MATCH($D182,'[2]End - Use Prices'!$B$9:$B$11,0)-1,MATCH(AN$1,'[2]End - Use Prices'!$C$7:$AL$7,0))</f>
        <v>36.24</v>
      </c>
      <c r="AO182" s="41">
        <f>INDEX('[2]End - Use Prices'!$C$6:$AL$89,MATCH($C182,'[2]End - Use Prices'!$A$6:$A$89,0)+MATCH($D182,'[2]End - Use Prices'!$B$9:$B$11,0)-1,MATCH(AO$1,'[2]End - Use Prices'!$C$7:$AL$7,0))</f>
        <v>34.6</v>
      </c>
      <c r="AP182" s="41">
        <f>INDEX('[2]End - Use Prices'!$C$6:$AL$89,MATCH($C182,'[2]End - Use Prices'!$A$6:$A$89,0)+MATCH($D182,'[2]End - Use Prices'!$B$9:$B$11,0)-1,MATCH(AP$1,'[2]End - Use Prices'!$C$7:$AL$7,0))</f>
        <v>34.72</v>
      </c>
      <c r="AQ182" s="41">
        <f>INDEX('[2]End - Use Prices'!$C$6:$AL$89,MATCH($C182,'[2]End - Use Prices'!$A$6:$A$89,0)+MATCH($D182,'[2]End - Use Prices'!$B$9:$B$11,0)-1,MATCH(AQ$1,'[2]End - Use Prices'!$C$7:$AL$7,0))</f>
        <v>34.450000000000003</v>
      </c>
      <c r="AR182" s="41">
        <f>INDEX('[2]End - Use Prices'!$C$6:$AL$89,MATCH($C182,'[2]End - Use Prices'!$A$6:$A$89,0)+MATCH($D182,'[2]End - Use Prices'!$B$9:$B$11,0)-1,MATCH(AR$1,'[2]End - Use Prices'!$C$7:$AL$7,0))</f>
        <v>34.42</v>
      </c>
      <c r="AS182" s="41">
        <f>INDEX('[2]End - Use Prices'!$C$6:$AL$89,MATCH($C182,'[2]End - Use Prices'!$A$6:$A$89,0)+MATCH($D182,'[2]End - Use Prices'!$B$9:$B$11,0)-1,MATCH(AS$1,'[2]End - Use Prices'!$C$7:$AL$7,0))</f>
        <v>34.35</v>
      </c>
      <c r="AT182" s="41">
        <f>INDEX('[2]End - Use Prices'!$C$6:$AL$89,MATCH($C182,'[2]End - Use Prices'!$A$6:$A$89,0)+MATCH($D182,'[2]End - Use Prices'!$B$9:$B$11,0)-1,MATCH(AT$1,'[2]End - Use Prices'!$C$7:$AL$7,0))</f>
        <v>34.17</v>
      </c>
      <c r="AU182" s="41">
        <f>INDEX('[2]End - Use Prices'!$C$6:$AL$89,MATCH($C182,'[2]End - Use Prices'!$A$6:$A$89,0)+MATCH($D182,'[2]End - Use Prices'!$B$9:$B$11,0)-1,MATCH(AU$1,'[2]End - Use Prices'!$C$7:$AL$7,0))</f>
        <v>33.950000000000003</v>
      </c>
      <c r="AV182" s="41">
        <f>INDEX('[2]End - Use Prices'!$C$6:$AL$89,MATCH($C182,'[2]End - Use Prices'!$A$6:$A$89,0)+MATCH($D182,'[2]End - Use Prices'!$B$9:$B$11,0)-1,MATCH(AV$1,'[2]End - Use Prices'!$C$7:$AL$7,0))</f>
        <v>33.770000000000003</v>
      </c>
      <c r="AW182" s="41">
        <f>INDEX('[2]End - Use Prices'!$C$6:$AL$89,MATCH($C182,'[2]End - Use Prices'!$A$6:$A$89,0)+MATCH($D182,'[2]End - Use Prices'!$B$9:$B$11,0)-1,MATCH(AW$1,'[2]End - Use Prices'!$C$7:$AL$7,0))</f>
        <v>33.590000000000003</v>
      </c>
      <c r="AX182" s="41">
        <f>INDEX('[2]End - Use Prices'!$C$6:$AL$89,MATCH($C182,'[2]End - Use Prices'!$A$6:$A$89,0)+MATCH($D182,'[2]End - Use Prices'!$B$9:$B$11,0)-1,MATCH(AX$1,'[2]End - Use Prices'!$C$7:$AL$7,0))</f>
        <v>33.479999999999997</v>
      </c>
      <c r="AY182" s="41">
        <f>INDEX('[2]End - Use Prices'!$C$6:$AL$89,MATCH($C182,'[2]End - Use Prices'!$A$6:$A$89,0)+MATCH($D182,'[2]End - Use Prices'!$B$9:$B$11,0)-1,MATCH(AY$1,'[2]End - Use Prices'!$C$7:$AL$7,0))</f>
        <v>33.409999999999997</v>
      </c>
      <c r="AZ182" s="41">
        <f>INDEX('[2]End - Use Prices'!$C$6:$AL$89,MATCH($C182,'[2]End - Use Prices'!$A$6:$A$89,0)+MATCH($D182,'[2]End - Use Prices'!$B$9:$B$11,0)-1,MATCH(AZ$1,'[2]End - Use Prices'!$C$7:$AL$7,0))</f>
        <v>33.369999999999997</v>
      </c>
      <c r="BA182" s="41">
        <f>INDEX('[2]End - Use Prices'!$C$6:$AL$89,MATCH($C182,'[2]End - Use Prices'!$A$6:$A$89,0)+MATCH($D182,'[2]End - Use Prices'!$B$9:$B$11,0)-1,MATCH(BA$1,'[2]End - Use Prices'!$C$7:$AL$7,0))</f>
        <v>33.369999999999997</v>
      </c>
      <c r="BB182" s="41">
        <f>INDEX('[2]End - Use Prices'!$C$6:$AL$89,MATCH($C182,'[2]End - Use Prices'!$A$6:$A$89,0)+MATCH($D182,'[2]End - Use Prices'!$B$9:$B$11,0)-1,MATCH(BB$1,'[2]End - Use Prices'!$C$7:$AL$7,0))</f>
        <v>33.35</v>
      </c>
      <c r="BC182" s="41">
        <f>INDEX('[2]End - Use Prices'!$C$6:$AL$89,MATCH($C182,'[2]End - Use Prices'!$A$6:$A$89,0)+MATCH($D182,'[2]End - Use Prices'!$B$9:$B$11,0)-1,MATCH(BC$1,'[2]End - Use Prices'!$C$7:$AL$7,0))</f>
        <v>33.31</v>
      </c>
      <c r="BD182" s="41">
        <f>INDEX('[2]End - Use Prices'!$C$6:$AL$89,MATCH($C182,'[2]End - Use Prices'!$A$6:$A$89,0)+MATCH($D182,'[2]End - Use Prices'!$B$9:$B$11,0)-1,MATCH(BD$1,'[2]End - Use Prices'!$C$7:$AL$7,0))</f>
        <v>33.25</v>
      </c>
      <c r="BE182" s="41">
        <f>INDEX('[2]End - Use Prices'!$C$6:$AL$89,MATCH($C182,'[2]End - Use Prices'!$A$6:$A$89,0)+MATCH($D182,'[2]End - Use Prices'!$B$9:$B$11,0)-1,MATCH(BE$1,'[2]End - Use Prices'!$C$7:$AL$7,0))</f>
        <v>33.159999999999997</v>
      </c>
      <c r="BF182" s="41">
        <f>INDEX('[2]End - Use Prices'!$C$6:$AL$89,MATCH($C182,'[2]End - Use Prices'!$A$6:$A$89,0)+MATCH($D182,'[2]End - Use Prices'!$B$9:$B$11,0)-1,MATCH(BF$1,'[2]End - Use Prices'!$C$7:$AL$7,0))</f>
        <v>33.07</v>
      </c>
      <c r="BG182" s="41">
        <f>INDEX('[2]End - Use Prices'!$C$6:$AL$89,MATCH($C182,'[2]End - Use Prices'!$A$6:$A$89,0)+MATCH($D182,'[2]End - Use Prices'!$B$9:$B$11,0)-1,MATCH(BG$1,'[2]End - Use Prices'!$C$7:$AL$7,0))</f>
        <v>32.97</v>
      </c>
      <c r="BR182" s="39"/>
      <c r="BS182" s="39"/>
      <c r="BT182" s="39"/>
      <c r="BU182" s="39"/>
      <c r="BV182" s="39"/>
      <c r="BW182" s="39"/>
      <c r="BX182" s="39"/>
      <c r="BY182" s="39"/>
      <c r="BZ182" s="39"/>
      <c r="CA182" s="39"/>
    </row>
    <row r="183" spans="1:79">
      <c r="A183" s="5"/>
      <c r="B183" s="3"/>
      <c r="C183" s="25" t="s">
        <v>88</v>
      </c>
      <c r="D183" s="25" t="s">
        <v>276</v>
      </c>
      <c r="E183" s="25" t="s">
        <v>277</v>
      </c>
      <c r="F183" s="67" t="s">
        <v>275</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INDEX('[2]End - Use Prices'!$C$6:$AL$89,MATCH($C183,'[2]End - Use Prices'!$A$6:$A$89,0)+MATCH($D183,'[2]End - Use Prices'!$B$9:$B$11,0)-1,MATCH(X$1,'[2]End - Use Prices'!$C$7:$AL$7,0))</f>
        <v>24.67</v>
      </c>
      <c r="Y183" s="41">
        <f>INDEX('[2]End - Use Prices'!$C$6:$AL$89,MATCH($C183,'[2]End - Use Prices'!$A$6:$A$89,0)+MATCH($D183,'[2]End - Use Prices'!$B$9:$B$11,0)-1,MATCH(Y$1,'[2]End - Use Prices'!$C$7:$AL$7,0))</f>
        <v>25.2</v>
      </c>
      <c r="Z183" s="41">
        <f>INDEX('[2]End - Use Prices'!$C$6:$AL$89,MATCH($C183,'[2]End - Use Prices'!$A$6:$A$89,0)+MATCH($D183,'[2]End - Use Prices'!$B$9:$B$11,0)-1,MATCH(Z$1,'[2]End - Use Prices'!$C$7:$AL$7,0))</f>
        <v>25.43</v>
      </c>
      <c r="AA183" s="41">
        <f>INDEX('[2]End - Use Prices'!$C$6:$AL$89,MATCH($C183,'[2]End - Use Prices'!$A$6:$A$89,0)+MATCH($D183,'[2]End - Use Prices'!$B$9:$B$11,0)-1,MATCH(AA$1,'[2]End - Use Prices'!$C$7:$AL$7,0))</f>
        <v>33.47</v>
      </c>
      <c r="AB183" s="41">
        <f>INDEX('[2]End - Use Prices'!$C$6:$AL$89,MATCH($C183,'[2]End - Use Prices'!$A$6:$A$89,0)+MATCH($D183,'[2]End - Use Prices'!$B$9:$B$11,0)-1,MATCH(AB$1,'[2]End - Use Prices'!$C$7:$AL$7,0))</f>
        <v>23.22</v>
      </c>
      <c r="AC183" s="41">
        <f>INDEX('[2]End - Use Prices'!$C$6:$AL$89,MATCH($C183,'[2]End - Use Prices'!$A$6:$A$89,0)+MATCH($D183,'[2]End - Use Prices'!$B$9:$B$11,0)-1,MATCH(AC$1,'[2]End - Use Prices'!$C$7:$AL$7,0))</f>
        <v>26.1</v>
      </c>
      <c r="AD183" s="41">
        <f>INDEX('[2]End - Use Prices'!$C$6:$AL$89,MATCH($C183,'[2]End - Use Prices'!$A$6:$A$89,0)+MATCH($D183,'[2]End - Use Prices'!$B$9:$B$11,0)-1,MATCH(AD$1,'[2]End - Use Prices'!$C$7:$AL$7,0))</f>
        <v>32.090000000000003</v>
      </c>
      <c r="AE183" s="41">
        <f>INDEX('[2]End - Use Prices'!$C$6:$AL$89,MATCH($C183,'[2]End - Use Prices'!$A$6:$A$89,0)+MATCH($D183,'[2]End - Use Prices'!$B$9:$B$11,0)-1,MATCH(AE$1,'[2]End - Use Prices'!$C$7:$AL$7,0))</f>
        <v>33.770000000000003</v>
      </c>
      <c r="AF183" s="41">
        <f>INDEX('[2]End - Use Prices'!$C$6:$AL$89,MATCH($C183,'[2]End - Use Prices'!$A$6:$A$89,0)+MATCH($D183,'[2]End - Use Prices'!$B$9:$B$11,0)-1,MATCH(AF$1,'[2]End - Use Prices'!$C$7:$AL$7,0))</f>
        <v>33.130000000000003</v>
      </c>
      <c r="AG183" s="41">
        <f>INDEX('[2]End - Use Prices'!$C$6:$AL$89,MATCH($C183,'[2]End - Use Prices'!$A$6:$A$89,0)+MATCH($D183,'[2]End - Use Prices'!$B$9:$B$11,0)-1,MATCH(AG$1,'[2]End - Use Prices'!$C$7:$AL$7,0))</f>
        <v>33.630000000000003</v>
      </c>
      <c r="AH183" s="41">
        <f>INDEX('[2]End - Use Prices'!$C$6:$AL$89,MATCH($C183,'[2]End - Use Prices'!$A$6:$A$89,0)+MATCH($D183,'[2]End - Use Prices'!$B$9:$B$11,0)-1,MATCH(AH$1,'[2]End - Use Prices'!$C$7:$AL$7,0))</f>
        <v>27.54</v>
      </c>
      <c r="AI183" s="41">
        <f>INDEX('[2]End - Use Prices'!$C$6:$AL$89,MATCH($C183,'[2]End - Use Prices'!$A$6:$A$89,0)+MATCH($D183,'[2]End - Use Prices'!$B$9:$B$11,0)-1,MATCH(AI$1,'[2]End - Use Prices'!$C$7:$AL$7,0))</f>
        <v>23.58</v>
      </c>
      <c r="AJ183" s="41">
        <f>INDEX('[2]End - Use Prices'!$C$6:$AL$89,MATCH($C183,'[2]End - Use Prices'!$A$6:$A$89,0)+MATCH($D183,'[2]End - Use Prices'!$B$9:$B$11,0)-1,MATCH(AJ$1,'[2]End - Use Prices'!$C$7:$AL$7,0))</f>
        <v>25.75</v>
      </c>
      <c r="AK183" s="41">
        <f>INDEX('[2]End - Use Prices'!$C$6:$AL$89,MATCH($C183,'[2]End - Use Prices'!$A$6:$A$89,0)+MATCH($D183,'[2]End - Use Prices'!$B$9:$B$11,0)-1,MATCH(AK$1,'[2]End - Use Prices'!$C$7:$AL$7,0))</f>
        <v>30.37</v>
      </c>
      <c r="AL183" s="41">
        <f>INDEX('[2]End - Use Prices'!$C$6:$AL$89,MATCH($C183,'[2]End - Use Prices'!$A$6:$A$89,0)+MATCH($D183,'[2]End - Use Prices'!$B$9:$B$11,0)-1,MATCH(AL$1,'[2]End - Use Prices'!$C$7:$AL$7,0))</f>
        <v>34.700000000000003</v>
      </c>
      <c r="AM183" s="41">
        <f>INDEX('[2]End - Use Prices'!$C$6:$AL$89,MATCH($C183,'[2]End - Use Prices'!$A$6:$A$89,0)+MATCH($D183,'[2]End - Use Prices'!$B$9:$B$11,0)-1,MATCH(AM$1,'[2]End - Use Prices'!$C$7:$AL$7,0))</f>
        <v>38.03</v>
      </c>
      <c r="AN183" s="41">
        <f>INDEX('[2]End - Use Prices'!$C$6:$AL$89,MATCH($C183,'[2]End - Use Prices'!$A$6:$A$89,0)+MATCH($D183,'[2]End - Use Prices'!$B$9:$B$11,0)-1,MATCH(AN$1,'[2]End - Use Prices'!$C$7:$AL$7,0))</f>
        <v>34.799999999999997</v>
      </c>
      <c r="AO183" s="41">
        <f>INDEX('[2]End - Use Prices'!$C$6:$AL$89,MATCH($C183,'[2]End - Use Prices'!$A$6:$A$89,0)+MATCH($D183,'[2]End - Use Prices'!$B$9:$B$11,0)-1,MATCH(AO$1,'[2]End - Use Prices'!$C$7:$AL$7,0))</f>
        <v>32.68</v>
      </c>
      <c r="AP183" s="41">
        <f>INDEX('[2]End - Use Prices'!$C$6:$AL$89,MATCH($C183,'[2]End - Use Prices'!$A$6:$A$89,0)+MATCH($D183,'[2]End - Use Prices'!$B$9:$B$11,0)-1,MATCH(AP$1,'[2]End - Use Prices'!$C$7:$AL$7,0))</f>
        <v>32.369999999999997</v>
      </c>
      <c r="AQ183" s="41">
        <f>INDEX('[2]End - Use Prices'!$C$6:$AL$89,MATCH($C183,'[2]End - Use Prices'!$A$6:$A$89,0)+MATCH($D183,'[2]End - Use Prices'!$B$9:$B$11,0)-1,MATCH(AQ$1,'[2]End - Use Prices'!$C$7:$AL$7,0))</f>
        <v>32.47</v>
      </c>
      <c r="AR183" s="41">
        <f>INDEX('[2]End - Use Prices'!$C$6:$AL$89,MATCH($C183,'[2]End - Use Prices'!$A$6:$A$89,0)+MATCH($D183,'[2]End - Use Prices'!$B$9:$B$11,0)-1,MATCH(AR$1,'[2]End - Use Prices'!$C$7:$AL$7,0))</f>
        <v>32.78</v>
      </c>
      <c r="AS183" s="41">
        <f>INDEX('[2]End - Use Prices'!$C$6:$AL$89,MATCH($C183,'[2]End - Use Prices'!$A$6:$A$89,0)+MATCH($D183,'[2]End - Use Prices'!$B$9:$B$11,0)-1,MATCH(AS$1,'[2]End - Use Prices'!$C$7:$AL$7,0))</f>
        <v>33.03</v>
      </c>
      <c r="AT183" s="41">
        <f>INDEX('[2]End - Use Prices'!$C$6:$AL$89,MATCH($C183,'[2]End - Use Prices'!$A$6:$A$89,0)+MATCH($D183,'[2]End - Use Prices'!$B$9:$B$11,0)-1,MATCH(AT$1,'[2]End - Use Prices'!$C$7:$AL$7,0))</f>
        <v>32.81</v>
      </c>
      <c r="AU183" s="41">
        <f>INDEX('[2]End - Use Prices'!$C$6:$AL$89,MATCH($C183,'[2]End - Use Prices'!$A$6:$A$89,0)+MATCH($D183,'[2]End - Use Prices'!$B$9:$B$11,0)-1,MATCH(AU$1,'[2]End - Use Prices'!$C$7:$AL$7,0))</f>
        <v>32.549999999999997</v>
      </c>
      <c r="AV183" s="41">
        <f>INDEX('[2]End - Use Prices'!$C$6:$AL$89,MATCH($C183,'[2]End - Use Prices'!$A$6:$A$89,0)+MATCH($D183,'[2]End - Use Prices'!$B$9:$B$11,0)-1,MATCH(AV$1,'[2]End - Use Prices'!$C$7:$AL$7,0))</f>
        <v>32.33</v>
      </c>
      <c r="AW183" s="41">
        <f>INDEX('[2]End - Use Prices'!$C$6:$AL$89,MATCH($C183,'[2]End - Use Prices'!$A$6:$A$89,0)+MATCH($D183,'[2]End - Use Prices'!$B$9:$B$11,0)-1,MATCH(AW$1,'[2]End - Use Prices'!$C$7:$AL$7,0))</f>
        <v>32.11</v>
      </c>
      <c r="AX183" s="41">
        <f>INDEX('[2]End - Use Prices'!$C$6:$AL$89,MATCH($C183,'[2]End - Use Prices'!$A$6:$A$89,0)+MATCH($D183,'[2]End - Use Prices'!$B$9:$B$11,0)-1,MATCH(AX$1,'[2]End - Use Prices'!$C$7:$AL$7,0))</f>
        <v>31.96</v>
      </c>
      <c r="AY183" s="41">
        <f>INDEX('[2]End - Use Prices'!$C$6:$AL$89,MATCH($C183,'[2]End - Use Prices'!$A$6:$A$89,0)+MATCH($D183,'[2]End - Use Prices'!$B$9:$B$11,0)-1,MATCH(AY$1,'[2]End - Use Prices'!$C$7:$AL$7,0))</f>
        <v>31.85</v>
      </c>
      <c r="AZ183" s="41">
        <f>INDEX('[2]End - Use Prices'!$C$6:$AL$89,MATCH($C183,'[2]End - Use Prices'!$A$6:$A$89,0)+MATCH($D183,'[2]End - Use Prices'!$B$9:$B$11,0)-1,MATCH(AZ$1,'[2]End - Use Prices'!$C$7:$AL$7,0))</f>
        <v>31.79</v>
      </c>
      <c r="BA183" s="41">
        <f>INDEX('[2]End - Use Prices'!$C$6:$AL$89,MATCH($C183,'[2]End - Use Prices'!$A$6:$A$89,0)+MATCH($D183,'[2]End - Use Prices'!$B$9:$B$11,0)-1,MATCH(BA$1,'[2]End - Use Prices'!$C$7:$AL$7,0))</f>
        <v>31.75</v>
      </c>
      <c r="BB183" s="41">
        <f>INDEX('[2]End - Use Prices'!$C$6:$AL$89,MATCH($C183,'[2]End - Use Prices'!$A$6:$A$89,0)+MATCH($D183,'[2]End - Use Prices'!$B$9:$B$11,0)-1,MATCH(BB$1,'[2]End - Use Prices'!$C$7:$AL$7,0))</f>
        <v>31.7</v>
      </c>
      <c r="BC183" s="41">
        <f>INDEX('[2]End - Use Prices'!$C$6:$AL$89,MATCH($C183,'[2]End - Use Prices'!$A$6:$A$89,0)+MATCH($D183,'[2]End - Use Prices'!$B$9:$B$11,0)-1,MATCH(BC$1,'[2]End - Use Prices'!$C$7:$AL$7,0))</f>
        <v>31.63</v>
      </c>
      <c r="BD183" s="41">
        <f>INDEX('[2]End - Use Prices'!$C$6:$AL$89,MATCH($C183,'[2]End - Use Prices'!$A$6:$A$89,0)+MATCH($D183,'[2]End - Use Prices'!$B$9:$B$11,0)-1,MATCH(BD$1,'[2]End - Use Prices'!$C$7:$AL$7,0))</f>
        <v>31.54</v>
      </c>
      <c r="BE183" s="41">
        <f>INDEX('[2]End - Use Prices'!$C$6:$AL$89,MATCH($C183,'[2]End - Use Prices'!$A$6:$A$89,0)+MATCH($D183,'[2]End - Use Prices'!$B$9:$B$11,0)-1,MATCH(BE$1,'[2]End - Use Prices'!$C$7:$AL$7,0))</f>
        <v>31.42</v>
      </c>
      <c r="BF183" s="41">
        <f>INDEX('[2]End - Use Prices'!$C$6:$AL$89,MATCH($C183,'[2]End - Use Prices'!$A$6:$A$89,0)+MATCH($D183,'[2]End - Use Prices'!$B$9:$B$11,0)-1,MATCH(BF$1,'[2]End - Use Prices'!$C$7:$AL$7,0))</f>
        <v>31.3</v>
      </c>
      <c r="BG183" s="41">
        <f>INDEX('[2]End - Use Prices'!$C$6:$AL$89,MATCH($C183,'[2]End - Use Prices'!$A$6:$A$89,0)+MATCH($D183,'[2]End - Use Prices'!$B$9:$B$11,0)-1,MATCH(BG$1,'[2]End - Use Prices'!$C$7:$AL$7,0))</f>
        <v>31.16</v>
      </c>
      <c r="BR183" s="39"/>
      <c r="BS183" s="39"/>
      <c r="BT183" s="39"/>
      <c r="BU183" s="39"/>
      <c r="BV183" s="39"/>
      <c r="BW183" s="39"/>
      <c r="BX183" s="39"/>
      <c r="BY183" s="39"/>
      <c r="BZ183" s="39"/>
      <c r="CA183" s="39"/>
    </row>
    <row r="184" spans="1:79">
      <c r="A184" s="5"/>
      <c r="B184" s="3"/>
      <c r="C184" s="25" t="s">
        <v>89</v>
      </c>
      <c r="D184" s="25" t="s">
        <v>276</v>
      </c>
      <c r="E184" s="25" t="s">
        <v>277</v>
      </c>
      <c r="F184" s="67" t="s">
        <v>275</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INDEX('[2]End - Use Prices'!$C$6:$AL$89,MATCH($C184,'[2]End - Use Prices'!$A$6:$A$89,0)+MATCH($D184,'[2]End - Use Prices'!$B$9:$B$11,0)-1,MATCH(X$1,'[2]End - Use Prices'!$C$7:$AL$7,0))</f>
        <v>25.66</v>
      </c>
      <c r="Y184" s="41">
        <f>INDEX('[2]End - Use Prices'!$C$6:$AL$89,MATCH($C184,'[2]End - Use Prices'!$A$6:$A$89,0)+MATCH($D184,'[2]End - Use Prices'!$B$9:$B$11,0)-1,MATCH(Y$1,'[2]End - Use Prices'!$C$7:$AL$7,0))</f>
        <v>26.36</v>
      </c>
      <c r="Z184" s="41">
        <f>INDEX('[2]End - Use Prices'!$C$6:$AL$89,MATCH($C184,'[2]End - Use Prices'!$A$6:$A$89,0)+MATCH($D184,'[2]End - Use Prices'!$B$9:$B$11,0)-1,MATCH(Z$1,'[2]End - Use Prices'!$C$7:$AL$7,0))</f>
        <v>27.18</v>
      </c>
      <c r="AA184" s="41">
        <f>INDEX('[2]End - Use Prices'!$C$6:$AL$89,MATCH($C184,'[2]End - Use Prices'!$A$6:$A$89,0)+MATCH($D184,'[2]End - Use Prices'!$B$9:$B$11,0)-1,MATCH(AA$1,'[2]End - Use Prices'!$C$7:$AL$7,0))</f>
        <v>33.630000000000003</v>
      </c>
      <c r="AB184" s="41">
        <f>INDEX('[2]End - Use Prices'!$C$6:$AL$89,MATCH($C184,'[2]End - Use Prices'!$A$6:$A$89,0)+MATCH($D184,'[2]End - Use Prices'!$B$9:$B$11,0)-1,MATCH(AB$1,'[2]End - Use Prices'!$C$7:$AL$7,0))</f>
        <v>25.05</v>
      </c>
      <c r="AC184" s="41">
        <f>INDEX('[2]End - Use Prices'!$C$6:$AL$89,MATCH($C184,'[2]End - Use Prices'!$A$6:$A$89,0)+MATCH($D184,'[2]End - Use Prices'!$B$9:$B$11,0)-1,MATCH(AC$1,'[2]End - Use Prices'!$C$7:$AL$7,0))</f>
        <v>28.54</v>
      </c>
      <c r="AD184" s="41">
        <f>INDEX('[2]End - Use Prices'!$C$6:$AL$89,MATCH($C184,'[2]End - Use Prices'!$A$6:$A$89,0)+MATCH($D184,'[2]End - Use Prices'!$B$9:$B$11,0)-1,MATCH(AD$1,'[2]End - Use Prices'!$C$7:$AL$7,0))</f>
        <v>35.020000000000003</v>
      </c>
      <c r="AE184" s="41">
        <f>INDEX('[2]End - Use Prices'!$C$6:$AL$89,MATCH($C184,'[2]End - Use Prices'!$A$6:$A$89,0)+MATCH($D184,'[2]End - Use Prices'!$B$9:$B$11,0)-1,MATCH(AE$1,'[2]End - Use Prices'!$C$7:$AL$7,0))</f>
        <v>35.61</v>
      </c>
      <c r="AF184" s="41">
        <f>INDEX('[2]End - Use Prices'!$C$6:$AL$89,MATCH($C184,'[2]End - Use Prices'!$A$6:$A$89,0)+MATCH($D184,'[2]End - Use Prices'!$B$9:$B$11,0)-1,MATCH(AF$1,'[2]End - Use Prices'!$C$7:$AL$7,0))</f>
        <v>35.47</v>
      </c>
      <c r="AG184" s="41">
        <f>INDEX('[2]End - Use Prices'!$C$6:$AL$89,MATCH($C184,'[2]End - Use Prices'!$A$6:$A$89,0)+MATCH($D184,'[2]End - Use Prices'!$B$9:$B$11,0)-1,MATCH(AG$1,'[2]End - Use Prices'!$C$7:$AL$7,0))</f>
        <v>36.5</v>
      </c>
      <c r="AH184" s="41">
        <f>INDEX('[2]End - Use Prices'!$C$6:$AL$89,MATCH($C184,'[2]End - Use Prices'!$A$6:$A$89,0)+MATCH($D184,'[2]End - Use Prices'!$B$9:$B$11,0)-1,MATCH(AH$1,'[2]End - Use Prices'!$C$7:$AL$7,0))</f>
        <v>30.91</v>
      </c>
      <c r="AI184" s="41">
        <f>INDEX('[2]End - Use Prices'!$C$6:$AL$89,MATCH($C184,'[2]End - Use Prices'!$A$6:$A$89,0)+MATCH($D184,'[2]End - Use Prices'!$B$9:$B$11,0)-1,MATCH(AI$1,'[2]End - Use Prices'!$C$7:$AL$7,0))</f>
        <v>27.23</v>
      </c>
      <c r="AJ184" s="41">
        <f>INDEX('[2]End - Use Prices'!$C$6:$AL$89,MATCH($C184,'[2]End - Use Prices'!$A$6:$A$89,0)+MATCH($D184,'[2]End - Use Prices'!$B$9:$B$11,0)-1,MATCH(AJ$1,'[2]End - Use Prices'!$C$7:$AL$7,0))</f>
        <v>31.23</v>
      </c>
      <c r="AK184" s="41">
        <f>INDEX('[2]End - Use Prices'!$C$6:$AL$89,MATCH($C184,'[2]End - Use Prices'!$A$6:$A$89,0)+MATCH($D184,'[2]End - Use Prices'!$B$9:$B$11,0)-1,MATCH(AK$1,'[2]End - Use Prices'!$C$7:$AL$7,0))</f>
        <v>35.57</v>
      </c>
      <c r="AL184" s="41">
        <f>INDEX('[2]End - Use Prices'!$C$6:$AL$89,MATCH($C184,'[2]End - Use Prices'!$A$6:$A$89,0)+MATCH($D184,'[2]End - Use Prices'!$B$9:$B$11,0)-1,MATCH(AL$1,'[2]End - Use Prices'!$C$7:$AL$7,0))</f>
        <v>38.32</v>
      </c>
      <c r="AM184" s="41">
        <f>INDEX('[2]End - Use Prices'!$C$6:$AL$89,MATCH($C184,'[2]End - Use Prices'!$A$6:$A$89,0)+MATCH($D184,'[2]End - Use Prices'!$B$9:$B$11,0)-1,MATCH(AM$1,'[2]End - Use Prices'!$C$7:$AL$7,0))</f>
        <v>41.65</v>
      </c>
      <c r="AN184" s="41">
        <f>INDEX('[2]End - Use Prices'!$C$6:$AL$89,MATCH($C184,'[2]End - Use Prices'!$A$6:$A$89,0)+MATCH($D184,'[2]End - Use Prices'!$B$9:$B$11,0)-1,MATCH(AN$1,'[2]End - Use Prices'!$C$7:$AL$7,0))</f>
        <v>38.53</v>
      </c>
      <c r="AO184" s="41">
        <f>INDEX('[2]End - Use Prices'!$C$6:$AL$89,MATCH($C184,'[2]End - Use Prices'!$A$6:$A$89,0)+MATCH($D184,'[2]End - Use Prices'!$B$9:$B$11,0)-1,MATCH(AO$1,'[2]End - Use Prices'!$C$7:$AL$7,0))</f>
        <v>36.51</v>
      </c>
      <c r="AP184" s="41">
        <f>INDEX('[2]End - Use Prices'!$C$6:$AL$89,MATCH($C184,'[2]End - Use Prices'!$A$6:$A$89,0)+MATCH($D184,'[2]End - Use Prices'!$B$9:$B$11,0)-1,MATCH(AP$1,'[2]End - Use Prices'!$C$7:$AL$7,0))</f>
        <v>36.270000000000003</v>
      </c>
      <c r="AQ184" s="41">
        <f>INDEX('[2]End - Use Prices'!$C$6:$AL$89,MATCH($C184,'[2]End - Use Prices'!$A$6:$A$89,0)+MATCH($D184,'[2]End - Use Prices'!$B$9:$B$11,0)-1,MATCH(AQ$1,'[2]End - Use Prices'!$C$7:$AL$7,0))</f>
        <v>36.42</v>
      </c>
      <c r="AR184" s="41">
        <f>INDEX('[2]End - Use Prices'!$C$6:$AL$89,MATCH($C184,'[2]End - Use Prices'!$A$6:$A$89,0)+MATCH($D184,'[2]End - Use Prices'!$B$9:$B$11,0)-1,MATCH(AR$1,'[2]End - Use Prices'!$C$7:$AL$7,0))</f>
        <v>36.79</v>
      </c>
      <c r="AS184" s="41">
        <f>INDEX('[2]End - Use Prices'!$C$6:$AL$89,MATCH($C184,'[2]End - Use Prices'!$A$6:$A$89,0)+MATCH($D184,'[2]End - Use Prices'!$B$9:$B$11,0)-1,MATCH(AS$1,'[2]End - Use Prices'!$C$7:$AL$7,0))</f>
        <v>37.08</v>
      </c>
      <c r="AT184" s="41">
        <f>INDEX('[2]End - Use Prices'!$C$6:$AL$89,MATCH($C184,'[2]End - Use Prices'!$A$6:$A$89,0)+MATCH($D184,'[2]End - Use Prices'!$B$9:$B$11,0)-1,MATCH(AT$1,'[2]End - Use Prices'!$C$7:$AL$7,0))</f>
        <v>36.909999999999997</v>
      </c>
      <c r="AU184" s="41">
        <f>INDEX('[2]End - Use Prices'!$C$6:$AL$89,MATCH($C184,'[2]End - Use Prices'!$A$6:$A$89,0)+MATCH($D184,'[2]End - Use Prices'!$B$9:$B$11,0)-1,MATCH(AU$1,'[2]End - Use Prices'!$C$7:$AL$7,0))</f>
        <v>36.69</v>
      </c>
      <c r="AV184" s="41">
        <f>INDEX('[2]End - Use Prices'!$C$6:$AL$89,MATCH($C184,'[2]End - Use Prices'!$A$6:$A$89,0)+MATCH($D184,'[2]End - Use Prices'!$B$9:$B$11,0)-1,MATCH(AV$1,'[2]End - Use Prices'!$C$7:$AL$7,0))</f>
        <v>36.51</v>
      </c>
      <c r="AW184" s="41">
        <f>INDEX('[2]End - Use Prices'!$C$6:$AL$89,MATCH($C184,'[2]End - Use Prices'!$A$6:$A$89,0)+MATCH($D184,'[2]End - Use Prices'!$B$9:$B$11,0)-1,MATCH(AW$1,'[2]End - Use Prices'!$C$7:$AL$7,0))</f>
        <v>36.32</v>
      </c>
      <c r="AX184" s="41">
        <f>INDEX('[2]End - Use Prices'!$C$6:$AL$89,MATCH($C184,'[2]End - Use Prices'!$A$6:$A$89,0)+MATCH($D184,'[2]End - Use Prices'!$B$9:$B$11,0)-1,MATCH(AX$1,'[2]End - Use Prices'!$C$7:$AL$7,0))</f>
        <v>36.22</v>
      </c>
      <c r="AY184" s="41">
        <f>INDEX('[2]End - Use Prices'!$C$6:$AL$89,MATCH($C184,'[2]End - Use Prices'!$A$6:$A$89,0)+MATCH($D184,'[2]End - Use Prices'!$B$9:$B$11,0)-1,MATCH(AY$1,'[2]End - Use Prices'!$C$7:$AL$7,0))</f>
        <v>36.14</v>
      </c>
      <c r="AZ184" s="41">
        <f>INDEX('[2]End - Use Prices'!$C$6:$AL$89,MATCH($C184,'[2]End - Use Prices'!$A$6:$A$89,0)+MATCH($D184,'[2]End - Use Prices'!$B$9:$B$11,0)-1,MATCH(AZ$1,'[2]End - Use Prices'!$C$7:$AL$7,0))</f>
        <v>36.11</v>
      </c>
      <c r="BA184" s="41">
        <f>INDEX('[2]End - Use Prices'!$C$6:$AL$89,MATCH($C184,'[2]End - Use Prices'!$A$6:$A$89,0)+MATCH($D184,'[2]End - Use Prices'!$B$9:$B$11,0)-1,MATCH(BA$1,'[2]End - Use Prices'!$C$7:$AL$7,0))</f>
        <v>36.11</v>
      </c>
      <c r="BB184" s="41">
        <f>INDEX('[2]End - Use Prices'!$C$6:$AL$89,MATCH($C184,'[2]End - Use Prices'!$A$6:$A$89,0)+MATCH($D184,'[2]End - Use Prices'!$B$9:$B$11,0)-1,MATCH(BB$1,'[2]End - Use Prices'!$C$7:$AL$7,0))</f>
        <v>36.090000000000003</v>
      </c>
      <c r="BC184" s="41">
        <f>INDEX('[2]End - Use Prices'!$C$6:$AL$89,MATCH($C184,'[2]End - Use Prices'!$A$6:$A$89,0)+MATCH($D184,'[2]End - Use Prices'!$B$9:$B$11,0)-1,MATCH(BC$1,'[2]End - Use Prices'!$C$7:$AL$7,0))</f>
        <v>36.049999999999997</v>
      </c>
      <c r="BD184" s="41">
        <f>INDEX('[2]End - Use Prices'!$C$6:$AL$89,MATCH($C184,'[2]End - Use Prices'!$A$6:$A$89,0)+MATCH($D184,'[2]End - Use Prices'!$B$9:$B$11,0)-1,MATCH(BD$1,'[2]End - Use Prices'!$C$7:$AL$7,0))</f>
        <v>35.99</v>
      </c>
      <c r="BE184" s="41">
        <f>INDEX('[2]End - Use Prices'!$C$6:$AL$89,MATCH($C184,'[2]End - Use Prices'!$A$6:$A$89,0)+MATCH($D184,'[2]End - Use Prices'!$B$9:$B$11,0)-1,MATCH(BE$1,'[2]End - Use Prices'!$C$7:$AL$7,0))</f>
        <v>35.9</v>
      </c>
      <c r="BF184" s="41">
        <f>INDEX('[2]End - Use Prices'!$C$6:$AL$89,MATCH($C184,'[2]End - Use Prices'!$A$6:$A$89,0)+MATCH($D184,'[2]End - Use Prices'!$B$9:$B$11,0)-1,MATCH(BF$1,'[2]End - Use Prices'!$C$7:$AL$7,0))</f>
        <v>35.81</v>
      </c>
      <c r="BG184" s="41">
        <f>INDEX('[2]End - Use Prices'!$C$6:$AL$89,MATCH($C184,'[2]End - Use Prices'!$A$6:$A$89,0)+MATCH($D184,'[2]End - Use Prices'!$B$9:$B$11,0)-1,MATCH(BG$1,'[2]End - Use Prices'!$C$7:$AL$7,0))</f>
        <v>35.71</v>
      </c>
      <c r="BR184" s="39"/>
      <c r="BS184" s="39"/>
      <c r="BT184" s="39"/>
      <c r="BU184" s="39"/>
      <c r="BV184" s="39"/>
      <c r="BW184" s="39"/>
      <c r="BX184" s="39"/>
      <c r="BY184" s="39"/>
      <c r="BZ184" s="39"/>
      <c r="CA184" s="39"/>
    </row>
    <row r="185" spans="1:79">
      <c r="A185" s="5"/>
      <c r="B185" s="3"/>
      <c r="C185" s="25" t="s">
        <v>90</v>
      </c>
      <c r="D185" s="25" t="s">
        <v>276</v>
      </c>
      <c r="E185" s="25" t="s">
        <v>277</v>
      </c>
      <c r="F185" s="67" t="s">
        <v>275</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INDEX('[2]End - Use Prices'!$C$6:$AL$89,MATCH($C185,'[2]End - Use Prices'!$A$6:$A$89,0)+MATCH($D185,'[2]End - Use Prices'!$B$9:$B$11,0)-1,MATCH(X$1,'[2]End - Use Prices'!$C$7:$AL$7,0))</f>
        <v>26.86</v>
      </c>
      <c r="Y185" s="41">
        <f>INDEX('[2]End - Use Prices'!$C$6:$AL$89,MATCH($C185,'[2]End - Use Prices'!$A$6:$A$89,0)+MATCH($D185,'[2]End - Use Prices'!$B$9:$B$11,0)-1,MATCH(Y$1,'[2]End - Use Prices'!$C$7:$AL$7,0))</f>
        <v>26.92</v>
      </c>
      <c r="Z185" s="41">
        <f>INDEX('[2]End - Use Prices'!$C$6:$AL$89,MATCH($C185,'[2]End - Use Prices'!$A$6:$A$89,0)+MATCH($D185,'[2]End - Use Prices'!$B$9:$B$11,0)-1,MATCH(Z$1,'[2]End - Use Prices'!$C$7:$AL$7,0))</f>
        <v>28.39</v>
      </c>
      <c r="AA185" s="41">
        <f>INDEX('[2]End - Use Prices'!$C$6:$AL$89,MATCH($C185,'[2]End - Use Prices'!$A$6:$A$89,0)+MATCH($D185,'[2]End - Use Prices'!$B$9:$B$11,0)-1,MATCH(AA$1,'[2]End - Use Prices'!$C$7:$AL$7,0))</f>
        <v>34.549999999999997</v>
      </c>
      <c r="AB185" s="41">
        <f>INDEX('[2]End - Use Prices'!$C$6:$AL$89,MATCH($C185,'[2]End - Use Prices'!$A$6:$A$89,0)+MATCH($D185,'[2]End - Use Prices'!$B$9:$B$11,0)-1,MATCH(AB$1,'[2]End - Use Prices'!$C$7:$AL$7,0))</f>
        <v>25.26</v>
      </c>
      <c r="AC185" s="41">
        <f>INDEX('[2]End - Use Prices'!$C$6:$AL$89,MATCH($C185,'[2]End - Use Prices'!$A$6:$A$89,0)+MATCH($D185,'[2]End - Use Prices'!$B$9:$B$11,0)-1,MATCH(AC$1,'[2]End - Use Prices'!$C$7:$AL$7,0))</f>
        <v>28.11</v>
      </c>
      <c r="AD185" s="41">
        <f>INDEX('[2]End - Use Prices'!$C$6:$AL$89,MATCH($C185,'[2]End - Use Prices'!$A$6:$A$89,0)+MATCH($D185,'[2]End - Use Prices'!$B$9:$B$11,0)-1,MATCH(AD$1,'[2]End - Use Prices'!$C$7:$AL$7,0))</f>
        <v>32.72</v>
      </c>
      <c r="AE185" s="41">
        <f>INDEX('[2]End - Use Prices'!$C$6:$AL$89,MATCH($C185,'[2]End - Use Prices'!$A$6:$A$89,0)+MATCH($D185,'[2]End - Use Prices'!$B$9:$B$11,0)-1,MATCH(AE$1,'[2]End - Use Prices'!$C$7:$AL$7,0))</f>
        <v>32.950000000000003</v>
      </c>
      <c r="AF185" s="41">
        <f>INDEX('[2]End - Use Prices'!$C$6:$AL$89,MATCH($C185,'[2]End - Use Prices'!$A$6:$A$89,0)+MATCH($D185,'[2]End - Use Prices'!$B$9:$B$11,0)-1,MATCH(AF$1,'[2]End - Use Prices'!$C$7:$AL$7,0))</f>
        <v>33.5</v>
      </c>
      <c r="AG185" s="41">
        <f>INDEX('[2]End - Use Prices'!$C$6:$AL$89,MATCH($C185,'[2]End - Use Prices'!$A$6:$A$89,0)+MATCH($D185,'[2]End - Use Prices'!$B$9:$B$11,0)-1,MATCH(AG$1,'[2]End - Use Prices'!$C$7:$AL$7,0))</f>
        <v>34.840000000000003</v>
      </c>
      <c r="AH185" s="41">
        <f>INDEX('[2]End - Use Prices'!$C$6:$AL$89,MATCH($C185,'[2]End - Use Prices'!$A$6:$A$89,0)+MATCH($D185,'[2]End - Use Prices'!$B$9:$B$11,0)-1,MATCH(AH$1,'[2]End - Use Prices'!$C$7:$AL$7,0))</f>
        <v>26.82</v>
      </c>
      <c r="AI185" s="41">
        <f>INDEX('[2]End - Use Prices'!$C$6:$AL$89,MATCH($C185,'[2]End - Use Prices'!$A$6:$A$89,0)+MATCH($D185,'[2]End - Use Prices'!$B$9:$B$11,0)-1,MATCH(AI$1,'[2]End - Use Prices'!$C$7:$AL$7,0))</f>
        <v>24</v>
      </c>
      <c r="AJ185" s="41">
        <f>INDEX('[2]End - Use Prices'!$C$6:$AL$89,MATCH($C185,'[2]End - Use Prices'!$A$6:$A$89,0)+MATCH($D185,'[2]End - Use Prices'!$B$9:$B$11,0)-1,MATCH(AJ$1,'[2]End - Use Prices'!$C$7:$AL$7,0))</f>
        <v>26.23</v>
      </c>
      <c r="AK185" s="41">
        <f>INDEX('[2]End - Use Prices'!$C$6:$AL$89,MATCH($C185,'[2]End - Use Prices'!$A$6:$A$89,0)+MATCH($D185,'[2]End - Use Prices'!$B$9:$B$11,0)-1,MATCH(AK$1,'[2]End - Use Prices'!$C$7:$AL$7,0))</f>
        <v>30.14</v>
      </c>
      <c r="AL185" s="41">
        <f>INDEX('[2]End - Use Prices'!$C$6:$AL$89,MATCH($C185,'[2]End - Use Prices'!$A$6:$A$89,0)+MATCH($D185,'[2]End - Use Prices'!$B$9:$B$11,0)-1,MATCH(AL$1,'[2]End - Use Prices'!$C$7:$AL$7,0))</f>
        <v>33.479999999999997</v>
      </c>
      <c r="AM185" s="41">
        <f>INDEX('[2]End - Use Prices'!$C$6:$AL$89,MATCH($C185,'[2]End - Use Prices'!$A$6:$A$89,0)+MATCH($D185,'[2]End - Use Prices'!$B$9:$B$11,0)-1,MATCH(AM$1,'[2]End - Use Prices'!$C$7:$AL$7,0))</f>
        <v>36.65</v>
      </c>
      <c r="AN185" s="41">
        <f>INDEX('[2]End - Use Prices'!$C$6:$AL$89,MATCH($C185,'[2]End - Use Prices'!$A$6:$A$89,0)+MATCH($D185,'[2]End - Use Prices'!$B$9:$B$11,0)-1,MATCH(AN$1,'[2]End - Use Prices'!$C$7:$AL$7,0))</f>
        <v>33.15</v>
      </c>
      <c r="AO185" s="41">
        <f>INDEX('[2]End - Use Prices'!$C$6:$AL$89,MATCH($C185,'[2]End - Use Prices'!$A$6:$A$89,0)+MATCH($D185,'[2]End - Use Prices'!$B$9:$B$11,0)-1,MATCH(AO$1,'[2]End - Use Prices'!$C$7:$AL$7,0))</f>
        <v>30.77</v>
      </c>
      <c r="AP185" s="41">
        <f>INDEX('[2]End - Use Prices'!$C$6:$AL$89,MATCH($C185,'[2]End - Use Prices'!$A$6:$A$89,0)+MATCH($D185,'[2]End - Use Prices'!$B$9:$B$11,0)-1,MATCH(AP$1,'[2]End - Use Prices'!$C$7:$AL$7,0))</f>
        <v>30.2</v>
      </c>
      <c r="AQ185" s="41">
        <f>INDEX('[2]End - Use Prices'!$C$6:$AL$89,MATCH($C185,'[2]End - Use Prices'!$A$6:$A$89,0)+MATCH($D185,'[2]End - Use Prices'!$B$9:$B$11,0)-1,MATCH(AQ$1,'[2]End - Use Prices'!$C$7:$AL$7,0))</f>
        <v>30.06</v>
      </c>
      <c r="AR185" s="41">
        <f>INDEX('[2]End - Use Prices'!$C$6:$AL$89,MATCH($C185,'[2]End - Use Prices'!$A$6:$A$89,0)+MATCH($D185,'[2]End - Use Prices'!$B$9:$B$11,0)-1,MATCH(AR$1,'[2]End - Use Prices'!$C$7:$AL$7,0))</f>
        <v>30.13</v>
      </c>
      <c r="AS185" s="41">
        <f>INDEX('[2]End - Use Prices'!$C$6:$AL$89,MATCH($C185,'[2]End - Use Prices'!$A$6:$A$89,0)+MATCH($D185,'[2]End - Use Prices'!$B$9:$B$11,0)-1,MATCH(AS$1,'[2]End - Use Prices'!$C$7:$AL$7,0))</f>
        <v>30.14</v>
      </c>
      <c r="AT185" s="41">
        <f>INDEX('[2]End - Use Prices'!$C$6:$AL$89,MATCH($C185,'[2]End - Use Prices'!$A$6:$A$89,0)+MATCH($D185,'[2]End - Use Prices'!$B$9:$B$11,0)-1,MATCH(AT$1,'[2]End - Use Prices'!$C$7:$AL$7,0))</f>
        <v>30.06</v>
      </c>
      <c r="AU185" s="41">
        <f>INDEX('[2]End - Use Prices'!$C$6:$AL$89,MATCH($C185,'[2]End - Use Prices'!$A$6:$A$89,0)+MATCH($D185,'[2]End - Use Prices'!$B$9:$B$11,0)-1,MATCH(AU$1,'[2]End - Use Prices'!$C$7:$AL$7,0))</f>
        <v>29.92</v>
      </c>
      <c r="AV185" s="41">
        <f>INDEX('[2]End - Use Prices'!$C$6:$AL$89,MATCH($C185,'[2]End - Use Prices'!$A$6:$A$89,0)+MATCH($D185,'[2]End - Use Prices'!$B$9:$B$11,0)-1,MATCH(AV$1,'[2]End - Use Prices'!$C$7:$AL$7,0))</f>
        <v>29.81</v>
      </c>
      <c r="AW185" s="41">
        <f>INDEX('[2]End - Use Prices'!$C$6:$AL$89,MATCH($C185,'[2]End - Use Prices'!$A$6:$A$89,0)+MATCH($D185,'[2]End - Use Prices'!$B$9:$B$11,0)-1,MATCH(AW$1,'[2]End - Use Prices'!$C$7:$AL$7,0))</f>
        <v>29.7</v>
      </c>
      <c r="AX185" s="41">
        <f>INDEX('[2]End - Use Prices'!$C$6:$AL$89,MATCH($C185,'[2]End - Use Prices'!$A$6:$A$89,0)+MATCH($D185,'[2]End - Use Prices'!$B$9:$B$11,0)-1,MATCH(AX$1,'[2]End - Use Prices'!$C$7:$AL$7,0))</f>
        <v>29.64</v>
      </c>
      <c r="AY185" s="41">
        <f>INDEX('[2]End - Use Prices'!$C$6:$AL$89,MATCH($C185,'[2]End - Use Prices'!$A$6:$A$89,0)+MATCH($D185,'[2]End - Use Prices'!$B$9:$B$11,0)-1,MATCH(AY$1,'[2]End - Use Prices'!$C$7:$AL$7,0))</f>
        <v>29.62</v>
      </c>
      <c r="AZ185" s="41">
        <f>INDEX('[2]End - Use Prices'!$C$6:$AL$89,MATCH($C185,'[2]End - Use Prices'!$A$6:$A$89,0)+MATCH($D185,'[2]End - Use Prices'!$B$9:$B$11,0)-1,MATCH(AZ$1,'[2]End - Use Prices'!$C$7:$AL$7,0))</f>
        <v>29.64</v>
      </c>
      <c r="BA185" s="41">
        <f>INDEX('[2]End - Use Prices'!$C$6:$AL$89,MATCH($C185,'[2]End - Use Prices'!$A$6:$A$89,0)+MATCH($D185,'[2]End - Use Prices'!$B$9:$B$11,0)-1,MATCH(BA$1,'[2]End - Use Prices'!$C$7:$AL$7,0))</f>
        <v>29.67</v>
      </c>
      <c r="BB185" s="41">
        <f>INDEX('[2]End - Use Prices'!$C$6:$AL$89,MATCH($C185,'[2]End - Use Prices'!$A$6:$A$89,0)+MATCH($D185,'[2]End - Use Prices'!$B$9:$B$11,0)-1,MATCH(BB$1,'[2]End - Use Prices'!$C$7:$AL$7,0))</f>
        <v>29.69</v>
      </c>
      <c r="BC185" s="41">
        <f>INDEX('[2]End - Use Prices'!$C$6:$AL$89,MATCH($C185,'[2]End - Use Prices'!$A$6:$A$89,0)+MATCH($D185,'[2]End - Use Prices'!$B$9:$B$11,0)-1,MATCH(BC$1,'[2]End - Use Prices'!$C$7:$AL$7,0))</f>
        <v>29.7</v>
      </c>
      <c r="BD185" s="41">
        <f>INDEX('[2]End - Use Prices'!$C$6:$AL$89,MATCH($C185,'[2]End - Use Prices'!$A$6:$A$89,0)+MATCH($D185,'[2]End - Use Prices'!$B$9:$B$11,0)-1,MATCH(BD$1,'[2]End - Use Prices'!$C$7:$AL$7,0))</f>
        <v>29.69</v>
      </c>
      <c r="BE185" s="41">
        <f>INDEX('[2]End - Use Prices'!$C$6:$AL$89,MATCH($C185,'[2]End - Use Prices'!$A$6:$A$89,0)+MATCH($D185,'[2]End - Use Prices'!$B$9:$B$11,0)-1,MATCH(BE$1,'[2]End - Use Prices'!$C$7:$AL$7,0))</f>
        <v>29.65</v>
      </c>
      <c r="BF185" s="41">
        <f>INDEX('[2]End - Use Prices'!$C$6:$AL$89,MATCH($C185,'[2]End - Use Prices'!$A$6:$A$89,0)+MATCH($D185,'[2]End - Use Prices'!$B$9:$B$11,0)-1,MATCH(BF$1,'[2]End - Use Prices'!$C$7:$AL$7,0))</f>
        <v>29.61</v>
      </c>
      <c r="BG185" s="41">
        <f>INDEX('[2]End - Use Prices'!$C$6:$AL$89,MATCH($C185,'[2]End - Use Prices'!$A$6:$A$89,0)+MATCH($D185,'[2]End - Use Prices'!$B$9:$B$11,0)-1,MATCH(BG$1,'[2]End - Use Prices'!$C$7:$AL$7,0))</f>
        <v>29.56</v>
      </c>
      <c r="BR185" s="39"/>
      <c r="BS185" s="39"/>
      <c r="BT185" s="39"/>
      <c r="BU185" s="39"/>
      <c r="BV185" s="39"/>
      <c r="BW185" s="39"/>
      <c r="BX185" s="39"/>
      <c r="BY185" s="39"/>
      <c r="BZ185" s="39"/>
      <c r="CA185" s="39"/>
    </row>
    <row r="186" spans="1:79">
      <c r="A186" s="5"/>
      <c r="B186" s="3"/>
      <c r="C186" s="25" t="s">
        <v>91</v>
      </c>
      <c r="D186" s="25" t="s">
        <v>276</v>
      </c>
      <c r="E186" s="25" t="s">
        <v>277</v>
      </c>
      <c r="F186" s="67" t="s">
        <v>275</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INDEX('[2]End - Use Prices'!$C$6:$AL$89,MATCH($C186,'[2]End - Use Prices'!$A$6:$A$89,0)+MATCH($D186,'[2]End - Use Prices'!$B$9:$B$11,0)-1,MATCH(X$1,'[2]End - Use Prices'!$C$7:$AL$7,0))</f>
        <v>26.98</v>
      </c>
      <c r="Y186" s="41">
        <f>INDEX('[2]End - Use Prices'!$C$6:$AL$89,MATCH($C186,'[2]End - Use Prices'!$A$6:$A$89,0)+MATCH($D186,'[2]End - Use Prices'!$B$9:$B$11,0)-1,MATCH(Y$1,'[2]End - Use Prices'!$C$7:$AL$7,0))</f>
        <v>26.48</v>
      </c>
      <c r="Z186" s="41">
        <f>INDEX('[2]End - Use Prices'!$C$6:$AL$89,MATCH($C186,'[2]End - Use Prices'!$A$6:$A$89,0)+MATCH($D186,'[2]End - Use Prices'!$B$9:$B$11,0)-1,MATCH(Z$1,'[2]End - Use Prices'!$C$7:$AL$7,0))</f>
        <v>28.47</v>
      </c>
      <c r="AA186" s="41">
        <f>INDEX('[2]End - Use Prices'!$C$6:$AL$89,MATCH($C186,'[2]End - Use Prices'!$A$6:$A$89,0)+MATCH($D186,'[2]End - Use Prices'!$B$9:$B$11,0)-1,MATCH(AA$1,'[2]End - Use Prices'!$C$7:$AL$7,0))</f>
        <v>34.4</v>
      </c>
      <c r="AB186" s="41">
        <f>INDEX('[2]End - Use Prices'!$C$6:$AL$89,MATCH($C186,'[2]End - Use Prices'!$A$6:$A$89,0)+MATCH($D186,'[2]End - Use Prices'!$B$9:$B$11,0)-1,MATCH(AB$1,'[2]End - Use Prices'!$C$7:$AL$7,0))</f>
        <v>24.36</v>
      </c>
      <c r="AC186" s="41">
        <f>INDEX('[2]End - Use Prices'!$C$6:$AL$89,MATCH($C186,'[2]End - Use Prices'!$A$6:$A$89,0)+MATCH($D186,'[2]End - Use Prices'!$B$9:$B$11,0)-1,MATCH(AC$1,'[2]End - Use Prices'!$C$7:$AL$7,0))</f>
        <v>26.99</v>
      </c>
      <c r="AD186" s="41">
        <f>INDEX('[2]End - Use Prices'!$C$6:$AL$89,MATCH($C186,'[2]End - Use Prices'!$A$6:$A$89,0)+MATCH($D186,'[2]End - Use Prices'!$B$9:$B$11,0)-1,MATCH(AD$1,'[2]End - Use Prices'!$C$7:$AL$7,0))</f>
        <v>32.65</v>
      </c>
      <c r="AE186" s="41">
        <f>INDEX('[2]End - Use Prices'!$C$6:$AL$89,MATCH($C186,'[2]End - Use Prices'!$A$6:$A$89,0)+MATCH($D186,'[2]End - Use Prices'!$B$9:$B$11,0)-1,MATCH(AE$1,'[2]End - Use Prices'!$C$7:$AL$7,0))</f>
        <v>31.57</v>
      </c>
      <c r="AF186" s="41">
        <f>INDEX('[2]End - Use Prices'!$C$6:$AL$89,MATCH($C186,'[2]End - Use Prices'!$A$6:$A$89,0)+MATCH($D186,'[2]End - Use Prices'!$B$9:$B$11,0)-1,MATCH(AF$1,'[2]End - Use Prices'!$C$7:$AL$7,0))</f>
        <v>32.36</v>
      </c>
      <c r="AG186" s="41">
        <f>INDEX('[2]End - Use Prices'!$C$6:$AL$89,MATCH($C186,'[2]End - Use Prices'!$A$6:$A$89,0)+MATCH($D186,'[2]End - Use Prices'!$B$9:$B$11,0)-1,MATCH(AG$1,'[2]End - Use Prices'!$C$7:$AL$7,0))</f>
        <v>35.340000000000003</v>
      </c>
      <c r="AH186" s="41">
        <f>INDEX('[2]End - Use Prices'!$C$6:$AL$89,MATCH($C186,'[2]End - Use Prices'!$A$6:$A$89,0)+MATCH($D186,'[2]End - Use Prices'!$B$9:$B$11,0)-1,MATCH(AH$1,'[2]End - Use Prices'!$C$7:$AL$7,0))</f>
        <v>26.82</v>
      </c>
      <c r="AI186" s="41">
        <f>INDEX('[2]End - Use Prices'!$C$6:$AL$89,MATCH($C186,'[2]End - Use Prices'!$A$6:$A$89,0)+MATCH($D186,'[2]End - Use Prices'!$B$9:$B$11,0)-1,MATCH(AI$1,'[2]End - Use Prices'!$C$7:$AL$7,0))</f>
        <v>24.02</v>
      </c>
      <c r="AJ186" s="41">
        <f>INDEX('[2]End - Use Prices'!$C$6:$AL$89,MATCH($C186,'[2]End - Use Prices'!$A$6:$A$89,0)+MATCH($D186,'[2]End - Use Prices'!$B$9:$B$11,0)-1,MATCH(AJ$1,'[2]End - Use Prices'!$C$7:$AL$7,0))</f>
        <v>26.27</v>
      </c>
      <c r="AK186" s="41">
        <f>INDEX('[2]End - Use Prices'!$C$6:$AL$89,MATCH($C186,'[2]End - Use Prices'!$A$6:$A$89,0)+MATCH($D186,'[2]End - Use Prices'!$B$9:$B$11,0)-1,MATCH(AK$1,'[2]End - Use Prices'!$C$7:$AL$7,0))</f>
        <v>29.87</v>
      </c>
      <c r="AL186" s="41">
        <f>INDEX('[2]End - Use Prices'!$C$6:$AL$89,MATCH($C186,'[2]End - Use Prices'!$A$6:$A$89,0)+MATCH($D186,'[2]End - Use Prices'!$B$9:$B$11,0)-1,MATCH(AL$1,'[2]End - Use Prices'!$C$7:$AL$7,0))</f>
        <v>33.14</v>
      </c>
      <c r="AM186" s="41">
        <f>INDEX('[2]End - Use Prices'!$C$6:$AL$89,MATCH($C186,'[2]End - Use Prices'!$A$6:$A$89,0)+MATCH($D186,'[2]End - Use Prices'!$B$9:$B$11,0)-1,MATCH(AM$1,'[2]End - Use Prices'!$C$7:$AL$7,0))</f>
        <v>37.92</v>
      </c>
      <c r="AN186" s="41">
        <f>INDEX('[2]End - Use Prices'!$C$6:$AL$89,MATCH($C186,'[2]End - Use Prices'!$A$6:$A$89,0)+MATCH($D186,'[2]End - Use Prices'!$B$9:$B$11,0)-1,MATCH(AN$1,'[2]End - Use Prices'!$C$7:$AL$7,0))</f>
        <v>35.28</v>
      </c>
      <c r="AO186" s="41">
        <f>INDEX('[2]End - Use Prices'!$C$6:$AL$89,MATCH($C186,'[2]End - Use Prices'!$A$6:$A$89,0)+MATCH($D186,'[2]End - Use Prices'!$B$9:$B$11,0)-1,MATCH(AO$1,'[2]End - Use Prices'!$C$7:$AL$7,0))</f>
        <v>33.700000000000003</v>
      </c>
      <c r="AP186" s="41">
        <f>INDEX('[2]End - Use Prices'!$C$6:$AL$89,MATCH($C186,'[2]End - Use Prices'!$A$6:$A$89,0)+MATCH($D186,'[2]End - Use Prices'!$B$9:$B$11,0)-1,MATCH(AP$1,'[2]End - Use Prices'!$C$7:$AL$7,0))</f>
        <v>33.82</v>
      </c>
      <c r="AQ186" s="41">
        <f>INDEX('[2]End - Use Prices'!$C$6:$AL$89,MATCH($C186,'[2]End - Use Prices'!$A$6:$A$89,0)+MATCH($D186,'[2]End - Use Prices'!$B$9:$B$11,0)-1,MATCH(AQ$1,'[2]End - Use Prices'!$C$7:$AL$7,0))</f>
        <v>33.549999999999997</v>
      </c>
      <c r="AR186" s="41">
        <f>INDEX('[2]End - Use Prices'!$C$6:$AL$89,MATCH($C186,'[2]End - Use Prices'!$A$6:$A$89,0)+MATCH($D186,'[2]End - Use Prices'!$B$9:$B$11,0)-1,MATCH(AR$1,'[2]End - Use Prices'!$C$7:$AL$7,0))</f>
        <v>33.53</v>
      </c>
      <c r="AS186" s="41">
        <f>INDEX('[2]End - Use Prices'!$C$6:$AL$89,MATCH($C186,'[2]End - Use Prices'!$A$6:$A$89,0)+MATCH($D186,'[2]End - Use Prices'!$B$9:$B$11,0)-1,MATCH(AS$1,'[2]End - Use Prices'!$C$7:$AL$7,0))</f>
        <v>33.46</v>
      </c>
      <c r="AT186" s="41">
        <f>INDEX('[2]End - Use Prices'!$C$6:$AL$89,MATCH($C186,'[2]End - Use Prices'!$A$6:$A$89,0)+MATCH($D186,'[2]End - Use Prices'!$B$9:$B$11,0)-1,MATCH(AT$1,'[2]End - Use Prices'!$C$7:$AL$7,0))</f>
        <v>33.29</v>
      </c>
      <c r="AU186" s="41">
        <f>INDEX('[2]End - Use Prices'!$C$6:$AL$89,MATCH($C186,'[2]End - Use Prices'!$A$6:$A$89,0)+MATCH($D186,'[2]End - Use Prices'!$B$9:$B$11,0)-1,MATCH(AU$1,'[2]End - Use Prices'!$C$7:$AL$7,0))</f>
        <v>33.07</v>
      </c>
      <c r="AV186" s="41">
        <f>INDEX('[2]End - Use Prices'!$C$6:$AL$89,MATCH($C186,'[2]End - Use Prices'!$A$6:$A$89,0)+MATCH($D186,'[2]End - Use Prices'!$B$9:$B$11,0)-1,MATCH(AV$1,'[2]End - Use Prices'!$C$7:$AL$7,0))</f>
        <v>32.9</v>
      </c>
      <c r="AW186" s="41">
        <f>INDEX('[2]End - Use Prices'!$C$6:$AL$89,MATCH($C186,'[2]End - Use Prices'!$A$6:$A$89,0)+MATCH($D186,'[2]End - Use Prices'!$B$9:$B$11,0)-1,MATCH(AW$1,'[2]End - Use Prices'!$C$7:$AL$7,0))</f>
        <v>32.72</v>
      </c>
      <c r="AX186" s="41">
        <f>INDEX('[2]End - Use Prices'!$C$6:$AL$89,MATCH($C186,'[2]End - Use Prices'!$A$6:$A$89,0)+MATCH($D186,'[2]End - Use Prices'!$B$9:$B$11,0)-1,MATCH(AX$1,'[2]End - Use Prices'!$C$7:$AL$7,0))</f>
        <v>32.619999999999997</v>
      </c>
      <c r="AY186" s="41">
        <f>INDEX('[2]End - Use Prices'!$C$6:$AL$89,MATCH($C186,'[2]End - Use Prices'!$A$6:$A$89,0)+MATCH($D186,'[2]End - Use Prices'!$B$9:$B$11,0)-1,MATCH(AY$1,'[2]End - Use Prices'!$C$7:$AL$7,0))</f>
        <v>32.549999999999997</v>
      </c>
      <c r="AZ186" s="41">
        <f>INDEX('[2]End - Use Prices'!$C$6:$AL$89,MATCH($C186,'[2]End - Use Prices'!$A$6:$A$89,0)+MATCH($D186,'[2]End - Use Prices'!$B$9:$B$11,0)-1,MATCH(AZ$1,'[2]End - Use Prices'!$C$7:$AL$7,0))</f>
        <v>32.520000000000003</v>
      </c>
      <c r="BA186" s="41">
        <f>INDEX('[2]End - Use Prices'!$C$6:$AL$89,MATCH($C186,'[2]End - Use Prices'!$A$6:$A$89,0)+MATCH($D186,'[2]End - Use Prices'!$B$9:$B$11,0)-1,MATCH(BA$1,'[2]End - Use Prices'!$C$7:$AL$7,0))</f>
        <v>32.51</v>
      </c>
      <c r="BB186" s="41">
        <f>INDEX('[2]End - Use Prices'!$C$6:$AL$89,MATCH($C186,'[2]End - Use Prices'!$A$6:$A$89,0)+MATCH($D186,'[2]End - Use Prices'!$B$9:$B$11,0)-1,MATCH(BB$1,'[2]End - Use Prices'!$C$7:$AL$7,0))</f>
        <v>32.49</v>
      </c>
      <c r="BC186" s="41">
        <f>INDEX('[2]End - Use Prices'!$C$6:$AL$89,MATCH($C186,'[2]End - Use Prices'!$A$6:$A$89,0)+MATCH($D186,'[2]End - Use Prices'!$B$9:$B$11,0)-1,MATCH(BC$1,'[2]End - Use Prices'!$C$7:$AL$7,0))</f>
        <v>32.450000000000003</v>
      </c>
      <c r="BD186" s="41">
        <f>INDEX('[2]End - Use Prices'!$C$6:$AL$89,MATCH($C186,'[2]End - Use Prices'!$A$6:$A$89,0)+MATCH($D186,'[2]End - Use Prices'!$B$9:$B$11,0)-1,MATCH(BD$1,'[2]End - Use Prices'!$C$7:$AL$7,0))</f>
        <v>32.4</v>
      </c>
      <c r="BE186" s="41">
        <f>INDEX('[2]End - Use Prices'!$C$6:$AL$89,MATCH($C186,'[2]End - Use Prices'!$A$6:$A$89,0)+MATCH($D186,'[2]End - Use Prices'!$B$9:$B$11,0)-1,MATCH(BE$1,'[2]End - Use Prices'!$C$7:$AL$7,0))</f>
        <v>32.31</v>
      </c>
      <c r="BF186" s="41">
        <f>INDEX('[2]End - Use Prices'!$C$6:$AL$89,MATCH($C186,'[2]End - Use Prices'!$A$6:$A$89,0)+MATCH($D186,'[2]End - Use Prices'!$B$9:$B$11,0)-1,MATCH(BF$1,'[2]End - Use Prices'!$C$7:$AL$7,0))</f>
        <v>32.229999999999997</v>
      </c>
      <c r="BG186" s="41">
        <f>INDEX('[2]End - Use Prices'!$C$6:$AL$89,MATCH($C186,'[2]End - Use Prices'!$A$6:$A$89,0)+MATCH($D186,'[2]End - Use Prices'!$B$9:$B$11,0)-1,MATCH(BG$1,'[2]End - Use Prices'!$C$7:$AL$7,0))</f>
        <v>32.130000000000003</v>
      </c>
      <c r="BR186" s="39"/>
      <c r="BS186" s="39"/>
      <c r="BT186" s="39"/>
      <c r="BU186" s="39"/>
      <c r="BV186" s="39"/>
      <c r="BW186" s="39"/>
      <c r="BX186" s="39"/>
      <c r="BY186" s="39"/>
      <c r="BZ186" s="39"/>
      <c r="CA186" s="39"/>
    </row>
    <row r="187" spans="1:79">
      <c r="A187" s="5"/>
      <c r="B187" s="3"/>
      <c r="C187" s="25" t="s">
        <v>5</v>
      </c>
      <c r="D187" s="25" t="s">
        <v>276</v>
      </c>
      <c r="E187" s="25" t="s">
        <v>277</v>
      </c>
      <c r="F187" s="67" t="s">
        <v>275</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INDEX('[2]End - Use Prices'!$C$6:$AL$89,MATCH($C187,'[2]End - Use Prices'!$A$6:$A$89,0)+MATCH($D187,'[2]End - Use Prices'!$B$9:$B$11,0)-1,MATCH(X$1,'[2]End - Use Prices'!$C$7:$AL$7,0))</f>
        <v>24.45</v>
      </c>
      <c r="Y187" s="41">
        <f>INDEX('[2]End - Use Prices'!$C$6:$AL$89,MATCH($C187,'[2]End - Use Prices'!$A$6:$A$89,0)+MATCH($D187,'[2]End - Use Prices'!$B$9:$B$11,0)-1,MATCH(Y$1,'[2]End - Use Prices'!$C$7:$AL$7,0))</f>
        <v>25.51</v>
      </c>
      <c r="Z187" s="41">
        <f>INDEX('[2]End - Use Prices'!$C$6:$AL$89,MATCH($C187,'[2]End - Use Prices'!$A$6:$A$89,0)+MATCH($D187,'[2]End - Use Prices'!$B$9:$B$11,0)-1,MATCH(Z$1,'[2]End - Use Prices'!$C$7:$AL$7,0))</f>
        <v>26.83</v>
      </c>
      <c r="AA187" s="41">
        <f>INDEX('[2]End - Use Prices'!$C$6:$AL$89,MATCH($C187,'[2]End - Use Prices'!$A$6:$A$89,0)+MATCH($D187,'[2]End - Use Prices'!$B$9:$B$11,0)-1,MATCH(AA$1,'[2]End - Use Prices'!$C$7:$AL$7,0))</f>
        <v>31.95</v>
      </c>
      <c r="AB187" s="41">
        <f>INDEX('[2]End - Use Prices'!$C$6:$AL$89,MATCH($C187,'[2]End - Use Prices'!$A$6:$A$89,0)+MATCH($D187,'[2]End - Use Prices'!$B$9:$B$11,0)-1,MATCH(AB$1,'[2]End - Use Prices'!$C$7:$AL$7,0))</f>
        <v>23.37</v>
      </c>
      <c r="AC187" s="41">
        <f>INDEX('[2]End - Use Prices'!$C$6:$AL$89,MATCH($C187,'[2]End - Use Prices'!$A$6:$A$89,0)+MATCH($D187,'[2]End - Use Prices'!$B$9:$B$11,0)-1,MATCH(AC$1,'[2]End - Use Prices'!$C$7:$AL$7,0))</f>
        <v>26.03</v>
      </c>
      <c r="AD187" s="41">
        <f>INDEX('[2]End - Use Prices'!$C$6:$AL$89,MATCH($C187,'[2]End - Use Prices'!$A$6:$A$89,0)+MATCH($D187,'[2]End - Use Prices'!$B$9:$B$11,0)-1,MATCH(AD$1,'[2]End - Use Prices'!$C$7:$AL$7,0))</f>
        <v>27.78</v>
      </c>
      <c r="AE187" s="41">
        <f>INDEX('[2]End - Use Prices'!$C$6:$AL$89,MATCH($C187,'[2]End - Use Prices'!$A$6:$A$89,0)+MATCH($D187,'[2]End - Use Prices'!$B$9:$B$11,0)-1,MATCH(AE$1,'[2]End - Use Prices'!$C$7:$AL$7,0))</f>
        <v>29.65</v>
      </c>
      <c r="AF187" s="41">
        <f>INDEX('[2]End - Use Prices'!$C$6:$AL$89,MATCH($C187,'[2]End - Use Prices'!$A$6:$A$89,0)+MATCH($D187,'[2]End - Use Prices'!$B$9:$B$11,0)-1,MATCH(AF$1,'[2]End - Use Prices'!$C$7:$AL$7,0))</f>
        <v>27.25</v>
      </c>
      <c r="AG187" s="41">
        <f>INDEX('[2]End - Use Prices'!$C$6:$AL$89,MATCH($C187,'[2]End - Use Prices'!$A$6:$A$89,0)+MATCH($D187,'[2]End - Use Prices'!$B$9:$B$11,0)-1,MATCH(AG$1,'[2]End - Use Prices'!$C$7:$AL$7,0))</f>
        <v>32.840000000000003</v>
      </c>
      <c r="AH187" s="41">
        <f>INDEX('[2]End - Use Prices'!$C$6:$AL$89,MATCH($C187,'[2]End - Use Prices'!$A$6:$A$89,0)+MATCH($D187,'[2]End - Use Prices'!$B$9:$B$11,0)-1,MATCH(AH$1,'[2]End - Use Prices'!$C$7:$AL$7,0))</f>
        <v>24.73</v>
      </c>
      <c r="AI187" s="41">
        <f>INDEX('[2]End - Use Prices'!$C$6:$AL$89,MATCH($C187,'[2]End - Use Prices'!$A$6:$A$89,0)+MATCH($D187,'[2]End - Use Prices'!$B$9:$B$11,0)-1,MATCH(AI$1,'[2]End - Use Prices'!$C$7:$AL$7,0))</f>
        <v>22.55</v>
      </c>
      <c r="AJ187" s="41">
        <f>INDEX('[2]End - Use Prices'!$C$6:$AL$89,MATCH($C187,'[2]End - Use Prices'!$A$6:$A$89,0)+MATCH($D187,'[2]End - Use Prices'!$B$9:$B$11,0)-1,MATCH(AJ$1,'[2]End - Use Prices'!$C$7:$AL$7,0))</f>
        <v>24.52</v>
      </c>
      <c r="AK187" s="41">
        <f>INDEX('[2]End - Use Prices'!$C$6:$AL$89,MATCH($C187,'[2]End - Use Prices'!$A$6:$A$89,0)+MATCH($D187,'[2]End - Use Prices'!$B$9:$B$11,0)-1,MATCH(AK$1,'[2]End - Use Prices'!$C$7:$AL$7,0))</f>
        <v>30.35</v>
      </c>
      <c r="AL187" s="41">
        <f>INDEX('[2]End - Use Prices'!$C$6:$AL$89,MATCH($C187,'[2]End - Use Prices'!$A$6:$A$89,0)+MATCH($D187,'[2]End - Use Prices'!$B$9:$B$11,0)-1,MATCH(AL$1,'[2]End - Use Prices'!$C$7:$AL$7,0))</f>
        <v>34.29</v>
      </c>
      <c r="AM187" s="41">
        <f>INDEX('[2]End - Use Prices'!$C$6:$AL$89,MATCH($C187,'[2]End - Use Prices'!$A$6:$A$89,0)+MATCH($D187,'[2]End - Use Prices'!$B$9:$B$11,0)-1,MATCH(AM$1,'[2]End - Use Prices'!$C$7:$AL$7,0))</f>
        <v>37.21</v>
      </c>
      <c r="AN187" s="41">
        <f>INDEX('[2]End - Use Prices'!$C$6:$AL$89,MATCH($C187,'[2]End - Use Prices'!$A$6:$A$89,0)+MATCH($D187,'[2]End - Use Prices'!$B$9:$B$11,0)-1,MATCH(AN$1,'[2]End - Use Prices'!$C$7:$AL$7,0))</f>
        <v>33.880000000000003</v>
      </c>
      <c r="AO187" s="41">
        <f>INDEX('[2]End - Use Prices'!$C$6:$AL$89,MATCH($C187,'[2]End - Use Prices'!$A$6:$A$89,0)+MATCH($D187,'[2]End - Use Prices'!$B$9:$B$11,0)-1,MATCH(AO$1,'[2]End - Use Prices'!$C$7:$AL$7,0))</f>
        <v>32.43</v>
      </c>
      <c r="AP187" s="41">
        <f>INDEX('[2]End - Use Prices'!$C$6:$AL$89,MATCH($C187,'[2]End - Use Prices'!$A$6:$A$89,0)+MATCH($D187,'[2]End - Use Prices'!$B$9:$B$11,0)-1,MATCH(AP$1,'[2]End - Use Prices'!$C$7:$AL$7,0))</f>
        <v>32.590000000000003</v>
      </c>
      <c r="AQ187" s="41">
        <f>INDEX('[2]End - Use Prices'!$C$6:$AL$89,MATCH($C187,'[2]End - Use Prices'!$A$6:$A$89,0)+MATCH($D187,'[2]End - Use Prices'!$B$9:$B$11,0)-1,MATCH(AQ$1,'[2]End - Use Prices'!$C$7:$AL$7,0))</f>
        <v>32.33</v>
      </c>
      <c r="AR187" s="41">
        <f>INDEX('[2]End - Use Prices'!$C$6:$AL$89,MATCH($C187,'[2]End - Use Prices'!$A$6:$A$89,0)+MATCH($D187,'[2]End - Use Prices'!$B$9:$B$11,0)-1,MATCH(AR$1,'[2]End - Use Prices'!$C$7:$AL$7,0))</f>
        <v>32.299999999999997</v>
      </c>
      <c r="AS187" s="41">
        <f>INDEX('[2]End - Use Prices'!$C$6:$AL$89,MATCH($C187,'[2]End - Use Prices'!$A$6:$A$89,0)+MATCH($D187,'[2]End - Use Prices'!$B$9:$B$11,0)-1,MATCH(AS$1,'[2]End - Use Prices'!$C$7:$AL$7,0))</f>
        <v>32.22</v>
      </c>
      <c r="AT187" s="41">
        <f>INDEX('[2]End - Use Prices'!$C$6:$AL$89,MATCH($C187,'[2]End - Use Prices'!$A$6:$A$89,0)+MATCH($D187,'[2]End - Use Prices'!$B$9:$B$11,0)-1,MATCH(AT$1,'[2]End - Use Prices'!$C$7:$AL$7,0))</f>
        <v>32.049999999999997</v>
      </c>
      <c r="AU187" s="41">
        <f>INDEX('[2]End - Use Prices'!$C$6:$AL$89,MATCH($C187,'[2]End - Use Prices'!$A$6:$A$89,0)+MATCH($D187,'[2]End - Use Prices'!$B$9:$B$11,0)-1,MATCH(AU$1,'[2]End - Use Prices'!$C$7:$AL$7,0))</f>
        <v>31.84</v>
      </c>
      <c r="AV187" s="41">
        <f>INDEX('[2]End - Use Prices'!$C$6:$AL$89,MATCH($C187,'[2]End - Use Prices'!$A$6:$A$89,0)+MATCH($D187,'[2]End - Use Prices'!$B$9:$B$11,0)-1,MATCH(AV$1,'[2]End - Use Prices'!$C$7:$AL$7,0))</f>
        <v>31.67</v>
      </c>
      <c r="AW187" s="41">
        <f>INDEX('[2]End - Use Prices'!$C$6:$AL$89,MATCH($C187,'[2]End - Use Prices'!$A$6:$A$89,0)+MATCH($D187,'[2]End - Use Prices'!$B$9:$B$11,0)-1,MATCH(AW$1,'[2]End - Use Prices'!$C$7:$AL$7,0))</f>
        <v>31.49</v>
      </c>
      <c r="AX187" s="41">
        <f>INDEX('[2]End - Use Prices'!$C$6:$AL$89,MATCH($C187,'[2]End - Use Prices'!$A$6:$A$89,0)+MATCH($D187,'[2]End - Use Prices'!$B$9:$B$11,0)-1,MATCH(AX$1,'[2]End - Use Prices'!$C$7:$AL$7,0))</f>
        <v>31.39</v>
      </c>
      <c r="AY187" s="41">
        <f>INDEX('[2]End - Use Prices'!$C$6:$AL$89,MATCH($C187,'[2]End - Use Prices'!$A$6:$A$89,0)+MATCH($D187,'[2]End - Use Prices'!$B$9:$B$11,0)-1,MATCH(AY$1,'[2]End - Use Prices'!$C$7:$AL$7,0))</f>
        <v>31.32</v>
      </c>
      <c r="AZ187" s="41">
        <f>INDEX('[2]End - Use Prices'!$C$6:$AL$89,MATCH($C187,'[2]End - Use Prices'!$A$6:$A$89,0)+MATCH($D187,'[2]End - Use Prices'!$B$9:$B$11,0)-1,MATCH(AZ$1,'[2]End - Use Prices'!$C$7:$AL$7,0))</f>
        <v>31.28</v>
      </c>
      <c r="BA187" s="41">
        <f>INDEX('[2]End - Use Prices'!$C$6:$AL$89,MATCH($C187,'[2]End - Use Prices'!$A$6:$A$89,0)+MATCH($D187,'[2]End - Use Prices'!$B$9:$B$11,0)-1,MATCH(BA$1,'[2]End - Use Prices'!$C$7:$AL$7,0))</f>
        <v>31.27</v>
      </c>
      <c r="BB187" s="41">
        <f>INDEX('[2]End - Use Prices'!$C$6:$AL$89,MATCH($C187,'[2]End - Use Prices'!$A$6:$A$89,0)+MATCH($D187,'[2]End - Use Prices'!$B$9:$B$11,0)-1,MATCH(BB$1,'[2]End - Use Prices'!$C$7:$AL$7,0))</f>
        <v>31.25</v>
      </c>
      <c r="BC187" s="41">
        <f>INDEX('[2]End - Use Prices'!$C$6:$AL$89,MATCH($C187,'[2]End - Use Prices'!$A$6:$A$89,0)+MATCH($D187,'[2]End - Use Prices'!$B$9:$B$11,0)-1,MATCH(BC$1,'[2]End - Use Prices'!$C$7:$AL$7,0))</f>
        <v>31.21</v>
      </c>
      <c r="BD187" s="41">
        <f>INDEX('[2]End - Use Prices'!$C$6:$AL$89,MATCH($C187,'[2]End - Use Prices'!$A$6:$A$89,0)+MATCH($D187,'[2]End - Use Prices'!$B$9:$B$11,0)-1,MATCH(BD$1,'[2]End - Use Prices'!$C$7:$AL$7,0))</f>
        <v>31.15</v>
      </c>
      <c r="BE187" s="41">
        <f>INDEX('[2]End - Use Prices'!$C$6:$AL$89,MATCH($C187,'[2]End - Use Prices'!$A$6:$A$89,0)+MATCH($D187,'[2]End - Use Prices'!$B$9:$B$11,0)-1,MATCH(BE$1,'[2]End - Use Prices'!$C$7:$AL$7,0))</f>
        <v>31.06</v>
      </c>
      <c r="BF187" s="41">
        <f>INDEX('[2]End - Use Prices'!$C$6:$AL$89,MATCH($C187,'[2]End - Use Prices'!$A$6:$A$89,0)+MATCH($D187,'[2]End - Use Prices'!$B$9:$B$11,0)-1,MATCH(BF$1,'[2]End - Use Prices'!$C$7:$AL$7,0))</f>
        <v>30.98</v>
      </c>
      <c r="BG187" s="41">
        <f>INDEX('[2]End - Use Prices'!$C$6:$AL$89,MATCH($C187,'[2]End - Use Prices'!$A$6:$A$89,0)+MATCH($D187,'[2]End - Use Prices'!$B$9:$B$11,0)-1,MATCH(BG$1,'[2]End - Use Prices'!$C$7:$AL$7,0))</f>
        <v>30.88</v>
      </c>
      <c r="BR187" s="39"/>
      <c r="BS187" s="39"/>
      <c r="BT187" s="39"/>
      <c r="BU187" s="39"/>
      <c r="BV187" s="39"/>
      <c r="BW187" s="39"/>
      <c r="BX187" s="39"/>
      <c r="BY187" s="39"/>
      <c r="BZ187" s="39"/>
      <c r="CA187" s="39"/>
    </row>
    <row r="188" spans="1:79">
      <c r="A188" s="5"/>
      <c r="B188" s="3"/>
      <c r="C188" s="25" t="s">
        <v>60</v>
      </c>
      <c r="D188" s="25" t="s">
        <v>276</v>
      </c>
      <c r="E188" s="25" t="s">
        <v>277</v>
      </c>
      <c r="F188" s="67" t="s">
        <v>275</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INDEX('[2]End - Use Prices'!$C$6:$AL$89,MATCH($C188,'[2]End - Use Prices'!$A$6:$A$89,0)+MATCH($D188,'[2]End - Use Prices'!$B$9:$B$11,0)-1,MATCH(X$1,'[2]End - Use Prices'!$C$7:$AL$7,0))</f>
        <v>28.98</v>
      </c>
      <c r="Y188" s="41">
        <f>INDEX('[2]End - Use Prices'!$C$6:$AL$89,MATCH($C188,'[2]End - Use Prices'!$A$6:$A$89,0)+MATCH($D188,'[2]End - Use Prices'!$B$9:$B$11,0)-1,MATCH(Y$1,'[2]End - Use Prices'!$C$7:$AL$7,0))</f>
        <v>28.54</v>
      </c>
      <c r="Z188" s="41">
        <f>INDEX('[2]End - Use Prices'!$C$6:$AL$89,MATCH($C188,'[2]End - Use Prices'!$A$6:$A$89,0)+MATCH($D188,'[2]End - Use Prices'!$B$9:$B$11,0)-1,MATCH(Z$1,'[2]End - Use Prices'!$C$7:$AL$7,0))</f>
        <v>29.02</v>
      </c>
      <c r="AA188" s="41">
        <f>INDEX('[2]End - Use Prices'!$C$6:$AL$89,MATCH($C188,'[2]End - Use Prices'!$A$6:$A$89,0)+MATCH($D188,'[2]End - Use Prices'!$B$9:$B$11,0)-1,MATCH(AA$1,'[2]End - Use Prices'!$C$7:$AL$7,0))</f>
        <v>34.479999999999997</v>
      </c>
      <c r="AB188" s="41">
        <f>INDEX('[2]End - Use Prices'!$C$6:$AL$89,MATCH($C188,'[2]End - Use Prices'!$A$6:$A$89,0)+MATCH($D188,'[2]End - Use Prices'!$B$9:$B$11,0)-1,MATCH(AB$1,'[2]End - Use Prices'!$C$7:$AL$7,0))</f>
        <v>25.41</v>
      </c>
      <c r="AC188" s="41">
        <f>INDEX('[2]End - Use Prices'!$C$6:$AL$89,MATCH($C188,'[2]End - Use Prices'!$A$6:$A$89,0)+MATCH($D188,'[2]End - Use Prices'!$B$9:$B$11,0)-1,MATCH(AC$1,'[2]End - Use Prices'!$C$7:$AL$7,0))</f>
        <v>29.71</v>
      </c>
      <c r="AD188" s="41">
        <f>INDEX('[2]End - Use Prices'!$C$6:$AL$89,MATCH($C188,'[2]End - Use Prices'!$A$6:$A$89,0)+MATCH($D188,'[2]End - Use Prices'!$B$9:$B$11,0)-1,MATCH(AD$1,'[2]End - Use Prices'!$C$7:$AL$7,0))</f>
        <v>34.4</v>
      </c>
      <c r="AE188" s="41">
        <f>INDEX('[2]End - Use Prices'!$C$6:$AL$89,MATCH($C188,'[2]End - Use Prices'!$A$6:$A$89,0)+MATCH($D188,'[2]End - Use Prices'!$B$9:$B$11,0)-1,MATCH(AE$1,'[2]End - Use Prices'!$C$7:$AL$7,0))</f>
        <v>35.71</v>
      </c>
      <c r="AF188" s="41">
        <f>INDEX('[2]End - Use Prices'!$C$6:$AL$89,MATCH($C188,'[2]End - Use Prices'!$A$6:$A$89,0)+MATCH($D188,'[2]End - Use Prices'!$B$9:$B$11,0)-1,MATCH(AF$1,'[2]End - Use Prices'!$C$7:$AL$7,0))</f>
        <v>35.47</v>
      </c>
      <c r="AG188" s="41">
        <f>INDEX('[2]End - Use Prices'!$C$6:$AL$89,MATCH($C188,'[2]End - Use Prices'!$A$6:$A$89,0)+MATCH($D188,'[2]End - Use Prices'!$B$9:$B$11,0)-1,MATCH(AG$1,'[2]End - Use Prices'!$C$7:$AL$7,0))</f>
        <v>35.78</v>
      </c>
      <c r="AH188" s="41">
        <f>INDEX('[2]End - Use Prices'!$C$6:$AL$89,MATCH($C188,'[2]End - Use Prices'!$A$6:$A$89,0)+MATCH($D188,'[2]End - Use Prices'!$B$9:$B$11,0)-1,MATCH(AH$1,'[2]End - Use Prices'!$C$7:$AL$7,0))</f>
        <v>29.49</v>
      </c>
      <c r="AI188" s="41">
        <f>INDEX('[2]End - Use Prices'!$C$6:$AL$89,MATCH($C188,'[2]End - Use Prices'!$A$6:$A$89,0)+MATCH($D188,'[2]End - Use Prices'!$B$9:$B$11,0)-1,MATCH(AI$1,'[2]End - Use Prices'!$C$7:$AL$7,0))</f>
        <v>26.92</v>
      </c>
      <c r="AJ188" s="41">
        <f>INDEX('[2]End - Use Prices'!$C$6:$AL$89,MATCH($C188,'[2]End - Use Prices'!$A$6:$A$89,0)+MATCH($D188,'[2]End - Use Prices'!$B$9:$B$11,0)-1,MATCH(AJ$1,'[2]End - Use Prices'!$C$7:$AL$7,0))</f>
        <v>29.45</v>
      </c>
      <c r="AK188" s="41">
        <f>INDEX('[2]End - Use Prices'!$C$6:$AL$89,MATCH($C188,'[2]End - Use Prices'!$A$6:$A$89,0)+MATCH($D188,'[2]End - Use Prices'!$B$9:$B$11,0)-1,MATCH(AK$1,'[2]End - Use Prices'!$C$7:$AL$7,0))</f>
        <v>33.119999999999997</v>
      </c>
      <c r="AL188" s="41">
        <f>INDEX('[2]End - Use Prices'!$C$6:$AL$89,MATCH($C188,'[2]End - Use Prices'!$A$6:$A$89,0)+MATCH($D188,'[2]End - Use Prices'!$B$9:$B$11,0)-1,MATCH(AL$1,'[2]End - Use Prices'!$C$7:$AL$7,0))</f>
        <v>38.61</v>
      </c>
      <c r="AM188" s="41">
        <f>INDEX('[2]End - Use Prices'!$C$6:$AL$89,MATCH($C188,'[2]End - Use Prices'!$A$6:$A$89,0)+MATCH($D188,'[2]End - Use Prices'!$B$9:$B$11,0)-1,MATCH(AM$1,'[2]End - Use Prices'!$C$7:$AL$7,0))</f>
        <v>41.92</v>
      </c>
      <c r="AN188" s="41">
        <f>INDEX('[2]End - Use Prices'!$C$6:$AL$89,MATCH($C188,'[2]End - Use Prices'!$A$6:$A$89,0)+MATCH($D188,'[2]End - Use Prices'!$B$9:$B$11,0)-1,MATCH(AN$1,'[2]End - Use Prices'!$C$7:$AL$7,0))</f>
        <v>38.94</v>
      </c>
      <c r="AO188" s="41">
        <f>INDEX('[2]End - Use Prices'!$C$6:$AL$89,MATCH($C188,'[2]End - Use Prices'!$A$6:$A$89,0)+MATCH($D188,'[2]End - Use Prices'!$B$9:$B$11,0)-1,MATCH(AO$1,'[2]End - Use Prices'!$C$7:$AL$7,0))</f>
        <v>36.979999999999997</v>
      </c>
      <c r="AP188" s="41">
        <f>INDEX('[2]End - Use Prices'!$C$6:$AL$89,MATCH($C188,'[2]End - Use Prices'!$A$6:$A$89,0)+MATCH($D188,'[2]End - Use Prices'!$B$9:$B$11,0)-1,MATCH(AP$1,'[2]End - Use Prices'!$C$7:$AL$7,0))</f>
        <v>36.39</v>
      </c>
      <c r="AQ188" s="41">
        <f>INDEX('[2]End - Use Prices'!$C$6:$AL$89,MATCH($C188,'[2]End - Use Prices'!$A$6:$A$89,0)+MATCH($D188,'[2]End - Use Prices'!$B$9:$B$11,0)-1,MATCH(AQ$1,'[2]End - Use Prices'!$C$7:$AL$7,0))</f>
        <v>36.08</v>
      </c>
      <c r="AR188" s="41">
        <f>INDEX('[2]End - Use Prices'!$C$6:$AL$89,MATCH($C188,'[2]End - Use Prices'!$A$6:$A$89,0)+MATCH($D188,'[2]End - Use Prices'!$B$9:$B$11,0)-1,MATCH(AR$1,'[2]End - Use Prices'!$C$7:$AL$7,0))</f>
        <v>36</v>
      </c>
      <c r="AS188" s="41">
        <f>INDEX('[2]End - Use Prices'!$C$6:$AL$89,MATCH($C188,'[2]End - Use Prices'!$A$6:$A$89,0)+MATCH($D188,'[2]End - Use Prices'!$B$9:$B$11,0)-1,MATCH(AS$1,'[2]End - Use Prices'!$C$7:$AL$7,0))</f>
        <v>35.89</v>
      </c>
      <c r="AT188" s="41">
        <f>INDEX('[2]End - Use Prices'!$C$6:$AL$89,MATCH($C188,'[2]End - Use Prices'!$A$6:$A$89,0)+MATCH($D188,'[2]End - Use Prices'!$B$9:$B$11,0)-1,MATCH(AT$1,'[2]End - Use Prices'!$C$7:$AL$7,0))</f>
        <v>35.68</v>
      </c>
      <c r="AU188" s="41">
        <f>INDEX('[2]End - Use Prices'!$C$6:$AL$89,MATCH($C188,'[2]End - Use Prices'!$A$6:$A$89,0)+MATCH($D188,'[2]End - Use Prices'!$B$9:$B$11,0)-1,MATCH(AU$1,'[2]End - Use Prices'!$C$7:$AL$7,0))</f>
        <v>35.44</v>
      </c>
      <c r="AV188" s="41">
        <f>INDEX('[2]End - Use Prices'!$C$6:$AL$89,MATCH($C188,'[2]End - Use Prices'!$A$6:$A$89,0)+MATCH($D188,'[2]End - Use Prices'!$B$9:$B$11,0)-1,MATCH(AV$1,'[2]End - Use Prices'!$C$7:$AL$7,0))</f>
        <v>35.229999999999997</v>
      </c>
      <c r="AW188" s="41">
        <f>INDEX('[2]End - Use Prices'!$C$6:$AL$89,MATCH($C188,'[2]End - Use Prices'!$A$6:$A$89,0)+MATCH($D188,'[2]End - Use Prices'!$B$9:$B$11,0)-1,MATCH(AW$1,'[2]End - Use Prices'!$C$7:$AL$7,0))</f>
        <v>35.03</v>
      </c>
      <c r="AX188" s="41">
        <f>INDEX('[2]End - Use Prices'!$C$6:$AL$89,MATCH($C188,'[2]End - Use Prices'!$A$6:$A$89,0)+MATCH($D188,'[2]End - Use Prices'!$B$9:$B$11,0)-1,MATCH(AX$1,'[2]End - Use Prices'!$C$7:$AL$7,0))</f>
        <v>34.89</v>
      </c>
      <c r="AY188" s="41">
        <f>INDEX('[2]End - Use Prices'!$C$6:$AL$89,MATCH($C188,'[2]End - Use Prices'!$A$6:$A$89,0)+MATCH($D188,'[2]End - Use Prices'!$B$9:$B$11,0)-1,MATCH(AY$1,'[2]End - Use Prices'!$C$7:$AL$7,0))</f>
        <v>34.79</v>
      </c>
      <c r="AZ188" s="41">
        <f>INDEX('[2]End - Use Prices'!$C$6:$AL$89,MATCH($C188,'[2]End - Use Prices'!$A$6:$A$89,0)+MATCH($D188,'[2]End - Use Prices'!$B$9:$B$11,0)-1,MATCH(AZ$1,'[2]End - Use Prices'!$C$7:$AL$7,0))</f>
        <v>34.729999999999997</v>
      </c>
      <c r="BA188" s="41">
        <f>INDEX('[2]End - Use Prices'!$C$6:$AL$89,MATCH($C188,'[2]End - Use Prices'!$A$6:$A$89,0)+MATCH($D188,'[2]End - Use Prices'!$B$9:$B$11,0)-1,MATCH(BA$1,'[2]End - Use Prices'!$C$7:$AL$7,0))</f>
        <v>34.69</v>
      </c>
      <c r="BB188" s="41">
        <f>INDEX('[2]End - Use Prices'!$C$6:$AL$89,MATCH($C188,'[2]End - Use Prices'!$A$6:$A$89,0)+MATCH($D188,'[2]End - Use Prices'!$B$9:$B$11,0)-1,MATCH(BB$1,'[2]End - Use Prices'!$C$7:$AL$7,0))</f>
        <v>34.64</v>
      </c>
      <c r="BC188" s="41">
        <f>INDEX('[2]End - Use Prices'!$C$6:$AL$89,MATCH($C188,'[2]End - Use Prices'!$A$6:$A$89,0)+MATCH($D188,'[2]End - Use Prices'!$B$9:$B$11,0)-1,MATCH(BC$1,'[2]End - Use Prices'!$C$7:$AL$7,0))</f>
        <v>34.58</v>
      </c>
      <c r="BD188" s="41">
        <f>INDEX('[2]End - Use Prices'!$C$6:$AL$89,MATCH($C188,'[2]End - Use Prices'!$A$6:$A$89,0)+MATCH($D188,'[2]End - Use Prices'!$B$9:$B$11,0)-1,MATCH(BD$1,'[2]End - Use Prices'!$C$7:$AL$7,0))</f>
        <v>34.49</v>
      </c>
      <c r="BE188" s="41">
        <f>INDEX('[2]End - Use Prices'!$C$6:$AL$89,MATCH($C188,'[2]End - Use Prices'!$A$6:$A$89,0)+MATCH($D188,'[2]End - Use Prices'!$B$9:$B$11,0)-1,MATCH(BE$1,'[2]End - Use Prices'!$C$7:$AL$7,0))</f>
        <v>34.380000000000003</v>
      </c>
      <c r="BF188" s="41">
        <f>INDEX('[2]End - Use Prices'!$C$6:$AL$89,MATCH($C188,'[2]End - Use Prices'!$A$6:$A$89,0)+MATCH($D188,'[2]End - Use Prices'!$B$9:$B$11,0)-1,MATCH(BF$1,'[2]End - Use Prices'!$C$7:$AL$7,0))</f>
        <v>34.270000000000003</v>
      </c>
      <c r="BG188" s="41">
        <f>INDEX('[2]End - Use Prices'!$C$6:$AL$89,MATCH($C188,'[2]End - Use Prices'!$A$6:$A$89,0)+MATCH($D188,'[2]End - Use Prices'!$B$9:$B$11,0)-1,MATCH(BG$1,'[2]End - Use Prices'!$C$7:$AL$7,0))</f>
        <v>34.14</v>
      </c>
      <c r="BR188" s="39"/>
      <c r="BS188" s="39"/>
      <c r="BT188" s="39"/>
      <c r="BU188" s="39"/>
      <c r="BV188" s="39"/>
      <c r="BW188" s="39"/>
      <c r="BX188" s="39"/>
      <c r="BY188" s="39"/>
      <c r="BZ188" s="39"/>
      <c r="CA188" s="39"/>
    </row>
    <row r="189" spans="1:79">
      <c r="A189" s="5"/>
      <c r="B189" s="3"/>
      <c r="C189" s="25" t="s">
        <v>92</v>
      </c>
      <c r="D189" s="25" t="s">
        <v>276</v>
      </c>
      <c r="E189" s="25" t="s">
        <v>277</v>
      </c>
      <c r="F189" s="67" t="s">
        <v>275</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INDEX('[2]End - Use Prices'!$C$6:$AL$89,MATCH($C189,'[2]End - Use Prices'!$A$6:$A$89,0)+MATCH($D189,'[2]End - Use Prices'!$B$9:$B$11,0)-1,MATCH(X$1,'[2]End - Use Prices'!$C$7:$AL$7,0))</f>
        <v>29.08</v>
      </c>
      <c r="Y189" s="41">
        <f>INDEX('[2]End - Use Prices'!$C$6:$AL$89,MATCH($C189,'[2]End - Use Prices'!$A$6:$A$89,0)+MATCH($D189,'[2]End - Use Prices'!$B$9:$B$11,0)-1,MATCH(Y$1,'[2]End - Use Prices'!$C$7:$AL$7,0))</f>
        <v>30.15</v>
      </c>
      <c r="Z189" s="41">
        <f>INDEX('[2]End - Use Prices'!$C$6:$AL$89,MATCH($C189,'[2]End - Use Prices'!$A$6:$A$89,0)+MATCH($D189,'[2]End - Use Prices'!$B$9:$B$11,0)-1,MATCH(Z$1,'[2]End - Use Prices'!$C$7:$AL$7,0))</f>
        <v>31.73</v>
      </c>
      <c r="AA189" s="41">
        <f>INDEX('[2]End - Use Prices'!$C$6:$AL$89,MATCH($C189,'[2]End - Use Prices'!$A$6:$A$89,0)+MATCH($D189,'[2]End - Use Prices'!$B$9:$B$11,0)-1,MATCH(AA$1,'[2]End - Use Prices'!$C$7:$AL$7,0))</f>
        <v>37.46</v>
      </c>
      <c r="AB189" s="41">
        <f>INDEX('[2]End - Use Prices'!$C$6:$AL$89,MATCH($C189,'[2]End - Use Prices'!$A$6:$A$89,0)+MATCH($D189,'[2]End - Use Prices'!$B$9:$B$11,0)-1,MATCH(AB$1,'[2]End - Use Prices'!$C$7:$AL$7,0))</f>
        <v>28.89</v>
      </c>
      <c r="AC189" s="41">
        <f>INDEX('[2]End - Use Prices'!$C$6:$AL$89,MATCH($C189,'[2]End - Use Prices'!$A$6:$A$89,0)+MATCH($D189,'[2]End - Use Prices'!$B$9:$B$11,0)-1,MATCH(AC$1,'[2]End - Use Prices'!$C$7:$AL$7,0))</f>
        <v>31.56</v>
      </c>
      <c r="AD189" s="41">
        <f>INDEX('[2]End - Use Prices'!$C$6:$AL$89,MATCH($C189,'[2]End - Use Prices'!$A$6:$A$89,0)+MATCH($D189,'[2]End - Use Prices'!$B$9:$B$11,0)-1,MATCH(AD$1,'[2]End - Use Prices'!$C$7:$AL$7,0))</f>
        <v>36.9</v>
      </c>
      <c r="AE189" s="41">
        <f>INDEX('[2]End - Use Prices'!$C$6:$AL$89,MATCH($C189,'[2]End - Use Prices'!$A$6:$A$89,0)+MATCH($D189,'[2]End - Use Prices'!$B$9:$B$11,0)-1,MATCH(AE$1,'[2]End - Use Prices'!$C$7:$AL$7,0))</f>
        <v>38.08</v>
      </c>
      <c r="AF189" s="41">
        <f>INDEX('[2]End - Use Prices'!$C$6:$AL$89,MATCH($C189,'[2]End - Use Prices'!$A$6:$A$89,0)+MATCH($D189,'[2]End - Use Prices'!$B$9:$B$11,0)-1,MATCH(AF$1,'[2]End - Use Prices'!$C$7:$AL$7,0))</f>
        <v>36.86</v>
      </c>
      <c r="AG189" s="41">
        <f>INDEX('[2]End - Use Prices'!$C$6:$AL$89,MATCH($C189,'[2]End - Use Prices'!$A$6:$A$89,0)+MATCH($D189,'[2]End - Use Prices'!$B$9:$B$11,0)-1,MATCH(AG$1,'[2]End - Use Prices'!$C$7:$AL$7,0))</f>
        <v>37.01</v>
      </c>
      <c r="AH189" s="41">
        <f>INDEX('[2]End - Use Prices'!$C$6:$AL$89,MATCH($C189,'[2]End - Use Prices'!$A$6:$A$89,0)+MATCH($D189,'[2]End - Use Prices'!$B$9:$B$11,0)-1,MATCH(AH$1,'[2]End - Use Prices'!$C$7:$AL$7,0))</f>
        <v>29.89</v>
      </c>
      <c r="AI189" s="41">
        <f>INDEX('[2]End - Use Prices'!$C$6:$AL$89,MATCH($C189,'[2]End - Use Prices'!$A$6:$A$89,0)+MATCH($D189,'[2]End - Use Prices'!$B$9:$B$11,0)-1,MATCH(AI$1,'[2]End - Use Prices'!$C$7:$AL$7,0))</f>
        <v>25.86</v>
      </c>
      <c r="AJ189" s="41">
        <f>INDEX('[2]End - Use Prices'!$C$6:$AL$89,MATCH($C189,'[2]End - Use Prices'!$A$6:$A$89,0)+MATCH($D189,'[2]End - Use Prices'!$B$9:$B$11,0)-1,MATCH(AJ$1,'[2]End - Use Prices'!$C$7:$AL$7,0))</f>
        <v>27.9</v>
      </c>
      <c r="AK189" s="41">
        <f>INDEX('[2]End - Use Prices'!$C$6:$AL$89,MATCH($C189,'[2]End - Use Prices'!$A$6:$A$89,0)+MATCH($D189,'[2]End - Use Prices'!$B$9:$B$11,0)-1,MATCH(AK$1,'[2]End - Use Prices'!$C$7:$AL$7,0))</f>
        <v>31.56</v>
      </c>
      <c r="AL189" s="41">
        <f>INDEX('[2]End - Use Prices'!$C$6:$AL$89,MATCH($C189,'[2]End - Use Prices'!$A$6:$A$89,0)+MATCH($D189,'[2]End - Use Prices'!$B$9:$B$11,0)-1,MATCH(AL$1,'[2]End - Use Prices'!$C$7:$AL$7,0))</f>
        <v>33.29</v>
      </c>
      <c r="AM189" s="41">
        <f>INDEX('[2]End - Use Prices'!$C$6:$AL$89,MATCH($C189,'[2]End - Use Prices'!$A$6:$A$89,0)+MATCH($D189,'[2]End - Use Prices'!$B$9:$B$11,0)-1,MATCH(AM$1,'[2]End - Use Prices'!$C$7:$AL$7,0))</f>
        <v>37.340000000000003</v>
      </c>
      <c r="AN189" s="41">
        <f>INDEX('[2]End - Use Prices'!$C$6:$AL$89,MATCH($C189,'[2]End - Use Prices'!$A$6:$A$89,0)+MATCH($D189,'[2]End - Use Prices'!$B$9:$B$11,0)-1,MATCH(AN$1,'[2]End - Use Prices'!$C$7:$AL$7,0))</f>
        <v>34.270000000000003</v>
      </c>
      <c r="AO189" s="41">
        <f>INDEX('[2]End - Use Prices'!$C$6:$AL$89,MATCH($C189,'[2]End - Use Prices'!$A$6:$A$89,0)+MATCH($D189,'[2]End - Use Prices'!$B$9:$B$11,0)-1,MATCH(AO$1,'[2]End - Use Prices'!$C$7:$AL$7,0))</f>
        <v>32.229999999999997</v>
      </c>
      <c r="AP189" s="41">
        <f>INDEX('[2]End - Use Prices'!$C$6:$AL$89,MATCH($C189,'[2]End - Use Prices'!$A$6:$A$89,0)+MATCH($D189,'[2]End - Use Prices'!$B$9:$B$11,0)-1,MATCH(AP$1,'[2]End - Use Prices'!$C$7:$AL$7,0))</f>
        <v>32.729999999999997</v>
      </c>
      <c r="AQ189" s="41">
        <f>INDEX('[2]End - Use Prices'!$C$6:$AL$89,MATCH($C189,'[2]End - Use Prices'!$A$6:$A$89,0)+MATCH($D189,'[2]End - Use Prices'!$B$9:$B$11,0)-1,MATCH(AQ$1,'[2]End - Use Prices'!$C$7:$AL$7,0))</f>
        <v>32.54</v>
      </c>
      <c r="AR189" s="41">
        <f>INDEX('[2]End - Use Prices'!$C$6:$AL$89,MATCH($C189,'[2]End - Use Prices'!$A$6:$A$89,0)+MATCH($D189,'[2]End - Use Prices'!$B$9:$B$11,0)-1,MATCH(AR$1,'[2]End - Use Prices'!$C$7:$AL$7,0))</f>
        <v>32.57</v>
      </c>
      <c r="AS189" s="41">
        <f>INDEX('[2]End - Use Prices'!$C$6:$AL$89,MATCH($C189,'[2]End - Use Prices'!$A$6:$A$89,0)+MATCH($D189,'[2]End - Use Prices'!$B$9:$B$11,0)-1,MATCH(AS$1,'[2]End - Use Prices'!$C$7:$AL$7,0))</f>
        <v>32.56</v>
      </c>
      <c r="AT189" s="41">
        <f>INDEX('[2]End - Use Prices'!$C$6:$AL$89,MATCH($C189,'[2]End - Use Prices'!$A$6:$A$89,0)+MATCH($D189,'[2]End - Use Prices'!$B$9:$B$11,0)-1,MATCH(AT$1,'[2]End - Use Prices'!$C$7:$AL$7,0))</f>
        <v>32.44</v>
      </c>
      <c r="AU189" s="41">
        <f>INDEX('[2]End - Use Prices'!$C$6:$AL$89,MATCH($C189,'[2]End - Use Prices'!$A$6:$A$89,0)+MATCH($D189,'[2]End - Use Prices'!$B$9:$B$11,0)-1,MATCH(AU$1,'[2]End - Use Prices'!$C$7:$AL$7,0))</f>
        <v>32.29</v>
      </c>
      <c r="AV189" s="41">
        <f>INDEX('[2]End - Use Prices'!$C$6:$AL$89,MATCH($C189,'[2]End - Use Prices'!$A$6:$A$89,0)+MATCH($D189,'[2]End - Use Prices'!$B$9:$B$11,0)-1,MATCH(AV$1,'[2]End - Use Prices'!$C$7:$AL$7,0))</f>
        <v>32.17</v>
      </c>
      <c r="AW189" s="41">
        <f>INDEX('[2]End - Use Prices'!$C$6:$AL$89,MATCH($C189,'[2]End - Use Prices'!$A$6:$A$89,0)+MATCH($D189,'[2]End - Use Prices'!$B$9:$B$11,0)-1,MATCH(AW$1,'[2]End - Use Prices'!$C$7:$AL$7,0))</f>
        <v>32.04</v>
      </c>
      <c r="AX189" s="41">
        <f>INDEX('[2]End - Use Prices'!$C$6:$AL$89,MATCH($C189,'[2]End - Use Prices'!$A$6:$A$89,0)+MATCH($D189,'[2]End - Use Prices'!$B$9:$B$11,0)-1,MATCH(AX$1,'[2]End - Use Prices'!$C$7:$AL$7,0))</f>
        <v>31.98</v>
      </c>
      <c r="AY189" s="41">
        <f>INDEX('[2]End - Use Prices'!$C$6:$AL$89,MATCH($C189,'[2]End - Use Prices'!$A$6:$A$89,0)+MATCH($D189,'[2]End - Use Prices'!$B$9:$B$11,0)-1,MATCH(AY$1,'[2]End - Use Prices'!$C$7:$AL$7,0))</f>
        <v>31.96</v>
      </c>
      <c r="AZ189" s="41">
        <f>INDEX('[2]End - Use Prices'!$C$6:$AL$89,MATCH($C189,'[2]End - Use Prices'!$A$6:$A$89,0)+MATCH($D189,'[2]End - Use Prices'!$B$9:$B$11,0)-1,MATCH(AZ$1,'[2]End - Use Prices'!$C$7:$AL$7,0))</f>
        <v>31.97</v>
      </c>
      <c r="BA189" s="41">
        <f>INDEX('[2]End - Use Prices'!$C$6:$AL$89,MATCH($C189,'[2]End - Use Prices'!$A$6:$A$89,0)+MATCH($D189,'[2]End - Use Prices'!$B$9:$B$11,0)-1,MATCH(BA$1,'[2]End - Use Prices'!$C$7:$AL$7,0))</f>
        <v>32.01</v>
      </c>
      <c r="BB189" s="41">
        <f>INDEX('[2]End - Use Prices'!$C$6:$AL$89,MATCH($C189,'[2]End - Use Prices'!$A$6:$A$89,0)+MATCH($D189,'[2]End - Use Prices'!$B$9:$B$11,0)-1,MATCH(BB$1,'[2]End - Use Prices'!$C$7:$AL$7,0))</f>
        <v>32.03</v>
      </c>
      <c r="BC189" s="41">
        <f>INDEX('[2]End - Use Prices'!$C$6:$AL$89,MATCH($C189,'[2]End - Use Prices'!$A$6:$A$89,0)+MATCH($D189,'[2]End - Use Prices'!$B$9:$B$11,0)-1,MATCH(BC$1,'[2]End - Use Prices'!$C$7:$AL$7,0))</f>
        <v>32.03</v>
      </c>
      <c r="BD189" s="41">
        <f>INDEX('[2]End - Use Prices'!$C$6:$AL$89,MATCH($C189,'[2]End - Use Prices'!$A$6:$A$89,0)+MATCH($D189,'[2]End - Use Prices'!$B$9:$B$11,0)-1,MATCH(BD$1,'[2]End - Use Prices'!$C$7:$AL$7,0))</f>
        <v>32.020000000000003</v>
      </c>
      <c r="BE189" s="41">
        <f>INDEX('[2]End - Use Prices'!$C$6:$AL$89,MATCH($C189,'[2]End - Use Prices'!$A$6:$A$89,0)+MATCH($D189,'[2]End - Use Prices'!$B$9:$B$11,0)-1,MATCH(BE$1,'[2]End - Use Prices'!$C$7:$AL$7,0))</f>
        <v>31.97</v>
      </c>
      <c r="BF189" s="41">
        <f>INDEX('[2]End - Use Prices'!$C$6:$AL$89,MATCH($C189,'[2]End - Use Prices'!$A$6:$A$89,0)+MATCH($D189,'[2]End - Use Prices'!$B$9:$B$11,0)-1,MATCH(BF$1,'[2]End - Use Prices'!$C$7:$AL$7,0))</f>
        <v>31.93</v>
      </c>
      <c r="BG189" s="41">
        <f>INDEX('[2]End - Use Prices'!$C$6:$AL$89,MATCH($C189,'[2]End - Use Prices'!$A$6:$A$89,0)+MATCH($D189,'[2]End - Use Prices'!$B$9:$B$11,0)-1,MATCH(BG$1,'[2]End - Use Prices'!$C$7:$AL$7,0))</f>
        <v>31.87</v>
      </c>
      <c r="BR189" s="39"/>
      <c r="BS189" s="39"/>
      <c r="BT189" s="39"/>
      <c r="BU189" s="39"/>
      <c r="BV189" s="39"/>
      <c r="BW189" s="39"/>
      <c r="BX189" s="39"/>
      <c r="BY189" s="39"/>
      <c r="BZ189" s="39"/>
      <c r="CA189" s="39"/>
    </row>
    <row r="190" spans="1:79">
      <c r="A190" s="5"/>
      <c r="B190" s="3"/>
      <c r="C190" s="25" t="s">
        <v>94</v>
      </c>
      <c r="D190" s="25" t="s">
        <v>276</v>
      </c>
      <c r="E190" s="25" t="s">
        <v>277</v>
      </c>
      <c r="F190" s="67" t="s">
        <v>275</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INDEX('[2]End - Use Prices'!$C$6:$AL$89,MATCH($C190,'[2]End - Use Prices'!$A$6:$A$89,0)+MATCH($D190,'[2]End - Use Prices'!$B$9:$B$11,0)-1,MATCH(X$1,'[2]End - Use Prices'!$C$7:$AL$7,0))</f>
        <v>26.74</v>
      </c>
      <c r="Y190" s="41">
        <f>INDEX('[2]End - Use Prices'!$C$6:$AL$89,MATCH($C190,'[2]End - Use Prices'!$A$6:$A$89,0)+MATCH($D190,'[2]End - Use Prices'!$B$9:$B$11,0)-1,MATCH(Y$1,'[2]End - Use Prices'!$C$7:$AL$7,0))</f>
        <v>27.19</v>
      </c>
      <c r="Z190" s="41">
        <f>INDEX('[2]End - Use Prices'!$C$6:$AL$89,MATCH($C190,'[2]End - Use Prices'!$A$6:$A$89,0)+MATCH($D190,'[2]End - Use Prices'!$B$9:$B$11,0)-1,MATCH(Z$1,'[2]End - Use Prices'!$C$7:$AL$7,0))</f>
        <v>29.89</v>
      </c>
      <c r="AA190" s="41">
        <f>INDEX('[2]End - Use Prices'!$C$6:$AL$89,MATCH($C190,'[2]End - Use Prices'!$A$6:$A$89,0)+MATCH($D190,'[2]End - Use Prices'!$B$9:$B$11,0)-1,MATCH(AA$1,'[2]End - Use Prices'!$C$7:$AL$7,0))</f>
        <v>36.56</v>
      </c>
      <c r="AB190" s="41">
        <f>INDEX('[2]End - Use Prices'!$C$6:$AL$89,MATCH($C190,'[2]End - Use Prices'!$A$6:$A$89,0)+MATCH($D190,'[2]End - Use Prices'!$B$9:$B$11,0)-1,MATCH(AB$1,'[2]End - Use Prices'!$C$7:$AL$7,0))</f>
        <v>26.59</v>
      </c>
      <c r="AC190" s="41">
        <f>INDEX('[2]End - Use Prices'!$C$6:$AL$89,MATCH($C190,'[2]End - Use Prices'!$A$6:$A$89,0)+MATCH($D190,'[2]End - Use Prices'!$B$9:$B$11,0)-1,MATCH(AC$1,'[2]End - Use Prices'!$C$7:$AL$7,0))</f>
        <v>28.81</v>
      </c>
      <c r="AD190" s="41">
        <f>INDEX('[2]End - Use Prices'!$C$6:$AL$89,MATCH($C190,'[2]End - Use Prices'!$A$6:$A$89,0)+MATCH($D190,'[2]End - Use Prices'!$B$9:$B$11,0)-1,MATCH(AD$1,'[2]End - Use Prices'!$C$7:$AL$7,0))</f>
        <v>34.630000000000003</v>
      </c>
      <c r="AE190" s="41">
        <f>INDEX('[2]End - Use Prices'!$C$6:$AL$89,MATCH($C190,'[2]End - Use Prices'!$A$6:$A$89,0)+MATCH($D190,'[2]End - Use Prices'!$B$9:$B$11,0)-1,MATCH(AE$1,'[2]End - Use Prices'!$C$7:$AL$7,0))</f>
        <v>34.79</v>
      </c>
      <c r="AF190" s="41">
        <f>INDEX('[2]End - Use Prices'!$C$6:$AL$89,MATCH($C190,'[2]End - Use Prices'!$A$6:$A$89,0)+MATCH($D190,'[2]End - Use Prices'!$B$9:$B$11,0)-1,MATCH(AF$1,'[2]End - Use Prices'!$C$7:$AL$7,0))</f>
        <v>33.89</v>
      </c>
      <c r="AG190" s="41">
        <f>INDEX('[2]End - Use Prices'!$C$6:$AL$89,MATCH($C190,'[2]End - Use Prices'!$A$6:$A$89,0)+MATCH($D190,'[2]End - Use Prices'!$B$9:$B$11,0)-1,MATCH(AG$1,'[2]End - Use Prices'!$C$7:$AL$7,0))</f>
        <v>36.409999999999997</v>
      </c>
      <c r="AH190" s="41">
        <f>INDEX('[2]End - Use Prices'!$C$6:$AL$89,MATCH($C190,'[2]End - Use Prices'!$A$6:$A$89,0)+MATCH($D190,'[2]End - Use Prices'!$B$9:$B$11,0)-1,MATCH(AH$1,'[2]End - Use Prices'!$C$7:$AL$7,0))</f>
        <v>28.29</v>
      </c>
      <c r="AI190" s="41">
        <f>INDEX('[2]End - Use Prices'!$C$6:$AL$89,MATCH($C190,'[2]End - Use Prices'!$A$6:$A$89,0)+MATCH($D190,'[2]End - Use Prices'!$B$9:$B$11,0)-1,MATCH(AI$1,'[2]End - Use Prices'!$C$7:$AL$7,0))</f>
        <v>24.92</v>
      </c>
      <c r="AJ190" s="41">
        <f>INDEX('[2]End - Use Prices'!$C$6:$AL$89,MATCH($C190,'[2]End - Use Prices'!$A$6:$A$89,0)+MATCH($D190,'[2]End - Use Prices'!$B$9:$B$11,0)-1,MATCH(AJ$1,'[2]End - Use Prices'!$C$7:$AL$7,0))</f>
        <v>27.54</v>
      </c>
      <c r="AK190" s="41">
        <f>INDEX('[2]End - Use Prices'!$C$6:$AL$89,MATCH($C190,'[2]End - Use Prices'!$A$6:$A$89,0)+MATCH($D190,'[2]End - Use Prices'!$B$9:$B$11,0)-1,MATCH(AK$1,'[2]End - Use Prices'!$C$7:$AL$7,0))</f>
        <v>30.62</v>
      </c>
      <c r="AL190" s="41">
        <f>INDEX('[2]End - Use Prices'!$C$6:$AL$89,MATCH($C190,'[2]End - Use Prices'!$A$6:$A$89,0)+MATCH($D190,'[2]End - Use Prices'!$B$9:$B$11,0)-1,MATCH(AL$1,'[2]End - Use Prices'!$C$7:$AL$7,0))</f>
        <v>32.35</v>
      </c>
      <c r="AM190" s="41">
        <f>INDEX('[2]End - Use Prices'!$C$6:$AL$89,MATCH($C190,'[2]End - Use Prices'!$A$6:$A$89,0)+MATCH($D190,'[2]End - Use Prices'!$B$9:$B$11,0)-1,MATCH(AM$1,'[2]End - Use Prices'!$C$7:$AL$7,0))</f>
        <v>36.4</v>
      </c>
      <c r="AN190" s="41">
        <f>INDEX('[2]End - Use Prices'!$C$6:$AL$89,MATCH($C190,'[2]End - Use Prices'!$A$6:$A$89,0)+MATCH($D190,'[2]End - Use Prices'!$B$9:$B$11,0)-1,MATCH(AN$1,'[2]End - Use Prices'!$C$7:$AL$7,0))</f>
        <v>33.33</v>
      </c>
      <c r="AO190" s="41">
        <f>INDEX('[2]End - Use Prices'!$C$6:$AL$89,MATCH($C190,'[2]End - Use Prices'!$A$6:$A$89,0)+MATCH($D190,'[2]End - Use Prices'!$B$9:$B$11,0)-1,MATCH(AO$1,'[2]End - Use Prices'!$C$7:$AL$7,0))</f>
        <v>31.29</v>
      </c>
      <c r="AP190" s="41">
        <f>INDEX('[2]End - Use Prices'!$C$6:$AL$89,MATCH($C190,'[2]End - Use Prices'!$A$6:$A$89,0)+MATCH($D190,'[2]End - Use Prices'!$B$9:$B$11,0)-1,MATCH(AP$1,'[2]End - Use Prices'!$C$7:$AL$7,0))</f>
        <v>31.79</v>
      </c>
      <c r="AQ190" s="41">
        <f>INDEX('[2]End - Use Prices'!$C$6:$AL$89,MATCH($C190,'[2]End - Use Prices'!$A$6:$A$89,0)+MATCH($D190,'[2]End - Use Prices'!$B$9:$B$11,0)-1,MATCH(AQ$1,'[2]End - Use Prices'!$C$7:$AL$7,0))</f>
        <v>31.61</v>
      </c>
      <c r="AR190" s="41">
        <f>INDEX('[2]End - Use Prices'!$C$6:$AL$89,MATCH($C190,'[2]End - Use Prices'!$A$6:$A$89,0)+MATCH($D190,'[2]End - Use Prices'!$B$9:$B$11,0)-1,MATCH(AR$1,'[2]End - Use Prices'!$C$7:$AL$7,0))</f>
        <v>31.63</v>
      </c>
      <c r="AS190" s="41">
        <f>INDEX('[2]End - Use Prices'!$C$6:$AL$89,MATCH($C190,'[2]End - Use Prices'!$A$6:$A$89,0)+MATCH($D190,'[2]End - Use Prices'!$B$9:$B$11,0)-1,MATCH(AS$1,'[2]End - Use Prices'!$C$7:$AL$7,0))</f>
        <v>31.62</v>
      </c>
      <c r="AT190" s="41">
        <f>INDEX('[2]End - Use Prices'!$C$6:$AL$89,MATCH($C190,'[2]End - Use Prices'!$A$6:$A$89,0)+MATCH($D190,'[2]End - Use Prices'!$B$9:$B$11,0)-1,MATCH(AT$1,'[2]End - Use Prices'!$C$7:$AL$7,0))</f>
        <v>31.5</v>
      </c>
      <c r="AU190" s="41">
        <f>INDEX('[2]End - Use Prices'!$C$6:$AL$89,MATCH($C190,'[2]End - Use Prices'!$A$6:$A$89,0)+MATCH($D190,'[2]End - Use Prices'!$B$9:$B$11,0)-1,MATCH(AU$1,'[2]End - Use Prices'!$C$7:$AL$7,0))</f>
        <v>31.35</v>
      </c>
      <c r="AV190" s="41">
        <f>INDEX('[2]End - Use Prices'!$C$6:$AL$89,MATCH($C190,'[2]End - Use Prices'!$A$6:$A$89,0)+MATCH($D190,'[2]End - Use Prices'!$B$9:$B$11,0)-1,MATCH(AV$1,'[2]End - Use Prices'!$C$7:$AL$7,0))</f>
        <v>31.23</v>
      </c>
      <c r="AW190" s="41">
        <f>INDEX('[2]End - Use Prices'!$C$6:$AL$89,MATCH($C190,'[2]End - Use Prices'!$A$6:$A$89,0)+MATCH($D190,'[2]End - Use Prices'!$B$9:$B$11,0)-1,MATCH(AW$1,'[2]End - Use Prices'!$C$7:$AL$7,0))</f>
        <v>31.1</v>
      </c>
      <c r="AX190" s="41">
        <f>INDEX('[2]End - Use Prices'!$C$6:$AL$89,MATCH($C190,'[2]End - Use Prices'!$A$6:$A$89,0)+MATCH($D190,'[2]End - Use Prices'!$B$9:$B$11,0)-1,MATCH(AX$1,'[2]End - Use Prices'!$C$7:$AL$7,0))</f>
        <v>31.05</v>
      </c>
      <c r="AY190" s="41">
        <f>INDEX('[2]End - Use Prices'!$C$6:$AL$89,MATCH($C190,'[2]End - Use Prices'!$A$6:$A$89,0)+MATCH($D190,'[2]End - Use Prices'!$B$9:$B$11,0)-1,MATCH(AY$1,'[2]End - Use Prices'!$C$7:$AL$7,0))</f>
        <v>31.02</v>
      </c>
      <c r="AZ190" s="41">
        <f>INDEX('[2]End - Use Prices'!$C$6:$AL$89,MATCH($C190,'[2]End - Use Prices'!$A$6:$A$89,0)+MATCH($D190,'[2]End - Use Prices'!$B$9:$B$11,0)-1,MATCH(AZ$1,'[2]End - Use Prices'!$C$7:$AL$7,0))</f>
        <v>31.03</v>
      </c>
      <c r="BA190" s="41">
        <f>INDEX('[2]End - Use Prices'!$C$6:$AL$89,MATCH($C190,'[2]End - Use Prices'!$A$6:$A$89,0)+MATCH($D190,'[2]End - Use Prices'!$B$9:$B$11,0)-1,MATCH(BA$1,'[2]End - Use Prices'!$C$7:$AL$7,0))</f>
        <v>31.07</v>
      </c>
      <c r="BB190" s="41">
        <f>INDEX('[2]End - Use Prices'!$C$6:$AL$89,MATCH($C190,'[2]End - Use Prices'!$A$6:$A$89,0)+MATCH($D190,'[2]End - Use Prices'!$B$9:$B$11,0)-1,MATCH(BB$1,'[2]End - Use Prices'!$C$7:$AL$7,0))</f>
        <v>31.09</v>
      </c>
      <c r="BC190" s="41">
        <f>INDEX('[2]End - Use Prices'!$C$6:$AL$89,MATCH($C190,'[2]End - Use Prices'!$A$6:$A$89,0)+MATCH($D190,'[2]End - Use Prices'!$B$9:$B$11,0)-1,MATCH(BC$1,'[2]End - Use Prices'!$C$7:$AL$7,0))</f>
        <v>31.09</v>
      </c>
      <c r="BD190" s="41">
        <f>INDEX('[2]End - Use Prices'!$C$6:$AL$89,MATCH($C190,'[2]End - Use Prices'!$A$6:$A$89,0)+MATCH($D190,'[2]End - Use Prices'!$B$9:$B$11,0)-1,MATCH(BD$1,'[2]End - Use Prices'!$C$7:$AL$7,0))</f>
        <v>31.08</v>
      </c>
      <c r="BE190" s="41">
        <f>INDEX('[2]End - Use Prices'!$C$6:$AL$89,MATCH($C190,'[2]End - Use Prices'!$A$6:$A$89,0)+MATCH($D190,'[2]End - Use Prices'!$B$9:$B$11,0)-1,MATCH(BE$1,'[2]End - Use Prices'!$C$7:$AL$7,0))</f>
        <v>31.03</v>
      </c>
      <c r="BF190" s="41">
        <f>INDEX('[2]End - Use Prices'!$C$6:$AL$89,MATCH($C190,'[2]End - Use Prices'!$A$6:$A$89,0)+MATCH($D190,'[2]End - Use Prices'!$B$9:$B$11,0)-1,MATCH(BF$1,'[2]End - Use Prices'!$C$7:$AL$7,0))</f>
        <v>30.99</v>
      </c>
      <c r="BG190" s="41">
        <f>INDEX('[2]End - Use Prices'!$C$6:$AL$89,MATCH($C190,'[2]End - Use Prices'!$A$6:$A$89,0)+MATCH($D190,'[2]End - Use Prices'!$B$9:$B$11,0)-1,MATCH(BG$1,'[2]End - Use Prices'!$C$7:$AL$7,0))</f>
        <v>30.93</v>
      </c>
      <c r="BR190" s="39"/>
      <c r="BS190" s="39"/>
      <c r="BT190" s="39"/>
      <c r="BU190" s="39"/>
      <c r="BV190" s="39"/>
      <c r="BW190" s="39"/>
      <c r="BX190" s="39"/>
      <c r="BY190" s="39"/>
      <c r="BZ190" s="39"/>
      <c r="CA190" s="39"/>
    </row>
    <row r="191" spans="1:79">
      <c r="A191" s="5"/>
      <c r="B191" s="3"/>
      <c r="C191" s="25" t="s">
        <v>93</v>
      </c>
      <c r="D191" s="25" t="s">
        <v>276</v>
      </c>
      <c r="E191" s="25" t="s">
        <v>277</v>
      </c>
      <c r="F191" s="67" t="s">
        <v>275</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INDEX('[2]End - Use Prices'!$C$6:$AL$89,MATCH($C191,'[2]End - Use Prices'!$A$6:$A$89,0)+MATCH($D191,'[2]End - Use Prices'!$B$9:$B$11,0)-1,MATCH(X$1,'[2]End - Use Prices'!$C$7:$AL$7,0))</f>
        <v>26.74</v>
      </c>
      <c r="Y191" s="41">
        <f>INDEX('[2]End - Use Prices'!$C$6:$AL$89,MATCH($C191,'[2]End - Use Prices'!$A$6:$A$89,0)+MATCH($D191,'[2]End - Use Prices'!$B$9:$B$11,0)-1,MATCH(Y$1,'[2]End - Use Prices'!$C$7:$AL$7,0))</f>
        <v>27.19</v>
      </c>
      <c r="Z191" s="41">
        <f>INDEX('[2]End - Use Prices'!$C$6:$AL$89,MATCH($C191,'[2]End - Use Prices'!$A$6:$A$89,0)+MATCH($D191,'[2]End - Use Prices'!$B$9:$B$11,0)-1,MATCH(Z$1,'[2]End - Use Prices'!$C$7:$AL$7,0))</f>
        <v>29.89</v>
      </c>
      <c r="AA191" s="41">
        <f>INDEX('[2]End - Use Prices'!$C$6:$AL$89,MATCH($C191,'[2]End - Use Prices'!$A$6:$A$89,0)+MATCH($D191,'[2]End - Use Prices'!$B$9:$B$11,0)-1,MATCH(AA$1,'[2]End - Use Prices'!$C$7:$AL$7,0))</f>
        <v>36.56</v>
      </c>
      <c r="AB191" s="41">
        <f>INDEX('[2]End - Use Prices'!$C$6:$AL$89,MATCH($C191,'[2]End - Use Prices'!$A$6:$A$89,0)+MATCH($D191,'[2]End - Use Prices'!$B$9:$B$11,0)-1,MATCH(AB$1,'[2]End - Use Prices'!$C$7:$AL$7,0))</f>
        <v>26.59</v>
      </c>
      <c r="AC191" s="41">
        <f>INDEX('[2]End - Use Prices'!$C$6:$AL$89,MATCH($C191,'[2]End - Use Prices'!$A$6:$A$89,0)+MATCH($D191,'[2]End - Use Prices'!$B$9:$B$11,0)-1,MATCH(AC$1,'[2]End - Use Prices'!$C$7:$AL$7,0))</f>
        <v>28.81</v>
      </c>
      <c r="AD191" s="41">
        <f>INDEX('[2]End - Use Prices'!$C$6:$AL$89,MATCH($C191,'[2]End - Use Prices'!$A$6:$A$89,0)+MATCH($D191,'[2]End - Use Prices'!$B$9:$B$11,0)-1,MATCH(AD$1,'[2]End - Use Prices'!$C$7:$AL$7,0))</f>
        <v>34.630000000000003</v>
      </c>
      <c r="AE191" s="41">
        <f>INDEX('[2]End - Use Prices'!$C$6:$AL$89,MATCH($C191,'[2]End - Use Prices'!$A$6:$A$89,0)+MATCH($D191,'[2]End - Use Prices'!$B$9:$B$11,0)-1,MATCH(AE$1,'[2]End - Use Prices'!$C$7:$AL$7,0))</f>
        <v>34.79</v>
      </c>
      <c r="AF191" s="41">
        <f>INDEX('[2]End - Use Prices'!$C$6:$AL$89,MATCH($C191,'[2]End - Use Prices'!$A$6:$A$89,0)+MATCH($D191,'[2]End - Use Prices'!$B$9:$B$11,0)-1,MATCH(AF$1,'[2]End - Use Prices'!$C$7:$AL$7,0))</f>
        <v>33.89</v>
      </c>
      <c r="AG191" s="41">
        <f>INDEX('[2]End - Use Prices'!$C$6:$AL$89,MATCH($C191,'[2]End - Use Prices'!$A$6:$A$89,0)+MATCH($D191,'[2]End - Use Prices'!$B$9:$B$11,0)-1,MATCH(AG$1,'[2]End - Use Prices'!$C$7:$AL$7,0))</f>
        <v>36.409999999999997</v>
      </c>
      <c r="AH191" s="41">
        <f>INDEX('[2]End - Use Prices'!$C$6:$AL$89,MATCH($C191,'[2]End - Use Prices'!$A$6:$A$89,0)+MATCH($D191,'[2]End - Use Prices'!$B$9:$B$11,0)-1,MATCH(AH$1,'[2]End - Use Prices'!$C$7:$AL$7,0))</f>
        <v>28.29</v>
      </c>
      <c r="AI191" s="41">
        <f>INDEX('[2]End - Use Prices'!$C$6:$AL$89,MATCH($C191,'[2]End - Use Prices'!$A$6:$A$89,0)+MATCH($D191,'[2]End - Use Prices'!$B$9:$B$11,0)-1,MATCH(AI$1,'[2]End - Use Prices'!$C$7:$AL$7,0))</f>
        <v>24.92</v>
      </c>
      <c r="AJ191" s="41">
        <f>INDEX('[2]End - Use Prices'!$C$6:$AL$89,MATCH($C191,'[2]End - Use Prices'!$A$6:$A$89,0)+MATCH($D191,'[2]End - Use Prices'!$B$9:$B$11,0)-1,MATCH(AJ$1,'[2]End - Use Prices'!$C$7:$AL$7,0))</f>
        <v>27.54</v>
      </c>
      <c r="AK191" s="41">
        <f>INDEX('[2]End - Use Prices'!$C$6:$AL$89,MATCH($C191,'[2]End - Use Prices'!$A$6:$A$89,0)+MATCH($D191,'[2]End - Use Prices'!$B$9:$B$11,0)-1,MATCH(AK$1,'[2]End - Use Prices'!$C$7:$AL$7,0))</f>
        <v>30.62</v>
      </c>
      <c r="AL191" s="41">
        <f>INDEX('[2]End - Use Prices'!$C$6:$AL$89,MATCH($C191,'[2]End - Use Prices'!$A$6:$A$89,0)+MATCH($D191,'[2]End - Use Prices'!$B$9:$B$11,0)-1,MATCH(AL$1,'[2]End - Use Prices'!$C$7:$AL$7,0))</f>
        <v>32.35</v>
      </c>
      <c r="AM191" s="41">
        <f>INDEX('[2]End - Use Prices'!$C$6:$AL$89,MATCH($C191,'[2]End - Use Prices'!$A$6:$A$89,0)+MATCH($D191,'[2]End - Use Prices'!$B$9:$B$11,0)-1,MATCH(AM$1,'[2]End - Use Prices'!$C$7:$AL$7,0))</f>
        <v>36.33</v>
      </c>
      <c r="AN191" s="41">
        <f>INDEX('[2]End - Use Prices'!$C$6:$AL$89,MATCH($C191,'[2]End - Use Prices'!$A$6:$A$89,0)+MATCH($D191,'[2]End - Use Prices'!$B$9:$B$11,0)-1,MATCH(AN$1,'[2]End - Use Prices'!$C$7:$AL$7,0))</f>
        <v>33.229999999999997</v>
      </c>
      <c r="AO191" s="41">
        <f>INDEX('[2]End - Use Prices'!$C$6:$AL$89,MATCH($C191,'[2]End - Use Prices'!$A$6:$A$89,0)+MATCH($D191,'[2]End - Use Prices'!$B$9:$B$11,0)-1,MATCH(AO$1,'[2]End - Use Prices'!$C$7:$AL$7,0))</f>
        <v>31.15</v>
      </c>
      <c r="AP191" s="41">
        <f>INDEX('[2]End - Use Prices'!$C$6:$AL$89,MATCH($C191,'[2]End - Use Prices'!$A$6:$A$89,0)+MATCH($D191,'[2]End - Use Prices'!$B$9:$B$11,0)-1,MATCH(AP$1,'[2]End - Use Prices'!$C$7:$AL$7,0))</f>
        <v>31.62</v>
      </c>
      <c r="AQ191" s="41">
        <f>INDEX('[2]End - Use Prices'!$C$6:$AL$89,MATCH($C191,'[2]End - Use Prices'!$A$6:$A$89,0)+MATCH($D191,'[2]End - Use Prices'!$B$9:$B$11,0)-1,MATCH(AQ$1,'[2]End - Use Prices'!$C$7:$AL$7,0))</f>
        <v>31.44</v>
      </c>
      <c r="AR191" s="41">
        <f>INDEX('[2]End - Use Prices'!$C$6:$AL$89,MATCH($C191,'[2]End - Use Prices'!$A$6:$A$89,0)+MATCH($D191,'[2]End - Use Prices'!$B$9:$B$11,0)-1,MATCH(AR$1,'[2]End - Use Prices'!$C$7:$AL$7,0))</f>
        <v>31.48</v>
      </c>
      <c r="AS191" s="41">
        <f>INDEX('[2]End - Use Prices'!$C$6:$AL$89,MATCH($C191,'[2]End - Use Prices'!$A$6:$A$89,0)+MATCH($D191,'[2]End - Use Prices'!$B$9:$B$11,0)-1,MATCH(AS$1,'[2]End - Use Prices'!$C$7:$AL$7,0))</f>
        <v>31.46</v>
      </c>
      <c r="AT191" s="41">
        <f>INDEX('[2]End - Use Prices'!$C$6:$AL$89,MATCH($C191,'[2]End - Use Prices'!$A$6:$A$89,0)+MATCH($D191,'[2]End - Use Prices'!$B$9:$B$11,0)-1,MATCH(AT$1,'[2]End - Use Prices'!$C$7:$AL$7,0))</f>
        <v>31.36</v>
      </c>
      <c r="AU191" s="41">
        <f>INDEX('[2]End - Use Prices'!$C$6:$AL$89,MATCH($C191,'[2]End - Use Prices'!$A$6:$A$89,0)+MATCH($D191,'[2]End - Use Prices'!$B$9:$B$11,0)-1,MATCH(AU$1,'[2]End - Use Prices'!$C$7:$AL$7,0))</f>
        <v>31.2</v>
      </c>
      <c r="AV191" s="41">
        <f>INDEX('[2]End - Use Prices'!$C$6:$AL$89,MATCH($C191,'[2]End - Use Prices'!$A$6:$A$89,0)+MATCH($D191,'[2]End - Use Prices'!$B$9:$B$11,0)-1,MATCH(AV$1,'[2]End - Use Prices'!$C$7:$AL$7,0))</f>
        <v>31.09</v>
      </c>
      <c r="AW191" s="41">
        <f>INDEX('[2]End - Use Prices'!$C$6:$AL$89,MATCH($C191,'[2]End - Use Prices'!$A$6:$A$89,0)+MATCH($D191,'[2]End - Use Prices'!$B$9:$B$11,0)-1,MATCH(AW$1,'[2]End - Use Prices'!$C$7:$AL$7,0))</f>
        <v>30.97</v>
      </c>
      <c r="AX191" s="41">
        <f>INDEX('[2]End - Use Prices'!$C$6:$AL$89,MATCH($C191,'[2]End - Use Prices'!$A$6:$A$89,0)+MATCH($D191,'[2]End - Use Prices'!$B$9:$B$11,0)-1,MATCH(AX$1,'[2]End - Use Prices'!$C$7:$AL$7,0))</f>
        <v>30.91</v>
      </c>
      <c r="AY191" s="41">
        <f>INDEX('[2]End - Use Prices'!$C$6:$AL$89,MATCH($C191,'[2]End - Use Prices'!$A$6:$A$89,0)+MATCH($D191,'[2]End - Use Prices'!$B$9:$B$11,0)-1,MATCH(AY$1,'[2]End - Use Prices'!$C$7:$AL$7,0))</f>
        <v>30.89</v>
      </c>
      <c r="AZ191" s="41">
        <f>INDEX('[2]End - Use Prices'!$C$6:$AL$89,MATCH($C191,'[2]End - Use Prices'!$A$6:$A$89,0)+MATCH($D191,'[2]End - Use Prices'!$B$9:$B$11,0)-1,MATCH(AZ$1,'[2]End - Use Prices'!$C$7:$AL$7,0))</f>
        <v>30.9</v>
      </c>
      <c r="BA191" s="41">
        <f>INDEX('[2]End - Use Prices'!$C$6:$AL$89,MATCH($C191,'[2]End - Use Prices'!$A$6:$A$89,0)+MATCH($D191,'[2]End - Use Prices'!$B$9:$B$11,0)-1,MATCH(BA$1,'[2]End - Use Prices'!$C$7:$AL$7,0))</f>
        <v>30.94</v>
      </c>
      <c r="BB191" s="41">
        <f>INDEX('[2]End - Use Prices'!$C$6:$AL$89,MATCH($C191,'[2]End - Use Prices'!$A$6:$A$89,0)+MATCH($D191,'[2]End - Use Prices'!$B$9:$B$11,0)-1,MATCH(BB$1,'[2]End - Use Prices'!$C$7:$AL$7,0))</f>
        <v>30.96</v>
      </c>
      <c r="BC191" s="41">
        <f>INDEX('[2]End - Use Prices'!$C$6:$AL$89,MATCH($C191,'[2]End - Use Prices'!$A$6:$A$89,0)+MATCH($D191,'[2]End - Use Prices'!$B$9:$B$11,0)-1,MATCH(BC$1,'[2]End - Use Prices'!$C$7:$AL$7,0))</f>
        <v>30.97</v>
      </c>
      <c r="BD191" s="41">
        <f>INDEX('[2]End - Use Prices'!$C$6:$AL$89,MATCH($C191,'[2]End - Use Prices'!$A$6:$A$89,0)+MATCH($D191,'[2]End - Use Prices'!$B$9:$B$11,0)-1,MATCH(BD$1,'[2]End - Use Prices'!$C$7:$AL$7,0))</f>
        <v>30.96</v>
      </c>
      <c r="BE191" s="41">
        <f>INDEX('[2]End - Use Prices'!$C$6:$AL$89,MATCH($C191,'[2]End - Use Prices'!$A$6:$A$89,0)+MATCH($D191,'[2]End - Use Prices'!$B$9:$B$11,0)-1,MATCH(BE$1,'[2]End - Use Prices'!$C$7:$AL$7,0))</f>
        <v>30.91</v>
      </c>
      <c r="BF191" s="41">
        <f>INDEX('[2]End - Use Prices'!$C$6:$AL$89,MATCH($C191,'[2]End - Use Prices'!$A$6:$A$89,0)+MATCH($D191,'[2]End - Use Prices'!$B$9:$B$11,0)-1,MATCH(BF$1,'[2]End - Use Prices'!$C$7:$AL$7,0))</f>
        <v>30.87</v>
      </c>
      <c r="BG191" s="41">
        <f>INDEX('[2]End - Use Prices'!$C$6:$AL$89,MATCH($C191,'[2]End - Use Prices'!$A$6:$A$89,0)+MATCH($D191,'[2]End - Use Prices'!$B$9:$B$11,0)-1,MATCH(BG$1,'[2]End - Use Prices'!$C$7:$AL$7,0))</f>
        <v>30.82</v>
      </c>
      <c r="BR191" s="39"/>
      <c r="BS191" s="39"/>
      <c r="BT191" s="39"/>
      <c r="BU191" s="39"/>
      <c r="BV191" s="39"/>
      <c r="BW191" s="39"/>
      <c r="BX191" s="39"/>
      <c r="BY191" s="39"/>
      <c r="BZ191" s="39"/>
      <c r="CA191" s="39"/>
    </row>
    <row r="192" spans="1:79" s="39" customFormat="1">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workbookViewId="0"/>
  </sheetViews>
  <sheetFormatPr baseColWidth="10" defaultColWidth="8.83203125" defaultRowHeight="15" outlineLevelRow="1"/>
  <cols>
    <col min="1" max="1" width="2.6640625" style="2" customWidth="1"/>
    <col min="2" max="2" width="29.83203125" style="15" bestFit="1" customWidth="1"/>
    <col min="3" max="3" width="27.5" style="15" customWidth="1"/>
    <col min="4" max="4" width="43.1640625" style="15" bestFit="1" customWidth="1"/>
    <col min="5" max="5" width="22.1640625" style="26" customWidth="1"/>
    <col min="6" max="9" width="15.6640625" style="31" customWidth="1"/>
    <col min="10" max="16" width="15.6640625" style="30" customWidth="1"/>
    <col min="17" max="17" width="2.6640625" style="15" customWidth="1"/>
    <col min="18" max="68" width="10.33203125" style="39" bestFit="1" customWidth="1"/>
    <col min="69" max="78" width="10.33203125" bestFit="1" customWidth="1"/>
  </cols>
  <sheetData>
    <row r="1" spans="1:78">
      <c r="A1" s="20"/>
      <c r="B1" s="24" t="s">
        <v>9</v>
      </c>
      <c r="C1" s="24" t="s">
        <v>9</v>
      </c>
      <c r="D1" s="24" t="s">
        <v>15</v>
      </c>
      <c r="E1" s="8" t="s">
        <v>76</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c r="A2" s="11"/>
      <c r="B2" s="13"/>
      <c r="C2" s="13"/>
      <c r="D2" s="13"/>
      <c r="E2" s="9"/>
      <c r="F2" s="28"/>
      <c r="G2" s="28"/>
      <c r="H2" s="28"/>
      <c r="I2" s="28"/>
      <c r="J2" s="28"/>
      <c r="K2" s="28"/>
      <c r="L2" s="28"/>
      <c r="M2" s="28"/>
      <c r="N2" s="28"/>
      <c r="O2" s="28"/>
      <c r="P2" s="28"/>
      <c r="Q2" s="37"/>
    </row>
    <row r="3" spans="1:78">
      <c r="A3" s="5"/>
      <c r="B3" s="57" t="s">
        <v>108</v>
      </c>
      <c r="C3" s="25" t="s">
        <v>47</v>
      </c>
      <c r="D3" s="25" t="s">
        <v>105</v>
      </c>
      <c r="E3" s="27" t="s">
        <v>106</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c r="A4" s="5"/>
      <c r="B4" s="13"/>
      <c r="C4" s="13" t="s">
        <v>84</v>
      </c>
      <c r="D4" s="25" t="s">
        <v>105</v>
      </c>
      <c r="E4" s="27" t="s">
        <v>106</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c r="A5" s="5"/>
      <c r="B5" s="25"/>
      <c r="C5" s="25" t="s">
        <v>85</v>
      </c>
      <c r="D5" s="25" t="s">
        <v>105</v>
      </c>
      <c r="E5" s="27" t="s">
        <v>106</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c r="A6" s="5"/>
      <c r="B6" s="25"/>
      <c r="C6" s="25" t="s">
        <v>86</v>
      </c>
      <c r="D6" s="25" t="s">
        <v>105</v>
      </c>
      <c r="E6" s="27" t="s">
        <v>106</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c r="A7" s="5"/>
      <c r="B7" s="25"/>
      <c r="C7" s="25" t="s">
        <v>87</v>
      </c>
      <c r="D7" s="25" t="s">
        <v>105</v>
      </c>
      <c r="E7" s="27" t="s">
        <v>106</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c r="A8" s="5"/>
      <c r="B8" s="25"/>
      <c r="C8" s="25" t="s">
        <v>88</v>
      </c>
      <c r="D8" s="25" t="s">
        <v>105</v>
      </c>
      <c r="E8" s="27" t="s">
        <v>106</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c r="A9" s="5"/>
      <c r="B9" s="25"/>
      <c r="C9" s="25" t="s">
        <v>89</v>
      </c>
      <c r="D9" s="25" t="s">
        <v>105</v>
      </c>
      <c r="E9" s="27" t="s">
        <v>106</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c r="A10" s="5"/>
      <c r="B10" s="25"/>
      <c r="C10" s="25" t="s">
        <v>90</v>
      </c>
      <c r="D10" s="25" t="s">
        <v>105</v>
      </c>
      <c r="E10" s="27" t="s">
        <v>106</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c r="A11" s="5"/>
      <c r="B11" s="25"/>
      <c r="C11" s="25" t="s">
        <v>91</v>
      </c>
      <c r="D11" s="25" t="s">
        <v>105</v>
      </c>
      <c r="E11" s="27" t="s">
        <v>106</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c r="A12" s="5"/>
      <c r="B12" s="25"/>
      <c r="C12" s="25" t="s">
        <v>5</v>
      </c>
      <c r="D12" s="25" t="s">
        <v>105</v>
      </c>
      <c r="E12" s="27" t="s">
        <v>106</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c r="A13" s="5"/>
      <c r="B13" s="25"/>
      <c r="C13" s="25" t="s">
        <v>60</v>
      </c>
      <c r="D13" s="25" t="s">
        <v>105</v>
      </c>
      <c r="E13" s="27" t="s">
        <v>106</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c r="A14" s="5"/>
      <c r="B14" s="25"/>
      <c r="C14" s="25" t="s">
        <v>92</v>
      </c>
      <c r="D14" s="25" t="s">
        <v>105</v>
      </c>
      <c r="E14" s="27" t="s">
        <v>106</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c r="A15" s="5"/>
      <c r="B15" s="25"/>
      <c r="C15" s="25" t="s">
        <v>94</v>
      </c>
      <c r="D15" s="25" t="s">
        <v>105</v>
      </c>
      <c r="E15" s="27" t="s">
        <v>106</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c r="A16" s="5"/>
      <c r="B16" s="25"/>
      <c r="C16" s="25" t="s">
        <v>93</v>
      </c>
      <c r="D16" s="25" t="s">
        <v>105</v>
      </c>
      <c r="E16" s="27" t="s">
        <v>106</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c r="A17" s="5"/>
      <c r="B17" s="25"/>
      <c r="C17" s="25"/>
      <c r="D17" s="25"/>
      <c r="E17" s="16"/>
      <c r="F17" s="30"/>
      <c r="G17" s="30"/>
      <c r="H17" s="30"/>
      <c r="I17" s="30"/>
      <c r="Q17" s="38"/>
    </row>
    <row r="18" spans="1:78">
      <c r="A18" s="5"/>
      <c r="B18" s="25"/>
      <c r="C18" s="25"/>
      <c r="D18" s="25"/>
      <c r="E18" s="16"/>
      <c r="F18" s="30"/>
      <c r="G18" s="30"/>
      <c r="H18" s="30"/>
      <c r="I18" s="30"/>
      <c r="Q18" s="38"/>
    </row>
    <row r="19" spans="1:78">
      <c r="A19" s="5"/>
      <c r="B19" s="57" t="s">
        <v>80</v>
      </c>
      <c r="C19" s="25" t="s">
        <v>47</v>
      </c>
      <c r="D19" s="25" t="s">
        <v>80</v>
      </c>
      <c r="E19" s="16" t="s">
        <v>83</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c r="A20" s="5"/>
      <c r="B20" s="13"/>
      <c r="C20" s="13" t="s">
        <v>84</v>
      </c>
      <c r="D20" s="25" t="s">
        <v>80</v>
      </c>
      <c r="E20" s="16" t="s">
        <v>83</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c r="A21" s="5"/>
      <c r="B21" s="25"/>
      <c r="C21" s="25" t="s">
        <v>85</v>
      </c>
      <c r="D21" s="25" t="s">
        <v>80</v>
      </c>
      <c r="E21" s="16" t="s">
        <v>83</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c r="A22" s="5"/>
      <c r="B22" s="25"/>
      <c r="C22" s="25" t="s">
        <v>86</v>
      </c>
      <c r="D22" s="25" t="s">
        <v>80</v>
      </c>
      <c r="E22" s="16" t="s">
        <v>83</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c r="A23" s="5"/>
      <c r="B23" s="25"/>
      <c r="C23" s="25" t="s">
        <v>87</v>
      </c>
      <c r="D23" s="25" t="s">
        <v>80</v>
      </c>
      <c r="E23" s="16" t="s">
        <v>83</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c r="A24" s="5"/>
      <c r="B24" s="25"/>
      <c r="C24" s="25" t="s">
        <v>88</v>
      </c>
      <c r="D24" s="25" t="s">
        <v>80</v>
      </c>
      <c r="E24" s="16" t="s">
        <v>83</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c r="A25" s="5"/>
      <c r="B25" s="25"/>
      <c r="C25" s="25" t="s">
        <v>89</v>
      </c>
      <c r="D25" s="25" t="s">
        <v>80</v>
      </c>
      <c r="E25" s="16" t="s">
        <v>83</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c r="A26" s="5"/>
      <c r="B26" s="25"/>
      <c r="C26" s="25" t="s">
        <v>90</v>
      </c>
      <c r="D26" s="25" t="s">
        <v>80</v>
      </c>
      <c r="E26" s="16" t="s">
        <v>83</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c r="A27" s="5"/>
      <c r="B27" s="25"/>
      <c r="C27" s="25" t="s">
        <v>91</v>
      </c>
      <c r="D27" s="25" t="s">
        <v>80</v>
      </c>
      <c r="E27" s="16" t="s">
        <v>83</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c r="A28" s="5"/>
      <c r="B28" s="25"/>
      <c r="C28" s="25" t="s">
        <v>5</v>
      </c>
      <c r="D28" s="25" t="s">
        <v>80</v>
      </c>
      <c r="E28" s="16" t="s">
        <v>83</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c r="A29" s="5"/>
      <c r="B29" s="25"/>
      <c r="C29" s="25" t="s">
        <v>60</v>
      </c>
      <c r="D29" s="25" t="s">
        <v>80</v>
      </c>
      <c r="E29" s="16" t="s">
        <v>83</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c r="A30" s="5"/>
      <c r="B30" s="25"/>
      <c r="C30" s="25" t="s">
        <v>92</v>
      </c>
      <c r="D30" s="25" t="s">
        <v>80</v>
      </c>
      <c r="E30" s="16" t="s">
        <v>83</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c r="A31" s="5"/>
      <c r="B31" s="25"/>
      <c r="C31" s="25" t="s">
        <v>94</v>
      </c>
      <c r="D31" s="25" t="s">
        <v>80</v>
      </c>
      <c r="E31" s="16" t="s">
        <v>83</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c r="A32" s="5"/>
      <c r="B32" s="25"/>
      <c r="C32" s="25" t="s">
        <v>93</v>
      </c>
      <c r="D32" s="25" t="s">
        <v>80</v>
      </c>
      <c r="E32" s="16" t="s">
        <v>83</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c r="A33" s="5"/>
      <c r="B33" s="25"/>
      <c r="C33" s="25"/>
      <c r="D33" s="25"/>
      <c r="E33" s="16"/>
      <c r="F33" s="30"/>
      <c r="G33" s="30"/>
      <c r="H33" s="30"/>
      <c r="I33" s="30"/>
      <c r="Q33" s="38"/>
    </row>
    <row r="34" spans="1:34">
      <c r="A34" s="5"/>
      <c r="B34" s="25"/>
      <c r="C34" s="25"/>
      <c r="D34" s="25"/>
      <c r="E34" s="16"/>
      <c r="F34" s="30"/>
      <c r="G34" s="30"/>
      <c r="H34" s="30"/>
      <c r="I34" s="30"/>
      <c r="Q34" s="38"/>
    </row>
    <row r="35" spans="1:34">
      <c r="A35" s="5"/>
      <c r="B35" s="57" t="s">
        <v>125</v>
      </c>
      <c r="C35" s="25"/>
      <c r="D35" s="25"/>
      <c r="E35" s="16"/>
      <c r="F35" s="30"/>
      <c r="G35" s="30"/>
      <c r="H35" s="30"/>
      <c r="I35" s="30"/>
      <c r="Q35" s="38"/>
    </row>
    <row r="36" spans="1:34" outlineLevel="1">
      <c r="A36" s="5"/>
      <c r="B36" s="25" t="s">
        <v>127</v>
      </c>
      <c r="C36" s="25" t="s">
        <v>47</v>
      </c>
      <c r="D36" s="25" t="s">
        <v>126</v>
      </c>
      <c r="E36" s="27" t="s">
        <v>79</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c r="A37" s="5"/>
      <c r="B37" s="25" t="s">
        <v>127</v>
      </c>
      <c r="C37" s="13" t="s">
        <v>84</v>
      </c>
      <c r="D37" s="25" t="s">
        <v>126</v>
      </c>
      <c r="E37" s="27" t="s">
        <v>79</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c r="A38" s="5"/>
      <c r="B38" s="25" t="s">
        <v>127</v>
      </c>
      <c r="C38" s="25" t="s">
        <v>85</v>
      </c>
      <c r="D38" s="25" t="s">
        <v>126</v>
      </c>
      <c r="E38" s="27" t="s">
        <v>79</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c r="A39" s="5"/>
      <c r="B39" s="25" t="s">
        <v>127</v>
      </c>
      <c r="C39" s="25" t="s">
        <v>86</v>
      </c>
      <c r="D39" s="25" t="s">
        <v>126</v>
      </c>
      <c r="E39" s="27" t="s">
        <v>79</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c r="A40" s="5"/>
      <c r="B40" s="25" t="s">
        <v>127</v>
      </c>
      <c r="C40" s="25" t="s">
        <v>87</v>
      </c>
      <c r="D40" s="25" t="s">
        <v>126</v>
      </c>
      <c r="E40" s="27" t="s">
        <v>79</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c r="A41" s="5"/>
      <c r="B41" s="25" t="s">
        <v>127</v>
      </c>
      <c r="C41" s="25" t="s">
        <v>88</v>
      </c>
      <c r="D41" s="25" t="s">
        <v>126</v>
      </c>
      <c r="E41" s="27" t="s">
        <v>79</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c r="A42" s="5"/>
      <c r="B42" s="25" t="s">
        <v>127</v>
      </c>
      <c r="C42" s="25" t="s">
        <v>89</v>
      </c>
      <c r="D42" s="25" t="s">
        <v>126</v>
      </c>
      <c r="E42" s="27" t="s">
        <v>79</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c r="A43" s="5"/>
      <c r="B43" s="25" t="s">
        <v>127</v>
      </c>
      <c r="C43" s="25" t="s">
        <v>90</v>
      </c>
      <c r="D43" s="25" t="s">
        <v>126</v>
      </c>
      <c r="E43" s="27" t="s">
        <v>79</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c r="A44" s="5"/>
      <c r="B44" s="25" t="s">
        <v>127</v>
      </c>
      <c r="C44" s="25" t="s">
        <v>91</v>
      </c>
      <c r="D44" s="25" t="s">
        <v>126</v>
      </c>
      <c r="E44" s="27" t="s">
        <v>79</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c r="A45" s="5"/>
      <c r="B45" s="25" t="s">
        <v>127</v>
      </c>
      <c r="C45" s="25" t="s">
        <v>5</v>
      </c>
      <c r="D45" s="25" t="s">
        <v>126</v>
      </c>
      <c r="E45" s="27" t="s">
        <v>79</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c r="A46" s="5"/>
      <c r="B46" s="25" t="s">
        <v>127</v>
      </c>
      <c r="C46" s="25" t="s">
        <v>60</v>
      </c>
      <c r="D46" s="25" t="s">
        <v>126</v>
      </c>
      <c r="E46" s="27" t="s">
        <v>79</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c r="A47" s="5"/>
      <c r="B47" s="25" t="s">
        <v>127</v>
      </c>
      <c r="C47" s="25" t="s">
        <v>92</v>
      </c>
      <c r="D47" s="25" t="s">
        <v>126</v>
      </c>
      <c r="E47" s="27" t="s">
        <v>79</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c r="A48" s="5"/>
      <c r="B48" s="25" t="s">
        <v>127</v>
      </c>
      <c r="C48" s="25" t="s">
        <v>94</v>
      </c>
      <c r="D48" s="25" t="s">
        <v>126</v>
      </c>
      <c r="E48" s="27" t="s">
        <v>79</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c r="A49" s="5"/>
      <c r="B49" s="25" t="s">
        <v>127</v>
      </c>
      <c r="C49" s="25" t="s">
        <v>93</v>
      </c>
      <c r="D49" s="25" t="s">
        <v>126</v>
      </c>
      <c r="E49" s="27" t="s">
        <v>79</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c r="A50" s="5"/>
      <c r="B50" s="25" t="s">
        <v>128</v>
      </c>
      <c r="C50" s="25" t="s">
        <v>47</v>
      </c>
      <c r="D50" s="25" t="s">
        <v>126</v>
      </c>
      <c r="E50" s="27" t="s">
        <v>79</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c r="A51" s="5"/>
      <c r="B51" s="25" t="s">
        <v>128</v>
      </c>
      <c r="C51" s="13" t="s">
        <v>84</v>
      </c>
      <c r="D51" s="25" t="s">
        <v>126</v>
      </c>
      <c r="E51" s="27" t="s">
        <v>79</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c r="A52" s="5"/>
      <c r="B52" s="25" t="s">
        <v>128</v>
      </c>
      <c r="C52" s="25" t="s">
        <v>85</v>
      </c>
      <c r="D52" s="25" t="s">
        <v>126</v>
      </c>
      <c r="E52" s="27" t="s">
        <v>79</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c r="A53" s="5"/>
      <c r="B53" s="25" t="s">
        <v>128</v>
      </c>
      <c r="C53" s="25" t="s">
        <v>86</v>
      </c>
      <c r="D53" s="25" t="s">
        <v>126</v>
      </c>
      <c r="E53" s="27" t="s">
        <v>79</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c r="A54" s="5"/>
      <c r="B54" s="25" t="s">
        <v>128</v>
      </c>
      <c r="C54" s="25" t="s">
        <v>87</v>
      </c>
      <c r="D54" s="25" t="s">
        <v>126</v>
      </c>
      <c r="E54" s="27" t="s">
        <v>79</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c r="A55" s="5"/>
      <c r="B55" s="25" t="s">
        <v>128</v>
      </c>
      <c r="C55" s="25" t="s">
        <v>88</v>
      </c>
      <c r="D55" s="25" t="s">
        <v>126</v>
      </c>
      <c r="E55" s="27" t="s">
        <v>79</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c r="A56" s="5"/>
      <c r="B56" s="25" t="s">
        <v>128</v>
      </c>
      <c r="C56" s="25" t="s">
        <v>89</v>
      </c>
      <c r="D56" s="25" t="s">
        <v>126</v>
      </c>
      <c r="E56" s="27" t="s">
        <v>79</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c r="A57" s="5"/>
      <c r="B57" s="25" t="s">
        <v>128</v>
      </c>
      <c r="C57" s="25" t="s">
        <v>90</v>
      </c>
      <c r="D57" s="25" t="s">
        <v>126</v>
      </c>
      <c r="E57" s="27" t="s">
        <v>79</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c r="A58" s="5"/>
      <c r="B58" s="25" t="s">
        <v>128</v>
      </c>
      <c r="C58" s="25" t="s">
        <v>91</v>
      </c>
      <c r="D58" s="25" t="s">
        <v>126</v>
      </c>
      <c r="E58" s="27" t="s">
        <v>79</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c r="A59" s="5"/>
      <c r="B59" s="25" t="s">
        <v>128</v>
      </c>
      <c r="C59" s="25" t="s">
        <v>5</v>
      </c>
      <c r="D59" s="25" t="s">
        <v>126</v>
      </c>
      <c r="E59" s="27" t="s">
        <v>79</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c r="A60" s="5"/>
      <c r="B60" s="25" t="s">
        <v>128</v>
      </c>
      <c r="C60" s="25" t="s">
        <v>60</v>
      </c>
      <c r="D60" s="25" t="s">
        <v>126</v>
      </c>
      <c r="E60" s="27" t="s">
        <v>79</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c r="A61" s="5"/>
      <c r="B61" s="25" t="s">
        <v>128</v>
      </c>
      <c r="C61" s="25" t="s">
        <v>92</v>
      </c>
      <c r="D61" s="25" t="s">
        <v>126</v>
      </c>
      <c r="E61" s="27" t="s">
        <v>79</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c r="A62" s="5"/>
      <c r="B62" s="25" t="s">
        <v>128</v>
      </c>
      <c r="C62" s="25" t="s">
        <v>94</v>
      </c>
      <c r="D62" s="25" t="s">
        <v>126</v>
      </c>
      <c r="E62" s="27" t="s">
        <v>79</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c r="A63" s="5"/>
      <c r="B63" s="25" t="s">
        <v>128</v>
      </c>
      <c r="C63" s="25" t="s">
        <v>93</v>
      </c>
      <c r="D63" s="25" t="s">
        <v>126</v>
      </c>
      <c r="E63" s="27" t="s">
        <v>79</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c r="A64" s="5"/>
      <c r="B64" s="25" t="s">
        <v>24</v>
      </c>
      <c r="C64" s="25" t="s">
        <v>47</v>
      </c>
      <c r="D64" s="25" t="s">
        <v>126</v>
      </c>
      <c r="E64" s="27" t="s">
        <v>79</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c r="A65" s="5"/>
      <c r="B65" s="25" t="s">
        <v>24</v>
      </c>
      <c r="C65" s="13" t="s">
        <v>84</v>
      </c>
      <c r="D65" s="25" t="s">
        <v>126</v>
      </c>
      <c r="E65" s="27" t="s">
        <v>79</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c r="A66" s="5"/>
      <c r="B66" s="25" t="s">
        <v>24</v>
      </c>
      <c r="C66" s="25" t="s">
        <v>85</v>
      </c>
      <c r="D66" s="25" t="s">
        <v>126</v>
      </c>
      <c r="E66" s="27" t="s">
        <v>79</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c r="A67" s="5"/>
      <c r="B67" s="25" t="s">
        <v>24</v>
      </c>
      <c r="C67" s="25" t="s">
        <v>86</v>
      </c>
      <c r="D67" s="25" t="s">
        <v>126</v>
      </c>
      <c r="E67" s="27" t="s">
        <v>79</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c r="A68" s="5"/>
      <c r="B68" s="25" t="s">
        <v>24</v>
      </c>
      <c r="C68" s="25" t="s">
        <v>87</v>
      </c>
      <c r="D68" s="25" t="s">
        <v>126</v>
      </c>
      <c r="E68" s="27" t="s">
        <v>79</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c r="A69" s="5"/>
      <c r="B69" s="25" t="s">
        <v>24</v>
      </c>
      <c r="C69" s="25" t="s">
        <v>88</v>
      </c>
      <c r="D69" s="25" t="s">
        <v>126</v>
      </c>
      <c r="E69" s="27" t="s">
        <v>79</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c r="A70" s="5"/>
      <c r="B70" s="25" t="s">
        <v>24</v>
      </c>
      <c r="C70" s="25" t="s">
        <v>89</v>
      </c>
      <c r="D70" s="25" t="s">
        <v>126</v>
      </c>
      <c r="E70" s="27" t="s">
        <v>79</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c r="A71" s="5"/>
      <c r="B71" s="25" t="s">
        <v>24</v>
      </c>
      <c r="C71" s="25" t="s">
        <v>90</v>
      </c>
      <c r="D71" s="25" t="s">
        <v>126</v>
      </c>
      <c r="E71" s="27" t="s">
        <v>79</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c r="A72" s="5"/>
      <c r="B72" s="25" t="s">
        <v>24</v>
      </c>
      <c r="C72" s="25" t="s">
        <v>91</v>
      </c>
      <c r="D72" s="25" t="s">
        <v>126</v>
      </c>
      <c r="E72" s="27" t="s">
        <v>79</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c r="A73" s="5"/>
      <c r="B73" s="25" t="s">
        <v>24</v>
      </c>
      <c r="C73" s="25" t="s">
        <v>5</v>
      </c>
      <c r="D73" s="25" t="s">
        <v>126</v>
      </c>
      <c r="E73" s="27" t="s">
        <v>79</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c r="A74" s="5"/>
      <c r="B74" s="25" t="s">
        <v>24</v>
      </c>
      <c r="C74" s="25" t="s">
        <v>60</v>
      </c>
      <c r="D74" s="25" t="s">
        <v>126</v>
      </c>
      <c r="E74" s="27" t="s">
        <v>79</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c r="A75" s="5"/>
      <c r="B75" s="25" t="s">
        <v>24</v>
      </c>
      <c r="C75" s="25" t="s">
        <v>92</v>
      </c>
      <c r="D75" s="25" t="s">
        <v>126</v>
      </c>
      <c r="E75" s="27" t="s">
        <v>79</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c r="A76" s="5"/>
      <c r="B76" s="25" t="s">
        <v>24</v>
      </c>
      <c r="C76" s="25" t="s">
        <v>94</v>
      </c>
      <c r="D76" s="25" t="s">
        <v>126</v>
      </c>
      <c r="E76" s="27" t="s">
        <v>79</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c r="A77" s="5"/>
      <c r="B77" s="25" t="s">
        <v>24</v>
      </c>
      <c r="C77" s="25" t="s">
        <v>93</v>
      </c>
      <c r="D77" s="25" t="s">
        <v>126</v>
      </c>
      <c r="E77" s="27" t="s">
        <v>79</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c r="A78" s="5"/>
      <c r="B78" s="25" t="s">
        <v>25</v>
      </c>
      <c r="C78" s="25" t="s">
        <v>47</v>
      </c>
      <c r="D78" s="25" t="s">
        <v>126</v>
      </c>
      <c r="E78" s="27" t="s">
        <v>79</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c r="A79" s="5"/>
      <c r="B79" s="25" t="s">
        <v>25</v>
      </c>
      <c r="C79" s="13" t="s">
        <v>84</v>
      </c>
      <c r="D79" s="25" t="s">
        <v>126</v>
      </c>
      <c r="E79" s="27" t="s">
        <v>79</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c r="A80" s="5"/>
      <c r="B80" s="25" t="s">
        <v>25</v>
      </c>
      <c r="C80" s="25" t="s">
        <v>85</v>
      </c>
      <c r="D80" s="25" t="s">
        <v>126</v>
      </c>
      <c r="E80" s="27" t="s">
        <v>79</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c r="A81" s="5"/>
      <c r="B81" s="25" t="s">
        <v>25</v>
      </c>
      <c r="C81" s="25" t="s">
        <v>86</v>
      </c>
      <c r="D81" s="25" t="s">
        <v>126</v>
      </c>
      <c r="E81" s="27" t="s">
        <v>79</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c r="A82" s="5"/>
      <c r="B82" s="25" t="s">
        <v>25</v>
      </c>
      <c r="C82" s="25" t="s">
        <v>87</v>
      </c>
      <c r="D82" s="25" t="s">
        <v>126</v>
      </c>
      <c r="E82" s="27" t="s">
        <v>79</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c r="A83" s="5"/>
      <c r="B83" s="25" t="s">
        <v>25</v>
      </c>
      <c r="C83" s="25" t="s">
        <v>88</v>
      </c>
      <c r="D83" s="25" t="s">
        <v>126</v>
      </c>
      <c r="E83" s="27" t="s">
        <v>79</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c r="A84" s="5"/>
      <c r="B84" s="25" t="s">
        <v>25</v>
      </c>
      <c r="C84" s="25" t="s">
        <v>89</v>
      </c>
      <c r="D84" s="25" t="s">
        <v>126</v>
      </c>
      <c r="E84" s="27" t="s">
        <v>79</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c r="A85" s="5"/>
      <c r="B85" s="25" t="s">
        <v>25</v>
      </c>
      <c r="C85" s="25" t="s">
        <v>90</v>
      </c>
      <c r="D85" s="25" t="s">
        <v>126</v>
      </c>
      <c r="E85" s="27" t="s">
        <v>79</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c r="A86" s="5"/>
      <c r="B86" s="25" t="s">
        <v>25</v>
      </c>
      <c r="C86" s="25" t="s">
        <v>91</v>
      </c>
      <c r="D86" s="25" t="s">
        <v>126</v>
      </c>
      <c r="E86" s="27" t="s">
        <v>79</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c r="A87" s="5"/>
      <c r="B87" s="25" t="s">
        <v>25</v>
      </c>
      <c r="C87" s="25" t="s">
        <v>5</v>
      </c>
      <c r="D87" s="25" t="s">
        <v>126</v>
      </c>
      <c r="E87" s="27" t="s">
        <v>79</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c r="A88" s="5"/>
      <c r="B88" s="25" t="s">
        <v>25</v>
      </c>
      <c r="C88" s="25" t="s">
        <v>60</v>
      </c>
      <c r="D88" s="25" t="s">
        <v>126</v>
      </c>
      <c r="E88" s="27" t="s">
        <v>79</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c r="A89" s="5"/>
      <c r="B89" s="25" t="s">
        <v>25</v>
      </c>
      <c r="C89" s="25" t="s">
        <v>92</v>
      </c>
      <c r="D89" s="25" t="s">
        <v>126</v>
      </c>
      <c r="E89" s="27" t="s">
        <v>79</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c r="A90" s="5"/>
      <c r="B90" s="25" t="s">
        <v>25</v>
      </c>
      <c r="C90" s="25" t="s">
        <v>94</v>
      </c>
      <c r="D90" s="25" t="s">
        <v>126</v>
      </c>
      <c r="E90" s="27" t="s">
        <v>79</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c r="A91" s="5"/>
      <c r="B91" s="25" t="s">
        <v>25</v>
      </c>
      <c r="C91" s="25" t="s">
        <v>93</v>
      </c>
      <c r="D91" s="25" t="s">
        <v>126</v>
      </c>
      <c r="E91" s="27" t="s">
        <v>79</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c r="A92" s="5"/>
      <c r="B92" s="25"/>
      <c r="C92" s="25"/>
      <c r="D92" s="25"/>
      <c r="E92" s="16"/>
      <c r="F92" s="30"/>
      <c r="G92" s="30"/>
      <c r="H92" s="30"/>
      <c r="I92" s="30"/>
      <c r="Q92" s="38"/>
    </row>
    <row r="93" spans="1:34">
      <c r="A93" s="5"/>
      <c r="B93" s="25"/>
      <c r="C93" s="25"/>
      <c r="D93" s="25"/>
      <c r="E93" s="16"/>
      <c r="F93" s="30"/>
      <c r="G93" s="30"/>
      <c r="H93" s="30"/>
      <c r="I93" s="30"/>
      <c r="Q93" s="38"/>
    </row>
    <row r="94" spans="1:34">
      <c r="A94" s="5"/>
      <c r="B94" s="57" t="s">
        <v>72</v>
      </c>
      <c r="C94" s="25"/>
      <c r="D94" s="25"/>
      <c r="E94" s="16"/>
      <c r="F94" s="30"/>
      <c r="G94" s="30"/>
      <c r="H94" s="30"/>
      <c r="I94" s="30"/>
      <c r="Q94" s="38"/>
    </row>
    <row r="95" spans="1:34" outlineLevel="1">
      <c r="A95" s="5"/>
      <c r="B95" s="25" t="s">
        <v>127</v>
      </c>
      <c r="C95" s="25" t="s">
        <v>47</v>
      </c>
      <c r="D95" s="25" t="s">
        <v>78</v>
      </c>
      <c r="E95" s="27" t="s">
        <v>79</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c r="A96" s="5"/>
      <c r="B96" s="25" t="s">
        <v>127</v>
      </c>
      <c r="C96" s="13" t="s">
        <v>84</v>
      </c>
      <c r="D96" s="25" t="s">
        <v>78</v>
      </c>
      <c r="E96" s="27" t="s">
        <v>79</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c r="A97" s="5"/>
      <c r="B97" s="25" t="s">
        <v>127</v>
      </c>
      <c r="C97" s="25" t="s">
        <v>85</v>
      </c>
      <c r="D97" s="25" t="s">
        <v>78</v>
      </c>
      <c r="E97" s="27" t="s">
        <v>79</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c r="A98" s="5"/>
      <c r="B98" s="25" t="s">
        <v>127</v>
      </c>
      <c r="C98" s="25" t="s">
        <v>86</v>
      </c>
      <c r="D98" s="25" t="s">
        <v>78</v>
      </c>
      <c r="E98" s="27" t="s">
        <v>79</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c r="A99" s="5"/>
      <c r="B99" s="25" t="s">
        <v>127</v>
      </c>
      <c r="C99" s="25" t="s">
        <v>87</v>
      </c>
      <c r="D99" s="25" t="s">
        <v>78</v>
      </c>
      <c r="E99" s="27" t="s">
        <v>79</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c r="A100" s="5"/>
      <c r="B100" s="25" t="s">
        <v>127</v>
      </c>
      <c r="C100" s="25" t="s">
        <v>88</v>
      </c>
      <c r="D100" s="25" t="s">
        <v>78</v>
      </c>
      <c r="E100" s="27" t="s">
        <v>79</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c r="A101" s="5"/>
      <c r="B101" s="25" t="s">
        <v>127</v>
      </c>
      <c r="C101" s="25" t="s">
        <v>89</v>
      </c>
      <c r="D101" s="25" t="s">
        <v>78</v>
      </c>
      <c r="E101" s="27" t="s">
        <v>79</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c r="A102" s="5"/>
      <c r="B102" s="25" t="s">
        <v>127</v>
      </c>
      <c r="C102" s="25" t="s">
        <v>90</v>
      </c>
      <c r="D102" s="25" t="s">
        <v>78</v>
      </c>
      <c r="E102" s="27" t="s">
        <v>79</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c r="A103" s="5"/>
      <c r="B103" s="25" t="s">
        <v>127</v>
      </c>
      <c r="C103" s="25" t="s">
        <v>91</v>
      </c>
      <c r="D103" s="25" t="s">
        <v>78</v>
      </c>
      <c r="E103" s="27" t="s">
        <v>79</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c r="A104" s="5"/>
      <c r="B104" s="25" t="s">
        <v>127</v>
      </c>
      <c r="C104" s="25" t="s">
        <v>5</v>
      </c>
      <c r="D104" s="25" t="s">
        <v>78</v>
      </c>
      <c r="E104" s="27" t="s">
        <v>79</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c r="A105" s="5"/>
      <c r="B105" s="25" t="s">
        <v>127</v>
      </c>
      <c r="C105" s="25" t="s">
        <v>60</v>
      </c>
      <c r="D105" s="25" t="s">
        <v>78</v>
      </c>
      <c r="E105" s="27" t="s">
        <v>79</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c r="A106" s="5"/>
      <c r="B106" s="25" t="s">
        <v>127</v>
      </c>
      <c r="C106" s="25" t="s">
        <v>92</v>
      </c>
      <c r="D106" s="25" t="s">
        <v>78</v>
      </c>
      <c r="E106" s="27" t="s">
        <v>79</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c r="A107" s="5"/>
      <c r="B107" s="25" t="s">
        <v>127</v>
      </c>
      <c r="C107" s="25" t="s">
        <v>94</v>
      </c>
      <c r="D107" s="25" t="s">
        <v>78</v>
      </c>
      <c r="E107" s="27" t="s">
        <v>79</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c r="A108" s="5"/>
      <c r="B108" s="25" t="s">
        <v>127</v>
      </c>
      <c r="C108" s="25" t="s">
        <v>93</v>
      </c>
      <c r="D108" s="25" t="s">
        <v>78</v>
      </c>
      <c r="E108" s="27" t="s">
        <v>79</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c r="A109" s="5"/>
      <c r="B109" s="25" t="s">
        <v>128</v>
      </c>
      <c r="C109" s="25" t="s">
        <v>47</v>
      </c>
      <c r="D109" s="25" t="s">
        <v>78</v>
      </c>
      <c r="E109" s="27" t="s">
        <v>79</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c r="A110" s="5"/>
      <c r="B110" s="25" t="s">
        <v>128</v>
      </c>
      <c r="C110" s="13" t="s">
        <v>84</v>
      </c>
      <c r="D110" s="25" t="s">
        <v>78</v>
      </c>
      <c r="E110" s="27" t="s">
        <v>79</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c r="A111" s="5"/>
      <c r="B111" s="25" t="s">
        <v>128</v>
      </c>
      <c r="C111" s="25" t="s">
        <v>85</v>
      </c>
      <c r="D111" s="25" t="s">
        <v>78</v>
      </c>
      <c r="E111" s="27" t="s">
        <v>79</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c r="A112" s="5"/>
      <c r="B112" s="25" t="s">
        <v>128</v>
      </c>
      <c r="C112" s="25" t="s">
        <v>86</v>
      </c>
      <c r="D112" s="25" t="s">
        <v>78</v>
      </c>
      <c r="E112" s="27" t="s">
        <v>79</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c r="A113" s="5"/>
      <c r="B113" s="25" t="s">
        <v>128</v>
      </c>
      <c r="C113" s="25" t="s">
        <v>87</v>
      </c>
      <c r="D113" s="25" t="s">
        <v>78</v>
      </c>
      <c r="E113" s="27" t="s">
        <v>79</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c r="A114" s="5"/>
      <c r="B114" s="25" t="s">
        <v>128</v>
      </c>
      <c r="C114" s="25" t="s">
        <v>88</v>
      </c>
      <c r="D114" s="25" t="s">
        <v>78</v>
      </c>
      <c r="E114" s="27" t="s">
        <v>79</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c r="A115" s="5"/>
      <c r="B115" s="25" t="s">
        <v>128</v>
      </c>
      <c r="C115" s="25" t="s">
        <v>89</v>
      </c>
      <c r="D115" s="25" t="s">
        <v>78</v>
      </c>
      <c r="E115" s="27" t="s">
        <v>79</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c r="A116" s="5"/>
      <c r="B116" s="25" t="s">
        <v>128</v>
      </c>
      <c r="C116" s="25" t="s">
        <v>90</v>
      </c>
      <c r="D116" s="25" t="s">
        <v>78</v>
      </c>
      <c r="E116" s="27" t="s">
        <v>79</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c r="A117" s="5"/>
      <c r="B117" s="25" t="s">
        <v>128</v>
      </c>
      <c r="C117" s="25" t="s">
        <v>91</v>
      </c>
      <c r="D117" s="25" t="s">
        <v>78</v>
      </c>
      <c r="E117" s="27" t="s">
        <v>79</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c r="A118" s="5"/>
      <c r="B118" s="25" t="s">
        <v>128</v>
      </c>
      <c r="C118" s="25" t="s">
        <v>5</v>
      </c>
      <c r="D118" s="25" t="s">
        <v>78</v>
      </c>
      <c r="E118" s="27" t="s">
        <v>79</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c r="A119" s="5"/>
      <c r="B119" s="25" t="s">
        <v>128</v>
      </c>
      <c r="C119" s="25" t="s">
        <v>60</v>
      </c>
      <c r="D119" s="25" t="s">
        <v>78</v>
      </c>
      <c r="E119" s="27" t="s">
        <v>79</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c r="A120" s="5"/>
      <c r="B120" s="25" t="s">
        <v>128</v>
      </c>
      <c r="C120" s="25" t="s">
        <v>92</v>
      </c>
      <c r="D120" s="25" t="s">
        <v>78</v>
      </c>
      <c r="E120" s="27" t="s">
        <v>79</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c r="A121" s="5"/>
      <c r="B121" s="25" t="s">
        <v>128</v>
      </c>
      <c r="C121" s="25" t="s">
        <v>94</v>
      </c>
      <c r="D121" s="25" t="s">
        <v>78</v>
      </c>
      <c r="E121" s="27" t="s">
        <v>79</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c r="A122" s="5"/>
      <c r="B122" s="25" t="s">
        <v>128</v>
      </c>
      <c r="C122" s="25" t="s">
        <v>93</v>
      </c>
      <c r="D122" s="25" t="s">
        <v>78</v>
      </c>
      <c r="E122" s="27" t="s">
        <v>79</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c r="A123" s="5"/>
      <c r="B123" s="25" t="s">
        <v>24</v>
      </c>
      <c r="C123" s="25" t="s">
        <v>47</v>
      </c>
      <c r="D123" s="25" t="s">
        <v>78</v>
      </c>
      <c r="E123" s="27" t="s">
        <v>79</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c r="A124" s="5"/>
      <c r="B124" s="25" t="s">
        <v>24</v>
      </c>
      <c r="C124" s="13" t="s">
        <v>84</v>
      </c>
      <c r="D124" s="25" t="s">
        <v>78</v>
      </c>
      <c r="E124" s="27" t="s">
        <v>79</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c r="A125" s="5"/>
      <c r="B125" s="25" t="s">
        <v>24</v>
      </c>
      <c r="C125" s="25" t="s">
        <v>85</v>
      </c>
      <c r="D125" s="25" t="s">
        <v>78</v>
      </c>
      <c r="E125" s="27" t="s">
        <v>79</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c r="A126" s="5"/>
      <c r="B126" s="25" t="s">
        <v>24</v>
      </c>
      <c r="C126" s="25" t="s">
        <v>86</v>
      </c>
      <c r="D126" s="25" t="s">
        <v>78</v>
      </c>
      <c r="E126" s="27" t="s">
        <v>79</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c r="A127" s="5"/>
      <c r="B127" s="25" t="s">
        <v>24</v>
      </c>
      <c r="C127" s="25" t="s">
        <v>87</v>
      </c>
      <c r="D127" s="25" t="s">
        <v>78</v>
      </c>
      <c r="E127" s="27" t="s">
        <v>79</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c r="A128" s="5"/>
      <c r="B128" s="25" t="s">
        <v>24</v>
      </c>
      <c r="C128" s="25" t="s">
        <v>88</v>
      </c>
      <c r="D128" s="25" t="s">
        <v>78</v>
      </c>
      <c r="E128" s="27" t="s">
        <v>79</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c r="A129" s="5"/>
      <c r="B129" s="25" t="s">
        <v>24</v>
      </c>
      <c r="C129" s="25" t="s">
        <v>89</v>
      </c>
      <c r="D129" s="25" t="s">
        <v>78</v>
      </c>
      <c r="E129" s="27" t="s">
        <v>79</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c r="A130" s="5"/>
      <c r="B130" s="25" t="s">
        <v>24</v>
      </c>
      <c r="C130" s="25" t="s">
        <v>90</v>
      </c>
      <c r="D130" s="25" t="s">
        <v>78</v>
      </c>
      <c r="E130" s="27" t="s">
        <v>79</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c r="A131" s="5"/>
      <c r="B131" s="25" t="s">
        <v>24</v>
      </c>
      <c r="C131" s="25" t="s">
        <v>91</v>
      </c>
      <c r="D131" s="25" t="s">
        <v>78</v>
      </c>
      <c r="E131" s="27" t="s">
        <v>79</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c r="A132" s="5"/>
      <c r="B132" s="25" t="s">
        <v>24</v>
      </c>
      <c r="C132" s="25" t="s">
        <v>5</v>
      </c>
      <c r="D132" s="25" t="s">
        <v>78</v>
      </c>
      <c r="E132" s="27" t="s">
        <v>79</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c r="A133" s="5"/>
      <c r="B133" s="25" t="s">
        <v>24</v>
      </c>
      <c r="C133" s="25" t="s">
        <v>60</v>
      </c>
      <c r="D133" s="25" t="s">
        <v>78</v>
      </c>
      <c r="E133" s="27" t="s">
        <v>79</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c r="A134" s="5"/>
      <c r="B134" s="25" t="s">
        <v>24</v>
      </c>
      <c r="C134" s="25" t="s">
        <v>92</v>
      </c>
      <c r="D134" s="25" t="s">
        <v>78</v>
      </c>
      <c r="E134" s="27" t="s">
        <v>79</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c r="A135" s="5"/>
      <c r="B135" s="25" t="s">
        <v>24</v>
      </c>
      <c r="C135" s="25" t="s">
        <v>94</v>
      </c>
      <c r="D135" s="25" t="s">
        <v>78</v>
      </c>
      <c r="E135" s="27" t="s">
        <v>79</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c r="A136" s="5"/>
      <c r="B136" s="25" t="s">
        <v>24</v>
      </c>
      <c r="C136" s="25" t="s">
        <v>93</v>
      </c>
      <c r="D136" s="25" t="s">
        <v>78</v>
      </c>
      <c r="E136" s="27" t="s">
        <v>79</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c r="A137" s="5"/>
      <c r="B137" s="25" t="s">
        <v>25</v>
      </c>
      <c r="C137" s="25" t="s">
        <v>47</v>
      </c>
      <c r="D137" s="25" t="s">
        <v>78</v>
      </c>
      <c r="E137" s="27" t="s">
        <v>79</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c r="A138" s="5"/>
      <c r="B138" s="25" t="s">
        <v>25</v>
      </c>
      <c r="C138" s="13" t="s">
        <v>84</v>
      </c>
      <c r="D138" s="25" t="s">
        <v>78</v>
      </c>
      <c r="E138" s="27" t="s">
        <v>79</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c r="A139" s="5"/>
      <c r="B139" s="25" t="s">
        <v>25</v>
      </c>
      <c r="C139" s="25" t="s">
        <v>85</v>
      </c>
      <c r="D139" s="25" t="s">
        <v>78</v>
      </c>
      <c r="E139" s="27" t="s">
        <v>79</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c r="A140" s="5"/>
      <c r="B140" s="25" t="s">
        <v>25</v>
      </c>
      <c r="C140" s="25" t="s">
        <v>86</v>
      </c>
      <c r="D140" s="25" t="s">
        <v>78</v>
      </c>
      <c r="E140" s="27" t="s">
        <v>79</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c r="A141" s="5"/>
      <c r="B141" s="25" t="s">
        <v>25</v>
      </c>
      <c r="C141" s="25" t="s">
        <v>87</v>
      </c>
      <c r="D141" s="25" t="s">
        <v>78</v>
      </c>
      <c r="E141" s="27" t="s">
        <v>79</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c r="A142" s="5"/>
      <c r="B142" s="25" t="s">
        <v>25</v>
      </c>
      <c r="C142" s="25" t="s">
        <v>88</v>
      </c>
      <c r="D142" s="25" t="s">
        <v>78</v>
      </c>
      <c r="E142" s="27" t="s">
        <v>79</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c r="A143" s="5"/>
      <c r="B143" s="25" t="s">
        <v>25</v>
      </c>
      <c r="C143" s="25" t="s">
        <v>89</v>
      </c>
      <c r="D143" s="25" t="s">
        <v>78</v>
      </c>
      <c r="E143" s="27" t="s">
        <v>79</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c r="A144" s="5"/>
      <c r="B144" s="25" t="s">
        <v>25</v>
      </c>
      <c r="C144" s="25" t="s">
        <v>90</v>
      </c>
      <c r="D144" s="25" t="s">
        <v>78</v>
      </c>
      <c r="E144" s="27" t="s">
        <v>79</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c r="A145" s="5"/>
      <c r="B145" s="25" t="s">
        <v>25</v>
      </c>
      <c r="C145" s="25" t="s">
        <v>91</v>
      </c>
      <c r="D145" s="25" t="s">
        <v>78</v>
      </c>
      <c r="E145" s="27" t="s">
        <v>79</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c r="A146" s="5"/>
      <c r="B146" s="25" t="s">
        <v>25</v>
      </c>
      <c r="C146" s="25" t="s">
        <v>5</v>
      </c>
      <c r="D146" s="25" t="s">
        <v>78</v>
      </c>
      <c r="E146" s="27" t="s">
        <v>79</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c r="A147" s="5"/>
      <c r="B147" s="25" t="s">
        <v>25</v>
      </c>
      <c r="C147" s="25" t="s">
        <v>60</v>
      </c>
      <c r="D147" s="25" t="s">
        <v>78</v>
      </c>
      <c r="E147" s="27" t="s">
        <v>79</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c r="A148" s="5"/>
      <c r="B148" s="25" t="s">
        <v>25</v>
      </c>
      <c r="C148" s="25" t="s">
        <v>92</v>
      </c>
      <c r="D148" s="25" t="s">
        <v>78</v>
      </c>
      <c r="E148" s="27" t="s">
        <v>79</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c r="A149" s="5"/>
      <c r="B149" s="25" t="s">
        <v>25</v>
      </c>
      <c r="C149" s="25" t="s">
        <v>94</v>
      </c>
      <c r="D149" s="25" t="s">
        <v>78</v>
      </c>
      <c r="E149" s="27" t="s">
        <v>79</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c r="A150" s="5"/>
      <c r="B150" s="25" t="s">
        <v>25</v>
      </c>
      <c r="C150" s="25" t="s">
        <v>93</v>
      </c>
      <c r="D150" s="25" t="s">
        <v>78</v>
      </c>
      <c r="E150" s="27" t="s">
        <v>79</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c r="A151" s="5"/>
      <c r="B151" s="25"/>
      <c r="C151" s="25"/>
      <c r="D151" s="25"/>
      <c r="E151" s="16"/>
      <c r="G151" s="29"/>
      <c r="H151" s="29"/>
      <c r="I151" s="29"/>
      <c r="J151" s="29"/>
      <c r="K151" s="29"/>
      <c r="L151" s="29"/>
      <c r="M151" s="29"/>
      <c r="N151" s="29"/>
      <c r="O151" s="29"/>
      <c r="P151" s="29"/>
      <c r="Q151" s="38"/>
    </row>
    <row r="152" spans="1:34">
      <c r="A152" s="5"/>
      <c r="B152" s="25"/>
      <c r="C152" s="25"/>
      <c r="D152" s="25"/>
      <c r="E152" s="16"/>
      <c r="G152" s="29"/>
      <c r="H152" s="29"/>
      <c r="I152" s="29"/>
      <c r="J152" s="29"/>
      <c r="K152" s="29"/>
      <c r="L152" s="29"/>
      <c r="M152" s="29"/>
      <c r="N152" s="29"/>
      <c r="O152" s="29"/>
      <c r="P152" s="29"/>
      <c r="Q152" s="38"/>
    </row>
    <row r="153" spans="1:34">
      <c r="A153" s="5"/>
      <c r="B153" s="25"/>
      <c r="C153" s="25"/>
      <c r="D153" s="25"/>
      <c r="E153" s="16"/>
      <c r="G153" s="29"/>
      <c r="H153" s="29"/>
      <c r="I153" s="29"/>
      <c r="J153" s="29"/>
      <c r="K153" s="29"/>
      <c r="L153" s="29"/>
      <c r="M153" s="29"/>
      <c r="N153" s="29"/>
      <c r="O153" s="29"/>
      <c r="P153" s="29"/>
      <c r="Q153" s="38"/>
    </row>
    <row r="154" spans="1:34">
      <c r="A154" s="5"/>
      <c r="B154" s="25"/>
      <c r="C154" s="25"/>
      <c r="D154" s="25"/>
      <c r="E154" s="16"/>
      <c r="G154" s="29"/>
      <c r="H154" s="29"/>
      <c r="I154" s="29"/>
      <c r="J154" s="29"/>
      <c r="K154" s="29"/>
      <c r="L154" s="29"/>
      <c r="M154" s="29"/>
      <c r="N154" s="29"/>
      <c r="O154" s="29"/>
      <c r="P154" s="29"/>
      <c r="Q154" s="38"/>
    </row>
    <row r="155" spans="1:34">
      <c r="A155" s="5"/>
      <c r="B155" s="25"/>
      <c r="C155" s="25"/>
      <c r="D155" s="25"/>
      <c r="E155" s="16"/>
      <c r="G155" s="29"/>
      <c r="H155" s="29"/>
      <c r="I155" s="29"/>
      <c r="J155" s="29"/>
      <c r="K155" s="29"/>
      <c r="L155" s="29"/>
      <c r="M155" s="29"/>
      <c r="N155" s="29"/>
      <c r="O155" s="29"/>
      <c r="P155" s="29"/>
      <c r="Q155" s="38"/>
    </row>
    <row r="156" spans="1:34">
      <c r="A156" s="5"/>
      <c r="B156" s="25"/>
      <c r="C156" s="25"/>
      <c r="D156" s="25"/>
      <c r="E156" s="16"/>
      <c r="G156" s="29"/>
      <c r="H156" s="29"/>
      <c r="I156" s="29"/>
      <c r="J156" s="29"/>
      <c r="K156" s="29"/>
      <c r="L156" s="29"/>
      <c r="M156" s="29"/>
      <c r="N156" s="29"/>
      <c r="O156" s="29"/>
      <c r="P156" s="29"/>
      <c r="Q156" s="38"/>
    </row>
    <row r="157" spans="1:34">
      <c r="A157" s="5"/>
      <c r="B157" s="25"/>
      <c r="C157" s="25"/>
      <c r="D157" s="25"/>
      <c r="E157" s="16"/>
      <c r="G157" s="29"/>
      <c r="H157" s="29"/>
      <c r="I157" s="29"/>
      <c r="J157" s="29"/>
      <c r="K157" s="29"/>
      <c r="L157" s="29"/>
      <c r="M157" s="29"/>
      <c r="N157" s="29"/>
      <c r="O157" s="29"/>
      <c r="P157" s="29"/>
      <c r="Q157" s="38"/>
    </row>
    <row r="158" spans="1:34">
      <c r="A158" s="5"/>
      <c r="B158" s="25"/>
      <c r="C158" s="25"/>
      <c r="D158" s="25"/>
      <c r="E158" s="16"/>
      <c r="G158" s="29"/>
      <c r="H158" s="29"/>
      <c r="I158" s="29"/>
      <c r="J158" s="29"/>
      <c r="K158" s="29"/>
      <c r="L158" s="29"/>
      <c r="M158" s="29"/>
      <c r="N158" s="29"/>
      <c r="O158" s="29"/>
      <c r="P158" s="29"/>
      <c r="Q158" s="38"/>
    </row>
    <row r="159" spans="1:34">
      <c r="A159" s="5"/>
      <c r="B159" s="25"/>
      <c r="C159" s="25"/>
      <c r="D159" s="25"/>
      <c r="E159" s="16"/>
      <c r="G159" s="29"/>
      <c r="H159" s="29"/>
      <c r="I159" s="29"/>
      <c r="J159" s="29"/>
      <c r="K159" s="29"/>
      <c r="L159" s="29"/>
      <c r="M159" s="29"/>
      <c r="N159" s="29"/>
      <c r="O159" s="29"/>
      <c r="P159" s="29"/>
      <c r="Q159" s="38"/>
    </row>
    <row r="160" spans="1:34">
      <c r="A160" s="5"/>
      <c r="B160" s="25"/>
      <c r="C160" s="25"/>
      <c r="D160" s="25"/>
      <c r="E160" s="16"/>
      <c r="G160" s="29"/>
      <c r="H160" s="29"/>
      <c r="I160" s="29"/>
      <c r="J160" s="29"/>
      <c r="K160" s="29"/>
      <c r="L160" s="29"/>
      <c r="M160" s="29"/>
      <c r="N160" s="29"/>
      <c r="O160" s="29"/>
      <c r="P160" s="29"/>
      <c r="Q160" s="38"/>
    </row>
    <row r="161" spans="1:17">
      <c r="A161" s="5"/>
      <c r="B161" s="25"/>
      <c r="C161" s="25"/>
      <c r="D161" s="25"/>
      <c r="E161" s="16"/>
      <c r="G161" s="29"/>
      <c r="H161" s="29"/>
      <c r="I161" s="29"/>
      <c r="J161" s="29"/>
      <c r="K161" s="29"/>
      <c r="L161" s="29"/>
      <c r="M161" s="29"/>
      <c r="N161" s="29"/>
      <c r="O161" s="29"/>
      <c r="P161" s="29"/>
      <c r="Q161" s="38"/>
    </row>
    <row r="162" spans="1:17">
      <c r="A162" s="5"/>
      <c r="B162" s="25"/>
      <c r="C162" s="25"/>
      <c r="D162" s="25"/>
      <c r="E162" s="16"/>
      <c r="G162" s="29"/>
      <c r="H162" s="29"/>
      <c r="I162" s="29"/>
      <c r="J162" s="29"/>
      <c r="K162" s="29"/>
      <c r="L162" s="29"/>
      <c r="M162" s="29"/>
      <c r="N162" s="29"/>
      <c r="O162" s="29"/>
      <c r="P162" s="29"/>
      <c r="Q162" s="38"/>
    </row>
    <row r="163" spans="1:17">
      <c r="A163" s="5"/>
      <c r="B163" s="25"/>
      <c r="C163" s="25"/>
      <c r="D163" s="25"/>
      <c r="E163" s="16"/>
      <c r="G163" s="29"/>
      <c r="H163" s="29"/>
      <c r="I163" s="29"/>
      <c r="J163" s="29"/>
      <c r="K163" s="29"/>
      <c r="L163" s="29"/>
      <c r="M163" s="29"/>
      <c r="N163" s="29"/>
      <c r="O163" s="29"/>
      <c r="P163" s="29"/>
      <c r="Q163" s="38"/>
    </row>
    <row r="164" spans="1:17">
      <c r="A164" s="5"/>
      <c r="B164" s="25"/>
      <c r="C164" s="25"/>
      <c r="D164" s="25"/>
      <c r="E164" s="16"/>
      <c r="G164" s="29"/>
      <c r="H164" s="29"/>
      <c r="I164" s="29"/>
      <c r="J164" s="29"/>
      <c r="K164" s="29"/>
      <c r="L164" s="29"/>
      <c r="M164" s="29"/>
      <c r="N164" s="29"/>
      <c r="O164" s="29"/>
      <c r="P164" s="29"/>
      <c r="Q164" s="38"/>
    </row>
    <row r="165" spans="1:17">
      <c r="A165" s="5"/>
      <c r="B165" s="25"/>
      <c r="C165" s="25"/>
      <c r="D165" s="25"/>
      <c r="E165" s="16"/>
      <c r="G165" s="29"/>
      <c r="H165" s="29"/>
      <c r="I165" s="29"/>
      <c r="J165" s="29"/>
      <c r="K165" s="29"/>
      <c r="L165" s="29"/>
      <c r="M165" s="29"/>
      <c r="N165" s="29"/>
      <c r="O165" s="29"/>
      <c r="P165" s="29"/>
      <c r="Q165" s="38"/>
    </row>
    <row r="166" spans="1:17">
      <c r="A166" s="5"/>
      <c r="B166" s="25"/>
      <c r="C166" s="25"/>
      <c r="D166" s="25"/>
      <c r="E166" s="16"/>
      <c r="G166" s="29"/>
      <c r="H166" s="29"/>
      <c r="I166" s="29"/>
      <c r="J166" s="29"/>
      <c r="K166" s="29"/>
      <c r="L166" s="29"/>
      <c r="M166" s="29"/>
      <c r="N166" s="29"/>
      <c r="O166" s="29"/>
      <c r="P166" s="29"/>
      <c r="Q166" s="38"/>
    </row>
    <row r="167" spans="1:17">
      <c r="A167" s="5"/>
      <c r="B167" s="25"/>
      <c r="C167" s="25"/>
      <c r="D167" s="25"/>
      <c r="E167" s="16"/>
      <c r="G167" s="29"/>
      <c r="H167" s="29"/>
      <c r="I167" s="29"/>
      <c r="J167" s="29"/>
      <c r="K167" s="29"/>
      <c r="L167" s="29"/>
      <c r="M167" s="29"/>
      <c r="N167" s="29"/>
      <c r="O167" s="29"/>
      <c r="P167" s="29"/>
      <c r="Q167" s="38"/>
    </row>
    <row r="168" spans="1:17">
      <c r="A168" s="5"/>
      <c r="B168" s="25"/>
      <c r="C168" s="25"/>
      <c r="D168" s="25"/>
      <c r="E168" s="16"/>
      <c r="G168" s="29"/>
      <c r="H168" s="29"/>
      <c r="I168" s="29"/>
      <c r="J168" s="29"/>
      <c r="K168" s="29"/>
      <c r="L168" s="29"/>
      <c r="M168" s="29"/>
      <c r="N168" s="29"/>
      <c r="O168" s="29"/>
      <c r="P168" s="29"/>
      <c r="Q168" s="38"/>
    </row>
    <row r="169" spans="1:17">
      <c r="A169" s="5"/>
      <c r="B169" s="25"/>
      <c r="C169" s="25"/>
      <c r="D169" s="25"/>
      <c r="E169" s="16"/>
      <c r="G169" s="29"/>
      <c r="H169" s="29"/>
      <c r="I169" s="29"/>
      <c r="J169" s="29"/>
      <c r="K169" s="29"/>
      <c r="L169" s="29"/>
      <c r="M169" s="29"/>
      <c r="N169" s="29"/>
      <c r="O169" s="29"/>
      <c r="P169" s="29"/>
      <c r="Q169" s="38"/>
    </row>
    <row r="170" spans="1:17">
      <c r="A170" s="5"/>
      <c r="B170" s="25"/>
      <c r="C170" s="25"/>
      <c r="D170" s="25"/>
      <c r="E170" s="16"/>
      <c r="G170" s="29"/>
      <c r="H170" s="29"/>
      <c r="I170" s="29"/>
      <c r="J170" s="29"/>
      <c r="K170" s="29"/>
      <c r="L170" s="29"/>
      <c r="M170" s="29"/>
      <c r="N170" s="29"/>
      <c r="O170" s="29"/>
      <c r="P170" s="29"/>
      <c r="Q170" s="38"/>
    </row>
    <row r="171" spans="1:17">
      <c r="A171" s="5"/>
      <c r="B171" s="25"/>
      <c r="C171" s="25"/>
      <c r="D171" s="25"/>
      <c r="E171" s="16"/>
      <c r="G171" s="29"/>
      <c r="H171" s="29"/>
      <c r="I171" s="29"/>
      <c r="J171" s="29"/>
      <c r="K171" s="29"/>
      <c r="L171" s="29"/>
      <c r="M171" s="29"/>
      <c r="N171" s="29"/>
      <c r="O171" s="29"/>
      <c r="P171" s="29"/>
      <c r="Q171" s="38"/>
    </row>
    <row r="172" spans="1:17">
      <c r="A172" s="5"/>
      <c r="B172" s="25"/>
      <c r="C172" s="25"/>
      <c r="D172" s="25"/>
      <c r="E172" s="16"/>
      <c r="G172" s="29"/>
      <c r="H172" s="29"/>
      <c r="I172" s="29"/>
      <c r="J172" s="29"/>
      <c r="K172" s="29"/>
      <c r="L172" s="29"/>
      <c r="M172" s="29"/>
      <c r="N172" s="29"/>
      <c r="O172" s="29"/>
      <c r="P172" s="29"/>
      <c r="Q172" s="38"/>
    </row>
    <row r="173" spans="1:17">
      <c r="A173" s="5"/>
      <c r="B173" s="25"/>
      <c r="C173" s="25"/>
      <c r="D173" s="25"/>
      <c r="E173" s="16"/>
      <c r="G173" s="29"/>
      <c r="H173" s="29"/>
      <c r="I173" s="29"/>
      <c r="J173" s="29"/>
      <c r="K173" s="29"/>
      <c r="L173" s="29"/>
      <c r="M173" s="29"/>
      <c r="N173" s="29"/>
      <c r="O173" s="29"/>
      <c r="P173" s="29"/>
      <c r="Q173" s="38"/>
    </row>
    <row r="174" spans="1:17">
      <c r="A174" s="5"/>
      <c r="B174" s="25"/>
      <c r="C174" s="25"/>
      <c r="D174" s="25"/>
      <c r="E174" s="16"/>
      <c r="G174" s="29"/>
      <c r="H174" s="29"/>
      <c r="I174" s="29"/>
      <c r="J174" s="29"/>
      <c r="K174" s="29"/>
      <c r="L174" s="29"/>
      <c r="M174" s="29"/>
      <c r="N174" s="29"/>
      <c r="O174" s="29"/>
      <c r="P174" s="29"/>
      <c r="Q174" s="38"/>
    </row>
    <row r="175" spans="1:17">
      <c r="A175" s="5"/>
      <c r="B175" s="25"/>
      <c r="C175" s="25"/>
      <c r="D175" s="25"/>
      <c r="E175" s="16"/>
      <c r="G175" s="29"/>
      <c r="H175" s="29"/>
      <c r="I175" s="29"/>
      <c r="J175" s="29"/>
      <c r="K175" s="29"/>
      <c r="L175" s="29"/>
      <c r="M175" s="29"/>
      <c r="N175" s="29"/>
      <c r="O175" s="29"/>
      <c r="P175" s="29"/>
      <c r="Q175" s="38"/>
    </row>
    <row r="176" spans="1:17">
      <c r="A176" s="5"/>
      <c r="B176" s="25"/>
      <c r="C176" s="25"/>
      <c r="D176" s="25"/>
      <c r="E176" s="16"/>
      <c r="G176" s="29"/>
      <c r="H176" s="29"/>
      <c r="I176" s="29"/>
      <c r="J176" s="29"/>
      <c r="K176" s="29"/>
      <c r="L176" s="29"/>
      <c r="M176" s="29"/>
      <c r="N176" s="29"/>
      <c r="O176" s="29"/>
      <c r="P176" s="29"/>
      <c r="Q176" s="38"/>
    </row>
    <row r="177" spans="1:17">
      <c r="A177" s="5"/>
      <c r="B177" s="25"/>
      <c r="C177" s="25"/>
      <c r="D177" s="25"/>
      <c r="E177" s="16"/>
      <c r="G177" s="29"/>
      <c r="H177" s="29"/>
      <c r="I177" s="29"/>
      <c r="J177" s="29"/>
      <c r="K177" s="29"/>
      <c r="L177" s="29"/>
      <c r="M177" s="29"/>
      <c r="N177" s="29"/>
      <c r="O177" s="29"/>
      <c r="P177" s="29"/>
      <c r="Q177" s="38"/>
    </row>
    <row r="178" spans="1:17">
      <c r="A178" s="5"/>
      <c r="B178" s="25"/>
      <c r="C178" s="25"/>
      <c r="D178" s="25"/>
      <c r="E178" s="16"/>
      <c r="G178" s="29"/>
      <c r="H178" s="29"/>
      <c r="I178" s="29"/>
      <c r="J178" s="29"/>
      <c r="K178" s="29"/>
      <c r="L178" s="29"/>
      <c r="M178" s="29"/>
      <c r="N178" s="29"/>
      <c r="O178" s="29"/>
      <c r="P178" s="29"/>
      <c r="Q178" s="38"/>
    </row>
    <row r="179" spans="1:17">
      <c r="A179" s="5"/>
      <c r="B179" s="13"/>
      <c r="C179" s="13"/>
      <c r="D179" s="13"/>
      <c r="E179" s="9"/>
      <c r="F179" s="29"/>
      <c r="G179" s="29"/>
      <c r="H179" s="29"/>
      <c r="I179" s="29"/>
      <c r="J179" s="29"/>
      <c r="K179" s="29"/>
      <c r="L179" s="29"/>
      <c r="M179" s="29"/>
      <c r="N179" s="29"/>
      <c r="O179" s="29"/>
      <c r="P179" s="29"/>
      <c r="Q179" s="38"/>
    </row>
    <row r="180" spans="1:17">
      <c r="A180" s="5"/>
      <c r="B180" s="13"/>
      <c r="C180" s="13"/>
      <c r="D180" s="13"/>
      <c r="E180" s="9"/>
      <c r="F180" s="29"/>
      <c r="G180" s="29"/>
      <c r="H180" s="29"/>
      <c r="I180" s="29"/>
      <c r="J180" s="29"/>
      <c r="K180" s="29"/>
      <c r="L180" s="29"/>
      <c r="M180" s="29"/>
      <c r="N180" s="29"/>
      <c r="O180" s="29"/>
      <c r="P180" s="29"/>
      <c r="Q180" s="38"/>
    </row>
    <row r="181" spans="1:17">
      <c r="A181" s="5"/>
      <c r="B181" s="25"/>
      <c r="C181" s="25"/>
      <c r="D181" s="25"/>
      <c r="E181" s="16"/>
      <c r="G181" s="29"/>
      <c r="H181" s="29"/>
      <c r="I181" s="29"/>
      <c r="J181" s="29"/>
      <c r="K181" s="29"/>
      <c r="L181" s="29"/>
      <c r="M181" s="29"/>
      <c r="N181" s="29"/>
      <c r="O181" s="29"/>
      <c r="P181" s="29"/>
      <c r="Q181" s="38"/>
    </row>
    <row r="182" spans="1:17">
      <c r="A182" s="5"/>
      <c r="B182" s="25"/>
      <c r="C182" s="25"/>
      <c r="D182" s="25"/>
      <c r="E182" s="16"/>
      <c r="G182" s="29"/>
      <c r="H182" s="29"/>
      <c r="I182" s="29"/>
      <c r="J182" s="29"/>
      <c r="K182" s="29"/>
      <c r="L182" s="29"/>
      <c r="M182" s="29"/>
      <c r="N182" s="29"/>
      <c r="O182" s="29"/>
      <c r="P182" s="29"/>
      <c r="Q182" s="38"/>
    </row>
    <row r="183" spans="1:17">
      <c r="A183" s="5"/>
      <c r="B183" s="25"/>
      <c r="C183" s="25"/>
      <c r="D183" s="25"/>
      <c r="E183" s="16"/>
      <c r="G183" s="29"/>
      <c r="H183" s="29"/>
      <c r="I183" s="29"/>
      <c r="J183" s="29"/>
      <c r="K183" s="29"/>
      <c r="L183" s="29"/>
      <c r="M183" s="29"/>
      <c r="N183" s="29"/>
      <c r="O183" s="29"/>
      <c r="P183" s="29"/>
      <c r="Q183" s="38"/>
    </row>
    <row r="184" spans="1:17">
      <c r="A184" s="5"/>
      <c r="B184" s="25"/>
      <c r="C184" s="25"/>
      <c r="D184" s="25"/>
      <c r="E184" s="16"/>
      <c r="G184" s="29"/>
      <c r="H184" s="29"/>
      <c r="I184" s="29"/>
      <c r="J184" s="29"/>
      <c r="K184" s="29"/>
      <c r="L184" s="29"/>
      <c r="M184" s="29"/>
      <c r="N184" s="29"/>
      <c r="O184" s="29"/>
      <c r="P184" s="29"/>
      <c r="Q184" s="38"/>
    </row>
    <row r="185" spans="1:17">
      <c r="A185" s="5"/>
      <c r="B185" s="25"/>
      <c r="C185" s="25"/>
      <c r="D185" s="25"/>
      <c r="E185" s="16"/>
      <c r="G185" s="29"/>
      <c r="H185" s="29"/>
      <c r="I185" s="29"/>
      <c r="J185" s="29"/>
      <c r="K185" s="29"/>
      <c r="L185" s="29"/>
      <c r="M185" s="29"/>
      <c r="N185" s="29"/>
      <c r="O185" s="29"/>
      <c r="P185" s="29"/>
      <c r="Q185" s="38"/>
    </row>
    <row r="186" spans="1:17">
      <c r="A186" s="5"/>
      <c r="B186" s="25"/>
      <c r="C186" s="25"/>
      <c r="D186" s="25"/>
      <c r="E186" s="16"/>
      <c r="G186" s="29"/>
      <c r="H186" s="29"/>
      <c r="I186" s="29"/>
      <c r="J186" s="29"/>
      <c r="K186" s="29"/>
      <c r="L186" s="29"/>
      <c r="M186" s="29"/>
      <c r="N186" s="29"/>
      <c r="O186" s="29"/>
      <c r="P186" s="29"/>
      <c r="Q186" s="38"/>
    </row>
    <row r="187" spans="1:17">
      <c r="A187" s="5"/>
      <c r="B187" s="25"/>
      <c r="C187" s="25"/>
      <c r="D187" s="25"/>
      <c r="E187" s="16"/>
      <c r="G187" s="29"/>
      <c r="H187" s="29"/>
      <c r="I187" s="29"/>
      <c r="J187" s="29"/>
      <c r="K187" s="29"/>
      <c r="L187" s="29"/>
      <c r="M187" s="29"/>
      <c r="N187" s="29"/>
      <c r="O187" s="29"/>
      <c r="P187" s="29"/>
      <c r="Q187" s="38"/>
    </row>
    <row r="188" spans="1:17">
      <c r="A188" s="5"/>
      <c r="B188" s="25"/>
      <c r="C188" s="25"/>
      <c r="D188" s="25"/>
      <c r="E188" s="16"/>
      <c r="G188" s="29"/>
      <c r="H188" s="29"/>
      <c r="I188" s="29"/>
      <c r="J188" s="29"/>
      <c r="K188" s="29"/>
      <c r="L188" s="29"/>
      <c r="M188" s="29"/>
      <c r="N188" s="29"/>
      <c r="O188" s="29"/>
      <c r="P188" s="29"/>
      <c r="Q188" s="38"/>
    </row>
    <row r="189" spans="1:17">
      <c r="A189" s="5"/>
      <c r="B189" s="25"/>
      <c r="C189" s="25"/>
      <c r="D189" s="25"/>
      <c r="E189" s="16"/>
      <c r="G189" s="29"/>
      <c r="H189" s="29"/>
      <c r="I189" s="29"/>
      <c r="J189" s="29"/>
      <c r="K189" s="29"/>
      <c r="L189" s="29"/>
      <c r="M189" s="29"/>
      <c r="N189" s="29"/>
      <c r="O189" s="29"/>
      <c r="P189" s="29"/>
      <c r="Q189" s="38"/>
    </row>
    <row r="190" spans="1:17">
      <c r="A190" s="5"/>
      <c r="B190" s="25"/>
      <c r="C190" s="25"/>
      <c r="D190" s="25"/>
      <c r="E190" s="16"/>
      <c r="G190" s="29"/>
      <c r="H190" s="29"/>
      <c r="I190" s="29"/>
      <c r="J190" s="29"/>
      <c r="K190" s="29"/>
      <c r="L190" s="29"/>
      <c r="M190" s="29"/>
      <c r="N190" s="29"/>
      <c r="O190" s="29"/>
      <c r="P190" s="29"/>
      <c r="Q190" s="38"/>
    </row>
    <row r="191" spans="1:17">
      <c r="A191" s="5"/>
      <c r="B191" s="25"/>
      <c r="C191" s="25"/>
      <c r="D191" s="25"/>
      <c r="E191" s="16"/>
      <c r="G191" s="29"/>
      <c r="H191" s="29"/>
      <c r="I191" s="29"/>
      <c r="J191" s="29"/>
      <c r="K191" s="29"/>
      <c r="L191" s="29"/>
      <c r="M191" s="29"/>
      <c r="N191" s="29"/>
      <c r="O191" s="29"/>
      <c r="P191" s="29"/>
      <c r="Q191" s="38"/>
    </row>
    <row r="192" spans="1:17">
      <c r="A192" s="5"/>
      <c r="B192" s="25"/>
      <c r="C192" s="25"/>
      <c r="D192" s="25"/>
      <c r="E192" s="16"/>
      <c r="G192" s="29"/>
      <c r="H192" s="29"/>
      <c r="I192" s="29"/>
      <c r="J192" s="29"/>
      <c r="K192" s="29"/>
      <c r="L192" s="29"/>
      <c r="M192" s="29"/>
      <c r="N192" s="29"/>
      <c r="O192" s="29"/>
      <c r="P192" s="29"/>
      <c r="Q192" s="38"/>
    </row>
    <row r="193" spans="1:17">
      <c r="A193" s="5"/>
      <c r="B193" s="25"/>
      <c r="C193" s="25"/>
      <c r="D193" s="25"/>
      <c r="E193" s="16"/>
      <c r="G193" s="29"/>
      <c r="H193" s="29"/>
      <c r="I193" s="29"/>
      <c r="J193" s="29"/>
      <c r="K193" s="29"/>
      <c r="L193" s="29"/>
      <c r="M193" s="29"/>
      <c r="N193" s="29"/>
      <c r="O193" s="29"/>
      <c r="P193" s="29"/>
      <c r="Q193" s="38"/>
    </row>
    <row r="194" spans="1:17">
      <c r="A194" s="5"/>
      <c r="B194" s="25"/>
      <c r="C194" s="25"/>
      <c r="D194" s="25"/>
      <c r="E194" s="16"/>
      <c r="G194" s="29"/>
      <c r="H194" s="29"/>
      <c r="I194" s="29"/>
      <c r="J194" s="29"/>
      <c r="K194" s="29"/>
      <c r="L194" s="29"/>
      <c r="M194" s="29"/>
      <c r="N194" s="29"/>
      <c r="O194" s="29"/>
      <c r="P194" s="29"/>
      <c r="Q194" s="38"/>
    </row>
    <row r="195" spans="1:17">
      <c r="A195" s="5"/>
      <c r="B195" s="25"/>
      <c r="C195" s="25"/>
      <c r="D195" s="25"/>
      <c r="E195" s="16"/>
      <c r="G195" s="29"/>
      <c r="H195" s="29"/>
      <c r="I195" s="29"/>
      <c r="J195" s="29"/>
      <c r="K195" s="29"/>
      <c r="L195" s="29"/>
      <c r="M195" s="29"/>
      <c r="N195" s="29"/>
      <c r="O195" s="29"/>
      <c r="P195" s="29"/>
      <c r="Q195" s="38"/>
    </row>
    <row r="196" spans="1:17">
      <c r="A196" s="5"/>
      <c r="B196" s="25"/>
      <c r="C196" s="25"/>
      <c r="D196" s="25"/>
      <c r="E196" s="16"/>
      <c r="G196" s="29"/>
      <c r="H196" s="29"/>
      <c r="I196" s="29"/>
      <c r="J196" s="29"/>
      <c r="K196" s="29"/>
      <c r="L196" s="29"/>
      <c r="M196" s="29"/>
      <c r="N196" s="29"/>
      <c r="O196" s="29"/>
      <c r="P196" s="29"/>
      <c r="Q196" s="38"/>
    </row>
    <row r="197" spans="1:17">
      <c r="A197" s="5"/>
      <c r="B197" s="25"/>
      <c r="C197" s="25"/>
      <c r="D197" s="25"/>
      <c r="E197" s="16"/>
      <c r="G197" s="29"/>
      <c r="H197" s="29"/>
      <c r="I197" s="29"/>
      <c r="J197" s="29"/>
      <c r="K197" s="29"/>
      <c r="L197" s="29"/>
      <c r="M197" s="29"/>
      <c r="N197" s="29"/>
      <c r="O197" s="29"/>
      <c r="P197" s="29"/>
      <c r="Q197" s="38"/>
    </row>
    <row r="198" spans="1:17">
      <c r="A198" s="5"/>
      <c r="B198" s="25"/>
      <c r="C198" s="25"/>
      <c r="D198" s="25"/>
      <c r="E198" s="16"/>
      <c r="G198" s="29"/>
      <c r="H198" s="29"/>
      <c r="I198" s="29"/>
      <c r="J198" s="29"/>
      <c r="K198" s="29"/>
      <c r="L198" s="29"/>
      <c r="M198" s="29"/>
      <c r="N198" s="29"/>
      <c r="O198" s="29"/>
      <c r="P198" s="29"/>
      <c r="Q198" s="38"/>
    </row>
    <row r="199" spans="1:17">
      <c r="A199" s="5"/>
      <c r="B199" s="25"/>
      <c r="C199" s="25"/>
      <c r="D199" s="25"/>
      <c r="E199" s="16"/>
      <c r="G199" s="29"/>
      <c r="H199" s="29"/>
      <c r="I199" s="29"/>
      <c r="J199" s="29"/>
      <c r="K199" s="29"/>
      <c r="L199" s="29"/>
      <c r="M199" s="29"/>
      <c r="N199" s="29"/>
      <c r="O199" s="29"/>
      <c r="P199" s="29"/>
      <c r="Q199" s="38"/>
    </row>
    <row r="200" spans="1:17">
      <c r="A200" s="5"/>
      <c r="B200" s="25"/>
      <c r="C200" s="25"/>
      <c r="D200" s="25"/>
      <c r="E200" s="16"/>
      <c r="G200" s="29"/>
      <c r="H200" s="29"/>
      <c r="I200" s="29"/>
      <c r="J200" s="29"/>
      <c r="K200" s="29"/>
      <c r="L200" s="29"/>
      <c r="M200" s="29"/>
      <c r="N200" s="29"/>
      <c r="O200" s="29"/>
      <c r="P200" s="29"/>
      <c r="Q200" s="38"/>
    </row>
    <row r="201" spans="1:17">
      <c r="A201" s="5"/>
      <c r="B201" s="25"/>
      <c r="C201" s="25"/>
      <c r="D201" s="25"/>
      <c r="E201" s="16"/>
      <c r="G201" s="29"/>
      <c r="H201" s="29"/>
      <c r="I201" s="29"/>
      <c r="J201" s="29"/>
      <c r="K201" s="29"/>
      <c r="L201" s="29"/>
      <c r="M201" s="29"/>
      <c r="N201" s="29"/>
      <c r="O201" s="29"/>
      <c r="P201" s="29"/>
      <c r="Q201" s="38"/>
    </row>
    <row r="202" spans="1:17">
      <c r="A202" s="5"/>
      <c r="B202" s="25"/>
      <c r="C202" s="25"/>
      <c r="D202" s="25"/>
      <c r="E202" s="16"/>
      <c r="G202" s="29"/>
      <c r="H202" s="29"/>
      <c r="I202" s="29"/>
      <c r="J202" s="29"/>
      <c r="K202" s="29"/>
      <c r="L202" s="29"/>
      <c r="M202" s="29"/>
      <c r="N202" s="29"/>
      <c r="O202" s="29"/>
      <c r="P202" s="29"/>
      <c r="Q202" s="38"/>
    </row>
    <row r="203" spans="1:17">
      <c r="A203" s="5"/>
      <c r="B203" s="25"/>
      <c r="C203" s="25"/>
      <c r="D203" s="25"/>
      <c r="E203" s="16"/>
      <c r="G203" s="29"/>
      <c r="H203" s="29"/>
      <c r="I203" s="29"/>
      <c r="J203" s="29"/>
      <c r="K203" s="29"/>
      <c r="L203" s="29"/>
      <c r="M203" s="29"/>
      <c r="N203" s="29"/>
      <c r="O203" s="29"/>
      <c r="P203" s="29"/>
      <c r="Q203" s="38"/>
    </row>
    <row r="204" spans="1:17">
      <c r="A204" s="5"/>
      <c r="B204" s="25"/>
      <c r="C204" s="25"/>
      <c r="D204" s="25"/>
      <c r="E204" s="16"/>
      <c r="G204" s="29"/>
      <c r="H204" s="29"/>
      <c r="I204" s="29"/>
      <c r="J204" s="29"/>
      <c r="K204" s="29"/>
      <c r="L204" s="29"/>
      <c r="M204" s="29"/>
      <c r="N204" s="29"/>
      <c r="O204" s="29"/>
      <c r="P204" s="29"/>
      <c r="Q204" s="38"/>
    </row>
    <row r="205" spans="1:17">
      <c r="A205" s="5"/>
      <c r="B205" s="25"/>
      <c r="C205" s="25"/>
      <c r="D205" s="25"/>
      <c r="E205" s="16"/>
      <c r="G205" s="29"/>
      <c r="H205" s="29"/>
      <c r="I205" s="29"/>
      <c r="J205" s="29"/>
      <c r="K205" s="29"/>
      <c r="L205" s="29"/>
      <c r="M205" s="29"/>
      <c r="N205" s="29"/>
      <c r="O205" s="29"/>
      <c r="P205" s="29"/>
      <c r="Q205" s="38"/>
    </row>
    <row r="206" spans="1:17">
      <c r="A206" s="5"/>
      <c r="B206" s="25"/>
      <c r="C206" s="25"/>
      <c r="D206" s="25"/>
      <c r="E206" s="16"/>
      <c r="G206" s="29"/>
      <c r="H206" s="29"/>
      <c r="I206" s="29"/>
      <c r="J206" s="29"/>
      <c r="K206" s="29"/>
      <c r="L206" s="29"/>
      <c r="M206" s="29"/>
      <c r="N206" s="29"/>
      <c r="O206" s="29"/>
      <c r="P206" s="29"/>
      <c r="Q206" s="38"/>
    </row>
    <row r="207" spans="1:17">
      <c r="A207" s="5"/>
      <c r="B207" s="13"/>
      <c r="C207" s="13"/>
      <c r="D207" s="13"/>
      <c r="E207" s="9"/>
      <c r="F207" s="29"/>
      <c r="G207" s="29"/>
      <c r="H207" s="29"/>
      <c r="I207" s="29"/>
      <c r="J207" s="29"/>
      <c r="K207" s="29"/>
      <c r="L207" s="29"/>
      <c r="M207" s="29"/>
      <c r="N207" s="29"/>
      <c r="O207" s="29"/>
      <c r="P207" s="29"/>
      <c r="Q207" s="38"/>
    </row>
    <row r="208" spans="1:17">
      <c r="A208" s="5"/>
      <c r="B208" s="13"/>
      <c r="C208" s="13"/>
      <c r="D208" s="13"/>
      <c r="E208" s="9"/>
      <c r="F208" s="29"/>
      <c r="G208" s="29"/>
      <c r="H208" s="29"/>
      <c r="I208" s="29"/>
      <c r="J208" s="29"/>
      <c r="K208" s="29"/>
      <c r="L208" s="29"/>
      <c r="M208" s="29"/>
      <c r="N208" s="29"/>
      <c r="O208" s="29"/>
      <c r="P208" s="29"/>
      <c r="Q208" s="38"/>
    </row>
    <row r="209" spans="1:17">
      <c r="A209" s="5"/>
      <c r="B209" s="25"/>
      <c r="C209" s="25"/>
      <c r="D209" s="25"/>
      <c r="E209" s="16"/>
      <c r="G209" s="29"/>
      <c r="H209" s="29"/>
      <c r="I209" s="29"/>
      <c r="J209" s="29"/>
      <c r="K209" s="29"/>
      <c r="L209" s="29"/>
      <c r="M209" s="29"/>
      <c r="N209" s="29"/>
      <c r="O209" s="29"/>
      <c r="P209" s="29"/>
      <c r="Q209" s="38"/>
    </row>
    <row r="210" spans="1:17">
      <c r="A210" s="5"/>
      <c r="B210" s="25"/>
      <c r="C210" s="25"/>
      <c r="D210" s="25"/>
      <c r="E210" s="16"/>
      <c r="G210" s="29"/>
      <c r="H210" s="29"/>
      <c r="I210" s="29"/>
      <c r="J210" s="29"/>
      <c r="K210" s="29"/>
      <c r="L210" s="29"/>
      <c r="M210" s="29"/>
      <c r="N210" s="29"/>
      <c r="O210" s="29"/>
      <c r="P210" s="29"/>
      <c r="Q210" s="38"/>
    </row>
    <row r="211" spans="1:17">
      <c r="A211" s="5"/>
      <c r="B211" s="25"/>
      <c r="C211" s="25"/>
      <c r="D211" s="25"/>
      <c r="E211" s="16"/>
      <c r="G211" s="29"/>
      <c r="H211" s="29"/>
      <c r="I211" s="29"/>
      <c r="J211" s="29"/>
      <c r="K211" s="29"/>
      <c r="L211" s="29"/>
      <c r="M211" s="29"/>
      <c r="N211" s="29"/>
      <c r="O211" s="29"/>
      <c r="P211" s="29"/>
      <c r="Q211" s="38"/>
    </row>
    <row r="212" spans="1:17">
      <c r="A212" s="5"/>
      <c r="B212" s="25"/>
      <c r="C212" s="25"/>
      <c r="D212" s="25"/>
      <c r="E212" s="16"/>
      <c r="G212" s="29"/>
      <c r="H212" s="29"/>
      <c r="I212" s="29"/>
      <c r="J212" s="29"/>
      <c r="K212" s="29"/>
      <c r="L212" s="29"/>
      <c r="M212" s="29"/>
      <c r="N212" s="29"/>
      <c r="O212" s="29"/>
      <c r="P212" s="29"/>
      <c r="Q212" s="38"/>
    </row>
    <row r="213" spans="1:17">
      <c r="A213" s="5"/>
      <c r="B213" s="25"/>
      <c r="C213" s="25"/>
      <c r="D213" s="25"/>
      <c r="E213" s="16"/>
      <c r="G213" s="29"/>
      <c r="H213" s="29"/>
      <c r="I213" s="29"/>
      <c r="J213" s="29"/>
      <c r="K213" s="29"/>
      <c r="L213" s="29"/>
      <c r="M213" s="29"/>
      <c r="N213" s="29"/>
      <c r="O213" s="29"/>
      <c r="P213" s="29"/>
      <c r="Q213" s="38"/>
    </row>
    <row r="214" spans="1:17">
      <c r="A214" s="5"/>
      <c r="B214" s="25"/>
      <c r="C214" s="25"/>
      <c r="D214" s="25"/>
      <c r="E214" s="16"/>
      <c r="G214" s="29"/>
      <c r="H214" s="29"/>
      <c r="I214" s="29"/>
      <c r="J214" s="29"/>
      <c r="K214" s="29"/>
      <c r="L214" s="29"/>
      <c r="M214" s="29"/>
      <c r="N214" s="29"/>
      <c r="O214" s="29"/>
      <c r="P214" s="29"/>
      <c r="Q214" s="38"/>
    </row>
    <row r="215" spans="1:17">
      <c r="A215" s="5"/>
      <c r="B215" s="25"/>
      <c r="C215" s="25"/>
      <c r="D215" s="25"/>
      <c r="E215" s="16"/>
      <c r="G215" s="29"/>
      <c r="H215" s="29"/>
      <c r="I215" s="29"/>
      <c r="J215" s="29"/>
      <c r="K215" s="29"/>
      <c r="L215" s="29"/>
      <c r="M215" s="29"/>
      <c r="N215" s="29"/>
      <c r="O215" s="29"/>
      <c r="P215" s="29"/>
      <c r="Q215" s="38"/>
    </row>
    <row r="216" spans="1:17">
      <c r="A216" s="5"/>
      <c r="B216" s="25"/>
      <c r="C216" s="25"/>
      <c r="D216" s="25"/>
      <c r="E216" s="16"/>
      <c r="G216" s="29"/>
      <c r="H216" s="29"/>
      <c r="I216" s="29"/>
      <c r="J216" s="29"/>
      <c r="K216" s="29"/>
      <c r="L216" s="29"/>
      <c r="M216" s="29"/>
      <c r="N216" s="29"/>
      <c r="O216" s="29"/>
      <c r="P216" s="29"/>
      <c r="Q216" s="38"/>
    </row>
    <row r="217" spans="1:17">
      <c r="A217" s="5"/>
      <c r="B217" s="25"/>
      <c r="C217" s="25"/>
      <c r="D217" s="25"/>
      <c r="E217" s="16"/>
      <c r="G217" s="29"/>
      <c r="H217" s="29"/>
      <c r="I217" s="29"/>
      <c r="J217" s="29"/>
      <c r="K217" s="29"/>
      <c r="L217" s="29"/>
      <c r="M217" s="29"/>
      <c r="N217" s="29"/>
      <c r="O217" s="29"/>
      <c r="P217" s="29"/>
      <c r="Q217" s="38"/>
    </row>
    <row r="218" spans="1:17">
      <c r="A218" s="5"/>
      <c r="B218" s="25"/>
      <c r="C218" s="25"/>
      <c r="D218" s="25"/>
      <c r="E218" s="16"/>
      <c r="G218" s="29"/>
      <c r="H218" s="29"/>
      <c r="I218" s="29"/>
      <c r="J218" s="29"/>
      <c r="K218" s="29"/>
      <c r="L218" s="29"/>
      <c r="M218" s="29"/>
      <c r="N218" s="29"/>
      <c r="O218" s="29"/>
      <c r="P218" s="29"/>
      <c r="Q218" s="38"/>
    </row>
    <row r="219" spans="1:17">
      <c r="A219" s="5"/>
      <c r="B219" s="25"/>
      <c r="C219" s="25"/>
      <c r="D219" s="25"/>
      <c r="E219" s="16"/>
      <c r="G219" s="29"/>
      <c r="H219" s="29"/>
      <c r="I219" s="29"/>
      <c r="J219" s="29"/>
      <c r="K219" s="29"/>
      <c r="L219" s="29"/>
      <c r="M219" s="29"/>
      <c r="N219" s="29"/>
      <c r="O219" s="29"/>
      <c r="P219" s="29"/>
      <c r="Q219" s="38"/>
    </row>
    <row r="220" spans="1:17">
      <c r="A220" s="5"/>
      <c r="B220" s="25"/>
      <c r="C220" s="25"/>
      <c r="D220" s="25"/>
      <c r="E220" s="16"/>
      <c r="G220" s="29"/>
      <c r="H220" s="29"/>
      <c r="I220" s="29"/>
      <c r="J220" s="29"/>
      <c r="K220" s="29"/>
      <c r="L220" s="29"/>
      <c r="M220" s="29"/>
      <c r="N220" s="29"/>
      <c r="O220" s="29"/>
      <c r="P220" s="29"/>
      <c r="Q220" s="38"/>
    </row>
    <row r="221" spans="1:17">
      <c r="A221" s="5"/>
      <c r="B221" s="25"/>
      <c r="C221" s="25"/>
      <c r="D221" s="25"/>
      <c r="E221" s="16"/>
      <c r="G221" s="29"/>
      <c r="H221" s="29"/>
      <c r="I221" s="29"/>
      <c r="J221" s="29"/>
      <c r="K221" s="29"/>
      <c r="L221" s="29"/>
      <c r="M221" s="29"/>
      <c r="N221" s="29"/>
      <c r="O221" s="29"/>
      <c r="P221" s="29"/>
      <c r="Q221" s="38"/>
    </row>
    <row r="222" spans="1:17">
      <c r="A222" s="5"/>
      <c r="B222" s="25"/>
      <c r="C222" s="25"/>
      <c r="D222" s="25"/>
      <c r="E222" s="16"/>
      <c r="G222" s="29"/>
      <c r="H222" s="29"/>
      <c r="I222" s="29"/>
      <c r="J222" s="29"/>
      <c r="K222" s="29"/>
      <c r="L222" s="29"/>
      <c r="M222" s="29"/>
      <c r="N222" s="29"/>
      <c r="O222" s="29"/>
      <c r="P222" s="29"/>
      <c r="Q222" s="38"/>
    </row>
    <row r="223" spans="1:17">
      <c r="A223" s="5"/>
      <c r="B223" s="25"/>
      <c r="C223" s="25"/>
      <c r="D223" s="25"/>
      <c r="E223" s="16"/>
      <c r="G223" s="29"/>
      <c r="H223" s="29"/>
      <c r="I223" s="29"/>
      <c r="J223" s="29"/>
      <c r="K223" s="29"/>
      <c r="L223" s="29"/>
      <c r="M223" s="29"/>
      <c r="N223" s="29"/>
      <c r="O223" s="29"/>
      <c r="P223" s="29"/>
      <c r="Q223" s="38"/>
    </row>
    <row r="224" spans="1:17">
      <c r="A224" s="5"/>
      <c r="B224" s="25"/>
      <c r="C224" s="25"/>
      <c r="D224" s="25"/>
      <c r="E224" s="16"/>
      <c r="G224" s="29"/>
      <c r="H224" s="29"/>
      <c r="I224" s="29"/>
      <c r="J224" s="29"/>
      <c r="K224" s="29"/>
      <c r="L224" s="29"/>
      <c r="M224" s="29"/>
      <c r="N224" s="29"/>
      <c r="O224" s="29"/>
      <c r="P224" s="29"/>
      <c r="Q224" s="38"/>
    </row>
    <row r="225" spans="1:17">
      <c r="A225" s="5"/>
      <c r="B225" s="25"/>
      <c r="C225" s="25"/>
      <c r="D225" s="25"/>
      <c r="E225" s="16"/>
      <c r="G225" s="29"/>
      <c r="H225" s="29"/>
      <c r="I225" s="29"/>
      <c r="J225" s="29"/>
      <c r="K225" s="29"/>
      <c r="L225" s="29"/>
      <c r="M225" s="29"/>
      <c r="N225" s="29"/>
      <c r="O225" s="29"/>
      <c r="P225" s="29"/>
      <c r="Q225" s="38"/>
    </row>
    <row r="226" spans="1:17">
      <c r="A226" s="5"/>
      <c r="B226" s="25"/>
      <c r="C226" s="25"/>
      <c r="D226" s="25"/>
      <c r="E226" s="16"/>
      <c r="G226" s="29"/>
      <c r="H226" s="29"/>
      <c r="I226" s="29"/>
      <c r="J226" s="29"/>
      <c r="K226" s="29"/>
      <c r="L226" s="29"/>
      <c r="M226" s="29"/>
      <c r="N226" s="29"/>
      <c r="O226" s="29"/>
      <c r="P226" s="29"/>
      <c r="Q226" s="38"/>
    </row>
    <row r="227" spans="1:17">
      <c r="A227" s="5"/>
      <c r="B227" s="25"/>
      <c r="C227" s="25"/>
      <c r="D227" s="25"/>
      <c r="E227" s="16"/>
      <c r="G227" s="29"/>
      <c r="H227" s="29"/>
      <c r="I227" s="29"/>
      <c r="J227" s="29"/>
      <c r="K227" s="29"/>
      <c r="L227" s="29"/>
      <c r="M227" s="29"/>
      <c r="N227" s="29"/>
      <c r="O227" s="29"/>
      <c r="P227" s="29"/>
      <c r="Q227" s="38"/>
    </row>
    <row r="228" spans="1:17">
      <c r="A228" s="5"/>
      <c r="B228" s="25"/>
      <c r="C228" s="25"/>
      <c r="D228" s="25"/>
      <c r="E228" s="16"/>
      <c r="G228" s="29"/>
      <c r="H228" s="29"/>
      <c r="I228" s="29"/>
      <c r="J228" s="29"/>
      <c r="K228" s="29"/>
      <c r="L228" s="29"/>
      <c r="M228" s="29"/>
      <c r="N228" s="29"/>
      <c r="O228" s="29"/>
      <c r="P228" s="29"/>
      <c r="Q228" s="38"/>
    </row>
    <row r="229" spans="1:17">
      <c r="A229" s="5"/>
      <c r="B229" s="25"/>
      <c r="C229" s="25"/>
      <c r="D229" s="25"/>
      <c r="E229" s="16"/>
      <c r="G229" s="29"/>
      <c r="H229" s="29"/>
      <c r="I229" s="29"/>
      <c r="J229" s="29"/>
      <c r="K229" s="29"/>
      <c r="L229" s="29"/>
      <c r="M229" s="29"/>
      <c r="N229" s="29"/>
      <c r="O229" s="29"/>
      <c r="P229" s="29"/>
      <c r="Q229" s="38"/>
    </row>
    <row r="230" spans="1:17">
      <c r="A230" s="5"/>
      <c r="B230" s="25"/>
      <c r="C230" s="25"/>
      <c r="D230" s="25"/>
      <c r="E230" s="16"/>
      <c r="G230" s="29"/>
      <c r="H230" s="29"/>
      <c r="I230" s="29"/>
      <c r="J230" s="29"/>
      <c r="K230" s="29"/>
      <c r="L230" s="29"/>
      <c r="M230" s="29"/>
      <c r="N230" s="29"/>
      <c r="O230" s="29"/>
      <c r="P230" s="29"/>
      <c r="Q230" s="38"/>
    </row>
    <row r="231" spans="1:17">
      <c r="A231" s="5"/>
      <c r="B231" s="25"/>
      <c r="C231" s="25"/>
      <c r="D231" s="25"/>
      <c r="E231" s="16"/>
      <c r="G231" s="29"/>
      <c r="H231" s="29"/>
      <c r="I231" s="29"/>
      <c r="J231" s="29"/>
      <c r="K231" s="29"/>
      <c r="L231" s="29"/>
      <c r="M231" s="29"/>
      <c r="N231" s="29"/>
      <c r="O231" s="29"/>
      <c r="P231" s="29"/>
      <c r="Q231" s="38"/>
    </row>
    <row r="232" spans="1:17">
      <c r="A232" s="5"/>
      <c r="B232" s="25"/>
      <c r="C232" s="25"/>
      <c r="D232" s="25"/>
      <c r="E232" s="16"/>
      <c r="G232" s="29"/>
      <c r="H232" s="29"/>
      <c r="I232" s="29"/>
      <c r="J232" s="29"/>
      <c r="K232" s="29"/>
      <c r="L232" s="29"/>
      <c r="M232" s="29"/>
      <c r="N232" s="29"/>
      <c r="O232" s="29"/>
      <c r="P232" s="29"/>
      <c r="Q232" s="38"/>
    </row>
    <row r="233" spans="1:17">
      <c r="A233" s="5"/>
      <c r="B233" s="25"/>
      <c r="C233" s="25"/>
      <c r="D233" s="25"/>
      <c r="E233" s="16"/>
      <c r="G233" s="29"/>
      <c r="H233" s="29"/>
      <c r="I233" s="29"/>
      <c r="J233" s="29"/>
      <c r="K233" s="29"/>
      <c r="L233" s="29"/>
      <c r="M233" s="29"/>
      <c r="N233" s="29"/>
      <c r="O233" s="29"/>
      <c r="P233" s="29"/>
      <c r="Q233" s="38"/>
    </row>
    <row r="234" spans="1:17">
      <c r="A234" s="5"/>
      <c r="B234" s="25"/>
      <c r="C234" s="25"/>
      <c r="D234" s="25"/>
      <c r="E234" s="16"/>
      <c r="G234" s="29"/>
      <c r="H234" s="29"/>
      <c r="I234" s="29"/>
      <c r="J234" s="29"/>
      <c r="K234" s="29"/>
      <c r="L234" s="29"/>
      <c r="M234" s="29"/>
      <c r="N234" s="29"/>
      <c r="O234" s="29"/>
      <c r="P234" s="29"/>
      <c r="Q234" s="38"/>
    </row>
    <row r="235" spans="1:17">
      <c r="A235" s="5"/>
      <c r="B235" s="25"/>
      <c r="C235" s="25"/>
      <c r="D235" s="25"/>
      <c r="E235" s="16"/>
      <c r="G235" s="29"/>
      <c r="H235" s="29"/>
      <c r="I235" s="29"/>
      <c r="J235" s="29"/>
      <c r="K235" s="29"/>
      <c r="L235" s="29"/>
      <c r="M235" s="29"/>
      <c r="N235" s="29"/>
      <c r="O235" s="29"/>
      <c r="P235" s="29"/>
      <c r="Q235" s="38"/>
    </row>
    <row r="236" spans="1:17">
      <c r="A236" s="5"/>
      <c r="B236" s="25"/>
      <c r="C236" s="25"/>
      <c r="D236" s="25"/>
      <c r="E236" s="16"/>
      <c r="G236" s="29"/>
      <c r="H236" s="29"/>
      <c r="I236" s="29"/>
      <c r="J236" s="29"/>
      <c r="K236" s="29"/>
      <c r="L236" s="29"/>
      <c r="M236" s="29"/>
      <c r="N236" s="29"/>
      <c r="O236" s="29"/>
      <c r="P236" s="29"/>
      <c r="Q236" s="38"/>
    </row>
    <row r="237" spans="1:17">
      <c r="A237" s="5"/>
      <c r="B237" s="25"/>
      <c r="C237" s="25"/>
      <c r="D237" s="25"/>
      <c r="E237" s="16"/>
      <c r="G237" s="29"/>
      <c r="H237" s="29"/>
      <c r="I237" s="29"/>
      <c r="J237" s="29"/>
      <c r="K237" s="29"/>
      <c r="L237" s="29"/>
      <c r="M237" s="29"/>
      <c r="N237" s="29"/>
      <c r="O237" s="29"/>
      <c r="P237" s="29"/>
      <c r="Q237" s="38"/>
    </row>
    <row r="238" spans="1:17">
      <c r="A238" s="5"/>
      <c r="B238" s="25"/>
      <c r="C238" s="25"/>
      <c r="D238" s="25"/>
      <c r="E238" s="16"/>
      <c r="G238" s="29"/>
      <c r="H238" s="29"/>
      <c r="I238" s="29"/>
      <c r="J238" s="29"/>
      <c r="K238" s="29"/>
      <c r="L238" s="29"/>
      <c r="M238" s="29"/>
      <c r="N238" s="29"/>
      <c r="O238" s="29"/>
      <c r="P238" s="29"/>
      <c r="Q238" s="38"/>
    </row>
    <row r="239" spans="1:17">
      <c r="A239" s="5"/>
      <c r="B239" s="25"/>
      <c r="C239" s="25"/>
      <c r="D239" s="25"/>
      <c r="E239" s="16"/>
      <c r="G239" s="29"/>
      <c r="H239" s="29"/>
      <c r="I239" s="29"/>
      <c r="J239" s="29"/>
      <c r="K239" s="29"/>
      <c r="L239" s="29"/>
      <c r="M239" s="29"/>
      <c r="N239" s="29"/>
      <c r="O239" s="29"/>
      <c r="P239" s="29"/>
      <c r="Q239" s="38"/>
    </row>
    <row r="240" spans="1:17">
      <c r="A240" s="5"/>
      <c r="B240" s="25"/>
      <c r="C240" s="25"/>
      <c r="D240" s="25"/>
      <c r="E240" s="16"/>
      <c r="G240" s="29"/>
      <c r="H240" s="29"/>
      <c r="I240" s="29"/>
      <c r="J240" s="29"/>
      <c r="K240" s="29"/>
      <c r="L240" s="29"/>
      <c r="M240" s="29"/>
      <c r="N240" s="29"/>
      <c r="O240" s="29"/>
      <c r="P240" s="29"/>
      <c r="Q240" s="38"/>
    </row>
    <row r="241" spans="1:17">
      <c r="A241" s="5"/>
      <c r="B241" s="25"/>
      <c r="C241" s="25"/>
      <c r="D241" s="25"/>
      <c r="E241" s="16"/>
      <c r="G241" s="29"/>
      <c r="H241" s="29"/>
      <c r="I241" s="29"/>
      <c r="J241" s="29"/>
      <c r="K241" s="29"/>
      <c r="L241" s="29"/>
      <c r="M241" s="29"/>
      <c r="N241" s="29"/>
      <c r="O241" s="29"/>
      <c r="P241" s="29"/>
      <c r="Q241" s="38"/>
    </row>
    <row r="242" spans="1:17">
      <c r="A242" s="5"/>
      <c r="B242" s="25"/>
      <c r="C242" s="25"/>
      <c r="D242" s="25"/>
      <c r="E242" s="16"/>
      <c r="G242" s="29"/>
      <c r="H242" s="29"/>
      <c r="I242" s="29"/>
      <c r="J242" s="29"/>
      <c r="K242" s="29"/>
      <c r="L242" s="29"/>
      <c r="M242" s="29"/>
      <c r="N242" s="29"/>
      <c r="O242" s="29"/>
      <c r="P242" s="29"/>
      <c r="Q242" s="38"/>
    </row>
    <row r="243" spans="1:17">
      <c r="A243" s="5"/>
      <c r="B243" s="25"/>
      <c r="C243" s="25"/>
      <c r="D243" s="25"/>
      <c r="E243" s="16"/>
      <c r="G243" s="29"/>
      <c r="H243" s="29"/>
      <c r="I243" s="29"/>
      <c r="J243" s="29"/>
      <c r="K243" s="29"/>
      <c r="L243" s="29"/>
      <c r="M243" s="29"/>
      <c r="N243" s="29"/>
      <c r="O243" s="29"/>
      <c r="P243" s="29"/>
      <c r="Q243" s="38"/>
    </row>
    <row r="244" spans="1:17">
      <c r="A244" s="5"/>
      <c r="B244" s="25"/>
      <c r="C244" s="25"/>
      <c r="D244" s="25"/>
      <c r="E244" s="16"/>
      <c r="G244" s="29"/>
      <c r="H244" s="29"/>
      <c r="I244" s="29"/>
      <c r="J244" s="29"/>
      <c r="K244" s="29"/>
      <c r="L244" s="29"/>
      <c r="M244" s="29"/>
      <c r="N244" s="29"/>
      <c r="O244" s="29"/>
      <c r="P244" s="29"/>
      <c r="Q244" s="38"/>
    </row>
    <row r="245" spans="1:17">
      <c r="A245" s="5"/>
      <c r="B245" s="25"/>
      <c r="C245" s="25"/>
      <c r="D245" s="25"/>
      <c r="E245" s="16"/>
      <c r="G245" s="29"/>
      <c r="H245" s="29"/>
      <c r="I245" s="29"/>
      <c r="J245" s="29"/>
      <c r="K245" s="29"/>
      <c r="L245" s="29"/>
      <c r="M245" s="29"/>
      <c r="N245" s="29"/>
      <c r="O245" s="29"/>
      <c r="P245" s="29"/>
      <c r="Q245" s="38"/>
    </row>
    <row r="246" spans="1:17">
      <c r="A246" s="5"/>
      <c r="B246" s="25"/>
      <c r="C246" s="25"/>
      <c r="D246" s="25"/>
      <c r="E246" s="16"/>
      <c r="G246" s="29"/>
      <c r="H246" s="29"/>
      <c r="I246" s="29"/>
      <c r="J246" s="29"/>
      <c r="K246" s="29"/>
      <c r="L246" s="29"/>
      <c r="M246" s="29"/>
      <c r="N246" s="29"/>
      <c r="O246" s="29"/>
      <c r="P246" s="29"/>
      <c r="Q246" s="38"/>
    </row>
    <row r="247" spans="1:17">
      <c r="A247" s="5"/>
      <c r="B247" s="25"/>
      <c r="C247" s="25"/>
      <c r="D247" s="25"/>
      <c r="E247" s="16"/>
      <c r="G247" s="29"/>
      <c r="H247" s="29"/>
      <c r="I247" s="29"/>
      <c r="J247" s="29"/>
      <c r="K247" s="29"/>
      <c r="L247" s="29"/>
      <c r="M247" s="29"/>
      <c r="N247" s="29"/>
      <c r="O247" s="29"/>
      <c r="P247" s="29"/>
      <c r="Q247" s="38"/>
    </row>
    <row r="248" spans="1:17">
      <c r="A248" s="5"/>
      <c r="B248" s="25"/>
      <c r="C248" s="25"/>
      <c r="D248" s="25"/>
      <c r="E248" s="16"/>
      <c r="G248" s="29"/>
      <c r="H248" s="29"/>
      <c r="I248" s="29"/>
      <c r="J248" s="29"/>
      <c r="K248" s="29"/>
      <c r="L248" s="29"/>
      <c r="M248" s="29"/>
      <c r="N248" s="29"/>
      <c r="O248" s="29"/>
      <c r="P248" s="29"/>
      <c r="Q248" s="38"/>
    </row>
    <row r="249" spans="1:17">
      <c r="A249" s="5"/>
      <c r="B249" s="25"/>
      <c r="C249" s="25"/>
      <c r="D249" s="25"/>
      <c r="E249" s="16"/>
      <c r="G249" s="29"/>
      <c r="H249" s="29"/>
      <c r="I249" s="29"/>
      <c r="J249" s="29"/>
      <c r="K249" s="29"/>
      <c r="L249" s="29"/>
      <c r="M249" s="29"/>
      <c r="N249" s="29"/>
      <c r="O249" s="29"/>
      <c r="P249" s="29"/>
      <c r="Q249" s="38"/>
    </row>
    <row r="250" spans="1:17">
      <c r="A250" s="5"/>
      <c r="B250" s="25"/>
      <c r="C250" s="25"/>
      <c r="D250" s="25"/>
      <c r="E250" s="16"/>
      <c r="G250" s="29"/>
      <c r="H250" s="29"/>
      <c r="I250" s="29"/>
      <c r="J250" s="29"/>
      <c r="K250" s="29"/>
      <c r="L250" s="29"/>
      <c r="M250" s="29"/>
      <c r="N250" s="29"/>
      <c r="O250" s="29"/>
      <c r="P250" s="29"/>
      <c r="Q250" s="38"/>
    </row>
    <row r="251" spans="1:17">
      <c r="A251" s="5"/>
      <c r="B251" s="25"/>
      <c r="C251" s="25"/>
      <c r="D251" s="25"/>
      <c r="E251" s="16"/>
      <c r="G251" s="29"/>
      <c r="H251" s="29"/>
      <c r="I251" s="29"/>
      <c r="J251" s="29"/>
      <c r="K251" s="29"/>
      <c r="L251" s="29"/>
      <c r="M251" s="29"/>
      <c r="N251" s="29"/>
      <c r="O251" s="29"/>
      <c r="P251" s="29"/>
      <c r="Q251" s="38"/>
    </row>
    <row r="252" spans="1:17">
      <c r="A252" s="5"/>
      <c r="B252" s="25"/>
      <c r="C252" s="25"/>
      <c r="D252" s="25"/>
      <c r="E252" s="16"/>
      <c r="G252" s="29"/>
      <c r="H252" s="29"/>
      <c r="I252" s="29"/>
      <c r="J252" s="29"/>
      <c r="K252" s="29"/>
      <c r="L252" s="29"/>
      <c r="M252" s="29"/>
      <c r="N252" s="29"/>
      <c r="O252" s="29"/>
      <c r="P252" s="29"/>
      <c r="Q252" s="38"/>
    </row>
    <row r="253" spans="1:17">
      <c r="A253" s="5"/>
      <c r="B253" s="25"/>
      <c r="C253" s="25"/>
      <c r="D253" s="25"/>
      <c r="E253" s="16"/>
      <c r="G253" s="29"/>
      <c r="H253" s="29"/>
      <c r="I253" s="29"/>
      <c r="J253" s="29"/>
      <c r="K253" s="29"/>
      <c r="L253" s="29"/>
      <c r="M253" s="29"/>
      <c r="N253" s="29"/>
      <c r="O253" s="29"/>
      <c r="P253" s="29"/>
      <c r="Q253" s="38"/>
    </row>
    <row r="254" spans="1:17">
      <c r="A254" s="5"/>
      <c r="B254" s="25"/>
      <c r="C254" s="25"/>
      <c r="D254" s="25"/>
      <c r="E254" s="16"/>
      <c r="G254" s="29"/>
      <c r="H254" s="29"/>
      <c r="I254" s="29"/>
      <c r="J254" s="29"/>
      <c r="K254" s="29"/>
      <c r="L254" s="29"/>
      <c r="M254" s="29"/>
      <c r="N254" s="29"/>
      <c r="O254" s="29"/>
      <c r="P254" s="29"/>
      <c r="Q254" s="38"/>
    </row>
    <row r="255" spans="1:17">
      <c r="A255" s="5"/>
      <c r="B255" s="25"/>
      <c r="C255" s="25"/>
      <c r="D255" s="25"/>
      <c r="E255" s="16"/>
      <c r="G255" s="29"/>
      <c r="H255" s="29"/>
      <c r="I255" s="29"/>
      <c r="J255" s="29"/>
      <c r="K255" s="29"/>
      <c r="L255" s="29"/>
      <c r="M255" s="29"/>
      <c r="N255" s="29"/>
      <c r="O255" s="29"/>
      <c r="P255" s="29"/>
      <c r="Q255" s="38"/>
    </row>
    <row r="256" spans="1:17">
      <c r="A256" s="5"/>
      <c r="B256" s="25"/>
      <c r="C256" s="25"/>
      <c r="D256" s="25"/>
      <c r="E256" s="16"/>
      <c r="G256" s="29"/>
      <c r="H256" s="29"/>
      <c r="I256" s="29"/>
      <c r="J256" s="29"/>
      <c r="K256" s="29"/>
      <c r="L256" s="29"/>
      <c r="M256" s="29"/>
      <c r="N256" s="29"/>
      <c r="O256" s="29"/>
      <c r="P256" s="29"/>
      <c r="Q256" s="38"/>
    </row>
    <row r="257" spans="1:17">
      <c r="A257" s="5"/>
      <c r="B257" s="25"/>
      <c r="C257" s="25"/>
      <c r="D257" s="25"/>
      <c r="E257" s="16"/>
      <c r="G257" s="29"/>
      <c r="H257" s="29"/>
      <c r="I257" s="29"/>
      <c r="J257" s="29"/>
      <c r="K257" s="29"/>
      <c r="L257" s="29"/>
      <c r="M257" s="29"/>
      <c r="N257" s="29"/>
      <c r="O257" s="29"/>
      <c r="P257" s="29"/>
      <c r="Q257" s="38"/>
    </row>
    <row r="258" spans="1:17">
      <c r="A258" s="5"/>
      <c r="B258" s="25"/>
      <c r="C258" s="25"/>
      <c r="D258" s="25"/>
      <c r="E258" s="16"/>
      <c r="G258" s="29"/>
      <c r="H258" s="29"/>
      <c r="I258" s="29"/>
      <c r="J258" s="29"/>
      <c r="K258" s="29"/>
      <c r="L258" s="29"/>
      <c r="M258" s="29"/>
      <c r="N258" s="29"/>
      <c r="O258" s="29"/>
      <c r="P258" s="29"/>
      <c r="Q258" s="38"/>
    </row>
    <row r="259" spans="1:17">
      <c r="A259" s="5"/>
      <c r="B259" s="25"/>
      <c r="C259" s="25"/>
      <c r="D259" s="25"/>
      <c r="E259" s="16"/>
      <c r="G259" s="29"/>
      <c r="H259" s="29"/>
      <c r="I259" s="29"/>
      <c r="J259" s="29"/>
      <c r="K259" s="29"/>
      <c r="L259" s="29"/>
      <c r="M259" s="29"/>
      <c r="N259" s="29"/>
      <c r="O259" s="29"/>
      <c r="P259" s="29"/>
      <c r="Q259" s="38"/>
    </row>
    <row r="260" spans="1:17">
      <c r="A260" s="5"/>
      <c r="B260" s="25"/>
      <c r="C260" s="25"/>
      <c r="D260" s="25"/>
      <c r="E260" s="16"/>
      <c r="G260" s="29"/>
      <c r="H260" s="29"/>
      <c r="I260" s="29"/>
      <c r="J260" s="29"/>
      <c r="K260" s="29"/>
      <c r="L260" s="29"/>
      <c r="M260" s="29"/>
      <c r="N260" s="29"/>
      <c r="O260" s="29"/>
      <c r="P260" s="29"/>
      <c r="Q260" s="38"/>
    </row>
    <row r="261" spans="1:17">
      <c r="A261" s="5"/>
      <c r="B261" s="25"/>
      <c r="C261" s="25"/>
      <c r="D261" s="25"/>
      <c r="E261" s="16"/>
      <c r="G261" s="29"/>
      <c r="H261" s="29"/>
      <c r="I261" s="29"/>
      <c r="J261" s="29"/>
      <c r="K261" s="29"/>
      <c r="L261" s="29"/>
      <c r="M261" s="29"/>
      <c r="N261" s="29"/>
      <c r="O261" s="29"/>
      <c r="P261" s="29"/>
      <c r="Q261" s="38"/>
    </row>
    <row r="262" spans="1:17">
      <c r="A262" s="5"/>
      <c r="B262" s="25"/>
      <c r="C262" s="25"/>
      <c r="D262" s="25"/>
      <c r="E262" s="16"/>
      <c r="G262" s="29"/>
      <c r="H262" s="29"/>
      <c r="I262" s="29"/>
      <c r="J262" s="29"/>
      <c r="K262" s="29"/>
      <c r="L262" s="29"/>
      <c r="M262" s="29"/>
      <c r="N262" s="29"/>
      <c r="O262" s="29"/>
      <c r="P262" s="29"/>
      <c r="Q262" s="38"/>
    </row>
    <row r="263" spans="1:17">
      <c r="A263" s="5"/>
      <c r="B263" s="25"/>
      <c r="C263" s="25"/>
      <c r="D263" s="25"/>
      <c r="E263" s="16"/>
      <c r="G263" s="29"/>
      <c r="H263" s="29"/>
      <c r="I263" s="29"/>
      <c r="J263" s="29"/>
      <c r="K263" s="29"/>
      <c r="L263" s="29"/>
      <c r="M263" s="29"/>
      <c r="N263" s="29"/>
      <c r="O263" s="29"/>
      <c r="P263" s="29"/>
      <c r="Q263" s="38"/>
    </row>
    <row r="264" spans="1:17">
      <c r="A264" s="5"/>
      <c r="B264" s="25"/>
      <c r="C264" s="25"/>
      <c r="D264" s="25"/>
      <c r="E264" s="16"/>
      <c r="G264" s="29"/>
      <c r="H264" s="29"/>
      <c r="I264" s="29"/>
      <c r="J264" s="29"/>
      <c r="K264" s="29"/>
      <c r="L264" s="29"/>
      <c r="M264" s="29"/>
      <c r="N264" s="29"/>
      <c r="O264" s="29"/>
      <c r="P264" s="29"/>
      <c r="Q264" s="38"/>
    </row>
    <row r="265" spans="1:17">
      <c r="A265" s="5"/>
      <c r="B265" s="13"/>
      <c r="C265" s="13"/>
      <c r="D265" s="13"/>
      <c r="E265" s="9"/>
      <c r="F265" s="29"/>
      <c r="G265" s="29"/>
      <c r="H265" s="29"/>
      <c r="I265" s="29"/>
      <c r="J265" s="29"/>
      <c r="K265" s="29"/>
      <c r="L265" s="29"/>
      <c r="M265" s="29"/>
      <c r="N265" s="29"/>
      <c r="O265" s="29"/>
      <c r="P265" s="29"/>
      <c r="Q265" s="38"/>
    </row>
    <row r="266" spans="1:17">
      <c r="A266" s="5"/>
      <c r="B266" s="13"/>
      <c r="C266" s="13"/>
      <c r="D266" s="13"/>
      <c r="E266" s="9"/>
      <c r="F266" s="29"/>
      <c r="G266" s="29"/>
      <c r="H266" s="29"/>
      <c r="I266" s="29"/>
      <c r="J266" s="29"/>
      <c r="K266" s="29"/>
      <c r="L266" s="29"/>
      <c r="M266" s="29"/>
      <c r="N266" s="29"/>
      <c r="O266" s="29"/>
      <c r="P266" s="29"/>
      <c r="Q266" s="38"/>
    </row>
    <row r="267" spans="1:17">
      <c r="A267" s="5"/>
      <c r="B267" s="13"/>
      <c r="C267" s="13"/>
      <c r="D267" s="13"/>
      <c r="E267" s="9"/>
      <c r="F267" s="29"/>
      <c r="G267" s="29"/>
      <c r="H267" s="29"/>
      <c r="I267" s="29"/>
      <c r="J267" s="29"/>
      <c r="K267" s="29"/>
      <c r="L267" s="29"/>
      <c r="M267" s="29"/>
      <c r="N267" s="29"/>
      <c r="O267" s="29"/>
      <c r="P267" s="29"/>
      <c r="Q267" s="38"/>
    </row>
    <row r="268" spans="1:17">
      <c r="A268" s="5"/>
      <c r="B268" s="13"/>
      <c r="C268" s="13"/>
      <c r="D268" s="13"/>
      <c r="E268" s="9"/>
      <c r="F268" s="29"/>
      <c r="G268" s="29"/>
      <c r="H268" s="29"/>
      <c r="I268" s="29"/>
      <c r="J268" s="29"/>
      <c r="K268" s="29"/>
      <c r="L268" s="29"/>
      <c r="M268" s="29"/>
      <c r="N268" s="29"/>
      <c r="O268" s="29"/>
      <c r="P268" s="29"/>
      <c r="Q268" s="38"/>
    </row>
    <row r="269" spans="1:17">
      <c r="A269" s="5"/>
      <c r="B269" s="13"/>
      <c r="C269" s="13"/>
      <c r="D269" s="13"/>
      <c r="E269" s="9"/>
      <c r="F269" s="29"/>
      <c r="G269" s="29"/>
      <c r="H269" s="29"/>
      <c r="I269" s="29"/>
      <c r="J269" s="29"/>
      <c r="K269" s="29"/>
      <c r="L269" s="29"/>
      <c r="M269" s="29"/>
      <c r="N269" s="29"/>
      <c r="O269" s="29"/>
      <c r="P269" s="29"/>
      <c r="Q269" s="38"/>
    </row>
    <row r="270" spans="1:17">
      <c r="A270" s="5"/>
      <c r="B270" s="13"/>
      <c r="C270" s="13"/>
      <c r="D270" s="13"/>
      <c r="E270" s="9"/>
      <c r="F270" s="29"/>
      <c r="G270" s="29"/>
      <c r="H270" s="29"/>
      <c r="I270" s="29"/>
      <c r="J270" s="29"/>
      <c r="K270" s="29"/>
      <c r="L270" s="29"/>
      <c r="M270" s="29"/>
      <c r="N270" s="29"/>
      <c r="O270" s="29"/>
      <c r="P270" s="29"/>
      <c r="Q270" s="38"/>
    </row>
    <row r="271" spans="1:17">
      <c r="A271" s="5"/>
      <c r="B271" s="13"/>
      <c r="C271" s="13"/>
      <c r="D271" s="13"/>
      <c r="E271" s="9"/>
      <c r="F271" s="29"/>
      <c r="G271" s="29"/>
      <c r="H271" s="29"/>
      <c r="I271" s="29"/>
      <c r="J271" s="29"/>
      <c r="K271" s="29"/>
      <c r="L271" s="29"/>
      <c r="M271" s="29"/>
      <c r="N271" s="29"/>
      <c r="O271" s="29"/>
      <c r="P271" s="29"/>
      <c r="Q271" s="38"/>
    </row>
    <row r="272" spans="1:17">
      <c r="A272" s="5"/>
      <c r="B272" s="13"/>
      <c r="C272" s="13"/>
      <c r="D272" s="13"/>
      <c r="E272" s="9"/>
      <c r="F272" s="29"/>
      <c r="G272" s="29"/>
      <c r="H272" s="29"/>
      <c r="I272" s="29"/>
      <c r="J272" s="29"/>
      <c r="K272" s="29"/>
      <c r="L272" s="29"/>
      <c r="M272" s="29"/>
      <c r="N272" s="29"/>
      <c r="O272" s="29"/>
      <c r="P272" s="29"/>
      <c r="Q272" s="38"/>
    </row>
    <row r="273" spans="1:17">
      <c r="A273" s="5"/>
      <c r="B273" s="13"/>
      <c r="C273" s="13"/>
      <c r="D273" s="13"/>
      <c r="E273" s="9"/>
      <c r="F273" s="29"/>
      <c r="G273" s="29"/>
      <c r="H273" s="29"/>
      <c r="I273" s="29"/>
      <c r="J273" s="29"/>
      <c r="K273" s="29"/>
      <c r="L273" s="29"/>
      <c r="M273" s="29"/>
      <c r="N273" s="29"/>
      <c r="O273" s="29"/>
      <c r="P273" s="29"/>
      <c r="Q273" s="38"/>
    </row>
    <row r="274" spans="1:17">
      <c r="A274" s="5"/>
      <c r="B274" s="13"/>
      <c r="C274" s="13"/>
      <c r="D274" s="13"/>
      <c r="E274" s="9"/>
      <c r="F274" s="29"/>
      <c r="G274" s="29"/>
      <c r="H274" s="29"/>
      <c r="I274" s="29"/>
      <c r="J274" s="29"/>
      <c r="K274" s="29"/>
      <c r="L274" s="29"/>
      <c r="M274" s="29"/>
      <c r="N274" s="29"/>
      <c r="O274" s="29"/>
      <c r="P274" s="29"/>
      <c r="Q274" s="38"/>
    </row>
    <row r="275" spans="1:17">
      <c r="A275" s="5"/>
      <c r="B275" s="13"/>
      <c r="C275" s="13"/>
      <c r="D275" s="13"/>
      <c r="E275" s="9"/>
      <c r="F275" s="29"/>
      <c r="G275" s="29"/>
      <c r="H275" s="29"/>
      <c r="I275" s="29"/>
      <c r="J275" s="29"/>
      <c r="K275" s="29"/>
      <c r="L275" s="29"/>
      <c r="M275" s="29"/>
      <c r="N275" s="29"/>
      <c r="O275" s="29"/>
      <c r="P275" s="29"/>
      <c r="Q275" s="38"/>
    </row>
    <row r="276" spans="1:17">
      <c r="A276" s="5"/>
      <c r="B276" s="13"/>
      <c r="C276" s="13"/>
      <c r="D276" s="13"/>
      <c r="E276" s="9"/>
      <c r="F276" s="29"/>
      <c r="G276" s="29"/>
      <c r="H276" s="29"/>
      <c r="I276" s="29"/>
      <c r="J276" s="29"/>
      <c r="K276" s="29"/>
      <c r="L276" s="29"/>
      <c r="M276" s="29"/>
      <c r="N276" s="29"/>
      <c r="O276" s="29"/>
      <c r="P276" s="29"/>
      <c r="Q276" s="38"/>
    </row>
    <row r="277" spans="1:17">
      <c r="A277" s="5"/>
      <c r="B277" s="13"/>
      <c r="C277" s="13"/>
      <c r="D277" s="13"/>
      <c r="E277" s="9"/>
      <c r="F277" s="29"/>
      <c r="G277" s="29"/>
      <c r="H277" s="29"/>
      <c r="I277" s="29"/>
      <c r="J277" s="29"/>
      <c r="K277" s="29"/>
      <c r="L277" s="29"/>
      <c r="M277" s="29"/>
      <c r="N277" s="29"/>
      <c r="O277" s="29"/>
      <c r="P277" s="29"/>
      <c r="Q277" s="38"/>
    </row>
    <row r="278" spans="1:17">
      <c r="A278" s="5"/>
      <c r="B278" s="13"/>
      <c r="C278" s="13"/>
      <c r="D278" s="13"/>
      <c r="E278" s="9"/>
      <c r="F278" s="29"/>
      <c r="G278" s="29"/>
      <c r="H278" s="29"/>
      <c r="I278" s="29"/>
      <c r="J278" s="29"/>
      <c r="K278" s="29"/>
      <c r="L278" s="29"/>
      <c r="M278" s="29"/>
      <c r="N278" s="29"/>
      <c r="O278" s="29"/>
      <c r="P278" s="29"/>
      <c r="Q278" s="38"/>
    </row>
    <row r="279" spans="1:17">
      <c r="A279" s="5"/>
      <c r="B279" s="13"/>
      <c r="C279" s="13"/>
      <c r="D279" s="13"/>
      <c r="E279" s="9"/>
      <c r="F279" s="29"/>
      <c r="G279" s="29"/>
      <c r="H279" s="29"/>
      <c r="I279" s="29"/>
      <c r="J279" s="29"/>
      <c r="K279" s="29"/>
      <c r="L279" s="29"/>
      <c r="M279" s="29"/>
      <c r="N279" s="29"/>
      <c r="O279" s="29"/>
      <c r="P279" s="29"/>
      <c r="Q279" s="38"/>
    </row>
    <row r="280" spans="1:17">
      <c r="A280" s="5"/>
      <c r="B280" s="13"/>
      <c r="C280" s="13"/>
      <c r="D280" s="13"/>
      <c r="E280" s="9"/>
      <c r="F280" s="29"/>
      <c r="G280" s="29"/>
      <c r="H280" s="29"/>
      <c r="I280" s="29"/>
      <c r="J280" s="29"/>
      <c r="K280" s="29"/>
      <c r="L280" s="29"/>
      <c r="M280" s="29"/>
      <c r="N280" s="29"/>
      <c r="O280" s="29"/>
      <c r="P280" s="29"/>
      <c r="Q280" s="38"/>
    </row>
    <row r="281" spans="1:17">
      <c r="A281" s="5"/>
      <c r="B281" s="13"/>
      <c r="C281" s="13"/>
      <c r="D281" s="13"/>
      <c r="E281" s="9"/>
      <c r="F281" s="29"/>
      <c r="G281" s="29"/>
      <c r="H281" s="29"/>
      <c r="I281" s="29"/>
      <c r="J281" s="29"/>
      <c r="K281" s="29"/>
      <c r="L281" s="29"/>
      <c r="M281" s="29"/>
      <c r="N281" s="29"/>
      <c r="O281" s="29"/>
      <c r="P281" s="29"/>
      <c r="Q281" s="38"/>
    </row>
    <row r="282" spans="1:17">
      <c r="A282" s="5"/>
      <c r="B282" s="13"/>
      <c r="C282" s="13"/>
      <c r="D282" s="13"/>
      <c r="E282" s="9"/>
      <c r="F282" s="29"/>
      <c r="G282" s="29"/>
      <c r="H282" s="29"/>
      <c r="I282" s="29"/>
      <c r="J282" s="29"/>
      <c r="K282" s="29"/>
      <c r="L282" s="29"/>
      <c r="M282" s="29"/>
      <c r="N282" s="29"/>
      <c r="O282" s="29"/>
      <c r="P282" s="29"/>
      <c r="Q282" s="38"/>
    </row>
    <row r="283" spans="1:17">
      <c r="A283" s="5"/>
      <c r="B283" s="13"/>
      <c r="C283" s="13"/>
      <c r="D283" s="13"/>
      <c r="E283" s="9"/>
      <c r="F283" s="29"/>
      <c r="G283" s="29"/>
      <c r="H283" s="29"/>
      <c r="I283" s="29"/>
      <c r="J283" s="29"/>
      <c r="K283" s="29"/>
      <c r="L283" s="29"/>
      <c r="M283" s="29"/>
      <c r="N283" s="29"/>
      <c r="O283" s="29"/>
      <c r="P283" s="29"/>
      <c r="Q283" s="38"/>
    </row>
    <row r="284" spans="1:17">
      <c r="A284" s="5"/>
      <c r="B284" s="13"/>
      <c r="C284" s="13"/>
      <c r="D284" s="13"/>
      <c r="E284" s="9"/>
      <c r="F284" s="29"/>
      <c r="G284" s="29"/>
      <c r="H284" s="29"/>
      <c r="I284" s="29"/>
      <c r="J284" s="29"/>
      <c r="K284" s="29"/>
      <c r="L284" s="29"/>
      <c r="M284" s="29"/>
      <c r="N284" s="29"/>
      <c r="O284" s="29"/>
      <c r="P284" s="29"/>
      <c r="Q284" s="38"/>
    </row>
    <row r="285" spans="1:17">
      <c r="A285" s="5"/>
      <c r="B285" s="13"/>
      <c r="C285" s="13"/>
      <c r="D285" s="13"/>
      <c r="E285" s="9"/>
      <c r="F285" s="29"/>
      <c r="G285" s="29"/>
      <c r="H285" s="29"/>
      <c r="I285" s="29"/>
      <c r="J285" s="29"/>
      <c r="K285" s="29"/>
      <c r="L285" s="29"/>
      <c r="M285" s="29"/>
      <c r="N285" s="29"/>
      <c r="O285" s="29"/>
      <c r="P285" s="29"/>
      <c r="Q285" s="38"/>
    </row>
    <row r="286" spans="1:17">
      <c r="A286" s="5"/>
      <c r="B286" s="13"/>
      <c r="C286" s="13"/>
      <c r="D286" s="13"/>
      <c r="E286" s="9"/>
      <c r="F286" s="29"/>
      <c r="G286" s="29"/>
      <c r="H286" s="29"/>
      <c r="I286" s="29"/>
      <c r="J286" s="29"/>
      <c r="K286" s="29"/>
      <c r="L286" s="29"/>
      <c r="M286" s="29"/>
      <c r="N286" s="29"/>
      <c r="O286" s="29"/>
      <c r="P286" s="29"/>
      <c r="Q286" s="38"/>
    </row>
    <row r="287" spans="1:17">
      <c r="A287" s="5"/>
      <c r="B287" s="13"/>
      <c r="C287" s="13"/>
      <c r="D287" s="13"/>
      <c r="E287" s="9"/>
      <c r="F287" s="29"/>
      <c r="G287" s="29"/>
      <c r="H287" s="29"/>
      <c r="I287" s="29"/>
      <c r="J287" s="29"/>
      <c r="K287" s="29"/>
      <c r="L287" s="29"/>
      <c r="M287" s="29"/>
      <c r="N287" s="29"/>
      <c r="O287" s="29"/>
      <c r="P287" s="29"/>
      <c r="Q287" s="38"/>
    </row>
    <row r="288" spans="1:17">
      <c r="A288" s="5"/>
      <c r="B288" s="13"/>
      <c r="C288" s="13"/>
      <c r="D288" s="13"/>
      <c r="E288" s="9"/>
      <c r="F288" s="29"/>
      <c r="G288" s="29"/>
      <c r="H288" s="29"/>
      <c r="I288" s="29"/>
      <c r="J288" s="29"/>
      <c r="K288" s="29"/>
      <c r="L288" s="29"/>
      <c r="M288" s="29"/>
      <c r="N288" s="29"/>
      <c r="O288" s="29"/>
      <c r="P288" s="29"/>
      <c r="Q288" s="38"/>
    </row>
    <row r="289" spans="1:17">
      <c r="A289" s="5"/>
      <c r="B289" s="13"/>
      <c r="C289" s="13"/>
      <c r="D289" s="13"/>
      <c r="E289" s="9"/>
      <c r="F289" s="29"/>
      <c r="G289" s="29"/>
      <c r="H289" s="29"/>
      <c r="I289" s="29"/>
      <c r="J289" s="29"/>
      <c r="K289" s="29"/>
      <c r="L289" s="29"/>
      <c r="M289" s="29"/>
      <c r="N289" s="29"/>
      <c r="O289" s="29"/>
      <c r="P289" s="29"/>
      <c r="Q289" s="38"/>
    </row>
    <row r="290" spans="1:17">
      <c r="A290" s="5"/>
      <c r="B290" s="13"/>
      <c r="C290" s="13"/>
      <c r="D290" s="13"/>
      <c r="E290" s="9"/>
      <c r="F290" s="29"/>
      <c r="G290" s="29"/>
      <c r="H290" s="29"/>
      <c r="I290" s="29"/>
      <c r="J290" s="29"/>
      <c r="K290" s="29"/>
      <c r="L290" s="29"/>
      <c r="M290" s="29"/>
      <c r="N290" s="29"/>
      <c r="O290" s="29"/>
      <c r="P290" s="29"/>
      <c r="Q290" s="38"/>
    </row>
    <row r="291" spans="1:17">
      <c r="A291" s="5"/>
      <c r="B291" s="13"/>
      <c r="C291" s="13"/>
      <c r="D291" s="13"/>
      <c r="E291" s="9"/>
      <c r="F291" s="29"/>
      <c r="G291" s="29"/>
      <c r="H291" s="29"/>
      <c r="I291" s="29"/>
      <c r="J291" s="29"/>
      <c r="K291" s="29"/>
      <c r="L291" s="29"/>
      <c r="M291" s="29"/>
      <c r="N291" s="29"/>
      <c r="O291" s="29"/>
      <c r="P291" s="29"/>
      <c r="Q291" s="38"/>
    </row>
    <row r="292" spans="1:17">
      <c r="A292" s="5"/>
      <c r="B292" s="13"/>
      <c r="C292" s="13"/>
      <c r="D292" s="13"/>
      <c r="E292" s="9"/>
      <c r="F292" s="29"/>
      <c r="G292" s="29"/>
      <c r="H292" s="29"/>
      <c r="I292" s="29"/>
      <c r="J292" s="29"/>
      <c r="K292" s="29"/>
      <c r="L292" s="29"/>
      <c r="M292" s="29"/>
      <c r="N292" s="29"/>
      <c r="O292" s="29"/>
      <c r="P292" s="29"/>
      <c r="Q292" s="38"/>
    </row>
    <row r="293" spans="1:17">
      <c r="A293" s="5"/>
      <c r="B293" s="13"/>
      <c r="C293" s="13"/>
      <c r="D293" s="13"/>
      <c r="E293" s="9"/>
      <c r="F293" s="29"/>
      <c r="G293" s="29"/>
      <c r="H293" s="29"/>
      <c r="I293" s="29"/>
      <c r="J293" s="29"/>
      <c r="K293" s="29"/>
      <c r="L293" s="29"/>
      <c r="M293" s="29"/>
      <c r="N293" s="29"/>
      <c r="O293" s="29"/>
      <c r="P293" s="29"/>
      <c r="Q293" s="38"/>
    </row>
    <row r="294" spans="1:17">
      <c r="A294" s="5"/>
      <c r="B294" s="13"/>
      <c r="C294" s="13"/>
      <c r="D294" s="13"/>
      <c r="E294" s="9"/>
      <c r="F294" s="29"/>
      <c r="G294" s="29"/>
      <c r="H294" s="29"/>
      <c r="I294" s="29"/>
      <c r="J294" s="29"/>
      <c r="K294" s="29"/>
      <c r="L294" s="29"/>
      <c r="M294" s="29"/>
      <c r="N294" s="29"/>
      <c r="O294" s="29"/>
      <c r="P294" s="29"/>
      <c r="Q294" s="38"/>
    </row>
    <row r="295" spans="1:17">
      <c r="A295" s="5"/>
      <c r="B295" s="13"/>
      <c r="C295" s="13"/>
      <c r="D295" s="13"/>
      <c r="E295" s="9"/>
      <c r="F295" s="29"/>
      <c r="G295" s="29"/>
      <c r="H295" s="29"/>
      <c r="I295" s="29"/>
      <c r="J295" s="29"/>
      <c r="K295" s="29"/>
      <c r="L295" s="29"/>
      <c r="M295" s="29"/>
      <c r="N295" s="29"/>
      <c r="O295" s="29"/>
      <c r="P295" s="29"/>
      <c r="Q295" s="38"/>
    </row>
    <row r="296" spans="1:17">
      <c r="A296" s="5"/>
      <c r="B296" s="13"/>
      <c r="C296" s="13"/>
      <c r="D296" s="13"/>
      <c r="E296" s="9"/>
      <c r="F296" s="29"/>
      <c r="G296" s="29"/>
      <c r="H296" s="29"/>
      <c r="I296" s="29"/>
      <c r="J296" s="29"/>
      <c r="K296" s="29"/>
      <c r="L296" s="29"/>
      <c r="M296" s="29"/>
      <c r="N296" s="29"/>
      <c r="O296" s="29"/>
      <c r="P296" s="29"/>
      <c r="Q296" s="38"/>
    </row>
    <row r="297" spans="1:17">
      <c r="A297" s="5"/>
      <c r="B297" s="13"/>
      <c r="C297" s="13"/>
      <c r="D297" s="13"/>
      <c r="E297" s="9"/>
      <c r="F297" s="29"/>
      <c r="G297" s="29"/>
      <c r="H297" s="29"/>
      <c r="I297" s="29"/>
      <c r="J297" s="29"/>
      <c r="K297" s="29"/>
      <c r="L297" s="29"/>
      <c r="M297" s="29"/>
      <c r="N297" s="29"/>
      <c r="O297" s="29"/>
      <c r="P297" s="29"/>
      <c r="Q297" s="38"/>
    </row>
    <row r="298" spans="1:17">
      <c r="A298" s="5"/>
      <c r="B298" s="13"/>
      <c r="C298" s="13"/>
      <c r="D298" s="13"/>
      <c r="E298" s="9"/>
      <c r="F298" s="32"/>
      <c r="G298" s="32"/>
      <c r="H298" s="32"/>
      <c r="I298" s="32"/>
      <c r="J298" s="29"/>
      <c r="K298" s="29"/>
      <c r="L298" s="29"/>
      <c r="M298" s="29"/>
      <c r="N298" s="29"/>
      <c r="O298" s="29"/>
      <c r="P298" s="29"/>
      <c r="Q298" s="38"/>
    </row>
    <row r="299" spans="1:17">
      <c r="A299" s="5"/>
      <c r="B299" s="13"/>
      <c r="C299" s="13"/>
      <c r="D299" s="13"/>
      <c r="E299" s="9"/>
      <c r="F299" s="32"/>
      <c r="G299" s="32"/>
      <c r="H299" s="32"/>
      <c r="I299" s="32"/>
      <c r="J299" s="29"/>
      <c r="K299" s="29"/>
      <c r="L299" s="29"/>
      <c r="M299" s="29"/>
      <c r="N299" s="29"/>
      <c r="O299" s="29"/>
      <c r="P299" s="29"/>
      <c r="Q299" s="38"/>
    </row>
    <row r="300" spans="1:17">
      <c r="A300" s="5"/>
      <c r="B300" s="13"/>
      <c r="C300" s="13"/>
      <c r="D300" s="13"/>
      <c r="E300" s="9"/>
      <c r="F300" s="32"/>
      <c r="G300" s="32"/>
      <c r="H300" s="32"/>
      <c r="I300" s="32"/>
      <c r="J300" s="29"/>
      <c r="K300" s="29"/>
      <c r="L300" s="29"/>
      <c r="M300" s="29"/>
      <c r="N300" s="29"/>
      <c r="O300" s="29"/>
      <c r="P300" s="29"/>
      <c r="Q300" s="38"/>
    </row>
    <row r="301" spans="1:17">
      <c r="A301" s="5"/>
      <c r="B301" s="13"/>
      <c r="C301" s="13"/>
      <c r="D301" s="13"/>
      <c r="E301" s="9"/>
      <c r="F301" s="32"/>
      <c r="G301" s="32"/>
      <c r="H301" s="32"/>
      <c r="I301" s="32"/>
      <c r="J301" s="29"/>
      <c r="K301" s="29"/>
      <c r="L301" s="29"/>
      <c r="M301" s="29"/>
      <c r="N301" s="29"/>
      <c r="O301" s="29"/>
      <c r="P301" s="29"/>
      <c r="Q301" s="38"/>
    </row>
    <row r="302" spans="1:17">
      <c r="A302" s="5"/>
      <c r="B302" s="13"/>
      <c r="C302" s="13"/>
      <c r="D302" s="13"/>
      <c r="E302" s="9"/>
      <c r="F302" s="32"/>
      <c r="G302" s="32"/>
      <c r="H302" s="32"/>
      <c r="I302" s="32"/>
      <c r="J302" s="29"/>
      <c r="K302" s="29"/>
      <c r="L302" s="29"/>
      <c r="M302" s="29"/>
      <c r="N302" s="29"/>
      <c r="O302" s="29"/>
      <c r="P302" s="29"/>
      <c r="Q302" s="38"/>
    </row>
    <row r="303" spans="1:17">
      <c r="A303" s="5"/>
      <c r="B303" s="13"/>
      <c r="C303" s="13"/>
      <c r="D303" s="13"/>
      <c r="E303" s="9"/>
      <c r="F303" s="32"/>
      <c r="G303" s="32"/>
      <c r="H303" s="32"/>
      <c r="I303" s="32"/>
      <c r="J303" s="29"/>
      <c r="K303" s="29"/>
      <c r="L303" s="29"/>
      <c r="M303" s="29"/>
      <c r="N303" s="29"/>
      <c r="O303" s="29"/>
      <c r="P303" s="29"/>
      <c r="Q303" s="38"/>
    </row>
    <row r="304" spans="1:17">
      <c r="A304" s="5"/>
      <c r="B304" s="13"/>
      <c r="C304" s="13"/>
      <c r="D304" s="13"/>
      <c r="E304" s="9"/>
      <c r="F304" s="32"/>
      <c r="G304" s="32"/>
      <c r="H304" s="32"/>
      <c r="I304" s="32"/>
      <c r="J304" s="29"/>
      <c r="K304" s="29"/>
      <c r="L304" s="29"/>
      <c r="M304" s="29"/>
      <c r="N304" s="29"/>
      <c r="O304" s="29"/>
      <c r="P304" s="29"/>
      <c r="Q304" s="38"/>
    </row>
    <row r="305" spans="1:17">
      <c r="A305" s="5"/>
      <c r="B305" s="13"/>
      <c r="C305" s="13"/>
      <c r="D305" s="13"/>
      <c r="E305" s="9"/>
      <c r="F305" s="32"/>
      <c r="G305" s="32"/>
      <c r="H305" s="32"/>
      <c r="I305" s="32"/>
      <c r="J305" s="29"/>
      <c r="K305" s="29"/>
      <c r="L305" s="29"/>
      <c r="M305" s="29"/>
      <c r="N305" s="29"/>
      <c r="O305" s="29"/>
      <c r="P305" s="29"/>
      <c r="Q305" s="38"/>
    </row>
    <row r="306" spans="1:17">
      <c r="A306" s="5"/>
      <c r="B306" s="13"/>
      <c r="C306" s="13"/>
      <c r="D306" s="13"/>
      <c r="E306" s="9"/>
      <c r="F306" s="32"/>
      <c r="G306" s="32"/>
      <c r="H306" s="32"/>
      <c r="I306" s="32"/>
      <c r="J306" s="29"/>
      <c r="K306" s="29"/>
      <c r="L306" s="29"/>
      <c r="M306" s="29"/>
      <c r="N306" s="29"/>
      <c r="O306" s="29"/>
      <c r="P306" s="29"/>
      <c r="Q306" s="38"/>
    </row>
    <row r="307" spans="1:17">
      <c r="A307" s="5"/>
      <c r="B307" s="13"/>
      <c r="C307" s="13"/>
      <c r="D307" s="13"/>
      <c r="E307" s="9"/>
      <c r="F307" s="32"/>
      <c r="G307" s="32"/>
      <c r="H307" s="32"/>
      <c r="I307" s="32"/>
      <c r="J307" s="29"/>
      <c r="K307" s="29"/>
      <c r="L307" s="29"/>
      <c r="M307" s="29"/>
      <c r="N307" s="29"/>
      <c r="O307" s="29"/>
      <c r="P307" s="29"/>
      <c r="Q307" s="38"/>
    </row>
    <row r="308" spans="1:17">
      <c r="A308" s="5"/>
      <c r="B308" s="13"/>
      <c r="C308" s="13"/>
      <c r="D308" s="13"/>
      <c r="E308" s="9"/>
      <c r="F308" s="32"/>
      <c r="G308" s="32"/>
      <c r="H308" s="32"/>
      <c r="I308" s="32"/>
      <c r="J308" s="29"/>
      <c r="K308" s="29"/>
      <c r="L308" s="29"/>
      <c r="M308" s="29"/>
      <c r="N308" s="29"/>
      <c r="O308" s="29"/>
      <c r="P308" s="29"/>
      <c r="Q308" s="38"/>
    </row>
    <row r="309" spans="1:17">
      <c r="A309" s="5"/>
      <c r="B309" s="13"/>
      <c r="C309" s="13"/>
      <c r="D309" s="13"/>
      <c r="E309" s="9"/>
      <c r="F309" s="32"/>
      <c r="G309" s="32"/>
      <c r="H309" s="32"/>
      <c r="I309" s="32"/>
      <c r="J309" s="29"/>
      <c r="K309" s="29"/>
      <c r="L309" s="29"/>
      <c r="M309" s="29"/>
      <c r="N309" s="29"/>
      <c r="O309" s="29"/>
      <c r="P309" s="29"/>
      <c r="Q309" s="38"/>
    </row>
    <row r="310" spans="1:17">
      <c r="A310" s="5"/>
      <c r="B310" s="13"/>
      <c r="C310" s="13"/>
      <c r="D310" s="13"/>
      <c r="E310" s="9"/>
      <c r="F310" s="32"/>
      <c r="G310" s="32"/>
      <c r="H310" s="32"/>
      <c r="I310" s="32"/>
      <c r="J310" s="29"/>
      <c r="K310" s="29"/>
      <c r="L310" s="29"/>
      <c r="M310" s="29"/>
      <c r="N310" s="29"/>
      <c r="O310" s="29"/>
      <c r="P310" s="29"/>
      <c r="Q310" s="38"/>
    </row>
    <row r="311" spans="1:17">
      <c r="A311" s="5"/>
      <c r="B311" s="13"/>
      <c r="C311" s="13"/>
      <c r="D311" s="13"/>
      <c r="E311" s="9"/>
      <c r="F311" s="32"/>
      <c r="G311" s="32"/>
      <c r="H311" s="32"/>
      <c r="I311" s="32"/>
      <c r="J311" s="29"/>
      <c r="K311" s="29"/>
      <c r="L311" s="29"/>
      <c r="M311" s="29"/>
      <c r="N311" s="29"/>
      <c r="O311" s="29"/>
      <c r="P311" s="29"/>
      <c r="Q311" s="38"/>
    </row>
    <row r="312" spans="1:17">
      <c r="A312" s="5"/>
      <c r="B312" s="13"/>
      <c r="C312" s="13"/>
      <c r="D312" s="13"/>
      <c r="E312" s="9"/>
      <c r="F312" s="32"/>
      <c r="G312" s="32"/>
      <c r="H312" s="32"/>
      <c r="I312" s="32"/>
      <c r="J312" s="29"/>
      <c r="K312" s="29"/>
      <c r="L312" s="29"/>
      <c r="M312" s="29"/>
      <c r="N312" s="29"/>
      <c r="O312" s="29"/>
      <c r="P312" s="29"/>
      <c r="Q312" s="38"/>
    </row>
    <row r="313" spans="1:17">
      <c r="A313" s="5"/>
      <c r="B313" s="13"/>
      <c r="C313" s="13"/>
      <c r="D313" s="13"/>
      <c r="E313" s="9"/>
      <c r="F313" s="32"/>
      <c r="G313" s="32"/>
      <c r="H313" s="32"/>
      <c r="I313" s="32"/>
      <c r="J313" s="29"/>
      <c r="K313" s="29"/>
      <c r="L313" s="29"/>
      <c r="M313" s="29"/>
      <c r="N313" s="29"/>
      <c r="O313" s="29"/>
      <c r="P313" s="29"/>
      <c r="Q313" s="38"/>
    </row>
    <row r="314" spans="1:17">
      <c r="A314" s="5"/>
      <c r="B314" s="13"/>
      <c r="C314" s="13"/>
      <c r="D314" s="13"/>
      <c r="E314" s="9"/>
      <c r="F314" s="32"/>
      <c r="G314" s="32"/>
      <c r="H314" s="32"/>
      <c r="I314" s="32"/>
      <c r="J314" s="29"/>
      <c r="K314" s="29"/>
      <c r="L314" s="29"/>
      <c r="M314" s="29"/>
      <c r="N314" s="29"/>
      <c r="O314" s="29"/>
      <c r="P314" s="29"/>
      <c r="Q314" s="38"/>
    </row>
    <row r="315" spans="1:17">
      <c r="A315" s="5"/>
      <c r="B315" s="13"/>
      <c r="C315" s="13"/>
      <c r="D315" s="13"/>
      <c r="E315" s="9"/>
      <c r="F315" s="32"/>
      <c r="G315" s="32"/>
      <c r="H315" s="32"/>
      <c r="I315" s="32"/>
      <c r="J315" s="29"/>
      <c r="K315" s="29"/>
      <c r="L315" s="29"/>
      <c r="M315" s="29"/>
      <c r="N315" s="29"/>
      <c r="O315" s="29"/>
      <c r="P315" s="29"/>
      <c r="Q315" s="38"/>
    </row>
    <row r="316" spans="1:17">
      <c r="A316" s="5"/>
      <c r="B316" s="13"/>
      <c r="C316" s="13"/>
      <c r="D316" s="13"/>
      <c r="E316" s="9"/>
      <c r="F316" s="32"/>
      <c r="G316" s="32"/>
      <c r="H316" s="32"/>
      <c r="I316" s="32"/>
      <c r="J316" s="29"/>
      <c r="K316" s="29"/>
      <c r="L316" s="29"/>
      <c r="M316" s="29"/>
      <c r="N316" s="29"/>
      <c r="O316" s="29"/>
      <c r="P316" s="29"/>
      <c r="Q316" s="38"/>
    </row>
    <row r="317" spans="1:17">
      <c r="A317" s="5"/>
      <c r="B317" s="13"/>
      <c r="C317" s="13"/>
      <c r="D317" s="13"/>
      <c r="E317" s="9"/>
      <c r="F317" s="32"/>
      <c r="G317" s="32"/>
      <c r="H317" s="32"/>
      <c r="I317" s="32"/>
      <c r="J317" s="29"/>
      <c r="K317" s="29"/>
      <c r="L317" s="29"/>
      <c r="M317" s="29"/>
      <c r="N317" s="29"/>
      <c r="O317" s="29"/>
      <c r="P317" s="29"/>
      <c r="Q317" s="38"/>
    </row>
    <row r="318" spans="1:17">
      <c r="A318" s="5"/>
      <c r="B318" s="13"/>
      <c r="C318" s="13"/>
      <c r="D318" s="13"/>
      <c r="E318" s="9"/>
      <c r="F318" s="32"/>
      <c r="G318" s="32"/>
      <c r="H318" s="32"/>
      <c r="I318" s="32"/>
      <c r="J318" s="29"/>
      <c r="K318" s="29"/>
      <c r="L318" s="29"/>
      <c r="M318" s="29"/>
      <c r="N318" s="29"/>
      <c r="O318" s="29"/>
      <c r="P318" s="29"/>
      <c r="Q318" s="38"/>
    </row>
    <row r="319" spans="1:17">
      <c r="A319" s="5"/>
      <c r="B319" s="13"/>
      <c r="C319" s="13"/>
      <c r="D319" s="13"/>
      <c r="E319" s="9"/>
      <c r="F319" s="32"/>
      <c r="G319" s="32"/>
      <c r="H319" s="32"/>
      <c r="I319" s="32"/>
      <c r="J319" s="29"/>
      <c r="K319" s="29"/>
      <c r="L319" s="29"/>
      <c r="M319" s="29"/>
      <c r="N319" s="29"/>
      <c r="O319" s="29"/>
      <c r="P319" s="29"/>
      <c r="Q319" s="38"/>
    </row>
    <row r="320" spans="1:17">
      <c r="A320" s="5"/>
      <c r="B320" s="13"/>
      <c r="C320" s="13"/>
      <c r="D320" s="13"/>
      <c r="E320" s="9"/>
      <c r="F320" s="32"/>
      <c r="G320" s="32"/>
      <c r="H320" s="32"/>
      <c r="I320" s="32"/>
      <c r="J320" s="29"/>
      <c r="K320" s="29"/>
      <c r="L320" s="29"/>
      <c r="M320" s="29"/>
      <c r="N320" s="29"/>
      <c r="O320" s="29"/>
      <c r="P320" s="29"/>
      <c r="Q320" s="38"/>
    </row>
    <row r="321" spans="1:17">
      <c r="A321" s="5"/>
      <c r="B321" s="13"/>
      <c r="C321" s="13"/>
      <c r="D321" s="13"/>
      <c r="E321" s="9"/>
      <c r="F321" s="32"/>
      <c r="G321" s="32"/>
      <c r="H321" s="32"/>
      <c r="I321" s="32"/>
      <c r="J321" s="29"/>
      <c r="K321" s="29"/>
      <c r="L321" s="29"/>
      <c r="M321" s="29"/>
      <c r="N321" s="29"/>
      <c r="O321" s="29"/>
      <c r="P321" s="29"/>
      <c r="Q321" s="38"/>
    </row>
    <row r="322" spans="1:17">
      <c r="A322" s="5"/>
      <c r="B322" s="13"/>
      <c r="C322" s="13"/>
      <c r="D322" s="13"/>
      <c r="E322" s="9"/>
      <c r="F322" s="32"/>
      <c r="G322" s="32"/>
      <c r="H322" s="32"/>
      <c r="I322" s="32"/>
      <c r="J322" s="29"/>
      <c r="K322" s="29"/>
      <c r="L322" s="29"/>
      <c r="M322" s="29"/>
      <c r="N322" s="29"/>
      <c r="O322" s="29"/>
      <c r="P322" s="29"/>
      <c r="Q322" s="38"/>
    </row>
    <row r="323" spans="1:17">
      <c r="A323" s="5"/>
      <c r="B323" s="13"/>
      <c r="C323" s="13"/>
      <c r="D323" s="13"/>
      <c r="E323" s="9"/>
      <c r="F323" s="32"/>
      <c r="G323" s="32"/>
      <c r="H323" s="32"/>
      <c r="I323" s="32"/>
      <c r="J323" s="29"/>
      <c r="K323" s="29"/>
      <c r="L323" s="29"/>
      <c r="M323" s="29"/>
      <c r="N323" s="29"/>
      <c r="O323" s="29"/>
      <c r="P323" s="29"/>
      <c r="Q323" s="38"/>
    </row>
    <row r="324" spans="1:17">
      <c r="A324" s="5"/>
      <c r="B324" s="13"/>
      <c r="C324" s="13"/>
      <c r="D324" s="13"/>
      <c r="E324" s="9"/>
      <c r="F324" s="32"/>
      <c r="G324" s="32"/>
      <c r="H324" s="32"/>
      <c r="I324" s="32"/>
      <c r="J324" s="29"/>
      <c r="K324" s="29"/>
      <c r="L324" s="29"/>
      <c r="M324" s="29"/>
      <c r="N324" s="29"/>
      <c r="O324" s="29"/>
      <c r="P324" s="29"/>
      <c r="Q324" s="38"/>
    </row>
    <row r="325" spans="1:17">
      <c r="A325" s="5"/>
      <c r="B325" s="13"/>
      <c r="C325" s="13"/>
      <c r="D325" s="13"/>
      <c r="E325" s="9"/>
      <c r="F325" s="32"/>
      <c r="G325" s="32"/>
      <c r="H325" s="32"/>
      <c r="I325" s="32"/>
      <c r="J325" s="29"/>
      <c r="K325" s="29"/>
      <c r="L325" s="29"/>
      <c r="M325" s="29"/>
      <c r="N325" s="29"/>
      <c r="O325" s="29"/>
      <c r="P325" s="29"/>
      <c r="Q325" s="38"/>
    </row>
    <row r="326" spans="1:17">
      <c r="A326" s="5"/>
      <c r="B326" s="13"/>
      <c r="C326" s="13"/>
      <c r="D326" s="13"/>
      <c r="E326" s="9"/>
      <c r="F326" s="32"/>
      <c r="G326" s="32"/>
      <c r="H326" s="32"/>
      <c r="I326" s="32"/>
      <c r="J326" s="29"/>
      <c r="K326" s="29"/>
      <c r="L326" s="29"/>
      <c r="M326" s="29"/>
      <c r="N326" s="29"/>
      <c r="O326" s="29"/>
      <c r="P326" s="29"/>
      <c r="Q326" s="38"/>
    </row>
    <row r="327" spans="1:17">
      <c r="A327" s="5"/>
      <c r="B327" s="13"/>
      <c r="C327" s="13"/>
      <c r="D327" s="13"/>
      <c r="E327" s="9"/>
      <c r="F327" s="32"/>
      <c r="G327" s="32"/>
      <c r="H327" s="32"/>
      <c r="I327" s="32"/>
      <c r="J327" s="29"/>
      <c r="K327" s="29"/>
      <c r="L327" s="29"/>
      <c r="M327" s="29"/>
      <c r="N327" s="29"/>
      <c r="O327" s="29"/>
      <c r="P327" s="29"/>
      <c r="Q327" s="38"/>
    </row>
    <row r="328" spans="1:17">
      <c r="A328" s="5"/>
      <c r="B328" s="13"/>
      <c r="C328" s="13"/>
      <c r="D328" s="13"/>
      <c r="E328" s="9"/>
      <c r="F328" s="32"/>
      <c r="G328" s="32"/>
      <c r="H328" s="32"/>
      <c r="I328" s="32"/>
      <c r="J328" s="29"/>
      <c r="K328" s="29"/>
      <c r="L328" s="29"/>
      <c r="M328" s="29"/>
      <c r="N328" s="29"/>
      <c r="O328" s="29"/>
      <c r="P328" s="29"/>
      <c r="Q328" s="38"/>
    </row>
    <row r="329" spans="1:17">
      <c r="A329" s="5"/>
      <c r="B329" s="13"/>
      <c r="C329" s="13"/>
      <c r="D329" s="13"/>
      <c r="E329" s="9"/>
      <c r="F329" s="32"/>
      <c r="G329" s="32"/>
      <c r="H329" s="32"/>
      <c r="I329" s="32"/>
      <c r="J329" s="29"/>
      <c r="K329" s="29"/>
      <c r="L329" s="29"/>
      <c r="M329" s="29"/>
      <c r="N329" s="29"/>
      <c r="O329" s="29"/>
      <c r="P329" s="29"/>
      <c r="Q329" s="38"/>
    </row>
    <row r="330" spans="1:17">
      <c r="A330" s="5"/>
      <c r="B330" s="13"/>
      <c r="C330" s="13"/>
      <c r="D330" s="13"/>
      <c r="E330" s="9"/>
      <c r="F330" s="32"/>
      <c r="G330" s="32"/>
      <c r="H330" s="32"/>
      <c r="I330" s="32"/>
      <c r="J330" s="29"/>
      <c r="K330" s="29"/>
      <c r="L330" s="29"/>
      <c r="M330" s="29"/>
      <c r="N330" s="29"/>
      <c r="O330" s="29"/>
      <c r="P330" s="29"/>
      <c r="Q330" s="38"/>
    </row>
    <row r="331" spans="1:17">
      <c r="A331" s="5"/>
      <c r="B331" s="13"/>
      <c r="C331" s="13"/>
      <c r="D331" s="13"/>
      <c r="E331" s="9"/>
      <c r="F331" s="32"/>
      <c r="G331" s="32"/>
      <c r="H331" s="32"/>
      <c r="I331" s="32"/>
      <c r="J331" s="29"/>
      <c r="K331" s="29"/>
      <c r="L331" s="29"/>
      <c r="M331" s="29"/>
      <c r="N331" s="29"/>
      <c r="O331" s="29"/>
      <c r="P331" s="29"/>
      <c r="Q331" s="38"/>
    </row>
    <row r="332" spans="1:17">
      <c r="A332" s="5"/>
      <c r="B332" s="13"/>
      <c r="C332" s="13"/>
      <c r="D332" s="13"/>
      <c r="E332" s="9"/>
      <c r="F332" s="32"/>
      <c r="G332" s="32"/>
      <c r="H332" s="32"/>
      <c r="I332" s="32"/>
      <c r="J332" s="29"/>
      <c r="K332" s="29"/>
      <c r="L332" s="29"/>
      <c r="M332" s="29"/>
      <c r="N332" s="29"/>
      <c r="O332" s="29"/>
      <c r="P332" s="29"/>
      <c r="Q332" s="38"/>
    </row>
    <row r="333" spans="1:17">
      <c r="A333" s="5"/>
      <c r="B333" s="13"/>
      <c r="C333" s="13"/>
      <c r="D333" s="13"/>
      <c r="E333" s="9"/>
      <c r="F333" s="32"/>
      <c r="G333" s="32"/>
      <c r="H333" s="32"/>
      <c r="I333" s="32"/>
      <c r="J333" s="29"/>
      <c r="K333" s="29"/>
      <c r="L333" s="29"/>
      <c r="M333" s="29"/>
      <c r="N333" s="29"/>
      <c r="O333" s="29"/>
      <c r="P333" s="29"/>
      <c r="Q333" s="38"/>
    </row>
    <row r="334" spans="1:17">
      <c r="A334" s="5"/>
      <c r="B334" s="13"/>
      <c r="C334" s="13"/>
      <c r="D334" s="13"/>
      <c r="E334" s="9"/>
      <c r="F334" s="32"/>
      <c r="G334" s="32"/>
      <c r="H334" s="32"/>
      <c r="I334" s="32"/>
      <c r="J334" s="29"/>
      <c r="K334" s="29"/>
      <c r="L334" s="29"/>
      <c r="M334" s="29"/>
      <c r="N334" s="29"/>
      <c r="O334" s="29"/>
      <c r="P334" s="29"/>
      <c r="Q334" s="38"/>
    </row>
    <row r="335" spans="1:17">
      <c r="A335" s="5"/>
      <c r="B335" s="13"/>
      <c r="C335" s="13"/>
      <c r="D335" s="13"/>
      <c r="E335" s="9"/>
      <c r="F335" s="32"/>
      <c r="G335" s="32"/>
      <c r="H335" s="32"/>
      <c r="I335" s="32"/>
      <c r="J335" s="29"/>
      <c r="K335" s="29"/>
      <c r="L335" s="29"/>
      <c r="M335" s="29"/>
      <c r="N335" s="29"/>
      <c r="O335" s="29"/>
      <c r="P335" s="29"/>
      <c r="Q335" s="38"/>
    </row>
    <row r="336" spans="1:17">
      <c r="A336" s="5"/>
      <c r="B336" s="13"/>
      <c r="C336" s="13"/>
      <c r="D336" s="13"/>
      <c r="E336" s="9"/>
      <c r="F336" s="32"/>
      <c r="G336" s="32"/>
      <c r="H336" s="32"/>
      <c r="I336" s="32"/>
      <c r="J336" s="29"/>
      <c r="K336" s="29"/>
      <c r="L336" s="29"/>
      <c r="M336" s="29"/>
      <c r="N336" s="29"/>
      <c r="O336" s="29"/>
      <c r="P336" s="29"/>
      <c r="Q336" s="38"/>
    </row>
    <row r="337" spans="1:17">
      <c r="A337" s="5"/>
      <c r="B337" s="13"/>
      <c r="C337" s="13"/>
      <c r="D337" s="13"/>
      <c r="E337" s="9"/>
      <c r="F337" s="32"/>
      <c r="G337" s="32"/>
      <c r="H337" s="32"/>
      <c r="I337" s="32"/>
      <c r="J337" s="29"/>
      <c r="K337" s="29"/>
      <c r="L337" s="29"/>
      <c r="M337" s="29"/>
      <c r="N337" s="29"/>
      <c r="O337" s="29"/>
      <c r="P337" s="29"/>
      <c r="Q337" s="38"/>
    </row>
    <row r="338" spans="1:17">
      <c r="A338" s="5"/>
      <c r="B338" s="13"/>
      <c r="C338" s="13"/>
      <c r="D338" s="13"/>
      <c r="E338" s="9"/>
      <c r="F338" s="32"/>
      <c r="G338" s="32"/>
      <c r="H338" s="32"/>
      <c r="I338" s="32"/>
      <c r="J338" s="29"/>
      <c r="K338" s="29"/>
      <c r="L338" s="29"/>
      <c r="M338" s="29"/>
      <c r="N338" s="29"/>
      <c r="O338" s="29"/>
      <c r="P338" s="29"/>
      <c r="Q338" s="38"/>
    </row>
    <row r="339" spans="1:17">
      <c r="A339" s="5"/>
      <c r="B339" s="13"/>
      <c r="C339" s="13"/>
      <c r="D339" s="13"/>
      <c r="E339" s="9"/>
      <c r="F339" s="32"/>
      <c r="G339" s="32"/>
      <c r="H339" s="32"/>
      <c r="I339" s="32"/>
      <c r="J339" s="29"/>
      <c r="K339" s="29"/>
      <c r="L339" s="29"/>
      <c r="M339" s="29"/>
      <c r="N339" s="29"/>
      <c r="O339" s="29"/>
      <c r="P339" s="29"/>
      <c r="Q339" s="38"/>
    </row>
    <row r="340" spans="1:17">
      <c r="A340" s="5"/>
      <c r="B340" s="13"/>
      <c r="C340" s="13"/>
      <c r="D340" s="13"/>
      <c r="E340" s="9"/>
      <c r="F340" s="32"/>
      <c r="G340" s="32"/>
      <c r="H340" s="32"/>
      <c r="I340" s="32"/>
      <c r="J340" s="29"/>
      <c r="K340" s="29"/>
      <c r="L340" s="29"/>
      <c r="M340" s="29"/>
      <c r="N340" s="29"/>
      <c r="O340" s="29"/>
      <c r="P340" s="29"/>
      <c r="Q340" s="38"/>
    </row>
    <row r="341" spans="1:17">
      <c r="A341" s="5"/>
      <c r="B341" s="13"/>
      <c r="C341" s="13"/>
      <c r="D341" s="13"/>
      <c r="E341" s="9"/>
      <c r="F341" s="32"/>
      <c r="G341" s="32"/>
      <c r="H341" s="32"/>
      <c r="I341" s="32"/>
      <c r="J341" s="29"/>
      <c r="K341" s="29"/>
      <c r="L341" s="29"/>
      <c r="M341" s="29"/>
      <c r="N341" s="29"/>
      <c r="O341" s="29"/>
      <c r="P341" s="29"/>
      <c r="Q341" s="38"/>
    </row>
    <row r="342" spans="1:17">
      <c r="A342" s="5"/>
      <c r="B342" s="13"/>
      <c r="C342" s="13"/>
      <c r="D342" s="13"/>
      <c r="E342" s="9"/>
      <c r="F342" s="32"/>
      <c r="G342" s="32"/>
      <c r="H342" s="32"/>
      <c r="I342" s="32"/>
      <c r="J342" s="29"/>
      <c r="K342" s="29"/>
      <c r="L342" s="29"/>
      <c r="M342" s="29"/>
      <c r="N342" s="29"/>
      <c r="O342" s="29"/>
      <c r="P342" s="29"/>
      <c r="Q342" s="38"/>
    </row>
    <row r="343" spans="1:17">
      <c r="A343" s="5"/>
      <c r="B343" s="13"/>
      <c r="C343" s="13"/>
      <c r="D343" s="13"/>
      <c r="E343" s="9"/>
      <c r="F343" s="32"/>
      <c r="G343" s="32"/>
      <c r="H343" s="32"/>
      <c r="I343" s="32"/>
      <c r="J343" s="29"/>
      <c r="K343" s="29"/>
      <c r="L343" s="29"/>
      <c r="M343" s="29"/>
      <c r="N343" s="29"/>
      <c r="O343" s="29"/>
      <c r="P343" s="29"/>
      <c r="Q343" s="38"/>
    </row>
    <row r="344" spans="1:17">
      <c r="A344" s="5"/>
      <c r="B344" s="13"/>
      <c r="C344" s="13"/>
      <c r="D344" s="13"/>
      <c r="E344" s="9"/>
      <c r="F344" s="32"/>
      <c r="G344" s="32"/>
      <c r="H344" s="32"/>
      <c r="I344" s="32"/>
      <c r="J344" s="29"/>
      <c r="K344" s="29"/>
      <c r="L344" s="29"/>
      <c r="M344" s="29"/>
      <c r="N344" s="29"/>
      <c r="O344" s="29"/>
      <c r="P344" s="29"/>
      <c r="Q344" s="38"/>
    </row>
    <row r="345" spans="1:17">
      <c r="A345" s="5"/>
      <c r="B345" s="13"/>
      <c r="C345" s="13"/>
      <c r="D345" s="13"/>
      <c r="E345" s="9"/>
      <c r="F345" s="32"/>
      <c r="G345" s="32"/>
      <c r="H345" s="32"/>
      <c r="I345" s="32"/>
      <c r="J345" s="29"/>
      <c r="K345" s="29"/>
      <c r="L345" s="29"/>
      <c r="M345" s="29"/>
      <c r="N345" s="29"/>
      <c r="O345" s="29"/>
      <c r="P345" s="29"/>
      <c r="Q345" s="38"/>
    </row>
    <row r="346" spans="1:17">
      <c r="A346" s="5"/>
      <c r="B346" s="13"/>
      <c r="C346" s="13"/>
      <c r="D346" s="13"/>
      <c r="E346" s="9"/>
      <c r="F346" s="32"/>
      <c r="G346" s="32"/>
      <c r="H346" s="32"/>
      <c r="I346" s="32"/>
      <c r="J346" s="29"/>
      <c r="K346" s="29"/>
      <c r="L346" s="29"/>
      <c r="M346" s="29"/>
      <c r="N346" s="29"/>
      <c r="O346" s="29"/>
      <c r="P346" s="29"/>
      <c r="Q346" s="38"/>
    </row>
    <row r="347" spans="1:17">
      <c r="A347" s="5"/>
      <c r="B347" s="13"/>
      <c r="C347" s="13"/>
      <c r="D347" s="13"/>
      <c r="E347" s="9"/>
      <c r="F347" s="32"/>
      <c r="G347" s="32"/>
      <c r="H347" s="32"/>
      <c r="I347" s="32"/>
      <c r="J347" s="29"/>
      <c r="K347" s="29"/>
      <c r="L347" s="29"/>
      <c r="M347" s="29"/>
      <c r="N347" s="29"/>
      <c r="O347" s="29"/>
      <c r="P347" s="29"/>
      <c r="Q347" s="38"/>
    </row>
    <row r="348" spans="1:17">
      <c r="A348" s="5"/>
      <c r="B348" s="13"/>
      <c r="C348" s="13"/>
      <c r="D348" s="13"/>
      <c r="E348" s="9"/>
      <c r="F348" s="32"/>
      <c r="G348" s="32"/>
      <c r="H348" s="32"/>
      <c r="I348" s="32"/>
      <c r="J348" s="29"/>
      <c r="K348" s="29"/>
      <c r="L348" s="29"/>
      <c r="M348" s="29"/>
      <c r="N348" s="29"/>
      <c r="O348" s="29"/>
      <c r="P348" s="29"/>
      <c r="Q348" s="38"/>
    </row>
    <row r="349" spans="1:17">
      <c r="A349" s="5"/>
      <c r="B349" s="13"/>
      <c r="C349" s="13"/>
      <c r="D349" s="13"/>
      <c r="E349" s="9"/>
      <c r="F349" s="32"/>
      <c r="G349" s="32"/>
      <c r="H349" s="32"/>
      <c r="I349" s="32"/>
      <c r="J349" s="29"/>
      <c r="K349" s="29"/>
      <c r="L349" s="29"/>
      <c r="M349" s="29"/>
      <c r="N349" s="29"/>
      <c r="O349" s="29"/>
      <c r="P349" s="29"/>
      <c r="Q349" s="38"/>
    </row>
    <row r="350" spans="1:17">
      <c r="A350" s="5"/>
      <c r="B350" s="13"/>
      <c r="C350" s="13"/>
      <c r="D350" s="13"/>
      <c r="E350" s="9"/>
      <c r="F350" s="32"/>
      <c r="G350" s="32"/>
      <c r="H350" s="32"/>
      <c r="I350" s="32"/>
      <c r="J350" s="29"/>
      <c r="K350" s="29"/>
      <c r="L350" s="29"/>
      <c r="M350" s="29"/>
      <c r="N350" s="29"/>
      <c r="O350" s="29"/>
      <c r="P350" s="29"/>
      <c r="Q350" s="38"/>
    </row>
    <row r="351" spans="1:17">
      <c r="A351" s="5"/>
      <c r="B351" s="13"/>
      <c r="C351" s="13"/>
      <c r="D351" s="13"/>
      <c r="E351" s="9"/>
      <c r="F351" s="32"/>
      <c r="G351" s="32"/>
      <c r="H351" s="32"/>
      <c r="I351" s="32"/>
      <c r="J351" s="29"/>
      <c r="K351" s="29"/>
      <c r="L351" s="29"/>
      <c r="M351" s="29"/>
      <c r="N351" s="29"/>
      <c r="O351" s="29"/>
      <c r="P351" s="29"/>
      <c r="Q351" s="38"/>
    </row>
    <row r="352" spans="1:17">
      <c r="A352" s="5"/>
      <c r="B352" s="13"/>
      <c r="C352" s="13"/>
      <c r="D352" s="13"/>
      <c r="E352" s="9"/>
      <c r="F352" s="32"/>
      <c r="G352" s="32"/>
      <c r="H352" s="32"/>
      <c r="I352" s="32"/>
      <c r="J352" s="29"/>
      <c r="K352" s="29"/>
      <c r="L352" s="29"/>
      <c r="M352" s="29"/>
      <c r="N352" s="29"/>
      <c r="O352" s="29"/>
      <c r="P352" s="29"/>
      <c r="Q352" s="38"/>
    </row>
    <row r="353" spans="1:17">
      <c r="A353" s="5"/>
      <c r="B353" s="13"/>
      <c r="C353" s="13"/>
      <c r="D353" s="13"/>
      <c r="E353" s="9"/>
      <c r="F353" s="32"/>
      <c r="G353" s="32"/>
      <c r="H353" s="32"/>
      <c r="I353" s="32"/>
      <c r="J353" s="29"/>
      <c r="K353" s="29"/>
      <c r="L353" s="29"/>
      <c r="M353" s="29"/>
      <c r="N353" s="29"/>
      <c r="O353" s="29"/>
      <c r="P353" s="29"/>
      <c r="Q353" s="38"/>
    </row>
    <row r="354" spans="1:17">
      <c r="A354" s="5"/>
      <c r="B354" s="13"/>
      <c r="C354" s="13"/>
      <c r="D354" s="13"/>
      <c r="E354" s="9"/>
      <c r="F354" s="32"/>
      <c r="G354" s="32"/>
      <c r="H354" s="32"/>
      <c r="I354" s="32"/>
      <c r="J354" s="29"/>
      <c r="K354" s="29"/>
      <c r="L354" s="29"/>
      <c r="M354" s="29"/>
      <c r="N354" s="29"/>
      <c r="O354" s="29"/>
      <c r="P354" s="29"/>
      <c r="Q354" s="38"/>
    </row>
    <row r="355" spans="1:17">
      <c r="A355" s="5"/>
      <c r="B355" s="13"/>
      <c r="C355" s="13"/>
      <c r="D355" s="13"/>
      <c r="E355" s="9"/>
      <c r="F355" s="32"/>
      <c r="G355" s="32"/>
      <c r="H355" s="32"/>
      <c r="I355" s="32"/>
      <c r="J355" s="29"/>
      <c r="K355" s="29"/>
      <c r="L355" s="29"/>
      <c r="M355" s="29"/>
      <c r="N355" s="29"/>
      <c r="O355" s="29"/>
      <c r="P355" s="29"/>
      <c r="Q355" s="38"/>
    </row>
    <row r="356" spans="1:17">
      <c r="A356" s="5"/>
      <c r="B356" s="13"/>
      <c r="C356" s="13"/>
      <c r="D356" s="13"/>
      <c r="E356" s="9"/>
      <c r="F356" s="32"/>
      <c r="G356" s="32"/>
      <c r="H356" s="32"/>
      <c r="I356" s="32"/>
      <c r="J356" s="29"/>
      <c r="K356" s="29"/>
      <c r="L356" s="29"/>
      <c r="M356" s="29"/>
      <c r="N356" s="29"/>
      <c r="O356" s="29"/>
      <c r="P356" s="29"/>
      <c r="Q356" s="38"/>
    </row>
    <row r="357" spans="1:17">
      <c r="A357" s="5"/>
      <c r="B357" s="13"/>
      <c r="C357" s="13"/>
      <c r="D357" s="13"/>
      <c r="E357" s="9"/>
      <c r="F357" s="32"/>
      <c r="G357" s="32"/>
      <c r="H357" s="32"/>
      <c r="I357" s="32"/>
      <c r="J357" s="29"/>
      <c r="K357" s="29"/>
      <c r="L357" s="29"/>
      <c r="M357" s="29"/>
      <c r="N357" s="29"/>
      <c r="O357" s="29"/>
      <c r="P357" s="29"/>
      <c r="Q357" s="38"/>
    </row>
    <row r="358" spans="1:17">
      <c r="A358" s="5"/>
      <c r="B358" s="13"/>
      <c r="C358" s="13"/>
      <c r="D358" s="13"/>
      <c r="E358" s="9"/>
      <c r="F358" s="32"/>
      <c r="G358" s="32"/>
      <c r="H358" s="32"/>
      <c r="I358" s="32"/>
      <c r="J358" s="29"/>
      <c r="K358" s="29"/>
      <c r="L358" s="29"/>
      <c r="M358" s="29"/>
      <c r="N358" s="29"/>
      <c r="O358" s="29"/>
      <c r="P358" s="29"/>
      <c r="Q358" s="38"/>
    </row>
    <row r="359" spans="1:17">
      <c r="A359" s="5"/>
      <c r="B359" s="13"/>
      <c r="C359" s="13"/>
      <c r="D359" s="13"/>
      <c r="E359" s="9"/>
      <c r="F359" s="32"/>
      <c r="G359" s="32"/>
      <c r="H359" s="32"/>
      <c r="I359" s="32"/>
      <c r="J359" s="29"/>
      <c r="K359" s="29"/>
      <c r="L359" s="29"/>
      <c r="M359" s="29"/>
      <c r="N359" s="29"/>
      <c r="O359" s="29"/>
      <c r="P359" s="29"/>
      <c r="Q359" s="38"/>
    </row>
    <row r="360" spans="1:17">
      <c r="A360" s="5"/>
      <c r="B360" s="13"/>
      <c r="C360" s="13"/>
      <c r="D360" s="13"/>
      <c r="E360" s="9"/>
      <c r="F360" s="32"/>
      <c r="G360" s="32"/>
      <c r="H360" s="32"/>
      <c r="I360" s="32"/>
      <c r="J360" s="29"/>
      <c r="K360" s="29"/>
      <c r="L360" s="29"/>
      <c r="M360" s="29"/>
      <c r="N360" s="29"/>
      <c r="O360" s="29"/>
      <c r="P360" s="29"/>
      <c r="Q360" s="38"/>
    </row>
    <row r="361" spans="1:17">
      <c r="A361" s="5"/>
      <c r="B361" s="13"/>
      <c r="C361" s="13"/>
      <c r="D361" s="13"/>
      <c r="E361" s="9"/>
      <c r="F361" s="32"/>
      <c r="G361" s="32"/>
      <c r="H361" s="32"/>
      <c r="I361" s="32"/>
      <c r="J361" s="29"/>
      <c r="K361" s="29"/>
      <c r="L361" s="29"/>
      <c r="M361" s="29"/>
      <c r="N361" s="29"/>
      <c r="O361" s="29"/>
      <c r="P361" s="29"/>
      <c r="Q361" s="38"/>
    </row>
    <row r="362" spans="1:17">
      <c r="A362" s="5"/>
      <c r="B362" s="13"/>
      <c r="C362" s="13"/>
      <c r="D362" s="13"/>
      <c r="E362" s="9"/>
      <c r="F362" s="32"/>
      <c r="G362" s="32"/>
      <c r="H362" s="32"/>
      <c r="I362" s="32"/>
      <c r="J362" s="29"/>
      <c r="K362" s="29"/>
      <c r="L362" s="29"/>
      <c r="M362" s="29"/>
      <c r="N362" s="29"/>
      <c r="O362" s="29"/>
      <c r="P362" s="29"/>
      <c r="Q362" s="38"/>
    </row>
    <row r="363" spans="1:17">
      <c r="A363" s="5"/>
      <c r="B363" s="13"/>
      <c r="C363" s="13"/>
      <c r="D363" s="13"/>
      <c r="E363" s="9"/>
      <c r="F363" s="32"/>
      <c r="G363" s="32"/>
      <c r="H363" s="32"/>
      <c r="I363" s="32"/>
      <c r="J363" s="29"/>
      <c r="K363" s="29"/>
      <c r="L363" s="29"/>
      <c r="M363" s="29"/>
      <c r="N363" s="29"/>
      <c r="O363" s="29"/>
      <c r="P363" s="29"/>
      <c r="Q363" s="38"/>
    </row>
    <row r="364" spans="1:17">
      <c r="A364" s="5"/>
      <c r="B364" s="13"/>
      <c r="C364" s="13"/>
      <c r="D364" s="13"/>
      <c r="E364" s="9"/>
      <c r="F364" s="32"/>
      <c r="G364" s="32"/>
      <c r="H364" s="32"/>
      <c r="I364" s="32"/>
      <c r="J364" s="29"/>
      <c r="K364" s="29"/>
      <c r="L364" s="29"/>
      <c r="M364" s="29"/>
      <c r="N364" s="29"/>
      <c r="O364" s="29"/>
      <c r="P364" s="29"/>
      <c r="Q364" s="38"/>
    </row>
    <row r="365" spans="1:17">
      <c r="A365" s="5"/>
      <c r="B365" s="13"/>
      <c r="C365" s="13"/>
      <c r="D365" s="13"/>
      <c r="E365" s="9"/>
      <c r="F365" s="32"/>
      <c r="G365" s="32"/>
      <c r="H365" s="32"/>
      <c r="I365" s="32"/>
      <c r="J365" s="29"/>
      <c r="K365" s="29"/>
      <c r="L365" s="29"/>
      <c r="M365" s="29"/>
      <c r="N365" s="29"/>
      <c r="O365" s="29"/>
      <c r="P365" s="29"/>
      <c r="Q365" s="38"/>
    </row>
    <row r="366" spans="1:17">
      <c r="A366" s="5"/>
      <c r="B366" s="13"/>
      <c r="C366" s="13"/>
      <c r="D366" s="13"/>
      <c r="E366" s="9"/>
      <c r="F366" s="32"/>
      <c r="G366" s="32"/>
      <c r="H366" s="32"/>
      <c r="I366" s="32"/>
      <c r="J366" s="29"/>
      <c r="K366" s="29"/>
      <c r="L366" s="29"/>
      <c r="M366" s="29"/>
      <c r="N366" s="29"/>
      <c r="O366" s="29"/>
      <c r="P366" s="29"/>
      <c r="Q366" s="38"/>
    </row>
    <row r="367" spans="1:17">
      <c r="A367" s="5"/>
      <c r="B367" s="13"/>
      <c r="C367" s="13"/>
      <c r="D367" s="13"/>
      <c r="E367" s="9"/>
      <c r="F367" s="32"/>
      <c r="G367" s="32"/>
      <c r="H367" s="32"/>
      <c r="I367" s="32"/>
      <c r="J367" s="29"/>
      <c r="K367" s="29"/>
      <c r="L367" s="29"/>
      <c r="M367" s="29"/>
      <c r="N367" s="29"/>
      <c r="O367" s="29"/>
      <c r="P367" s="29"/>
      <c r="Q367" s="38"/>
    </row>
    <row r="368" spans="1:17">
      <c r="A368" s="5"/>
      <c r="B368" s="13"/>
      <c r="C368" s="13"/>
      <c r="D368" s="13"/>
      <c r="E368" s="9"/>
      <c r="F368" s="32"/>
      <c r="G368" s="32"/>
      <c r="H368" s="32"/>
      <c r="I368" s="32"/>
      <c r="J368" s="29"/>
      <c r="K368" s="29"/>
      <c r="L368" s="29"/>
      <c r="M368" s="29"/>
      <c r="N368" s="29"/>
      <c r="O368" s="29"/>
      <c r="P368" s="29"/>
      <c r="Q368" s="38"/>
    </row>
    <row r="369" spans="1:17">
      <c r="A369" s="5"/>
      <c r="B369" s="13"/>
      <c r="C369" s="13"/>
      <c r="D369" s="13"/>
      <c r="E369" s="9"/>
      <c r="F369" s="32"/>
      <c r="G369" s="32"/>
      <c r="H369" s="32"/>
      <c r="I369" s="32"/>
      <c r="J369" s="29"/>
      <c r="K369" s="29"/>
      <c r="L369" s="29"/>
      <c r="M369" s="29"/>
      <c r="N369" s="29"/>
      <c r="O369" s="29"/>
      <c r="P369" s="29"/>
      <c r="Q369" s="38"/>
    </row>
    <row r="370" spans="1:17">
      <c r="A370" s="5"/>
      <c r="B370" s="13"/>
      <c r="C370" s="13"/>
      <c r="D370" s="13"/>
      <c r="E370" s="9"/>
      <c r="F370" s="32"/>
      <c r="G370" s="32"/>
      <c r="H370" s="32"/>
      <c r="I370" s="32"/>
      <c r="J370" s="29"/>
      <c r="K370" s="29"/>
      <c r="L370" s="29"/>
      <c r="M370" s="29"/>
      <c r="N370" s="29"/>
      <c r="O370" s="29"/>
      <c r="P370" s="29"/>
      <c r="Q370" s="38"/>
    </row>
    <row r="371" spans="1:17">
      <c r="A371" s="5"/>
      <c r="B371" s="13"/>
      <c r="C371" s="13"/>
      <c r="D371" s="13"/>
      <c r="E371" s="9"/>
      <c r="F371" s="32"/>
      <c r="G371" s="32"/>
      <c r="H371" s="32"/>
      <c r="I371" s="32"/>
      <c r="J371" s="29"/>
      <c r="K371" s="29"/>
      <c r="L371" s="29"/>
      <c r="M371" s="29"/>
      <c r="N371" s="29"/>
      <c r="O371" s="29"/>
      <c r="P371" s="29"/>
      <c r="Q371" s="38"/>
    </row>
    <row r="372" spans="1:17">
      <c r="A372" s="5"/>
      <c r="B372" s="13"/>
      <c r="C372" s="13"/>
      <c r="D372" s="13"/>
      <c r="E372" s="9"/>
      <c r="F372" s="32"/>
      <c r="G372" s="32"/>
      <c r="H372" s="32"/>
      <c r="I372" s="32"/>
      <c r="J372" s="29"/>
      <c r="K372" s="29"/>
      <c r="L372" s="29"/>
      <c r="M372" s="29"/>
      <c r="N372" s="29"/>
      <c r="O372" s="29"/>
      <c r="P372" s="29"/>
      <c r="Q372" s="38"/>
    </row>
    <row r="373" spans="1:17">
      <c r="A373" s="5"/>
      <c r="B373" s="13"/>
      <c r="C373" s="13"/>
      <c r="D373" s="13"/>
      <c r="E373" s="9"/>
      <c r="F373" s="32"/>
      <c r="G373" s="32"/>
      <c r="H373" s="32"/>
      <c r="I373" s="32"/>
      <c r="J373" s="29"/>
      <c r="K373" s="29"/>
      <c r="L373" s="29"/>
      <c r="M373" s="29"/>
      <c r="N373" s="29"/>
      <c r="O373" s="29"/>
      <c r="P373" s="29"/>
      <c r="Q373" s="38"/>
    </row>
    <row r="374" spans="1:17">
      <c r="A374" s="5"/>
      <c r="B374" s="13"/>
      <c r="C374" s="13"/>
      <c r="D374" s="13"/>
      <c r="E374" s="9"/>
      <c r="F374" s="32"/>
      <c r="G374" s="32"/>
      <c r="H374" s="32"/>
      <c r="I374" s="32"/>
      <c r="J374" s="29"/>
      <c r="K374" s="29"/>
      <c r="L374" s="29"/>
      <c r="M374" s="29"/>
      <c r="N374" s="29"/>
      <c r="O374" s="29"/>
      <c r="P374" s="29"/>
      <c r="Q374" s="38"/>
    </row>
    <row r="375" spans="1:17">
      <c r="A375" s="5"/>
      <c r="B375" s="13"/>
      <c r="C375" s="13"/>
      <c r="D375" s="13"/>
      <c r="E375" s="9"/>
      <c r="F375" s="32"/>
      <c r="G375" s="32"/>
      <c r="H375" s="32"/>
      <c r="I375" s="32"/>
      <c r="J375" s="29"/>
      <c r="K375" s="29"/>
      <c r="L375" s="29"/>
      <c r="M375" s="29"/>
      <c r="N375" s="29"/>
      <c r="O375" s="29"/>
      <c r="P375" s="29"/>
      <c r="Q375" s="38"/>
    </row>
    <row r="376" spans="1:17">
      <c r="A376" s="5"/>
      <c r="B376" s="13"/>
      <c r="C376" s="13"/>
      <c r="D376" s="13"/>
      <c r="E376" s="9"/>
      <c r="F376" s="32"/>
      <c r="G376" s="32"/>
      <c r="H376" s="32"/>
      <c r="I376" s="32"/>
      <c r="J376" s="29"/>
      <c r="K376" s="29"/>
      <c r="L376" s="29"/>
      <c r="M376" s="29"/>
      <c r="N376" s="29"/>
      <c r="O376" s="29"/>
      <c r="P376" s="29"/>
      <c r="Q376" s="38"/>
    </row>
    <row r="377" spans="1:17">
      <c r="A377" s="5"/>
      <c r="B377" s="13"/>
      <c r="C377" s="13"/>
      <c r="D377" s="13"/>
      <c r="E377" s="9"/>
      <c r="F377" s="32"/>
      <c r="G377" s="32"/>
      <c r="H377" s="32"/>
      <c r="I377" s="32"/>
      <c r="J377" s="29"/>
      <c r="K377" s="29"/>
      <c r="L377" s="29"/>
      <c r="M377" s="29"/>
      <c r="N377" s="29"/>
      <c r="O377" s="29"/>
      <c r="P377" s="29"/>
      <c r="Q377" s="38"/>
    </row>
    <row r="378" spans="1:17">
      <c r="A378" s="5"/>
      <c r="B378" s="13"/>
      <c r="C378" s="13"/>
      <c r="D378" s="13"/>
      <c r="E378" s="9"/>
      <c r="F378" s="32"/>
      <c r="G378" s="32"/>
      <c r="H378" s="32"/>
      <c r="I378" s="32"/>
      <c r="J378" s="29"/>
      <c r="K378" s="29"/>
      <c r="L378" s="29"/>
      <c r="M378" s="29"/>
      <c r="N378" s="29"/>
      <c r="O378" s="29"/>
      <c r="P378" s="29"/>
      <c r="Q378" s="38"/>
    </row>
    <row r="379" spans="1:17">
      <c r="A379" s="5"/>
      <c r="B379" s="13"/>
      <c r="C379" s="13"/>
      <c r="D379" s="13"/>
      <c r="E379" s="9"/>
      <c r="F379" s="32"/>
      <c r="G379" s="32"/>
      <c r="H379" s="32"/>
      <c r="I379" s="32"/>
      <c r="J379" s="29"/>
      <c r="K379" s="29"/>
      <c r="L379" s="29"/>
      <c r="M379" s="29"/>
      <c r="N379" s="29"/>
      <c r="O379" s="29"/>
      <c r="P379" s="29"/>
      <c r="Q379" s="38"/>
    </row>
    <row r="380" spans="1:17">
      <c r="A380" s="5"/>
      <c r="B380" s="13"/>
      <c r="C380" s="13"/>
      <c r="D380" s="13"/>
      <c r="E380" s="9"/>
      <c r="F380" s="32"/>
      <c r="G380" s="32"/>
      <c r="H380" s="32"/>
      <c r="I380" s="32"/>
      <c r="J380" s="29"/>
      <c r="K380" s="29"/>
      <c r="L380" s="29"/>
      <c r="M380" s="29"/>
      <c r="N380" s="29"/>
      <c r="O380" s="29"/>
      <c r="P380" s="29"/>
      <c r="Q380" s="38"/>
    </row>
    <row r="381" spans="1:17">
      <c r="A381" s="5"/>
      <c r="B381" s="13"/>
      <c r="C381" s="13"/>
      <c r="D381" s="13"/>
      <c r="E381" s="9"/>
      <c r="F381" s="32"/>
      <c r="G381" s="32"/>
      <c r="H381" s="32"/>
      <c r="I381" s="32"/>
      <c r="J381" s="29"/>
      <c r="K381" s="29"/>
      <c r="L381" s="29"/>
      <c r="M381" s="29"/>
      <c r="N381" s="29"/>
      <c r="O381" s="29"/>
      <c r="P381" s="29"/>
      <c r="Q381" s="38"/>
    </row>
    <row r="382" spans="1:17">
      <c r="A382" s="5"/>
      <c r="B382" s="13"/>
      <c r="C382" s="13"/>
      <c r="D382" s="13"/>
      <c r="E382" s="9"/>
      <c r="F382" s="32"/>
      <c r="G382" s="32"/>
      <c r="H382" s="32"/>
      <c r="I382" s="32"/>
      <c r="J382" s="29"/>
      <c r="K382" s="29"/>
      <c r="L382" s="29"/>
      <c r="M382" s="29"/>
      <c r="N382" s="29"/>
      <c r="O382" s="29"/>
      <c r="P382" s="29"/>
      <c r="Q382" s="38"/>
    </row>
    <row r="383" spans="1:17">
      <c r="A383" s="5"/>
      <c r="B383" s="13"/>
      <c r="C383" s="13"/>
      <c r="D383" s="13"/>
      <c r="E383" s="9"/>
      <c r="F383" s="32"/>
      <c r="G383" s="32"/>
      <c r="H383" s="32"/>
      <c r="I383" s="32"/>
      <c r="J383" s="29"/>
      <c r="K383" s="29"/>
      <c r="L383" s="29"/>
      <c r="M383" s="29"/>
      <c r="N383" s="29"/>
      <c r="O383" s="29"/>
      <c r="P383" s="29"/>
      <c r="Q383" s="38"/>
    </row>
    <row r="384" spans="1:17">
      <c r="A384" s="5"/>
      <c r="B384" s="13"/>
      <c r="C384" s="13"/>
      <c r="D384" s="13"/>
      <c r="E384" s="9"/>
      <c r="F384" s="32"/>
      <c r="G384" s="32"/>
      <c r="H384" s="32"/>
      <c r="I384" s="32"/>
      <c r="J384" s="29"/>
      <c r="K384" s="29"/>
      <c r="L384" s="29"/>
      <c r="M384" s="29"/>
      <c r="N384" s="29"/>
      <c r="O384" s="29"/>
      <c r="P384" s="29"/>
      <c r="Q384" s="38"/>
    </row>
    <row r="385" spans="1:17">
      <c r="A385" s="5"/>
      <c r="B385" s="13"/>
      <c r="C385" s="13"/>
      <c r="D385" s="13"/>
      <c r="E385" s="9"/>
      <c r="F385" s="32"/>
      <c r="G385" s="32"/>
      <c r="H385" s="32"/>
      <c r="I385" s="32"/>
      <c r="J385" s="29"/>
      <c r="K385" s="29"/>
      <c r="L385" s="29"/>
      <c r="M385" s="29"/>
      <c r="N385" s="29"/>
      <c r="O385" s="29"/>
      <c r="P385" s="29"/>
      <c r="Q385" s="38"/>
    </row>
    <row r="386" spans="1:17">
      <c r="A386" s="5"/>
      <c r="B386" s="13"/>
      <c r="C386" s="13"/>
      <c r="D386" s="13"/>
      <c r="E386" s="9"/>
      <c r="F386" s="32"/>
      <c r="G386" s="32"/>
      <c r="H386" s="32"/>
      <c r="I386" s="32"/>
      <c r="J386" s="29"/>
      <c r="K386" s="29"/>
      <c r="L386" s="29"/>
      <c r="M386" s="29"/>
      <c r="N386" s="29"/>
      <c r="O386" s="29"/>
      <c r="P386" s="29"/>
      <c r="Q386" s="38"/>
    </row>
    <row r="387" spans="1:17">
      <c r="A387" s="5"/>
      <c r="B387" s="13"/>
      <c r="C387" s="13"/>
      <c r="D387" s="13"/>
      <c r="E387" s="9"/>
      <c r="F387" s="32"/>
      <c r="G387" s="32"/>
      <c r="H387" s="32"/>
      <c r="I387" s="32"/>
      <c r="J387" s="29"/>
      <c r="K387" s="29"/>
      <c r="L387" s="29"/>
      <c r="M387" s="29"/>
      <c r="N387" s="29"/>
      <c r="O387" s="29"/>
      <c r="P387" s="29"/>
      <c r="Q387" s="38"/>
    </row>
    <row r="388" spans="1:17">
      <c r="A388" s="5"/>
      <c r="B388" s="13"/>
      <c r="C388" s="13"/>
      <c r="D388" s="13"/>
      <c r="E388" s="9"/>
      <c r="F388" s="32"/>
      <c r="G388" s="32"/>
      <c r="H388" s="32"/>
      <c r="I388" s="32"/>
      <c r="J388" s="29"/>
      <c r="K388" s="29"/>
      <c r="L388" s="29"/>
      <c r="M388" s="29"/>
      <c r="N388" s="29"/>
      <c r="O388" s="29"/>
      <c r="P388" s="29"/>
      <c r="Q388" s="38"/>
    </row>
    <row r="389" spans="1:17">
      <c r="A389" s="5"/>
      <c r="B389" s="13"/>
      <c r="C389" s="13"/>
      <c r="D389" s="13"/>
      <c r="E389" s="9"/>
      <c r="F389" s="32"/>
      <c r="G389" s="32"/>
      <c r="H389" s="32"/>
      <c r="I389" s="32"/>
      <c r="J389" s="29"/>
      <c r="K389" s="29"/>
      <c r="L389" s="29"/>
      <c r="M389" s="29"/>
      <c r="N389" s="29"/>
      <c r="O389" s="29"/>
      <c r="P389" s="29"/>
      <c r="Q389" s="38"/>
    </row>
    <row r="390" spans="1:17">
      <c r="A390" s="5"/>
      <c r="B390" s="13"/>
      <c r="C390" s="13"/>
      <c r="D390" s="13"/>
      <c r="E390" s="9"/>
      <c r="F390" s="32"/>
      <c r="G390" s="32"/>
      <c r="H390" s="32"/>
      <c r="I390" s="32"/>
      <c r="J390" s="29"/>
      <c r="K390" s="29"/>
      <c r="L390" s="29"/>
      <c r="M390" s="29"/>
      <c r="N390" s="29"/>
      <c r="O390" s="29"/>
      <c r="P390" s="29"/>
      <c r="Q390" s="38"/>
    </row>
    <row r="391" spans="1:17">
      <c r="A391" s="5"/>
      <c r="B391" s="13"/>
      <c r="C391" s="13"/>
      <c r="D391" s="13"/>
      <c r="E391" s="9"/>
      <c r="F391" s="32"/>
      <c r="G391" s="32"/>
      <c r="H391" s="32"/>
      <c r="I391" s="32"/>
      <c r="J391" s="29"/>
      <c r="K391" s="29"/>
      <c r="L391" s="29"/>
      <c r="M391" s="29"/>
      <c r="N391" s="29"/>
      <c r="O391" s="29"/>
      <c r="P391" s="29"/>
      <c r="Q391" s="38"/>
    </row>
    <row r="392" spans="1:17">
      <c r="A392" s="5"/>
      <c r="B392" s="13"/>
      <c r="C392" s="13"/>
      <c r="D392" s="13"/>
      <c r="E392" s="9"/>
      <c r="F392" s="32"/>
      <c r="G392" s="32"/>
      <c r="H392" s="32"/>
      <c r="I392" s="32"/>
      <c r="J392" s="29"/>
      <c r="K392" s="29"/>
      <c r="L392" s="29"/>
      <c r="M392" s="29"/>
      <c r="N392" s="29"/>
      <c r="O392" s="29"/>
      <c r="P392" s="29"/>
      <c r="Q392" s="38"/>
    </row>
    <row r="393" spans="1:17">
      <c r="A393" s="5"/>
      <c r="B393" s="13"/>
      <c r="C393" s="13"/>
      <c r="D393" s="13"/>
      <c r="E393" s="9"/>
      <c r="F393" s="32"/>
      <c r="G393" s="32"/>
      <c r="H393" s="32"/>
      <c r="I393" s="32"/>
      <c r="J393" s="29"/>
      <c r="K393" s="29"/>
      <c r="L393" s="29"/>
      <c r="M393" s="29"/>
      <c r="N393" s="29"/>
      <c r="O393" s="29"/>
      <c r="P393" s="29"/>
      <c r="Q393" s="38"/>
    </row>
    <row r="394" spans="1:17">
      <c r="A394" s="5"/>
      <c r="B394" s="13"/>
      <c r="C394" s="13"/>
      <c r="D394" s="13"/>
      <c r="E394" s="9"/>
      <c r="F394" s="32"/>
      <c r="G394" s="32"/>
      <c r="H394" s="32"/>
      <c r="I394" s="32"/>
      <c r="J394" s="29"/>
      <c r="K394" s="29"/>
      <c r="L394" s="29"/>
      <c r="M394" s="29"/>
      <c r="N394" s="29"/>
      <c r="O394" s="29"/>
      <c r="P394" s="29"/>
      <c r="Q394" s="38"/>
    </row>
    <row r="395" spans="1:17">
      <c r="A395" s="5"/>
      <c r="B395" s="13"/>
      <c r="C395" s="13"/>
      <c r="D395" s="13"/>
      <c r="E395" s="9"/>
      <c r="F395" s="32"/>
      <c r="G395" s="32"/>
      <c r="H395" s="32"/>
      <c r="I395" s="32"/>
      <c r="J395" s="29"/>
      <c r="K395" s="29"/>
      <c r="L395" s="29"/>
      <c r="M395" s="29"/>
      <c r="N395" s="29"/>
      <c r="O395" s="29"/>
      <c r="P395" s="29"/>
      <c r="Q395" s="38"/>
    </row>
    <row r="396" spans="1:17">
      <c r="A396" s="5"/>
      <c r="B396" s="13"/>
      <c r="C396" s="13"/>
      <c r="D396" s="13"/>
      <c r="E396" s="9"/>
      <c r="F396" s="32"/>
      <c r="G396" s="32"/>
      <c r="H396" s="32"/>
      <c r="I396" s="32"/>
      <c r="J396" s="29"/>
      <c r="K396" s="29"/>
      <c r="L396" s="29"/>
      <c r="M396" s="29"/>
      <c r="N396" s="29"/>
      <c r="O396" s="29"/>
      <c r="P396" s="29"/>
      <c r="Q396" s="38"/>
    </row>
    <row r="397" spans="1:17">
      <c r="A397" s="5"/>
      <c r="B397" s="13"/>
      <c r="C397" s="13"/>
      <c r="D397" s="13"/>
      <c r="E397" s="9"/>
      <c r="F397" s="32"/>
      <c r="G397" s="32"/>
      <c r="H397" s="32"/>
      <c r="I397" s="32"/>
      <c r="J397" s="29"/>
      <c r="K397" s="29"/>
      <c r="L397" s="29"/>
      <c r="M397" s="29"/>
      <c r="N397" s="29"/>
      <c r="O397" s="29"/>
      <c r="P397" s="29"/>
      <c r="Q397" s="38"/>
    </row>
    <row r="398" spans="1:17">
      <c r="A398" s="5"/>
      <c r="B398" s="13"/>
      <c r="C398" s="13"/>
      <c r="D398" s="13"/>
      <c r="E398" s="9"/>
      <c r="F398" s="32"/>
      <c r="G398" s="32"/>
      <c r="H398" s="32"/>
      <c r="I398" s="32"/>
      <c r="J398" s="29"/>
      <c r="K398" s="29"/>
      <c r="L398" s="29"/>
      <c r="M398" s="29"/>
      <c r="N398" s="29"/>
      <c r="O398" s="29"/>
      <c r="P398" s="29"/>
      <c r="Q398" s="38"/>
    </row>
    <row r="399" spans="1:17">
      <c r="A399" s="5"/>
      <c r="B399" s="13"/>
      <c r="C399" s="13"/>
      <c r="D399" s="13"/>
      <c r="E399" s="9"/>
      <c r="F399" s="32"/>
      <c r="G399" s="32"/>
      <c r="H399" s="32"/>
      <c r="I399" s="32"/>
      <c r="J399" s="29"/>
      <c r="K399" s="29"/>
      <c r="L399" s="29"/>
      <c r="M399" s="29"/>
      <c r="N399" s="29"/>
      <c r="O399" s="29"/>
      <c r="P399" s="29"/>
      <c r="Q399" s="38"/>
    </row>
    <row r="400" spans="1:17">
      <c r="A400" s="5"/>
      <c r="B400" s="13"/>
      <c r="C400" s="13"/>
      <c r="D400" s="13"/>
      <c r="E400" s="9"/>
      <c r="F400" s="32"/>
      <c r="G400" s="32"/>
      <c r="H400" s="32"/>
      <c r="I400" s="32"/>
      <c r="J400" s="29"/>
      <c r="K400" s="29"/>
      <c r="L400" s="29"/>
      <c r="M400" s="29"/>
      <c r="N400" s="29"/>
      <c r="O400" s="29"/>
      <c r="P400" s="29"/>
      <c r="Q400" s="38"/>
    </row>
    <row r="401" spans="1:17">
      <c r="A401" s="5"/>
      <c r="B401" s="13"/>
      <c r="C401" s="13"/>
      <c r="D401" s="13"/>
      <c r="E401" s="9"/>
      <c r="F401" s="32"/>
      <c r="G401" s="32"/>
      <c r="H401" s="32"/>
      <c r="I401" s="32"/>
      <c r="J401" s="29"/>
      <c r="K401" s="29"/>
      <c r="L401" s="29"/>
      <c r="M401" s="29"/>
      <c r="N401" s="29"/>
      <c r="O401" s="29"/>
      <c r="P401" s="29"/>
      <c r="Q401" s="38"/>
    </row>
    <row r="402" spans="1:17">
      <c r="A402" s="5"/>
      <c r="B402" s="13"/>
      <c r="C402" s="13"/>
      <c r="D402" s="13"/>
      <c r="E402" s="9"/>
      <c r="F402" s="32"/>
      <c r="G402" s="32"/>
      <c r="H402" s="32"/>
      <c r="I402" s="32"/>
      <c r="J402" s="29"/>
      <c r="K402" s="29"/>
      <c r="L402" s="29"/>
      <c r="M402" s="29"/>
      <c r="N402" s="29"/>
      <c r="O402" s="29"/>
      <c r="P402" s="29"/>
      <c r="Q402" s="38"/>
    </row>
    <row r="403" spans="1:17">
      <c r="A403" s="5"/>
      <c r="B403" s="13"/>
      <c r="C403" s="13"/>
      <c r="D403" s="13"/>
      <c r="E403" s="9"/>
      <c r="F403" s="32"/>
      <c r="G403" s="32"/>
      <c r="H403" s="32"/>
      <c r="I403" s="32"/>
      <c r="J403" s="29"/>
      <c r="K403" s="29"/>
      <c r="L403" s="29"/>
      <c r="M403" s="29"/>
      <c r="N403" s="29"/>
      <c r="O403" s="29"/>
      <c r="P403" s="29"/>
      <c r="Q403" s="38"/>
    </row>
    <row r="404" spans="1:17">
      <c r="A404" s="5"/>
      <c r="B404" s="13"/>
      <c r="C404" s="13"/>
      <c r="D404" s="13"/>
      <c r="E404" s="9"/>
      <c r="F404" s="32"/>
      <c r="G404" s="32"/>
      <c r="H404" s="32"/>
      <c r="I404" s="32"/>
      <c r="J404" s="29"/>
      <c r="K404" s="29"/>
      <c r="L404" s="29"/>
      <c r="M404" s="29"/>
      <c r="N404" s="29"/>
      <c r="O404" s="29"/>
      <c r="P404" s="29"/>
      <c r="Q404" s="38"/>
    </row>
    <row r="405" spans="1:17">
      <c r="A405" s="5"/>
      <c r="B405" s="13"/>
      <c r="C405" s="13"/>
      <c r="D405" s="13"/>
      <c r="E405" s="9"/>
      <c r="F405" s="32"/>
      <c r="G405" s="32"/>
      <c r="H405" s="32"/>
      <c r="I405" s="32"/>
      <c r="J405" s="29"/>
      <c r="K405" s="29"/>
      <c r="L405" s="29"/>
      <c r="M405" s="29"/>
      <c r="N405" s="29"/>
      <c r="O405" s="29"/>
      <c r="P405" s="29"/>
      <c r="Q405" s="38"/>
    </row>
    <row r="406" spans="1:17">
      <c r="A406" s="5"/>
      <c r="B406" s="13"/>
      <c r="C406" s="13"/>
      <c r="D406" s="13"/>
      <c r="E406" s="9"/>
      <c r="F406" s="32"/>
      <c r="G406" s="32"/>
      <c r="H406" s="32"/>
      <c r="I406" s="32"/>
      <c r="J406" s="29"/>
      <c r="K406" s="29"/>
      <c r="L406" s="29"/>
      <c r="M406" s="29"/>
      <c r="N406" s="29"/>
      <c r="O406" s="29"/>
      <c r="P406" s="29"/>
      <c r="Q406" s="38"/>
    </row>
    <row r="407" spans="1:17">
      <c r="A407" s="5"/>
      <c r="B407" s="13"/>
      <c r="C407" s="13"/>
      <c r="D407" s="13"/>
      <c r="E407" s="9"/>
      <c r="F407" s="32"/>
      <c r="G407" s="32"/>
      <c r="H407" s="32"/>
      <c r="I407" s="32"/>
      <c r="J407" s="29"/>
      <c r="K407" s="29"/>
      <c r="L407" s="29"/>
      <c r="M407" s="29"/>
      <c r="N407" s="29"/>
      <c r="O407" s="29"/>
      <c r="P407" s="29"/>
      <c r="Q407" s="38"/>
    </row>
    <row r="408" spans="1:17">
      <c r="A408" s="5"/>
      <c r="B408" s="13"/>
      <c r="C408" s="13"/>
      <c r="D408" s="13"/>
      <c r="E408" s="9"/>
      <c r="F408" s="32"/>
      <c r="G408" s="32"/>
      <c r="H408" s="32"/>
      <c r="I408" s="32"/>
      <c r="J408" s="29"/>
      <c r="K408" s="29"/>
      <c r="L408" s="29"/>
      <c r="M408" s="29"/>
      <c r="N408" s="29"/>
      <c r="O408" s="29"/>
      <c r="P408" s="29"/>
      <c r="Q408" s="38"/>
    </row>
    <row r="409" spans="1:17">
      <c r="A409" s="5"/>
      <c r="B409" s="13"/>
      <c r="C409" s="13"/>
      <c r="D409" s="13"/>
      <c r="E409" s="9"/>
      <c r="F409" s="32"/>
      <c r="G409" s="32"/>
      <c r="H409" s="32"/>
      <c r="I409" s="32"/>
      <c r="J409" s="29"/>
      <c r="K409" s="29"/>
      <c r="L409" s="29"/>
      <c r="M409" s="29"/>
      <c r="N409" s="29"/>
      <c r="O409" s="29"/>
      <c r="P409" s="29"/>
      <c r="Q409" s="38"/>
    </row>
    <row r="410" spans="1:17">
      <c r="A410" s="5"/>
      <c r="B410" s="13"/>
      <c r="C410" s="13"/>
      <c r="D410" s="13"/>
      <c r="E410" s="9"/>
      <c r="F410" s="32"/>
      <c r="G410" s="32"/>
      <c r="H410" s="32"/>
      <c r="I410" s="32"/>
      <c r="J410" s="29"/>
      <c r="K410" s="29"/>
      <c r="L410" s="29"/>
      <c r="M410" s="29"/>
      <c r="N410" s="29"/>
      <c r="O410" s="29"/>
      <c r="P410" s="29"/>
      <c r="Q410" s="38"/>
    </row>
    <row r="411" spans="1:17">
      <c r="A411" s="5"/>
      <c r="B411" s="13"/>
      <c r="C411" s="13"/>
      <c r="D411" s="13"/>
      <c r="E411" s="9"/>
      <c r="F411" s="32"/>
      <c r="G411" s="32"/>
      <c r="H411" s="32"/>
      <c r="I411" s="32"/>
      <c r="J411" s="29"/>
      <c r="K411" s="29"/>
      <c r="L411" s="29"/>
      <c r="M411" s="29"/>
      <c r="N411" s="29"/>
      <c r="O411" s="29"/>
      <c r="P411" s="29"/>
      <c r="Q411" s="38"/>
    </row>
    <row r="412" spans="1:17">
      <c r="A412" s="5"/>
      <c r="B412" s="13"/>
      <c r="C412" s="13"/>
      <c r="D412" s="13"/>
      <c r="E412" s="9"/>
      <c r="F412" s="32"/>
      <c r="G412" s="32"/>
      <c r="H412" s="32"/>
      <c r="I412" s="32"/>
      <c r="J412" s="29"/>
      <c r="K412" s="29"/>
      <c r="L412" s="29"/>
      <c r="M412" s="29"/>
      <c r="N412" s="29"/>
      <c r="O412" s="29"/>
      <c r="P412" s="29"/>
      <c r="Q412" s="38"/>
    </row>
    <row r="413" spans="1:17">
      <c r="A413" s="5"/>
      <c r="B413" s="13"/>
      <c r="C413" s="13"/>
      <c r="D413" s="13"/>
      <c r="E413" s="9"/>
      <c r="F413" s="32"/>
      <c r="G413" s="32"/>
      <c r="H413" s="32"/>
      <c r="I413" s="32"/>
      <c r="J413" s="29"/>
      <c r="K413" s="29"/>
      <c r="L413" s="29"/>
      <c r="M413" s="29"/>
      <c r="N413" s="29"/>
      <c r="O413" s="29"/>
      <c r="P413" s="29"/>
      <c r="Q413" s="38"/>
    </row>
    <row r="414" spans="1:17">
      <c r="A414" s="5"/>
      <c r="B414" s="13"/>
      <c r="C414" s="13"/>
      <c r="D414" s="13"/>
      <c r="E414" s="9"/>
      <c r="F414" s="32"/>
      <c r="G414" s="32"/>
      <c r="H414" s="32"/>
      <c r="I414" s="32"/>
      <c r="J414" s="29"/>
      <c r="K414" s="29"/>
      <c r="L414" s="29"/>
      <c r="M414" s="29"/>
      <c r="N414" s="29"/>
      <c r="O414" s="29"/>
      <c r="P414" s="29"/>
      <c r="Q414" s="38"/>
    </row>
    <row r="415" spans="1:17">
      <c r="A415" s="5"/>
      <c r="B415" s="13"/>
      <c r="C415" s="13"/>
      <c r="D415" s="13"/>
      <c r="E415" s="9"/>
      <c r="F415" s="32"/>
      <c r="G415" s="32"/>
      <c r="H415" s="32"/>
      <c r="I415" s="32"/>
      <c r="J415" s="29"/>
      <c r="K415" s="29"/>
      <c r="L415" s="29"/>
      <c r="M415" s="29"/>
      <c r="N415" s="29"/>
      <c r="O415" s="29"/>
      <c r="P415" s="29"/>
      <c r="Q415" s="38"/>
    </row>
    <row r="416" spans="1:17">
      <c r="A416" s="5"/>
      <c r="B416" s="13"/>
      <c r="C416" s="13"/>
      <c r="D416" s="13"/>
      <c r="E416" s="9"/>
      <c r="F416" s="32"/>
      <c r="G416" s="32"/>
      <c r="H416" s="32"/>
      <c r="I416" s="32"/>
      <c r="J416" s="29"/>
      <c r="K416" s="29"/>
      <c r="L416" s="29"/>
      <c r="M416" s="29"/>
      <c r="N416" s="29"/>
      <c r="O416" s="29"/>
      <c r="P416" s="29"/>
      <c r="Q416" s="38"/>
    </row>
    <row r="417" spans="1:17">
      <c r="A417" s="5"/>
      <c r="B417" s="13"/>
      <c r="C417" s="13"/>
      <c r="D417" s="13"/>
      <c r="E417" s="9"/>
      <c r="F417" s="32"/>
      <c r="G417" s="32"/>
      <c r="H417" s="32"/>
      <c r="I417" s="32"/>
      <c r="J417" s="29"/>
      <c r="K417" s="29"/>
      <c r="L417" s="29"/>
      <c r="M417" s="29"/>
      <c r="N417" s="29"/>
      <c r="O417" s="29"/>
      <c r="P417" s="29"/>
      <c r="Q417" s="38"/>
    </row>
    <row r="418" spans="1:17">
      <c r="A418" s="5"/>
      <c r="B418" s="13"/>
      <c r="C418" s="13"/>
      <c r="D418" s="13"/>
      <c r="E418" s="9"/>
      <c r="F418" s="32"/>
      <c r="G418" s="32"/>
      <c r="H418" s="32"/>
      <c r="I418" s="32"/>
      <c r="J418" s="29"/>
      <c r="K418" s="29"/>
      <c r="L418" s="29"/>
      <c r="M418" s="29"/>
      <c r="N418" s="29"/>
      <c r="O418" s="29"/>
      <c r="P418" s="29"/>
      <c r="Q418" s="38"/>
    </row>
    <row r="419" spans="1:17">
      <c r="A419" s="5"/>
      <c r="B419" s="13"/>
      <c r="C419" s="13"/>
      <c r="D419" s="13"/>
      <c r="E419" s="9"/>
      <c r="F419" s="32"/>
      <c r="G419" s="32"/>
      <c r="H419" s="32"/>
      <c r="I419" s="32"/>
      <c r="J419" s="29"/>
      <c r="K419" s="29"/>
      <c r="L419" s="29"/>
      <c r="M419" s="29"/>
      <c r="N419" s="29"/>
      <c r="O419" s="29"/>
      <c r="P419" s="29"/>
      <c r="Q419" s="38"/>
    </row>
    <row r="420" spans="1:17">
      <c r="A420" s="5"/>
      <c r="B420" s="13"/>
      <c r="C420" s="13"/>
      <c r="D420" s="13"/>
      <c r="E420" s="9"/>
      <c r="F420" s="32"/>
      <c r="G420" s="32"/>
      <c r="H420" s="32"/>
      <c r="I420" s="32"/>
      <c r="J420" s="29"/>
      <c r="K420" s="29"/>
      <c r="L420" s="29"/>
      <c r="M420" s="29"/>
      <c r="N420" s="29"/>
      <c r="O420" s="29"/>
      <c r="P420" s="29"/>
      <c r="Q420" s="38"/>
    </row>
    <row r="421" spans="1:17">
      <c r="A421" s="5"/>
      <c r="B421" s="13"/>
      <c r="C421" s="13"/>
      <c r="D421" s="13"/>
      <c r="E421" s="9"/>
      <c r="F421" s="32"/>
      <c r="G421" s="32"/>
      <c r="H421" s="32"/>
      <c r="I421" s="32"/>
      <c r="J421" s="29"/>
      <c r="K421" s="29"/>
      <c r="L421" s="29"/>
      <c r="M421" s="29"/>
      <c r="N421" s="29"/>
      <c r="O421" s="29"/>
      <c r="P421" s="29"/>
      <c r="Q421" s="38"/>
    </row>
    <row r="422" spans="1:17">
      <c r="A422" s="5"/>
      <c r="B422" s="13"/>
      <c r="C422" s="13"/>
      <c r="D422" s="13"/>
      <c r="E422" s="9"/>
      <c r="F422" s="32"/>
      <c r="G422" s="32"/>
      <c r="H422" s="32"/>
      <c r="I422" s="32"/>
      <c r="J422" s="29"/>
      <c r="K422" s="29"/>
      <c r="L422" s="29"/>
      <c r="M422" s="29"/>
      <c r="N422" s="29"/>
      <c r="O422" s="29"/>
      <c r="P422" s="29"/>
      <c r="Q422" s="38"/>
    </row>
    <row r="423" spans="1:17">
      <c r="A423" s="5"/>
      <c r="B423" s="13"/>
      <c r="C423" s="13"/>
      <c r="D423" s="13"/>
      <c r="E423" s="9"/>
      <c r="F423" s="32"/>
      <c r="G423" s="32"/>
      <c r="H423" s="32"/>
      <c r="I423" s="32"/>
      <c r="J423" s="29"/>
      <c r="K423" s="29"/>
      <c r="L423" s="29"/>
      <c r="M423" s="29"/>
      <c r="N423" s="29"/>
      <c r="O423" s="29"/>
      <c r="P423" s="29"/>
      <c r="Q423" s="38"/>
    </row>
    <row r="424" spans="1:17">
      <c r="A424" s="5"/>
      <c r="B424" s="13"/>
      <c r="C424" s="13"/>
      <c r="D424" s="13"/>
      <c r="E424" s="9"/>
      <c r="F424" s="32"/>
      <c r="G424" s="32"/>
      <c r="H424" s="32"/>
      <c r="I424" s="32"/>
      <c r="J424" s="29"/>
      <c r="K424" s="29"/>
      <c r="L424" s="29"/>
      <c r="M424" s="29"/>
      <c r="N424" s="29"/>
      <c r="O424" s="29"/>
      <c r="P424" s="29"/>
      <c r="Q424" s="38"/>
    </row>
    <row r="425" spans="1:17">
      <c r="A425" s="5"/>
      <c r="B425" s="13"/>
      <c r="C425" s="13"/>
      <c r="D425" s="13"/>
      <c r="E425" s="9"/>
      <c r="F425" s="32"/>
      <c r="G425" s="32"/>
      <c r="H425" s="32"/>
      <c r="I425" s="32"/>
      <c r="J425" s="29"/>
      <c r="K425" s="29"/>
      <c r="L425" s="29"/>
      <c r="M425" s="29"/>
      <c r="N425" s="29"/>
      <c r="O425" s="29"/>
      <c r="P425" s="29"/>
      <c r="Q425" s="38"/>
    </row>
    <row r="426" spans="1:17">
      <c r="A426" s="5"/>
      <c r="B426" s="13"/>
      <c r="C426" s="13"/>
      <c r="D426" s="13"/>
      <c r="E426" s="9"/>
      <c r="F426" s="32"/>
      <c r="G426" s="32"/>
      <c r="H426" s="32"/>
      <c r="I426" s="32"/>
      <c r="J426" s="29"/>
      <c r="K426" s="29"/>
      <c r="L426" s="29"/>
      <c r="M426" s="29"/>
      <c r="N426" s="29"/>
      <c r="O426" s="29"/>
      <c r="P426" s="29"/>
      <c r="Q426" s="38"/>
    </row>
    <row r="427" spans="1:17">
      <c r="A427" s="5"/>
      <c r="B427" s="13"/>
      <c r="C427" s="13"/>
      <c r="D427" s="13"/>
      <c r="E427" s="9"/>
      <c r="F427" s="32"/>
      <c r="G427" s="32"/>
      <c r="H427" s="32"/>
      <c r="I427" s="32"/>
      <c r="J427" s="29"/>
      <c r="K427" s="29"/>
      <c r="L427" s="29"/>
      <c r="M427" s="29"/>
      <c r="N427" s="29"/>
      <c r="O427" s="29"/>
      <c r="P427" s="29"/>
      <c r="Q427" s="38"/>
    </row>
    <row r="428" spans="1:17">
      <c r="A428" s="5"/>
      <c r="B428" s="13"/>
      <c r="C428" s="13"/>
      <c r="D428" s="13"/>
      <c r="E428" s="9"/>
      <c r="F428" s="32"/>
      <c r="G428" s="32"/>
      <c r="H428" s="32"/>
      <c r="I428" s="32"/>
      <c r="J428" s="29"/>
      <c r="K428" s="29"/>
      <c r="L428" s="29"/>
      <c r="M428" s="29"/>
      <c r="N428" s="29"/>
      <c r="O428" s="29"/>
      <c r="P428" s="29"/>
      <c r="Q428" s="38"/>
    </row>
    <row r="429" spans="1:17">
      <c r="A429" s="5"/>
      <c r="B429" s="13"/>
      <c r="C429" s="13"/>
      <c r="D429" s="13"/>
      <c r="E429" s="9"/>
      <c r="F429" s="32"/>
      <c r="G429" s="32"/>
      <c r="H429" s="32"/>
      <c r="I429" s="32"/>
      <c r="J429" s="29"/>
      <c r="K429" s="29"/>
      <c r="L429" s="29"/>
      <c r="M429" s="29"/>
      <c r="N429" s="29"/>
      <c r="O429" s="29"/>
      <c r="P429" s="29"/>
      <c r="Q429" s="38"/>
    </row>
    <row r="430" spans="1:17">
      <c r="A430" s="5"/>
      <c r="B430" s="13"/>
      <c r="C430" s="13"/>
      <c r="D430" s="13"/>
      <c r="E430" s="9"/>
      <c r="F430" s="32"/>
      <c r="G430" s="32"/>
      <c r="H430" s="32"/>
      <c r="I430" s="32"/>
      <c r="J430" s="29"/>
      <c r="K430" s="29"/>
      <c r="L430" s="29"/>
      <c r="M430" s="29"/>
      <c r="N430" s="29"/>
      <c r="O430" s="29"/>
      <c r="P430" s="29"/>
      <c r="Q430" s="38"/>
    </row>
    <row r="431" spans="1:17">
      <c r="A431" s="5"/>
      <c r="B431" s="13"/>
      <c r="C431" s="13"/>
      <c r="D431" s="13"/>
      <c r="E431" s="9"/>
      <c r="F431" s="32"/>
      <c r="G431" s="32"/>
      <c r="H431" s="32"/>
      <c r="I431" s="32"/>
      <c r="J431" s="29"/>
      <c r="K431" s="29"/>
      <c r="L431" s="29"/>
      <c r="M431" s="29"/>
      <c r="N431" s="29"/>
      <c r="O431" s="29"/>
      <c r="P431" s="29"/>
      <c r="Q431" s="38"/>
    </row>
    <row r="432" spans="1:17">
      <c r="A432" s="5"/>
      <c r="B432" s="13"/>
      <c r="C432" s="13"/>
      <c r="D432" s="13"/>
      <c r="E432" s="9"/>
      <c r="F432" s="32"/>
      <c r="G432" s="32"/>
      <c r="H432" s="32"/>
      <c r="I432" s="32"/>
      <c r="J432" s="29"/>
      <c r="K432" s="29"/>
      <c r="L432" s="29"/>
      <c r="M432" s="29"/>
      <c r="N432" s="29"/>
      <c r="O432" s="29"/>
      <c r="P432" s="29"/>
      <c r="Q432" s="38"/>
    </row>
    <row r="433" spans="1:17">
      <c r="A433" s="5"/>
      <c r="B433" s="13"/>
      <c r="C433" s="13"/>
      <c r="D433" s="13"/>
      <c r="E433" s="9"/>
      <c r="F433" s="32"/>
      <c r="G433" s="32"/>
      <c r="H433" s="32"/>
      <c r="I433" s="32"/>
      <c r="J433" s="29"/>
      <c r="K433" s="29"/>
      <c r="L433" s="29"/>
      <c r="M433" s="29"/>
      <c r="N433" s="29"/>
      <c r="O433" s="29"/>
      <c r="P433" s="29"/>
      <c r="Q433" s="38"/>
    </row>
    <row r="434" spans="1:17">
      <c r="A434" s="5"/>
      <c r="B434" s="13"/>
      <c r="C434" s="13"/>
      <c r="D434" s="13"/>
      <c r="E434" s="9"/>
      <c r="F434" s="32"/>
      <c r="G434" s="32"/>
      <c r="H434" s="32"/>
      <c r="I434" s="32"/>
      <c r="J434" s="29"/>
      <c r="K434" s="29"/>
      <c r="L434" s="29"/>
      <c r="M434" s="29"/>
      <c r="N434" s="29"/>
      <c r="O434" s="29"/>
      <c r="P434" s="29"/>
      <c r="Q434" s="38"/>
    </row>
    <row r="435" spans="1:17">
      <c r="A435" s="5"/>
      <c r="B435" s="13"/>
      <c r="C435" s="13"/>
      <c r="D435" s="13"/>
      <c r="E435" s="9"/>
      <c r="F435" s="32"/>
      <c r="G435" s="32"/>
      <c r="H435" s="32"/>
      <c r="I435" s="32"/>
      <c r="J435" s="29"/>
      <c r="K435" s="29"/>
      <c r="L435" s="29"/>
      <c r="M435" s="29"/>
      <c r="N435" s="29"/>
      <c r="O435" s="29"/>
      <c r="P435" s="29"/>
      <c r="Q435" s="38"/>
    </row>
    <row r="436" spans="1:17">
      <c r="A436" s="5"/>
      <c r="B436" s="13"/>
      <c r="C436" s="13"/>
      <c r="D436" s="13"/>
      <c r="E436" s="9"/>
      <c r="F436" s="32"/>
      <c r="G436" s="32"/>
      <c r="H436" s="32"/>
      <c r="I436" s="32"/>
      <c r="J436" s="29"/>
      <c r="K436" s="29"/>
      <c r="L436" s="29"/>
      <c r="M436" s="29"/>
      <c r="N436" s="29"/>
      <c r="O436" s="29"/>
      <c r="P436" s="29"/>
      <c r="Q436" s="38"/>
    </row>
    <row r="437" spans="1:17">
      <c r="A437" s="5"/>
      <c r="B437" s="13"/>
      <c r="C437" s="13"/>
      <c r="D437" s="13"/>
      <c r="E437" s="9"/>
      <c r="F437" s="32"/>
      <c r="G437" s="32"/>
      <c r="H437" s="32"/>
      <c r="I437" s="32"/>
      <c r="J437" s="29"/>
      <c r="K437" s="29"/>
      <c r="L437" s="29"/>
      <c r="M437" s="29"/>
      <c r="N437" s="29"/>
      <c r="O437" s="29"/>
      <c r="P437" s="29"/>
      <c r="Q437" s="38"/>
    </row>
    <row r="438" spans="1:17">
      <c r="A438" s="5"/>
      <c r="B438" s="13"/>
      <c r="C438" s="13"/>
      <c r="D438" s="13"/>
      <c r="E438" s="9"/>
      <c r="F438" s="32"/>
      <c r="G438" s="32"/>
      <c r="H438" s="32"/>
      <c r="I438" s="32"/>
      <c r="J438" s="29"/>
      <c r="K438" s="29"/>
      <c r="L438" s="29"/>
      <c r="M438" s="29"/>
      <c r="N438" s="29"/>
      <c r="O438" s="29"/>
      <c r="P438" s="29"/>
      <c r="Q438" s="38"/>
    </row>
    <row r="439" spans="1:17">
      <c r="A439" s="5"/>
      <c r="B439" s="13"/>
      <c r="C439" s="13"/>
      <c r="D439" s="13"/>
      <c r="E439" s="9"/>
      <c r="F439" s="32"/>
      <c r="G439" s="32"/>
      <c r="H439" s="32"/>
      <c r="I439" s="32"/>
      <c r="J439" s="29"/>
      <c r="K439" s="29"/>
      <c r="L439" s="29"/>
      <c r="M439" s="29"/>
      <c r="N439" s="29"/>
      <c r="O439" s="29"/>
      <c r="P439" s="29"/>
      <c r="Q439" s="38"/>
    </row>
    <row r="440" spans="1:17">
      <c r="A440" s="5"/>
      <c r="B440" s="13"/>
      <c r="C440" s="13"/>
      <c r="D440" s="13"/>
      <c r="E440" s="9"/>
      <c r="F440" s="32"/>
      <c r="G440" s="32"/>
      <c r="H440" s="32"/>
      <c r="I440" s="32"/>
      <c r="J440" s="29"/>
      <c r="K440" s="29"/>
      <c r="L440" s="29"/>
      <c r="M440" s="29"/>
      <c r="N440" s="29"/>
      <c r="O440" s="29"/>
      <c r="P440" s="29"/>
      <c r="Q440" s="38"/>
    </row>
    <row r="441" spans="1:17">
      <c r="A441" s="5"/>
      <c r="B441" s="13"/>
      <c r="C441" s="13"/>
      <c r="D441" s="13"/>
      <c r="E441" s="9"/>
      <c r="F441" s="32"/>
      <c r="G441" s="32"/>
      <c r="H441" s="32"/>
      <c r="I441" s="32"/>
      <c r="J441" s="29"/>
      <c r="K441" s="29"/>
      <c r="L441" s="29"/>
      <c r="M441" s="29"/>
      <c r="N441" s="29"/>
      <c r="O441" s="29"/>
      <c r="P441" s="29"/>
      <c r="Q441" s="38"/>
    </row>
    <row r="442" spans="1:17">
      <c r="A442" s="5"/>
      <c r="B442" s="13"/>
      <c r="C442" s="13"/>
      <c r="D442" s="13"/>
      <c r="E442" s="9"/>
      <c r="F442" s="32"/>
      <c r="G442" s="32"/>
      <c r="H442" s="32"/>
      <c r="I442" s="32"/>
      <c r="J442" s="29"/>
      <c r="K442" s="29"/>
      <c r="L442" s="29"/>
      <c r="M442" s="29"/>
      <c r="N442" s="29"/>
      <c r="O442" s="29"/>
      <c r="P442" s="29"/>
      <c r="Q442" s="38"/>
    </row>
    <row r="443" spans="1:17">
      <c r="A443" s="5"/>
      <c r="B443" s="13"/>
      <c r="C443" s="13"/>
      <c r="D443" s="13"/>
      <c r="E443" s="9"/>
      <c r="F443" s="32"/>
      <c r="G443" s="32"/>
      <c r="H443" s="32"/>
      <c r="I443" s="32"/>
      <c r="J443" s="29"/>
      <c r="K443" s="29"/>
      <c r="L443" s="29"/>
      <c r="M443" s="29"/>
      <c r="N443" s="29"/>
      <c r="O443" s="29"/>
      <c r="P443" s="29"/>
      <c r="Q443" s="38"/>
    </row>
    <row r="444" spans="1:17">
      <c r="A444" s="5"/>
      <c r="B444" s="13"/>
      <c r="C444" s="13"/>
      <c r="D444" s="13"/>
      <c r="E444" s="9"/>
      <c r="F444" s="32"/>
      <c r="G444" s="32"/>
      <c r="H444" s="32"/>
      <c r="I444" s="32"/>
      <c r="J444" s="29"/>
      <c r="K444" s="29"/>
      <c r="L444" s="29"/>
      <c r="M444" s="29"/>
      <c r="N444" s="29"/>
      <c r="O444" s="29"/>
      <c r="P444" s="29"/>
      <c r="Q444" s="38"/>
    </row>
    <row r="445" spans="1:17">
      <c r="A445" s="5"/>
      <c r="B445" s="13"/>
      <c r="C445" s="13"/>
      <c r="D445" s="13"/>
      <c r="E445" s="9"/>
      <c r="F445" s="32"/>
      <c r="G445" s="32"/>
      <c r="H445" s="32"/>
      <c r="I445" s="32"/>
      <c r="J445" s="29"/>
      <c r="K445" s="29"/>
      <c r="L445" s="29"/>
      <c r="M445" s="29"/>
      <c r="N445" s="29"/>
      <c r="O445" s="29"/>
      <c r="P445" s="29"/>
      <c r="Q445" s="38"/>
    </row>
    <row r="446" spans="1:17">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workbookViewId="0"/>
  </sheetViews>
  <sheetFormatPr baseColWidth="10" defaultColWidth="8.83203125" defaultRowHeight="15"/>
  <cols>
    <col min="1" max="1" width="2.6640625" style="2" customWidth="1"/>
    <col min="2" max="2" width="23.5" style="15" bestFit="1" customWidth="1"/>
    <col min="3" max="3" width="20.6640625" style="15" bestFit="1" customWidth="1"/>
    <col min="4" max="4" width="31.6640625" style="15" bestFit="1" customWidth="1"/>
    <col min="5" max="5" width="31.6640625" style="15" customWidth="1"/>
    <col min="6" max="6" width="22.1640625" style="26"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15</v>
      </c>
      <c r="E1" s="24" t="s">
        <v>344</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s="210" customFormat="1">
      <c r="A3" s="204"/>
      <c r="B3" s="205" t="s">
        <v>334</v>
      </c>
      <c r="C3" s="205"/>
      <c r="D3" s="205"/>
      <c r="E3" s="205"/>
      <c r="F3" s="206"/>
      <c r="G3" s="207"/>
      <c r="H3" s="207"/>
      <c r="I3" s="207"/>
      <c r="J3" s="207"/>
      <c r="K3" s="207"/>
      <c r="L3" s="207"/>
      <c r="M3" s="207"/>
      <c r="N3" s="207"/>
      <c r="O3" s="207"/>
      <c r="P3" s="207"/>
      <c r="Q3" s="207"/>
      <c r="R3" s="208"/>
      <c r="S3" s="209"/>
      <c r="T3" s="209"/>
      <c r="U3" s="209"/>
      <c r="V3" s="209"/>
      <c r="W3" s="209"/>
      <c r="X3" s="209"/>
      <c r="Y3" s="209"/>
      <c r="Z3" s="209"/>
      <c r="AA3" s="209"/>
      <c r="AB3" s="209"/>
      <c r="AC3" s="209"/>
      <c r="AD3" s="209"/>
      <c r="AE3" s="209"/>
      <c r="AF3" s="209"/>
      <c r="AG3" s="209"/>
      <c r="AH3" s="209"/>
      <c r="AI3" s="209"/>
      <c r="AJ3" s="209"/>
      <c r="AK3" s="209"/>
      <c r="AL3" s="209"/>
      <c r="AM3" s="209"/>
      <c r="AN3" s="209"/>
      <c r="AO3" s="209"/>
      <c r="AP3" s="209"/>
      <c r="AQ3" s="209"/>
      <c r="AR3" s="209"/>
      <c r="AS3" s="209"/>
      <c r="AT3" s="209"/>
      <c r="AU3" s="209"/>
      <c r="AV3" s="209"/>
      <c r="AW3" s="209"/>
      <c r="AX3" s="209"/>
      <c r="AY3" s="209"/>
      <c r="AZ3" s="209"/>
      <c r="BA3" s="209"/>
      <c r="BB3" s="209"/>
      <c r="BC3" s="209"/>
      <c r="BD3" s="209"/>
      <c r="BE3" s="209"/>
      <c r="BF3" s="209"/>
      <c r="BG3" s="209"/>
      <c r="BH3" s="209"/>
      <c r="BI3" s="209"/>
      <c r="BJ3" s="209"/>
      <c r="BK3" s="209"/>
      <c r="BL3" s="209"/>
      <c r="BM3" s="209"/>
      <c r="BN3" s="209"/>
      <c r="BO3" s="209"/>
      <c r="BP3" s="209"/>
      <c r="BQ3" s="209"/>
    </row>
    <row r="4" spans="1:79" s="211" customFormat="1">
      <c r="B4" s="212" t="s">
        <v>168</v>
      </c>
      <c r="D4" s="212"/>
      <c r="E4" s="212"/>
      <c r="F4" s="213"/>
      <c r="G4" s="214"/>
      <c r="H4" s="214"/>
      <c r="I4" s="214"/>
      <c r="J4" s="214"/>
      <c r="K4" s="214"/>
      <c r="L4" s="214"/>
      <c r="M4" s="214"/>
      <c r="N4" s="214"/>
      <c r="O4" s="214"/>
      <c r="P4" s="214"/>
      <c r="Q4" s="214"/>
      <c r="R4" s="215"/>
      <c r="S4" s="216"/>
      <c r="T4" s="216"/>
      <c r="U4" s="216"/>
      <c r="V4" s="216"/>
      <c r="W4" s="216"/>
      <c r="X4" s="21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c r="BV4" s="216"/>
      <c r="BW4" s="216"/>
      <c r="BX4" s="216"/>
      <c r="BY4" s="216"/>
      <c r="BZ4" s="216"/>
      <c r="CA4" s="216"/>
    </row>
    <row r="5" spans="1:79">
      <c r="A5" s="5"/>
      <c r="B5" s="25" t="s">
        <v>37</v>
      </c>
      <c r="C5" s="25"/>
      <c r="D5" s="25" t="s">
        <v>39</v>
      </c>
      <c r="E5" s="25"/>
      <c r="F5" s="16"/>
      <c r="G5" s="218">
        <v>2000</v>
      </c>
      <c r="H5" s="202">
        <f t="shared" ref="H5:Q9" si="0">G5</f>
        <v>2000</v>
      </c>
      <c r="I5" s="202">
        <f t="shared" si="0"/>
        <v>2000</v>
      </c>
      <c r="J5" s="202">
        <f t="shared" si="0"/>
        <v>2000</v>
      </c>
      <c r="K5" s="202">
        <f t="shared" si="0"/>
        <v>2000</v>
      </c>
      <c r="L5" s="202">
        <f t="shared" si="0"/>
        <v>2000</v>
      </c>
      <c r="M5" s="202">
        <f t="shared" si="0"/>
        <v>2000</v>
      </c>
      <c r="N5" s="202">
        <f t="shared" si="0"/>
        <v>2000</v>
      </c>
      <c r="O5" s="202">
        <f t="shared" si="0"/>
        <v>2000</v>
      </c>
      <c r="P5" s="202">
        <f t="shared" si="0"/>
        <v>2000</v>
      </c>
      <c r="Q5" s="202">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c r="A6" s="5"/>
      <c r="B6" s="25" t="s">
        <v>36</v>
      </c>
      <c r="C6" s="25"/>
      <c r="D6" s="25" t="s">
        <v>39</v>
      </c>
      <c r="E6" s="25"/>
      <c r="F6" s="16"/>
      <c r="G6" s="218">
        <v>2100</v>
      </c>
      <c r="H6" s="202">
        <f t="shared" si="0"/>
        <v>2100</v>
      </c>
      <c r="I6" s="202">
        <f t="shared" si="0"/>
        <v>2100</v>
      </c>
      <c r="J6" s="202">
        <f t="shared" si="0"/>
        <v>2100</v>
      </c>
      <c r="K6" s="202">
        <f t="shared" si="0"/>
        <v>2100</v>
      </c>
      <c r="L6" s="202">
        <f t="shared" si="0"/>
        <v>2100</v>
      </c>
      <c r="M6" s="202">
        <f t="shared" si="0"/>
        <v>2100</v>
      </c>
      <c r="N6" s="202">
        <f t="shared" si="0"/>
        <v>2100</v>
      </c>
      <c r="O6" s="202">
        <f t="shared" si="0"/>
        <v>2100</v>
      </c>
      <c r="P6" s="202">
        <f t="shared" si="0"/>
        <v>2100</v>
      </c>
      <c r="Q6" s="202">
        <f t="shared" si="0"/>
        <v>2100</v>
      </c>
      <c r="R6" s="38"/>
      <c r="BR6"/>
      <c r="BS6"/>
      <c r="BT6"/>
      <c r="BU6"/>
      <c r="BV6"/>
      <c r="BW6"/>
      <c r="BX6"/>
      <c r="BY6"/>
      <c r="BZ6"/>
      <c r="CA6"/>
    </row>
    <row r="7" spans="1:79" s="39" customFormat="1">
      <c r="A7" s="5"/>
      <c r="B7" s="25" t="s">
        <v>38</v>
      </c>
      <c r="C7" s="25"/>
      <c r="D7" s="25" t="s">
        <v>10</v>
      </c>
      <c r="E7" s="25"/>
      <c r="F7" s="16"/>
      <c r="G7" s="17">
        <v>30</v>
      </c>
      <c r="H7" s="202">
        <f t="shared" si="0"/>
        <v>30</v>
      </c>
      <c r="I7" s="202">
        <f t="shared" si="0"/>
        <v>30</v>
      </c>
      <c r="J7" s="202">
        <f t="shared" si="0"/>
        <v>30</v>
      </c>
      <c r="K7" s="202">
        <f t="shared" si="0"/>
        <v>30</v>
      </c>
      <c r="L7" s="202">
        <f t="shared" si="0"/>
        <v>30</v>
      </c>
      <c r="M7" s="202">
        <f t="shared" si="0"/>
        <v>30</v>
      </c>
      <c r="N7" s="202">
        <f t="shared" si="0"/>
        <v>30</v>
      </c>
      <c r="O7" s="202">
        <f t="shared" si="0"/>
        <v>30</v>
      </c>
      <c r="P7" s="202">
        <f t="shared" si="0"/>
        <v>30</v>
      </c>
      <c r="Q7" s="202">
        <f t="shared" si="0"/>
        <v>30</v>
      </c>
      <c r="R7" s="38"/>
      <c r="BR7"/>
      <c r="BS7"/>
      <c r="BT7"/>
      <c r="BU7"/>
      <c r="BV7"/>
      <c r="BW7"/>
      <c r="BX7"/>
      <c r="BY7"/>
      <c r="BZ7"/>
      <c r="CA7"/>
    </row>
    <row r="8" spans="1:79" s="39" customFormat="1">
      <c r="A8" s="5"/>
      <c r="B8" s="25" t="s">
        <v>304</v>
      </c>
      <c r="C8" s="25"/>
      <c r="D8" s="25" t="s">
        <v>96</v>
      </c>
      <c r="E8" s="25"/>
      <c r="F8" s="16"/>
      <c r="G8" s="45">
        <v>0.125</v>
      </c>
      <c r="H8" s="219">
        <f t="shared" si="0"/>
        <v>0.125</v>
      </c>
      <c r="I8" s="219">
        <f t="shared" si="0"/>
        <v>0.125</v>
      </c>
      <c r="J8" s="219">
        <f t="shared" si="0"/>
        <v>0.125</v>
      </c>
      <c r="K8" s="219">
        <f t="shared" si="0"/>
        <v>0.125</v>
      </c>
      <c r="L8" s="219">
        <f t="shared" si="0"/>
        <v>0.125</v>
      </c>
      <c r="M8" s="219">
        <f t="shared" si="0"/>
        <v>0.125</v>
      </c>
      <c r="N8" s="219">
        <f t="shared" si="0"/>
        <v>0.125</v>
      </c>
      <c r="O8" s="219">
        <f t="shared" si="0"/>
        <v>0.125</v>
      </c>
      <c r="P8" s="219">
        <f t="shared" si="0"/>
        <v>0.125</v>
      </c>
      <c r="Q8" s="219">
        <f t="shared" si="0"/>
        <v>0.125</v>
      </c>
      <c r="R8" s="38"/>
      <c r="BR8"/>
      <c r="BS8"/>
      <c r="BT8"/>
      <c r="BU8"/>
      <c r="BV8"/>
      <c r="BW8"/>
      <c r="BX8"/>
      <c r="BY8"/>
      <c r="BZ8"/>
      <c r="CA8"/>
    </row>
    <row r="9" spans="1:79" s="39" customFormat="1">
      <c r="A9" s="5"/>
      <c r="B9" s="25" t="s">
        <v>332</v>
      </c>
      <c r="C9" s="25"/>
      <c r="D9" s="25" t="s">
        <v>189</v>
      </c>
      <c r="E9" s="25" t="s">
        <v>343</v>
      </c>
      <c r="F9" s="16"/>
      <c r="G9" s="17">
        <f>75*8760*0.56</f>
        <v>367920.00000000006</v>
      </c>
      <c r="H9" s="221">
        <f t="shared" si="0"/>
        <v>367920.00000000006</v>
      </c>
      <c r="I9" s="221">
        <f t="shared" si="0"/>
        <v>367920.00000000006</v>
      </c>
      <c r="J9" s="221">
        <f t="shared" si="0"/>
        <v>367920.00000000006</v>
      </c>
      <c r="K9" s="221">
        <f t="shared" si="0"/>
        <v>367920.00000000006</v>
      </c>
      <c r="L9" s="221">
        <f t="shared" si="0"/>
        <v>367920.00000000006</v>
      </c>
      <c r="M9" s="221">
        <f t="shared" si="0"/>
        <v>367920.00000000006</v>
      </c>
      <c r="N9" s="221">
        <f t="shared" si="0"/>
        <v>367920.00000000006</v>
      </c>
      <c r="O9" s="221">
        <f t="shared" si="0"/>
        <v>367920.00000000006</v>
      </c>
      <c r="P9" s="221">
        <f t="shared" si="0"/>
        <v>367920.00000000006</v>
      </c>
      <c r="Q9" s="221">
        <f t="shared" si="0"/>
        <v>367920.00000000006</v>
      </c>
      <c r="R9" s="38"/>
      <c r="BR9"/>
      <c r="BS9"/>
      <c r="BT9"/>
      <c r="BU9"/>
      <c r="BV9"/>
      <c r="BW9"/>
      <c r="BX9"/>
      <c r="BY9"/>
      <c r="BZ9"/>
      <c r="CA9"/>
    </row>
    <row r="10" spans="1:79" s="39" customFormat="1">
      <c r="A10" s="5"/>
      <c r="B10" s="25" t="s">
        <v>150</v>
      </c>
      <c r="C10" s="25"/>
      <c r="D10" s="25" t="s">
        <v>316</v>
      </c>
      <c r="E10" s="25"/>
      <c r="F10" s="16"/>
      <c r="G10" s="217">
        <f t="shared" ref="G10:Q10" si="1">134386790/GJ_per_MWh</f>
        <v>37329663.888888888</v>
      </c>
      <c r="H10" s="217">
        <f t="shared" si="1"/>
        <v>37329663.888888888</v>
      </c>
      <c r="I10" s="217">
        <f t="shared" si="1"/>
        <v>37329663.888888888</v>
      </c>
      <c r="J10" s="217">
        <f t="shared" si="1"/>
        <v>37329663.888888888</v>
      </c>
      <c r="K10" s="217">
        <f t="shared" si="1"/>
        <v>37329663.888888888</v>
      </c>
      <c r="L10" s="217">
        <f t="shared" si="1"/>
        <v>37329663.888888888</v>
      </c>
      <c r="M10" s="217">
        <f t="shared" si="1"/>
        <v>37329663.888888888</v>
      </c>
      <c r="N10" s="217">
        <f t="shared" si="1"/>
        <v>37329663.888888888</v>
      </c>
      <c r="O10" s="217">
        <f t="shared" si="1"/>
        <v>37329663.888888888</v>
      </c>
      <c r="P10" s="217">
        <f t="shared" si="1"/>
        <v>37329663.888888888</v>
      </c>
      <c r="Q10" s="217">
        <f t="shared" si="1"/>
        <v>37329663.888888888</v>
      </c>
      <c r="R10" s="38"/>
      <c r="BR10"/>
      <c r="BS10"/>
      <c r="BT10"/>
      <c r="BU10"/>
      <c r="BV10"/>
      <c r="BW10"/>
      <c r="BX10"/>
      <c r="BY10"/>
      <c r="BZ10"/>
      <c r="CA10"/>
    </row>
    <row r="11" spans="1:79" s="39" customFormat="1">
      <c r="A11" s="5"/>
      <c r="B11" s="25" t="s">
        <v>305</v>
      </c>
      <c r="C11" s="25"/>
      <c r="D11" s="25" t="s">
        <v>316</v>
      </c>
      <c r="E11" s="25"/>
      <c r="F11" s="16"/>
      <c r="G11" s="217">
        <f t="shared" ref="G11:Q11" si="2">4241664/GJ_per_MWh</f>
        <v>1178240</v>
      </c>
      <c r="H11" s="217">
        <f t="shared" si="2"/>
        <v>1178240</v>
      </c>
      <c r="I11" s="217">
        <f t="shared" si="2"/>
        <v>1178240</v>
      </c>
      <c r="J11" s="217">
        <f t="shared" si="2"/>
        <v>1178240</v>
      </c>
      <c r="K11" s="217">
        <f t="shared" si="2"/>
        <v>1178240</v>
      </c>
      <c r="L11" s="217">
        <f t="shared" si="2"/>
        <v>1178240</v>
      </c>
      <c r="M11" s="217">
        <f t="shared" si="2"/>
        <v>1178240</v>
      </c>
      <c r="N11" s="217">
        <f t="shared" si="2"/>
        <v>1178240</v>
      </c>
      <c r="O11" s="217">
        <f t="shared" si="2"/>
        <v>1178240</v>
      </c>
      <c r="P11" s="217">
        <f t="shared" si="2"/>
        <v>1178240</v>
      </c>
      <c r="Q11" s="217">
        <f t="shared" si="2"/>
        <v>1178240</v>
      </c>
      <c r="R11" s="38"/>
      <c r="BR11"/>
      <c r="BS11"/>
      <c r="BT11"/>
      <c r="BU11"/>
      <c r="BV11"/>
      <c r="BW11"/>
      <c r="BX11"/>
      <c r="BY11"/>
      <c r="BZ11"/>
      <c r="CA11"/>
    </row>
    <row r="12" spans="1:79" s="39" customFormat="1">
      <c r="A12" s="5"/>
      <c r="B12" s="25" t="s">
        <v>338</v>
      </c>
      <c r="C12" s="25"/>
      <c r="D12" s="25" t="s">
        <v>316</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c r="A13" s="5"/>
      <c r="B13" s="25" t="s">
        <v>337</v>
      </c>
      <c r="C13" s="25"/>
      <c r="D13" s="25" t="s">
        <v>331</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c r="A14" s="5"/>
      <c r="B14" s="25" t="s">
        <v>342</v>
      </c>
      <c r="C14" s="25" t="s">
        <v>13</v>
      </c>
      <c r="D14" s="25" t="s">
        <v>331</v>
      </c>
      <c r="E14" s="25"/>
      <c r="F14" s="16"/>
      <c r="G14" s="220" t="e">
        <f>Tree!#REF!*GJ_per_MWh*Tree!#REF!</f>
        <v>#REF!</v>
      </c>
      <c r="H14" s="30"/>
      <c r="I14" s="30"/>
      <c r="J14" s="30"/>
      <c r="K14" s="30"/>
      <c r="L14" s="30"/>
      <c r="M14" s="30"/>
      <c r="N14" s="30"/>
      <c r="O14" s="30"/>
      <c r="P14" s="30"/>
      <c r="Q14" s="30"/>
      <c r="R14" s="38"/>
      <c r="BR14"/>
      <c r="BS14"/>
      <c r="BT14"/>
      <c r="BU14"/>
      <c r="BV14"/>
      <c r="BW14"/>
      <c r="BX14"/>
      <c r="BY14"/>
      <c r="BZ14"/>
      <c r="CA14"/>
    </row>
    <row r="15" spans="1:79" s="39" customFormat="1">
      <c r="A15" s="5"/>
      <c r="B15" s="25" t="s">
        <v>342</v>
      </c>
      <c r="C15" s="25" t="s">
        <v>333</v>
      </c>
      <c r="D15" s="25" t="s">
        <v>331</v>
      </c>
      <c r="E15" s="25"/>
      <c r="F15" s="16"/>
      <c r="G15" s="220" t="e">
        <f>Tree!#REF!*Tree!#REF!</f>
        <v>#REF!</v>
      </c>
      <c r="H15" s="30"/>
      <c r="I15" s="30"/>
      <c r="J15" s="30"/>
      <c r="K15" s="30"/>
      <c r="L15" s="30"/>
      <c r="M15" s="30"/>
      <c r="N15" s="30"/>
      <c r="O15" s="30"/>
      <c r="P15" s="30"/>
      <c r="Q15" s="30"/>
      <c r="R15" s="38"/>
      <c r="BR15"/>
      <c r="BS15"/>
      <c r="BT15"/>
      <c r="BU15"/>
      <c r="BV15"/>
      <c r="BW15"/>
      <c r="BX15"/>
      <c r="BY15"/>
      <c r="BZ15"/>
      <c r="CA15"/>
    </row>
    <row r="16" spans="1:79" s="39" customFormat="1">
      <c r="A16" s="5"/>
      <c r="B16" s="25" t="s">
        <v>301</v>
      </c>
      <c r="C16" s="25" t="s">
        <v>13</v>
      </c>
      <c r="D16" s="25" t="s">
        <v>340</v>
      </c>
      <c r="E16" s="25"/>
      <c r="F16" s="16"/>
      <c r="G16" s="220">
        <f>1/0.33</f>
        <v>3.0303030303030303</v>
      </c>
      <c r="H16" s="221">
        <f t="shared" ref="H16:Q16" si="3">G16</f>
        <v>3.0303030303030303</v>
      </c>
      <c r="I16" s="221">
        <f t="shared" si="3"/>
        <v>3.0303030303030303</v>
      </c>
      <c r="J16" s="221">
        <f t="shared" si="3"/>
        <v>3.0303030303030303</v>
      </c>
      <c r="K16" s="221">
        <f t="shared" si="3"/>
        <v>3.0303030303030303</v>
      </c>
      <c r="L16" s="221">
        <f t="shared" si="3"/>
        <v>3.0303030303030303</v>
      </c>
      <c r="M16" s="221">
        <f t="shared" si="3"/>
        <v>3.0303030303030303</v>
      </c>
      <c r="N16" s="221">
        <f t="shared" si="3"/>
        <v>3.0303030303030303</v>
      </c>
      <c r="O16" s="221">
        <f t="shared" si="3"/>
        <v>3.0303030303030303</v>
      </c>
      <c r="P16" s="221">
        <f t="shared" si="3"/>
        <v>3.0303030303030303</v>
      </c>
      <c r="Q16" s="221">
        <f t="shared" si="3"/>
        <v>3.0303030303030303</v>
      </c>
      <c r="R16" s="38"/>
      <c r="BR16"/>
      <c r="BS16"/>
      <c r="BT16"/>
      <c r="BU16"/>
      <c r="BV16"/>
      <c r="BW16"/>
      <c r="BX16"/>
      <c r="BY16"/>
      <c r="BZ16"/>
      <c r="CA16"/>
    </row>
    <row r="17" spans="1:79" s="39" customFormat="1">
      <c r="A17" s="5"/>
      <c r="B17" s="25" t="s">
        <v>301</v>
      </c>
      <c r="C17" s="25" t="s">
        <v>333</v>
      </c>
      <c r="D17" s="25" t="s">
        <v>340</v>
      </c>
      <c r="E17" s="25"/>
      <c r="F17" s="16"/>
      <c r="G17" s="220">
        <v>1</v>
      </c>
      <c r="H17" s="221">
        <f t="shared" ref="H17:Q17" si="4">G17</f>
        <v>1</v>
      </c>
      <c r="I17" s="221">
        <f t="shared" si="4"/>
        <v>1</v>
      </c>
      <c r="J17" s="221">
        <f t="shared" si="4"/>
        <v>1</v>
      </c>
      <c r="K17" s="221">
        <f t="shared" si="4"/>
        <v>1</v>
      </c>
      <c r="L17" s="221">
        <f t="shared" si="4"/>
        <v>1</v>
      </c>
      <c r="M17" s="221">
        <f t="shared" si="4"/>
        <v>1</v>
      </c>
      <c r="N17" s="221">
        <f t="shared" si="4"/>
        <v>1</v>
      </c>
      <c r="O17" s="221">
        <f t="shared" si="4"/>
        <v>1</v>
      </c>
      <c r="P17" s="221">
        <f t="shared" si="4"/>
        <v>1</v>
      </c>
      <c r="Q17" s="221">
        <f t="shared" si="4"/>
        <v>1</v>
      </c>
      <c r="R17" s="38"/>
      <c r="BR17"/>
      <c r="BS17"/>
      <c r="BT17"/>
      <c r="BU17"/>
      <c r="BV17"/>
      <c r="BW17"/>
      <c r="BX17"/>
      <c r="BY17"/>
      <c r="BZ17"/>
      <c r="CA17"/>
    </row>
    <row r="18" spans="1:79" s="39" customFormat="1">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22" priority="16" stopIfTrue="1">
      <formula>$BA10&lt;&gt;""</formula>
    </cfRule>
  </conditionalFormatting>
  <conditionalFormatting sqref="G10:Q11 G14:G17">
    <cfRule type="expression" dxfId="21" priority="17" stopIfTrue="1">
      <formula>$BB10="Technology"</formula>
    </cfRule>
    <cfRule type="expression" dxfId="20" priority="18" stopIfTrue="1">
      <formula>$BB10="Service"</formula>
    </cfRule>
  </conditionalFormatting>
  <conditionalFormatting sqref="H5:Q9">
    <cfRule type="expression" dxfId="19" priority="13" stopIfTrue="1">
      <formula>$BA5&lt;&gt;""</formula>
    </cfRule>
  </conditionalFormatting>
  <conditionalFormatting sqref="H5:Q9">
    <cfRule type="expression" dxfId="18" priority="14" stopIfTrue="1">
      <formula>$BB5="Technology"</formula>
    </cfRule>
    <cfRule type="expression" dxfId="17" priority="15" stopIfTrue="1">
      <formula>$BB5="Service"</formula>
    </cfRule>
  </conditionalFormatting>
  <conditionalFormatting sqref="H16:Q17">
    <cfRule type="expression" dxfId="16" priority="1" stopIfTrue="1">
      <formula>$BA16&lt;&gt;""</formula>
    </cfRule>
  </conditionalFormatting>
  <conditionalFormatting sqref="H16:Q17">
    <cfRule type="expression" dxfId="15" priority="2" stopIfTrue="1">
      <formula>$BB16="Technology"</formula>
    </cfRule>
    <cfRule type="expression" dxfId="14"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sheetViews>
  <sheetFormatPr baseColWidth="10" defaultColWidth="8.83203125" defaultRowHeight="15"/>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3.83203125" style="75" customWidth="1"/>
    <col min="14" max="14" width="13.1640625" style="75" bestFit="1" customWidth="1"/>
    <col min="15" max="15" width="9.5" style="75" customWidth="1"/>
    <col min="16" max="16" width="16.5" bestFit="1" customWidth="1"/>
    <col min="17" max="17" width="13.5" style="85" bestFit="1" customWidth="1"/>
    <col min="18" max="18" width="13.33203125" bestFit="1" customWidth="1"/>
    <col min="19" max="19" width="12.6640625" bestFit="1" customWidth="1"/>
    <col min="20" max="20" width="17.5" bestFit="1" customWidth="1"/>
    <col min="21" max="21" width="17.6640625" bestFit="1" customWidth="1"/>
    <col min="22" max="22" width="15.5" bestFit="1" customWidth="1"/>
    <col min="23" max="23" width="12.6640625" style="85" bestFit="1" customWidth="1"/>
    <col min="24" max="24" width="13.33203125" bestFit="1" customWidth="1"/>
    <col min="25" max="25" width="12.6640625" bestFit="1" customWidth="1"/>
    <col min="26" max="26" width="25.6640625" style="72" bestFit="1" customWidth="1"/>
    <col min="27" max="27" width="8.33203125" style="72" bestFit="1" customWidth="1"/>
    <col min="28" max="28" width="13.1640625" bestFit="1" customWidth="1"/>
    <col min="29" max="29" width="12.6640625" style="85" bestFit="1" customWidth="1"/>
    <col min="30" max="30" width="13.1640625" style="72" bestFit="1" customWidth="1"/>
    <col min="33" max="33" width="25.6640625" bestFit="1" customWidth="1"/>
    <col min="34" max="34" width="16.6640625" bestFit="1" customWidth="1"/>
    <col min="39" max="39" width="9.83203125" customWidth="1"/>
    <col min="40" max="40" width="10" customWidth="1"/>
  </cols>
  <sheetData>
    <row r="1" spans="1:41" s="70" customFormat="1">
      <c r="C1" s="83" t="s">
        <v>5</v>
      </c>
      <c r="E1" s="83" t="s">
        <v>0</v>
      </c>
      <c r="G1" s="83" t="s">
        <v>107</v>
      </c>
      <c r="L1" s="83" t="s">
        <v>1</v>
      </c>
      <c r="M1" s="74"/>
      <c r="N1" s="74"/>
      <c r="O1" s="74"/>
      <c r="Q1" s="83" t="s">
        <v>69</v>
      </c>
      <c r="W1" s="83" t="s">
        <v>32</v>
      </c>
      <c r="Z1" s="77"/>
      <c r="AA1" s="77"/>
      <c r="AC1" s="83" t="s">
        <v>56</v>
      </c>
      <c r="AD1" s="77"/>
    </row>
    <row r="2" spans="1:41">
      <c r="C2" s="84" t="s">
        <v>135</v>
      </c>
      <c r="D2" s="1" t="s">
        <v>136</v>
      </c>
      <c r="E2" s="84" t="s">
        <v>135</v>
      </c>
      <c r="F2" s="88" t="s">
        <v>136</v>
      </c>
      <c r="G2" s="84" t="s">
        <v>135</v>
      </c>
      <c r="H2" s="88" t="s">
        <v>137</v>
      </c>
      <c r="I2" s="88" t="s">
        <v>135</v>
      </c>
      <c r="J2" s="1"/>
      <c r="K2" s="1" t="s">
        <v>136</v>
      </c>
      <c r="L2" s="84" t="s">
        <v>135</v>
      </c>
      <c r="M2" s="76" t="s">
        <v>144</v>
      </c>
      <c r="N2" s="76" t="s">
        <v>144</v>
      </c>
      <c r="O2" s="76"/>
      <c r="P2" s="88" t="s">
        <v>136</v>
      </c>
      <c r="Q2" s="89" t="s">
        <v>135</v>
      </c>
      <c r="R2" s="76" t="s">
        <v>144</v>
      </c>
      <c r="S2" s="76" t="s">
        <v>144</v>
      </c>
      <c r="T2" s="1"/>
      <c r="U2" s="1" t="s">
        <v>136</v>
      </c>
      <c r="V2" s="1" t="s">
        <v>136</v>
      </c>
      <c r="W2" s="84" t="s">
        <v>135</v>
      </c>
      <c r="X2" s="76" t="s">
        <v>144</v>
      </c>
      <c r="Y2" s="76" t="s">
        <v>144</v>
      </c>
      <c r="Z2" s="78"/>
      <c r="AA2" s="78" t="s">
        <v>136</v>
      </c>
      <c r="AB2" s="1" t="s">
        <v>136</v>
      </c>
      <c r="AC2" s="84" t="s">
        <v>136</v>
      </c>
      <c r="AD2" s="78" t="s">
        <v>136</v>
      </c>
    </row>
    <row r="3" spans="1:41" s="114" customFormat="1" ht="64">
      <c r="A3" s="125" t="s">
        <v>159</v>
      </c>
      <c r="C3" s="92" t="s">
        <v>42</v>
      </c>
      <c r="D3" s="93" t="s">
        <v>132</v>
      </c>
      <c r="E3" s="92" t="s">
        <v>80</v>
      </c>
      <c r="F3" s="93" t="s">
        <v>133</v>
      </c>
      <c r="G3" s="92" t="s">
        <v>134</v>
      </c>
      <c r="H3" s="94" t="s">
        <v>123</v>
      </c>
      <c r="I3" s="95" t="s">
        <v>83</v>
      </c>
      <c r="J3" s="93"/>
      <c r="K3" s="93" t="s">
        <v>131</v>
      </c>
      <c r="L3" s="92" t="s">
        <v>35</v>
      </c>
      <c r="M3" s="94" t="s">
        <v>145</v>
      </c>
      <c r="N3" s="95" t="s">
        <v>83</v>
      </c>
      <c r="O3" s="94"/>
      <c r="P3" s="95" t="s">
        <v>44</v>
      </c>
      <c r="Q3" s="96" t="s">
        <v>33</v>
      </c>
      <c r="R3" s="94" t="s">
        <v>145</v>
      </c>
      <c r="S3" s="95" t="s">
        <v>83</v>
      </c>
      <c r="T3" s="93"/>
      <c r="U3" s="93" t="s">
        <v>141</v>
      </c>
      <c r="V3" s="93" t="s">
        <v>142</v>
      </c>
      <c r="W3" s="92" t="s">
        <v>33</v>
      </c>
      <c r="X3" s="94" t="s">
        <v>145</v>
      </c>
      <c r="Y3" s="95" t="s">
        <v>83</v>
      </c>
      <c r="Z3" s="97"/>
      <c r="AA3" s="97" t="s">
        <v>139</v>
      </c>
      <c r="AB3" s="93" t="s">
        <v>140</v>
      </c>
      <c r="AC3" s="92" t="s">
        <v>139</v>
      </c>
      <c r="AD3" s="97" t="s">
        <v>140</v>
      </c>
      <c r="AG3" s="133" t="s">
        <v>162</v>
      </c>
      <c r="AH3" s="115" t="s">
        <v>138</v>
      </c>
      <c r="AI3" s="114" t="s">
        <v>34</v>
      </c>
      <c r="AJ3" s="114" t="s">
        <v>150</v>
      </c>
      <c r="AK3" s="114" t="s">
        <v>40</v>
      </c>
      <c r="AL3" s="114" t="s">
        <v>151</v>
      </c>
      <c r="AM3" s="114" t="s">
        <v>152</v>
      </c>
      <c r="AN3" s="114" t="s">
        <v>153</v>
      </c>
      <c r="AO3" s="114" t="s">
        <v>154</v>
      </c>
    </row>
    <row r="4" spans="1:41">
      <c r="A4" s="98" t="s">
        <v>148</v>
      </c>
      <c r="C4" s="121" t="e">
        <f>Tree!#REF!</f>
        <v>#REF!</v>
      </c>
      <c r="D4" s="41" t="e">
        <f>Tree!#REF!</f>
        <v>#REF!</v>
      </c>
      <c r="E4" s="122" t="e">
        <f>D4*C4</f>
        <v>#REF!</v>
      </c>
      <c r="F4" s="41" t="e">
        <f>Tree!#REF!</f>
        <v>#REF!</v>
      </c>
      <c r="G4" s="122" t="e">
        <f>F4*E4</f>
        <v>#REF!</v>
      </c>
      <c r="H4" s="79" t="e">
        <f>INDEX(Tree!#REF!,MATCH($J4,Tree!#REF!,0))</f>
        <v>#REF!</v>
      </c>
      <c r="I4" s="100" t="e">
        <f>G4*H4</f>
        <v>#REF!</v>
      </c>
      <c r="J4" s="41" t="s">
        <v>24</v>
      </c>
      <c r="K4" s="79" t="e">
        <f>INDEX(Tree!#REF!,MATCH($J4,Tree!#REF!,0))</f>
        <v>#REF!</v>
      </c>
      <c r="L4" s="99" t="e">
        <f t="shared" ref="L4:L35" si="0">K4*I4</f>
        <v>#REF!</v>
      </c>
      <c r="M4" s="79" t="e">
        <f>Tree!#REF!</f>
        <v>#REF!</v>
      </c>
      <c r="N4" s="100" t="e">
        <f t="shared" ref="N4:N9" si="1">L4*M4</f>
        <v>#REF!</v>
      </c>
      <c r="O4" s="79" t="s">
        <v>30</v>
      </c>
      <c r="P4" s="79" t="e">
        <f>INDEX(Tree!#REF!,MATCH($O4,Tree!#REF!,0)+MATCH(Tree!#REF!,Tree!#REF!,0)-1)</f>
        <v>#REF!</v>
      </c>
      <c r="Q4" s="99" t="e">
        <f>N4*P4</f>
        <v>#REF!</v>
      </c>
      <c r="R4" s="117" t="e">
        <f>Tree!#REF!</f>
        <v>#REF!</v>
      </c>
      <c r="S4" s="100" t="e">
        <f>Q4*R4</f>
        <v>#REF!</v>
      </c>
      <c r="T4" s="41" t="s">
        <v>31</v>
      </c>
      <c r="U4" s="41"/>
      <c r="V4" s="41" t="e">
        <f>Tree!#REF!</f>
        <v>#REF!</v>
      </c>
      <c r="W4" s="99"/>
      <c r="X4" s="117"/>
      <c r="Y4" s="100">
        <f t="shared" ref="Y4:Y67" si="2">W4*X4</f>
        <v>0</v>
      </c>
      <c r="Z4" s="80"/>
      <c r="AA4" s="80"/>
      <c r="AB4" s="41"/>
      <c r="AC4" s="86" t="e">
        <f>V4*S4+AA4*Y4</f>
        <v>#REF!</v>
      </c>
      <c r="AD4" s="80">
        <f>AB4*Y4</f>
        <v>0</v>
      </c>
      <c r="AG4" s="1" t="s">
        <v>30</v>
      </c>
      <c r="AH4" s="107" t="e">
        <f>(AJ4*AK4/(1-(1+AK4)^(-AL4))+SUM(AM4:AO4))^-AI4</f>
        <v>#REF!</v>
      </c>
      <c r="AI4" t="e">
        <f>Tree!#REF!</f>
        <v>#REF!</v>
      </c>
      <c r="AJ4" t="e">
        <f>Tree!#REF!</f>
        <v>#REF!</v>
      </c>
      <c r="AK4" t="e">
        <f>Tree!#REF!</f>
        <v>#REF!</v>
      </c>
      <c r="AL4" t="e">
        <f>Tree!#REF!</f>
        <v>#REF!</v>
      </c>
      <c r="AM4" t="e">
        <f>Tree!#REF!</f>
        <v>#REF!</v>
      </c>
      <c r="AN4" t="e">
        <f>Tree!#REF!</f>
        <v>#REF!</v>
      </c>
    </row>
    <row r="5" spans="1:41">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24</v>
      </c>
      <c r="K5" s="82" t="e">
        <f>INDEX(Tree!#REF!,MATCH($J5,Tree!#REF!,0))</f>
        <v>#REF!</v>
      </c>
      <c r="L5" s="103" t="e">
        <f t="shared" si="0"/>
        <v>#REF!</v>
      </c>
      <c r="M5" s="82" t="e">
        <f>Tree!#REF!</f>
        <v>#REF!</v>
      </c>
      <c r="N5" s="101" t="e">
        <f t="shared" si="1"/>
        <v>#REF!</v>
      </c>
      <c r="O5" s="82" t="s">
        <v>30</v>
      </c>
      <c r="P5" s="82" t="e">
        <f>INDEX(Tree!#REF!,MATCH($O5,Tree!#REF!,0)+MATCH(Tree!#REF!,Tree!#REF!,0)-1)</f>
        <v>#REF!</v>
      </c>
      <c r="Q5" s="103" t="e">
        <f t="shared" ref="Q5:Q68" si="6">N5*P5</f>
        <v>#REF!</v>
      </c>
      <c r="R5" s="118" t="e">
        <f>Tree!#REF!</f>
        <v>#REF!</v>
      </c>
      <c r="S5" s="101" t="e">
        <f t="shared" ref="S5:S68" si="7">Q5*R5</f>
        <v>#REF!</v>
      </c>
      <c r="T5" s="81" t="s">
        <v>32</v>
      </c>
      <c r="U5" s="81" t="e">
        <f>Tree!#REF!</f>
        <v>#REF!</v>
      </c>
      <c r="V5" s="81"/>
      <c r="W5" s="103" t="e">
        <f>S5*U5</f>
        <v>#REF!</v>
      </c>
      <c r="X5" s="120"/>
      <c r="Y5" s="101" t="e">
        <f t="shared" si="2"/>
        <v>#REF!</v>
      </c>
      <c r="Z5" s="81" t="s">
        <v>53</v>
      </c>
      <c r="AA5" s="81" t="e">
        <f>Tree!#REF!</f>
        <v>#REF!</v>
      </c>
      <c r="AB5" s="81"/>
      <c r="AC5" s="87" t="e">
        <f t="shared" ref="AC5:AC68" si="8">V5*S5+AA5*Y5</f>
        <v>#REF!</v>
      </c>
      <c r="AD5" s="81" t="e">
        <f t="shared" ref="AD5:AD68" si="9">AB5*Y5</f>
        <v>#REF!</v>
      </c>
      <c r="AG5" s="1" t="s">
        <v>29</v>
      </c>
      <c r="AH5" s="107" t="e">
        <f>(AJ5*AK5/(1-(1+AK5)^(-AL5))+SUM(AM5:AO5))^-AI5</f>
        <v>#REF!</v>
      </c>
      <c r="AI5" t="e">
        <f>Tree!#REF!</f>
        <v>#REF!</v>
      </c>
      <c r="AJ5" t="e">
        <f>Tree!#REF!</f>
        <v>#REF!</v>
      </c>
      <c r="AK5" t="e">
        <f>Tree!#REF!</f>
        <v>#REF!</v>
      </c>
      <c r="AL5" t="e">
        <f>Tree!#REF!</f>
        <v>#REF!</v>
      </c>
      <c r="AM5" t="e">
        <f>Tree!#REF!</f>
        <v>#REF!</v>
      </c>
      <c r="AN5" t="e">
        <f>Tree!#REF!</f>
        <v>#REF!</v>
      </c>
    </row>
    <row r="6" spans="1:41">
      <c r="C6" s="121" t="e">
        <f>Tree!#REF!</f>
        <v>#REF!</v>
      </c>
      <c r="D6" s="41" t="e">
        <f>Tree!#REF!</f>
        <v>#REF!</v>
      </c>
      <c r="E6" s="122" t="e">
        <f t="shared" si="3"/>
        <v>#REF!</v>
      </c>
      <c r="F6" s="41" t="e">
        <f>Tree!#REF!</f>
        <v>#REF!</v>
      </c>
      <c r="G6" s="122" t="e">
        <f t="shared" si="4"/>
        <v>#REF!</v>
      </c>
      <c r="H6" s="79" t="e">
        <f>INDEX(Tree!#REF!,MATCH($J6,Tree!#REF!,0))</f>
        <v>#REF!</v>
      </c>
      <c r="I6" s="100" t="e">
        <f t="shared" si="5"/>
        <v>#REF!</v>
      </c>
      <c r="J6" s="41" t="s">
        <v>24</v>
      </c>
      <c r="K6" s="79" t="e">
        <f>INDEX(Tree!#REF!,MATCH($J6,Tree!#REF!,0))</f>
        <v>#REF!</v>
      </c>
      <c r="L6" s="99" t="e">
        <f t="shared" si="0"/>
        <v>#REF!</v>
      </c>
      <c r="M6" s="79" t="e">
        <f>Tree!#REF!</f>
        <v>#REF!</v>
      </c>
      <c r="N6" s="100" t="e">
        <f t="shared" si="1"/>
        <v>#REF!</v>
      </c>
      <c r="O6" s="79" t="s">
        <v>30</v>
      </c>
      <c r="P6" s="79" t="e">
        <f>INDEX(Tree!#REF!,MATCH($O6,Tree!#REF!,0)+MATCH(Tree!#REF!,Tree!#REF!,0)-1)</f>
        <v>#REF!</v>
      </c>
      <c r="Q6" s="99" t="e">
        <f t="shared" si="6"/>
        <v>#REF!</v>
      </c>
      <c r="R6" s="117" t="e">
        <f>Tree!#REF!</f>
        <v>#REF!</v>
      </c>
      <c r="S6" s="100" t="e">
        <f t="shared" si="7"/>
        <v>#REF!</v>
      </c>
      <c r="T6" s="41" t="s">
        <v>32</v>
      </c>
      <c r="U6" s="41" t="e">
        <f>Tree!#REF!</f>
        <v>#REF!</v>
      </c>
      <c r="V6" s="41"/>
      <c r="W6" s="99" t="e">
        <f>S6*U6</f>
        <v>#REF!</v>
      </c>
      <c r="X6" s="139">
        <v>0</v>
      </c>
      <c r="Y6" s="100" t="e">
        <f t="shared" si="2"/>
        <v>#REF!</v>
      </c>
      <c r="Z6" s="80" t="s">
        <v>116</v>
      </c>
      <c r="AA6" s="80" t="e">
        <f>Tree!#REF!</f>
        <v>#REF!</v>
      </c>
      <c r="AB6" s="41"/>
      <c r="AC6" s="86" t="e">
        <f t="shared" si="8"/>
        <v>#REF!</v>
      </c>
      <c r="AD6" s="80" t="e">
        <f t="shared" si="9"/>
        <v>#REF!</v>
      </c>
      <c r="AG6" s="1" t="s">
        <v>28</v>
      </c>
      <c r="AH6" s="107" t="e">
        <f>(AJ6*AK6/(1-(1+AK6)^(-AL6))+SUM(AM6:AO6))^-AI6</f>
        <v>#REF!</v>
      </c>
      <c r="AI6" t="e">
        <f>Tree!#REF!</f>
        <v>#REF!</v>
      </c>
      <c r="AJ6" t="e">
        <f>Tree!#REF!</f>
        <v>#REF!</v>
      </c>
      <c r="AK6" t="e">
        <f>Tree!#REF!</f>
        <v>#REF!</v>
      </c>
      <c r="AL6" t="e">
        <f>Tree!#REF!</f>
        <v>#REF!</v>
      </c>
      <c r="AM6" t="e">
        <f>Tree!#REF!</f>
        <v>#REF!</v>
      </c>
      <c r="AN6" t="e">
        <f>Tree!#REF!</f>
        <v>#REF!</v>
      </c>
    </row>
    <row r="7" spans="1:41">
      <c r="A7" s="105" t="s">
        <v>117</v>
      </c>
      <c r="C7" s="121" t="e">
        <f>Tree!#REF!</f>
        <v>#REF!</v>
      </c>
      <c r="D7" s="41" t="e">
        <f>Tree!#REF!</f>
        <v>#REF!</v>
      </c>
      <c r="E7" s="122" t="e">
        <f t="shared" si="3"/>
        <v>#REF!</v>
      </c>
      <c r="F7" s="41" t="e">
        <f>Tree!#REF!</f>
        <v>#REF!</v>
      </c>
      <c r="G7" s="122" t="e">
        <f t="shared" si="4"/>
        <v>#REF!</v>
      </c>
      <c r="H7" s="79" t="e">
        <f>INDEX(Tree!#REF!,MATCH($J7,Tree!#REF!,0))</f>
        <v>#REF!</v>
      </c>
      <c r="I7" s="100" t="e">
        <f t="shared" si="5"/>
        <v>#REF!</v>
      </c>
      <c r="J7" s="41" t="s">
        <v>24</v>
      </c>
      <c r="K7" s="79" t="e">
        <f>INDEX(Tree!#REF!,MATCH($J7,Tree!#REF!,0))</f>
        <v>#REF!</v>
      </c>
      <c r="L7" s="99" t="e">
        <f t="shared" si="0"/>
        <v>#REF!</v>
      </c>
      <c r="M7" s="79" t="e">
        <f>Tree!#REF!</f>
        <v>#REF!</v>
      </c>
      <c r="N7" s="100" t="e">
        <f t="shared" si="1"/>
        <v>#REF!</v>
      </c>
      <c r="O7" s="79" t="s">
        <v>30</v>
      </c>
      <c r="P7" s="79" t="e">
        <f>INDEX(Tree!#REF!,MATCH($O7,Tree!#REF!,0)+MATCH(Tree!#REF!,Tree!#REF!,0)-1)</f>
        <v>#REF!</v>
      </c>
      <c r="Q7" s="99" t="e">
        <f t="shared" si="6"/>
        <v>#REF!</v>
      </c>
      <c r="R7" s="117" t="e">
        <f>Tree!#REF!</f>
        <v>#REF!</v>
      </c>
      <c r="S7" s="100" t="e">
        <f t="shared" si="7"/>
        <v>#REF!</v>
      </c>
      <c r="T7" s="41" t="s">
        <v>32</v>
      </c>
      <c r="U7" s="41" t="e">
        <f>Tree!#REF!</f>
        <v>#REF!</v>
      </c>
      <c r="V7" s="41"/>
      <c r="W7" s="99" t="e">
        <f>S7*U7</f>
        <v>#REF!</v>
      </c>
      <c r="X7" s="139" t="e">
        <f>Tree!#REF!/SUM(Tree!#REF!,Tree!#REF!)</f>
        <v>#REF!</v>
      </c>
      <c r="Y7" s="100" t="e">
        <f t="shared" si="2"/>
        <v>#REF!</v>
      </c>
      <c r="Z7" s="80" t="s">
        <v>51</v>
      </c>
      <c r="AA7" s="80"/>
      <c r="AB7" s="41" t="e">
        <f>Tree!#REF!</f>
        <v>#REF!</v>
      </c>
      <c r="AC7" s="86" t="e">
        <f t="shared" si="8"/>
        <v>#REF!</v>
      </c>
      <c r="AD7" s="80" t="e">
        <f t="shared" si="9"/>
        <v>#REF!</v>
      </c>
      <c r="AG7" s="1"/>
      <c r="AH7" s="107"/>
    </row>
    <row r="8" spans="1:41">
      <c r="A8" s="71" t="s">
        <v>143</v>
      </c>
      <c r="C8" s="121" t="e">
        <f>Tree!#REF!</f>
        <v>#REF!</v>
      </c>
      <c r="D8" s="41" t="e">
        <f>Tree!#REF!</f>
        <v>#REF!</v>
      </c>
      <c r="E8" s="122" t="e">
        <f t="shared" si="3"/>
        <v>#REF!</v>
      </c>
      <c r="F8" s="41" t="e">
        <f>Tree!#REF!</f>
        <v>#REF!</v>
      </c>
      <c r="G8" s="122" t="e">
        <f t="shared" si="4"/>
        <v>#REF!</v>
      </c>
      <c r="H8" s="79" t="e">
        <f>INDEX(Tree!#REF!,MATCH($J8,Tree!#REF!,0))</f>
        <v>#REF!</v>
      </c>
      <c r="I8" s="100" t="e">
        <f t="shared" si="5"/>
        <v>#REF!</v>
      </c>
      <c r="J8" s="41" t="s">
        <v>24</v>
      </c>
      <c r="K8" s="79" t="e">
        <f>INDEX(Tree!#REF!,MATCH($J8,Tree!#REF!,0))</f>
        <v>#REF!</v>
      </c>
      <c r="L8" s="99" t="e">
        <f t="shared" si="0"/>
        <v>#REF!</v>
      </c>
      <c r="M8" s="79" t="e">
        <f>Tree!#REF!</f>
        <v>#REF!</v>
      </c>
      <c r="N8" s="100" t="e">
        <f t="shared" si="1"/>
        <v>#REF!</v>
      </c>
      <c r="O8" s="79" t="s">
        <v>30</v>
      </c>
      <c r="P8" s="79" t="e">
        <f>INDEX(Tree!#REF!,MATCH($O8,Tree!#REF!,0)+MATCH(Tree!#REF!,Tree!#REF!,0)-1)</f>
        <v>#REF!</v>
      </c>
      <c r="Q8" s="99" t="e">
        <f t="shared" si="6"/>
        <v>#REF!</v>
      </c>
      <c r="R8" s="117" t="e">
        <f>Tree!#REF!</f>
        <v>#REF!</v>
      </c>
      <c r="S8" s="100" t="e">
        <f t="shared" si="7"/>
        <v>#REF!</v>
      </c>
      <c r="T8" s="41" t="s">
        <v>32</v>
      </c>
      <c r="U8" s="41" t="e">
        <f>Tree!#REF!</f>
        <v>#REF!</v>
      </c>
      <c r="V8" s="41"/>
      <c r="W8" s="99" t="e">
        <f>S8*U8</f>
        <v>#REF!</v>
      </c>
      <c r="X8" s="139" t="e">
        <f>Tree!#REF!/SUM(Tree!#REF!,Tree!#REF!)</f>
        <v>#REF!</v>
      </c>
      <c r="Y8" s="100" t="e">
        <f t="shared" si="2"/>
        <v>#REF!</v>
      </c>
      <c r="Z8" s="80" t="s">
        <v>52</v>
      </c>
      <c r="AA8" s="80"/>
      <c r="AB8" s="41" t="e">
        <f>Tree!#REF!</f>
        <v>#REF!</v>
      </c>
      <c r="AC8" s="86" t="e">
        <f t="shared" si="8"/>
        <v>#REF!</v>
      </c>
      <c r="AD8" s="80" t="e">
        <f t="shared" si="9"/>
        <v>#REF!</v>
      </c>
      <c r="AG8" s="1" t="s">
        <v>31</v>
      </c>
      <c r="AH8" s="107" t="e">
        <f>(AJ8*AK8/(1-(1+AK8)^(-AL8))+SUM(AM8:AO8))^-AI8</f>
        <v>#REF!</v>
      </c>
      <c r="AI8" t="e">
        <f>Tree!#REF!</f>
        <v>#REF!</v>
      </c>
      <c r="AJ8" t="e">
        <f>Tree!#REF!</f>
        <v>#REF!</v>
      </c>
      <c r="AK8" t="e">
        <f>Tree!#REF!</f>
        <v>#REF!</v>
      </c>
      <c r="AL8" t="e">
        <f>Tree!#REF!</f>
        <v>#REF!</v>
      </c>
      <c r="AM8" t="e">
        <f>Tree!#REF!</f>
        <v>#REF!</v>
      </c>
      <c r="AN8" t="e">
        <f>Tree!#REF!</f>
        <v>#REF!</v>
      </c>
      <c r="AO8" s="116" t="e">
        <f>Tree!#REF!</f>
        <v>#REF!</v>
      </c>
    </row>
    <row r="9" spans="1:41">
      <c r="C9" s="121" t="e">
        <f>Tree!#REF!</f>
        <v>#REF!</v>
      </c>
      <c r="D9" s="41" t="e">
        <f>Tree!#REF!</f>
        <v>#REF!</v>
      </c>
      <c r="E9" s="122" t="e">
        <f t="shared" si="3"/>
        <v>#REF!</v>
      </c>
      <c r="F9" s="41" t="e">
        <f>Tree!#REF!</f>
        <v>#REF!</v>
      </c>
      <c r="G9" s="122" t="e">
        <f t="shared" si="4"/>
        <v>#REF!</v>
      </c>
      <c r="H9" s="79" t="e">
        <f>INDEX(Tree!#REF!,MATCH($J9,Tree!#REF!,0))</f>
        <v>#REF!</v>
      </c>
      <c r="I9" s="100" t="e">
        <f t="shared" si="5"/>
        <v>#REF!</v>
      </c>
      <c r="J9" s="41" t="s">
        <v>24</v>
      </c>
      <c r="K9" s="79" t="e">
        <f>INDEX(Tree!#REF!,MATCH($J9,Tree!#REF!,0))</f>
        <v>#REF!</v>
      </c>
      <c r="L9" s="99" t="e">
        <f t="shared" si="0"/>
        <v>#REF!</v>
      </c>
      <c r="M9" s="79" t="e">
        <f>Tree!#REF!</f>
        <v>#REF!</v>
      </c>
      <c r="N9" s="100" t="e">
        <f t="shared" si="1"/>
        <v>#REF!</v>
      </c>
      <c r="O9" s="79" t="s">
        <v>26</v>
      </c>
      <c r="P9" s="79" t="e">
        <f>INDEX(Tree!#REF!,MATCH($O9,Tree!#REF!,0)+MATCH(Tree!#REF!,Tree!#REF!,0)-1)</f>
        <v>#REF!</v>
      </c>
      <c r="Q9" s="99" t="e">
        <f t="shared" si="6"/>
        <v>#REF!</v>
      </c>
      <c r="R9" s="117" t="e">
        <f>Tree!#REF!</f>
        <v>#REF!</v>
      </c>
      <c r="S9" s="100" t="e">
        <f t="shared" si="7"/>
        <v>#REF!</v>
      </c>
      <c r="T9" s="41" t="s">
        <v>31</v>
      </c>
      <c r="U9" s="41"/>
      <c r="V9" s="41" t="e">
        <f>Tree!#REF!</f>
        <v>#REF!</v>
      </c>
      <c r="W9" s="99"/>
      <c r="X9" s="117"/>
      <c r="Y9" s="100">
        <f t="shared" si="2"/>
        <v>0</v>
      </c>
      <c r="Z9" s="80"/>
      <c r="AA9" s="80"/>
      <c r="AB9" s="41"/>
      <c r="AC9" s="86" t="e">
        <f t="shared" si="8"/>
        <v>#REF!</v>
      </c>
      <c r="AD9" s="80">
        <f t="shared" si="9"/>
        <v>0</v>
      </c>
      <c r="AG9" s="1" t="s">
        <v>32</v>
      </c>
      <c r="AH9" s="107" t="e">
        <f>Tree!#REF!^-AI9</f>
        <v>#REF!</v>
      </c>
      <c r="AI9" t="e">
        <f>Tree!#REF!</f>
        <v>#REF!</v>
      </c>
    </row>
    <row r="10" spans="1:41">
      <c r="A10" s="106" t="s">
        <v>149</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24</v>
      </c>
      <c r="K10" s="82" t="e">
        <f>INDEX(Tree!#REF!,MATCH($J10,Tree!#REF!,0))</f>
        <v>#REF!</v>
      </c>
      <c r="L10" s="103" t="e">
        <f t="shared" si="0"/>
        <v>#REF!</v>
      </c>
      <c r="M10" s="82" t="e">
        <f>Tree!#REF!</f>
        <v>#REF!</v>
      </c>
      <c r="N10" s="101" t="e">
        <f t="shared" ref="N10:N73" si="10">L10*M10</f>
        <v>#REF!</v>
      </c>
      <c r="O10" s="82" t="s">
        <v>26</v>
      </c>
      <c r="P10" s="82" t="e">
        <f>INDEX(Tree!#REF!,MATCH($O10,Tree!#REF!,0)+MATCH(Tree!#REF!,Tree!#REF!,0)-1)</f>
        <v>#REF!</v>
      </c>
      <c r="Q10" s="103" t="e">
        <f t="shared" si="6"/>
        <v>#REF!</v>
      </c>
      <c r="R10" s="118" t="e">
        <f>Tree!#REF!</f>
        <v>#REF!</v>
      </c>
      <c r="S10" s="101" t="e">
        <f t="shared" si="7"/>
        <v>#REF!</v>
      </c>
      <c r="T10" s="81" t="s">
        <v>32</v>
      </c>
      <c r="U10" s="81" t="e">
        <f>Tree!#REF!</f>
        <v>#REF!</v>
      </c>
      <c r="V10" s="81"/>
      <c r="W10" s="103" t="e">
        <f>S10*U10</f>
        <v>#REF!</v>
      </c>
      <c r="X10" s="120"/>
      <c r="Y10" s="101" t="e">
        <f t="shared" si="2"/>
        <v>#REF!</v>
      </c>
      <c r="Z10" s="81" t="s">
        <v>53</v>
      </c>
      <c r="AA10" s="81" t="e">
        <f>Tree!#REF!</f>
        <v>#REF!</v>
      </c>
      <c r="AB10" s="81"/>
      <c r="AC10" s="87" t="e">
        <f t="shared" si="8"/>
        <v>#REF!</v>
      </c>
      <c r="AD10" s="81" t="e">
        <f t="shared" si="9"/>
        <v>#REF!</v>
      </c>
      <c r="AG10" s="1"/>
      <c r="AH10" s="107"/>
    </row>
    <row r="11" spans="1:41">
      <c r="A11" s="138" t="s">
        <v>171</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24</v>
      </c>
      <c r="K11" s="79" t="e">
        <f>INDEX(Tree!#REF!,MATCH($J11,Tree!#REF!,0))</f>
        <v>#REF!</v>
      </c>
      <c r="L11" s="99" t="e">
        <f t="shared" si="0"/>
        <v>#REF!</v>
      </c>
      <c r="M11" s="79" t="e">
        <f>Tree!#REF!</f>
        <v>#REF!</v>
      </c>
      <c r="N11" s="100" t="e">
        <f t="shared" si="10"/>
        <v>#REF!</v>
      </c>
      <c r="O11" s="79" t="s">
        <v>26</v>
      </c>
      <c r="P11" s="79" t="e">
        <f>INDEX(Tree!#REF!,MATCH($O11,Tree!#REF!,0)+MATCH(Tree!#REF!,Tree!#REF!,0)-1)</f>
        <v>#REF!</v>
      </c>
      <c r="Q11" s="99" t="e">
        <f t="shared" si="6"/>
        <v>#REF!</v>
      </c>
      <c r="R11" s="117" t="e">
        <f>Tree!#REF!</f>
        <v>#REF!</v>
      </c>
      <c r="S11" s="100" t="e">
        <f t="shared" si="7"/>
        <v>#REF!</v>
      </c>
      <c r="T11" s="41" t="s">
        <v>32</v>
      </c>
      <c r="U11" s="41" t="e">
        <f>Tree!#REF!</f>
        <v>#REF!</v>
      </c>
      <c r="V11" s="41"/>
      <c r="W11" s="99" t="e">
        <f>S11*U11</f>
        <v>#REF!</v>
      </c>
      <c r="X11" s="139">
        <v>0</v>
      </c>
      <c r="Y11" s="100" t="e">
        <f t="shared" si="2"/>
        <v>#REF!</v>
      </c>
      <c r="Z11" s="80" t="s">
        <v>116</v>
      </c>
      <c r="AA11" s="80" t="e">
        <f>Tree!#REF!</f>
        <v>#REF!</v>
      </c>
      <c r="AB11" s="81"/>
      <c r="AC11" s="86" t="e">
        <f t="shared" si="8"/>
        <v>#REF!</v>
      </c>
      <c r="AD11" s="80" t="e">
        <f t="shared" si="9"/>
        <v>#REF!</v>
      </c>
      <c r="AG11" s="1" t="s">
        <v>116</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c r="C12" s="121" t="e">
        <f>Tree!#REF!</f>
        <v>#REF!</v>
      </c>
      <c r="D12" s="41" t="e">
        <f>Tree!#REF!</f>
        <v>#REF!</v>
      </c>
      <c r="E12" s="122" t="e">
        <f t="shared" si="3"/>
        <v>#REF!</v>
      </c>
      <c r="F12" s="41" t="e">
        <f>Tree!#REF!</f>
        <v>#REF!</v>
      </c>
      <c r="G12" s="122" t="e">
        <f t="shared" si="4"/>
        <v>#REF!</v>
      </c>
      <c r="H12" s="79" t="e">
        <f>INDEX(Tree!#REF!,MATCH($J12,Tree!#REF!,0))</f>
        <v>#REF!</v>
      </c>
      <c r="I12" s="100" t="e">
        <f t="shared" si="5"/>
        <v>#REF!</v>
      </c>
      <c r="J12" s="41" t="s">
        <v>24</v>
      </c>
      <c r="K12" s="79" t="e">
        <f>INDEX(Tree!#REF!,MATCH($J12,Tree!#REF!,0))</f>
        <v>#REF!</v>
      </c>
      <c r="L12" s="99" t="e">
        <f t="shared" si="0"/>
        <v>#REF!</v>
      </c>
      <c r="M12" s="79" t="e">
        <f>Tree!#REF!</f>
        <v>#REF!</v>
      </c>
      <c r="N12" s="100" t="e">
        <f t="shared" si="10"/>
        <v>#REF!</v>
      </c>
      <c r="O12" s="79" t="s">
        <v>26</v>
      </c>
      <c r="P12" s="79" t="e">
        <f>INDEX(Tree!#REF!,MATCH($O12,Tree!#REF!,0)+MATCH(Tree!#REF!,Tree!#REF!,0)-1)</f>
        <v>#REF!</v>
      </c>
      <c r="Q12" s="99" t="e">
        <f t="shared" si="6"/>
        <v>#REF!</v>
      </c>
      <c r="R12" s="117" t="e">
        <f>Tree!#REF!</f>
        <v>#REF!</v>
      </c>
      <c r="S12" s="100" t="e">
        <f t="shared" si="7"/>
        <v>#REF!</v>
      </c>
      <c r="T12" s="41" t="s">
        <v>32</v>
      </c>
      <c r="U12" s="41" t="e">
        <f>Tree!#REF!</f>
        <v>#REF!</v>
      </c>
      <c r="V12" s="41"/>
      <c r="W12" s="99" t="e">
        <f>S12*U12</f>
        <v>#REF!</v>
      </c>
      <c r="X12" s="139" t="e">
        <f>Tree!#REF!/SUM(Tree!#REF!,Tree!#REF!)</f>
        <v>#REF!</v>
      </c>
      <c r="Y12" s="100" t="e">
        <f t="shared" si="2"/>
        <v>#REF!</v>
      </c>
      <c r="Z12" s="80" t="s">
        <v>51</v>
      </c>
      <c r="AA12" s="80"/>
      <c r="AB12" s="41" t="e">
        <f>Tree!#REF!</f>
        <v>#REF!</v>
      </c>
      <c r="AC12" s="86" t="e">
        <f t="shared" si="8"/>
        <v>#REF!</v>
      </c>
      <c r="AD12" s="80" t="e">
        <f t="shared" si="9"/>
        <v>#REF!</v>
      </c>
      <c r="AG12" s="1" t="s">
        <v>52</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c r="C13" s="121" t="e">
        <f>Tree!#REF!</f>
        <v>#REF!</v>
      </c>
      <c r="D13" s="41" t="e">
        <f>Tree!#REF!</f>
        <v>#REF!</v>
      </c>
      <c r="E13" s="122" t="e">
        <f t="shared" si="3"/>
        <v>#REF!</v>
      </c>
      <c r="F13" s="41" t="e">
        <f>Tree!#REF!</f>
        <v>#REF!</v>
      </c>
      <c r="G13" s="122" t="e">
        <f t="shared" si="4"/>
        <v>#REF!</v>
      </c>
      <c r="H13" s="79" t="e">
        <f>INDEX(Tree!#REF!,MATCH($J13,Tree!#REF!,0))</f>
        <v>#REF!</v>
      </c>
      <c r="I13" s="100" t="e">
        <f t="shared" si="5"/>
        <v>#REF!</v>
      </c>
      <c r="J13" s="41" t="s">
        <v>24</v>
      </c>
      <c r="K13" s="79" t="e">
        <f>INDEX(Tree!#REF!,MATCH($J13,Tree!#REF!,0))</f>
        <v>#REF!</v>
      </c>
      <c r="L13" s="99" t="e">
        <f t="shared" si="0"/>
        <v>#REF!</v>
      </c>
      <c r="M13" s="79" t="e">
        <f>Tree!#REF!</f>
        <v>#REF!</v>
      </c>
      <c r="N13" s="100" t="e">
        <f t="shared" si="10"/>
        <v>#REF!</v>
      </c>
      <c r="O13" s="79" t="s">
        <v>26</v>
      </c>
      <c r="P13" s="79" t="e">
        <f>INDEX(Tree!#REF!,MATCH($O13,Tree!#REF!,0)+MATCH(Tree!#REF!,Tree!#REF!,0)-1)</f>
        <v>#REF!</v>
      </c>
      <c r="Q13" s="99" t="e">
        <f t="shared" si="6"/>
        <v>#REF!</v>
      </c>
      <c r="R13" s="117" t="e">
        <f>Tree!#REF!</f>
        <v>#REF!</v>
      </c>
      <c r="S13" s="100" t="e">
        <f t="shared" si="7"/>
        <v>#REF!</v>
      </c>
      <c r="T13" s="41" t="s">
        <v>32</v>
      </c>
      <c r="U13" s="41" t="e">
        <f>Tree!#REF!</f>
        <v>#REF!</v>
      </c>
      <c r="V13" s="41"/>
      <c r="W13" s="99" t="e">
        <f>S13*U13</f>
        <v>#REF!</v>
      </c>
      <c r="X13" s="139" t="e">
        <f>Tree!#REF!/SUM(Tree!#REF!,Tree!#REF!)</f>
        <v>#REF!</v>
      </c>
      <c r="Y13" s="100" t="e">
        <f t="shared" si="2"/>
        <v>#REF!</v>
      </c>
      <c r="Z13" s="80" t="s">
        <v>52</v>
      </c>
      <c r="AA13" s="80"/>
      <c r="AB13" s="41" t="e">
        <f>Tree!#REF!</f>
        <v>#REF!</v>
      </c>
      <c r="AC13" s="86" t="e">
        <f t="shared" si="8"/>
        <v>#REF!</v>
      </c>
      <c r="AD13" s="80" t="e">
        <f t="shared" si="9"/>
        <v>#REF!</v>
      </c>
      <c r="AG13" s="1" t="s">
        <v>53</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c r="C14" s="121" t="e">
        <f>Tree!#REF!</f>
        <v>#REF!</v>
      </c>
      <c r="D14" s="41" t="e">
        <f>Tree!#REF!</f>
        <v>#REF!</v>
      </c>
      <c r="E14" s="122" t="e">
        <f t="shared" si="3"/>
        <v>#REF!</v>
      </c>
      <c r="F14" s="41" t="e">
        <f>Tree!#REF!</f>
        <v>#REF!</v>
      </c>
      <c r="G14" s="122" t="e">
        <f t="shared" si="4"/>
        <v>#REF!</v>
      </c>
      <c r="H14" s="79" t="e">
        <f>INDEX(Tree!#REF!,MATCH($J14,Tree!#REF!,0))</f>
        <v>#REF!</v>
      </c>
      <c r="I14" s="100" t="e">
        <f t="shared" si="5"/>
        <v>#REF!</v>
      </c>
      <c r="J14" s="41" t="s">
        <v>24</v>
      </c>
      <c r="K14" s="79" t="e">
        <f>INDEX(Tree!#REF!,MATCH($J14,Tree!#REF!,0))</f>
        <v>#REF!</v>
      </c>
      <c r="L14" s="99" t="e">
        <f t="shared" si="0"/>
        <v>#REF!</v>
      </c>
      <c r="M14" s="79" t="e">
        <f>Tree!#REF!</f>
        <v>#REF!</v>
      </c>
      <c r="N14" s="100" t="e">
        <f t="shared" si="10"/>
        <v>#REF!</v>
      </c>
      <c r="O14" s="79" t="s">
        <v>27</v>
      </c>
      <c r="P14" s="79" t="e">
        <f>INDEX(Tree!#REF!,MATCH($O14,Tree!#REF!,0)+MATCH(Tree!#REF!,Tree!#REF!,0)-1)</f>
        <v>#REF!</v>
      </c>
      <c r="Q14" s="99" t="e">
        <f t="shared" si="6"/>
        <v>#REF!</v>
      </c>
      <c r="R14" s="117" t="e">
        <f>Tree!#REF!</f>
        <v>#REF!</v>
      </c>
      <c r="S14" s="100" t="e">
        <f t="shared" si="7"/>
        <v>#REF!</v>
      </c>
      <c r="T14" s="41" t="s">
        <v>31</v>
      </c>
      <c r="U14" s="41"/>
      <c r="V14" s="41" t="e">
        <f>Tree!#REF!</f>
        <v>#REF!</v>
      </c>
      <c r="W14" s="99"/>
      <c r="X14" s="117"/>
      <c r="Y14" s="100">
        <f t="shared" si="2"/>
        <v>0</v>
      </c>
      <c r="Z14" s="80"/>
      <c r="AA14" s="80"/>
      <c r="AB14" s="41"/>
      <c r="AC14" s="86" t="e">
        <f t="shared" si="8"/>
        <v>#REF!</v>
      </c>
      <c r="AD14" s="80">
        <f t="shared" si="9"/>
        <v>0</v>
      </c>
    </row>
    <row r="15" spans="1:41">
      <c r="C15" s="135" t="e">
        <f>Tree!#REF!</f>
        <v>#REF!</v>
      </c>
      <c r="D15" s="81" t="e">
        <f>Tree!#REF!</f>
        <v>#REF!</v>
      </c>
      <c r="E15" s="136" t="e">
        <f t="shared" si="3"/>
        <v>#REF!</v>
      </c>
      <c r="F15" s="81" t="e">
        <f>Tree!#REF!</f>
        <v>#REF!</v>
      </c>
      <c r="G15" s="136" t="e">
        <f t="shared" si="4"/>
        <v>#REF!</v>
      </c>
      <c r="H15" s="82" t="e">
        <f>INDEX(Tree!#REF!,MATCH($J15,Tree!#REF!,0))</f>
        <v>#REF!</v>
      </c>
      <c r="I15" s="101" t="e">
        <f t="shared" si="5"/>
        <v>#REF!</v>
      </c>
      <c r="J15" s="81" t="s">
        <v>24</v>
      </c>
      <c r="K15" s="82" t="e">
        <f>INDEX(Tree!#REF!,MATCH($J15,Tree!#REF!,0))</f>
        <v>#REF!</v>
      </c>
      <c r="L15" s="103" t="e">
        <f t="shared" si="0"/>
        <v>#REF!</v>
      </c>
      <c r="M15" s="82" t="e">
        <f>Tree!#REF!</f>
        <v>#REF!</v>
      </c>
      <c r="N15" s="101" t="e">
        <f t="shared" si="10"/>
        <v>#REF!</v>
      </c>
      <c r="O15" s="82" t="s">
        <v>27</v>
      </c>
      <c r="P15" s="82" t="e">
        <f>INDEX(Tree!#REF!,MATCH($O15,Tree!#REF!,0)+MATCH(Tree!#REF!,Tree!#REF!,0)-1)</f>
        <v>#REF!</v>
      </c>
      <c r="Q15" s="103" t="e">
        <f t="shared" si="6"/>
        <v>#REF!</v>
      </c>
      <c r="R15" s="118" t="e">
        <f>Tree!#REF!</f>
        <v>#REF!</v>
      </c>
      <c r="S15" s="101" t="e">
        <f t="shared" si="7"/>
        <v>#REF!</v>
      </c>
      <c r="T15" s="81" t="s">
        <v>32</v>
      </c>
      <c r="U15" s="81" t="e">
        <f>Tree!#REF!</f>
        <v>#REF!</v>
      </c>
      <c r="V15" s="81"/>
      <c r="W15" s="103" t="e">
        <f>S15*U15</f>
        <v>#REF!</v>
      </c>
      <c r="X15" s="120"/>
      <c r="Y15" s="101" t="e">
        <f t="shared" si="2"/>
        <v>#REF!</v>
      </c>
      <c r="Z15" s="81" t="s">
        <v>53</v>
      </c>
      <c r="AA15" s="81" t="e">
        <f>Tree!#REF!</f>
        <v>#REF!</v>
      </c>
      <c r="AB15" s="81"/>
      <c r="AC15" s="87" t="e">
        <f t="shared" si="8"/>
        <v>#REF!</v>
      </c>
      <c r="AD15" s="81" t="e">
        <f t="shared" si="9"/>
        <v>#REF!</v>
      </c>
      <c r="AG15" s="1"/>
    </row>
    <row r="16" spans="1:41">
      <c r="C16" s="121" t="e">
        <f>Tree!#REF!</f>
        <v>#REF!</v>
      </c>
      <c r="D16" s="41" t="e">
        <f>Tree!#REF!</f>
        <v>#REF!</v>
      </c>
      <c r="E16" s="122" t="e">
        <f t="shared" si="3"/>
        <v>#REF!</v>
      </c>
      <c r="F16" s="41" t="e">
        <f>Tree!#REF!</f>
        <v>#REF!</v>
      </c>
      <c r="G16" s="122" t="e">
        <f t="shared" si="4"/>
        <v>#REF!</v>
      </c>
      <c r="H16" s="79" t="e">
        <f>INDEX(Tree!#REF!,MATCH($J16,Tree!#REF!,0))</f>
        <v>#REF!</v>
      </c>
      <c r="I16" s="100" t="e">
        <f t="shared" si="5"/>
        <v>#REF!</v>
      </c>
      <c r="J16" s="41" t="s">
        <v>24</v>
      </c>
      <c r="K16" s="79" t="e">
        <f>INDEX(Tree!#REF!,MATCH($J16,Tree!#REF!,0))</f>
        <v>#REF!</v>
      </c>
      <c r="L16" s="99" t="e">
        <f t="shared" si="0"/>
        <v>#REF!</v>
      </c>
      <c r="M16" s="79" t="e">
        <f>Tree!#REF!</f>
        <v>#REF!</v>
      </c>
      <c r="N16" s="100" t="e">
        <f t="shared" si="10"/>
        <v>#REF!</v>
      </c>
      <c r="O16" s="79" t="s">
        <v>27</v>
      </c>
      <c r="P16" s="79" t="e">
        <f>INDEX(Tree!#REF!,MATCH($O16,Tree!#REF!,0)+MATCH(Tree!#REF!,Tree!#REF!,0)-1)</f>
        <v>#REF!</v>
      </c>
      <c r="Q16" s="99" t="e">
        <f t="shared" si="6"/>
        <v>#REF!</v>
      </c>
      <c r="R16" s="117" t="e">
        <f>Tree!#REF!</f>
        <v>#REF!</v>
      </c>
      <c r="S16" s="100" t="e">
        <f t="shared" si="7"/>
        <v>#REF!</v>
      </c>
      <c r="T16" s="41" t="s">
        <v>32</v>
      </c>
      <c r="U16" s="41" t="e">
        <f>Tree!#REF!</f>
        <v>#REF!</v>
      </c>
      <c r="V16" s="41"/>
      <c r="W16" s="99" t="e">
        <f>S16*U16</f>
        <v>#REF!</v>
      </c>
      <c r="X16" s="139">
        <v>0</v>
      </c>
      <c r="Y16" s="100" t="e">
        <f t="shared" si="2"/>
        <v>#REF!</v>
      </c>
      <c r="Z16" s="80" t="s">
        <v>116</v>
      </c>
      <c r="AA16" s="80" t="e">
        <f>Tree!#REF!</f>
        <v>#REF!</v>
      </c>
      <c r="AB16" s="41"/>
      <c r="AC16" s="86" t="e">
        <f t="shared" si="8"/>
        <v>#REF!</v>
      </c>
      <c r="AD16" s="80" t="e">
        <f t="shared" si="9"/>
        <v>#REF!</v>
      </c>
      <c r="AG16" s="1"/>
    </row>
    <row r="17" spans="3:41">
      <c r="C17" s="121" t="e">
        <f>Tree!#REF!</f>
        <v>#REF!</v>
      </c>
      <c r="D17" s="41" t="e">
        <f>Tree!#REF!</f>
        <v>#REF!</v>
      </c>
      <c r="E17" s="122" t="e">
        <f t="shared" si="3"/>
        <v>#REF!</v>
      </c>
      <c r="F17" s="41" t="e">
        <f>Tree!#REF!</f>
        <v>#REF!</v>
      </c>
      <c r="G17" s="122" t="e">
        <f t="shared" si="4"/>
        <v>#REF!</v>
      </c>
      <c r="H17" s="79" t="e">
        <f>INDEX(Tree!#REF!,MATCH($J17,Tree!#REF!,0))</f>
        <v>#REF!</v>
      </c>
      <c r="I17" s="100" t="e">
        <f t="shared" si="5"/>
        <v>#REF!</v>
      </c>
      <c r="J17" s="41" t="s">
        <v>24</v>
      </c>
      <c r="K17" s="79" t="e">
        <f>INDEX(Tree!#REF!,MATCH($J17,Tree!#REF!,0))</f>
        <v>#REF!</v>
      </c>
      <c r="L17" s="99" t="e">
        <f t="shared" si="0"/>
        <v>#REF!</v>
      </c>
      <c r="M17" s="79" t="e">
        <f>Tree!#REF!</f>
        <v>#REF!</v>
      </c>
      <c r="N17" s="100" t="e">
        <f t="shared" si="10"/>
        <v>#REF!</v>
      </c>
      <c r="O17" s="79" t="s">
        <v>27</v>
      </c>
      <c r="P17" s="79" t="e">
        <f>INDEX(Tree!#REF!,MATCH($O17,Tree!#REF!,0)+MATCH(Tree!#REF!,Tree!#REF!,0)-1)</f>
        <v>#REF!</v>
      </c>
      <c r="Q17" s="99" t="e">
        <f t="shared" si="6"/>
        <v>#REF!</v>
      </c>
      <c r="R17" s="117" t="e">
        <f>Tree!#REF!</f>
        <v>#REF!</v>
      </c>
      <c r="S17" s="100" t="e">
        <f t="shared" si="7"/>
        <v>#REF!</v>
      </c>
      <c r="T17" s="41" t="s">
        <v>32</v>
      </c>
      <c r="U17" s="41" t="e">
        <f>Tree!#REF!</f>
        <v>#REF!</v>
      </c>
      <c r="V17" s="41"/>
      <c r="W17" s="99" t="e">
        <f>S17*U17</f>
        <v>#REF!</v>
      </c>
      <c r="X17" s="139" t="e">
        <f>Tree!#REF!/SUM(Tree!#REF!,Tree!#REF!)</f>
        <v>#REF!</v>
      </c>
      <c r="Y17" s="100" t="e">
        <f t="shared" si="2"/>
        <v>#REF!</v>
      </c>
      <c r="Z17" s="80" t="s">
        <v>51</v>
      </c>
      <c r="AA17" s="80"/>
      <c r="AB17" s="80" t="e">
        <f>Tree!#REF!</f>
        <v>#REF!</v>
      </c>
      <c r="AC17" s="86" t="e">
        <f t="shared" si="8"/>
        <v>#REF!</v>
      </c>
      <c r="AD17" s="80" t="e">
        <f t="shared" si="9"/>
        <v>#REF!</v>
      </c>
      <c r="AG17" s="1"/>
    </row>
    <row r="18" spans="3:41">
      <c r="C18" s="121" t="e">
        <f>Tree!#REF!</f>
        <v>#REF!</v>
      </c>
      <c r="D18" s="41" t="e">
        <f>Tree!#REF!</f>
        <v>#REF!</v>
      </c>
      <c r="E18" s="122" t="e">
        <f t="shared" si="3"/>
        <v>#REF!</v>
      </c>
      <c r="F18" s="41" t="e">
        <f>Tree!#REF!</f>
        <v>#REF!</v>
      </c>
      <c r="G18" s="122" t="e">
        <f t="shared" si="4"/>
        <v>#REF!</v>
      </c>
      <c r="H18" s="79" t="e">
        <f>INDEX(Tree!#REF!,MATCH($J18,Tree!#REF!,0))</f>
        <v>#REF!</v>
      </c>
      <c r="I18" s="100" t="e">
        <f t="shared" si="5"/>
        <v>#REF!</v>
      </c>
      <c r="J18" s="41" t="s">
        <v>24</v>
      </c>
      <c r="K18" s="79" t="e">
        <f>INDEX(Tree!#REF!,MATCH($J18,Tree!#REF!,0))</f>
        <v>#REF!</v>
      </c>
      <c r="L18" s="99" t="e">
        <f t="shared" si="0"/>
        <v>#REF!</v>
      </c>
      <c r="M18" s="79" t="e">
        <f>Tree!#REF!</f>
        <v>#REF!</v>
      </c>
      <c r="N18" s="100" t="e">
        <f t="shared" si="10"/>
        <v>#REF!</v>
      </c>
      <c r="O18" s="79" t="s">
        <v>27</v>
      </c>
      <c r="P18" s="79" t="e">
        <f>INDEX(Tree!#REF!,MATCH($O18,Tree!#REF!,0)+MATCH(Tree!#REF!,Tree!#REF!,0)-1)</f>
        <v>#REF!</v>
      </c>
      <c r="Q18" s="99" t="e">
        <f t="shared" si="6"/>
        <v>#REF!</v>
      </c>
      <c r="R18" s="117" t="e">
        <f>Tree!#REF!</f>
        <v>#REF!</v>
      </c>
      <c r="S18" s="100" t="e">
        <f t="shared" si="7"/>
        <v>#REF!</v>
      </c>
      <c r="T18" s="41" t="s">
        <v>32</v>
      </c>
      <c r="U18" s="41" t="e">
        <f>Tree!#REF!</f>
        <v>#REF!</v>
      </c>
      <c r="V18" s="41"/>
      <c r="W18" s="99" t="e">
        <f>S18*U18</f>
        <v>#REF!</v>
      </c>
      <c r="X18" s="139" t="e">
        <f>Tree!#REF!/SUM(Tree!#REF!,Tree!#REF!)</f>
        <v>#REF!</v>
      </c>
      <c r="Y18" s="100" t="e">
        <f t="shared" si="2"/>
        <v>#REF!</v>
      </c>
      <c r="Z18" s="80" t="s">
        <v>52</v>
      </c>
      <c r="AA18" s="80"/>
      <c r="AB18" s="80" t="e">
        <f>Tree!#REF!</f>
        <v>#REF!</v>
      </c>
      <c r="AC18" s="86" t="e">
        <f t="shared" si="8"/>
        <v>#REF!</v>
      </c>
      <c r="AD18" s="80" t="e">
        <f t="shared" si="9"/>
        <v>#REF!</v>
      </c>
      <c r="AG18" s="1"/>
    </row>
    <row r="19" spans="3:41">
      <c r="C19" s="121" t="e">
        <f>Tree!#REF!</f>
        <v>#REF!</v>
      </c>
      <c r="D19" s="41" t="e">
        <f>Tree!#REF!</f>
        <v>#REF!</v>
      </c>
      <c r="E19" s="122" t="e">
        <f t="shared" si="3"/>
        <v>#REF!</v>
      </c>
      <c r="F19" s="41" t="e">
        <f>Tree!#REF!</f>
        <v>#REF!</v>
      </c>
      <c r="G19" s="122" t="e">
        <f t="shared" si="4"/>
        <v>#REF!</v>
      </c>
      <c r="H19" s="79" t="e">
        <f>INDEX(Tree!#REF!,MATCH($J19,Tree!#REF!,0))</f>
        <v>#REF!</v>
      </c>
      <c r="I19" s="100" t="e">
        <f t="shared" si="5"/>
        <v>#REF!</v>
      </c>
      <c r="J19" s="41" t="s">
        <v>24</v>
      </c>
      <c r="K19" s="79" t="e">
        <f>INDEX(Tree!#REF!,MATCH($J19,Tree!#REF!,0))</f>
        <v>#REF!</v>
      </c>
      <c r="L19" s="99" t="e">
        <f t="shared" si="0"/>
        <v>#REF!</v>
      </c>
      <c r="M19" s="79" t="e">
        <f>Tree!#REF!</f>
        <v>#REF!</v>
      </c>
      <c r="N19" s="100" t="e">
        <f t="shared" si="10"/>
        <v>#REF!</v>
      </c>
      <c r="O19" s="79" t="s">
        <v>29</v>
      </c>
      <c r="P19" s="79" t="e">
        <f>INDEX(Tree!#REF!,MATCH($O19,Tree!#REF!,0)+MATCH(Tree!#REF!,Tree!#REF!,0)-1)</f>
        <v>#REF!</v>
      </c>
      <c r="Q19" s="99" t="e">
        <f t="shared" si="6"/>
        <v>#REF!</v>
      </c>
      <c r="R19" s="117" t="e">
        <f>Tree!#REF!</f>
        <v>#REF!</v>
      </c>
      <c r="S19" s="100" t="e">
        <f t="shared" si="7"/>
        <v>#REF!</v>
      </c>
      <c r="T19" s="41" t="s">
        <v>31</v>
      </c>
      <c r="U19" s="41"/>
      <c r="V19" s="41" t="e">
        <f>Tree!#REF!</f>
        <v>#REF!</v>
      </c>
      <c r="W19" s="99"/>
      <c r="X19" s="117"/>
      <c r="Y19" s="100">
        <f t="shared" si="2"/>
        <v>0</v>
      </c>
      <c r="Z19" s="80"/>
      <c r="AA19" s="80"/>
      <c r="AB19" s="80"/>
      <c r="AC19" s="86" t="e">
        <f t="shared" si="8"/>
        <v>#REF!</v>
      </c>
      <c r="AD19" s="80">
        <f t="shared" si="9"/>
        <v>0</v>
      </c>
      <c r="AO19" s="116"/>
    </row>
    <row r="20" spans="3:41">
      <c r="C20" s="135" t="e">
        <f>Tree!#REF!</f>
        <v>#REF!</v>
      </c>
      <c r="D20" s="81" t="e">
        <f>Tree!#REF!</f>
        <v>#REF!</v>
      </c>
      <c r="E20" s="136" t="e">
        <f t="shared" si="3"/>
        <v>#REF!</v>
      </c>
      <c r="F20" s="81" t="e">
        <f>Tree!#REF!</f>
        <v>#REF!</v>
      </c>
      <c r="G20" s="136" t="e">
        <f t="shared" si="4"/>
        <v>#REF!</v>
      </c>
      <c r="H20" s="82" t="e">
        <f>INDEX(Tree!#REF!,MATCH($J20,Tree!#REF!,0))</f>
        <v>#REF!</v>
      </c>
      <c r="I20" s="101" t="e">
        <f t="shared" si="5"/>
        <v>#REF!</v>
      </c>
      <c r="J20" s="81" t="s">
        <v>24</v>
      </c>
      <c r="K20" s="82" t="e">
        <f>INDEX(Tree!#REF!,MATCH($J20,Tree!#REF!,0))</f>
        <v>#REF!</v>
      </c>
      <c r="L20" s="103" t="e">
        <f t="shared" si="0"/>
        <v>#REF!</v>
      </c>
      <c r="M20" s="82" t="e">
        <f>Tree!#REF!</f>
        <v>#REF!</v>
      </c>
      <c r="N20" s="101" t="e">
        <f t="shared" si="10"/>
        <v>#REF!</v>
      </c>
      <c r="O20" s="82" t="s">
        <v>29</v>
      </c>
      <c r="P20" s="82" t="e">
        <f>INDEX(Tree!#REF!,MATCH($O20,Tree!#REF!,0)+MATCH(Tree!#REF!,Tree!#REF!,0)-1)</f>
        <v>#REF!</v>
      </c>
      <c r="Q20" s="103" t="e">
        <f t="shared" si="6"/>
        <v>#REF!</v>
      </c>
      <c r="R20" s="118" t="e">
        <f>Tree!#REF!</f>
        <v>#REF!</v>
      </c>
      <c r="S20" s="101" t="e">
        <f t="shared" si="7"/>
        <v>#REF!</v>
      </c>
      <c r="T20" s="81" t="s">
        <v>32</v>
      </c>
      <c r="U20" s="81" t="e">
        <f>Tree!#REF!</f>
        <v>#REF!</v>
      </c>
      <c r="V20" s="81"/>
      <c r="W20" s="103" t="e">
        <f>S20*U20</f>
        <v>#REF!</v>
      </c>
      <c r="X20" s="120"/>
      <c r="Y20" s="101" t="e">
        <f t="shared" si="2"/>
        <v>#REF!</v>
      </c>
      <c r="Z20" s="81" t="s">
        <v>53</v>
      </c>
      <c r="AA20" s="81" t="e">
        <f>Tree!#REF!</f>
        <v>#REF!</v>
      </c>
      <c r="AB20" s="81"/>
      <c r="AC20" s="87" t="e">
        <f t="shared" si="8"/>
        <v>#REF!</v>
      </c>
      <c r="AD20" s="81" t="e">
        <f t="shared" si="9"/>
        <v>#REF!</v>
      </c>
    </row>
    <row r="21" spans="3:41">
      <c r="C21" s="121" t="e">
        <f>Tree!#REF!</f>
        <v>#REF!</v>
      </c>
      <c r="D21" s="41" t="e">
        <f>Tree!#REF!</f>
        <v>#REF!</v>
      </c>
      <c r="E21" s="122" t="e">
        <f t="shared" si="3"/>
        <v>#REF!</v>
      </c>
      <c r="F21" s="41" t="e">
        <f>Tree!#REF!</f>
        <v>#REF!</v>
      </c>
      <c r="G21" s="122" t="e">
        <f t="shared" si="4"/>
        <v>#REF!</v>
      </c>
      <c r="H21" s="79" t="e">
        <f>INDEX(Tree!#REF!,MATCH($J21,Tree!#REF!,0))</f>
        <v>#REF!</v>
      </c>
      <c r="I21" s="100" t="e">
        <f t="shared" si="5"/>
        <v>#REF!</v>
      </c>
      <c r="J21" s="41" t="s">
        <v>24</v>
      </c>
      <c r="K21" s="79" t="e">
        <f>INDEX(Tree!#REF!,MATCH($J21,Tree!#REF!,0))</f>
        <v>#REF!</v>
      </c>
      <c r="L21" s="99" t="e">
        <f t="shared" si="0"/>
        <v>#REF!</v>
      </c>
      <c r="M21" s="79" t="e">
        <f>Tree!#REF!</f>
        <v>#REF!</v>
      </c>
      <c r="N21" s="100" t="e">
        <f t="shared" si="10"/>
        <v>#REF!</v>
      </c>
      <c r="O21" s="79" t="s">
        <v>29</v>
      </c>
      <c r="P21" s="79" t="e">
        <f>INDEX(Tree!#REF!,MATCH($O21,Tree!#REF!,0)+MATCH(Tree!#REF!,Tree!#REF!,0)-1)</f>
        <v>#REF!</v>
      </c>
      <c r="Q21" s="99" t="e">
        <f t="shared" si="6"/>
        <v>#REF!</v>
      </c>
      <c r="R21" s="117" t="e">
        <f>Tree!#REF!</f>
        <v>#REF!</v>
      </c>
      <c r="S21" s="100" t="e">
        <f t="shared" si="7"/>
        <v>#REF!</v>
      </c>
      <c r="T21" s="41" t="s">
        <v>32</v>
      </c>
      <c r="U21" s="41" t="e">
        <f>Tree!#REF!</f>
        <v>#REF!</v>
      </c>
      <c r="V21" s="41"/>
      <c r="W21" s="99" t="e">
        <f>S21*U21</f>
        <v>#REF!</v>
      </c>
      <c r="X21" s="139">
        <v>0</v>
      </c>
      <c r="Y21" s="100" t="e">
        <f t="shared" si="2"/>
        <v>#REF!</v>
      </c>
      <c r="Z21" s="80" t="s">
        <v>116</v>
      </c>
      <c r="AA21" s="80" t="e">
        <f>Tree!#REF!</f>
        <v>#REF!</v>
      </c>
      <c r="AB21" s="80"/>
      <c r="AC21" s="86" t="e">
        <f t="shared" si="8"/>
        <v>#REF!</v>
      </c>
      <c r="AD21" s="80" t="e">
        <f t="shared" si="9"/>
        <v>#REF!</v>
      </c>
    </row>
    <row r="22" spans="3:41">
      <c r="C22" s="121" t="e">
        <f>Tree!#REF!</f>
        <v>#REF!</v>
      </c>
      <c r="D22" s="41" t="e">
        <f>Tree!#REF!</f>
        <v>#REF!</v>
      </c>
      <c r="E22" s="122" t="e">
        <f t="shared" si="3"/>
        <v>#REF!</v>
      </c>
      <c r="F22" s="41" t="e">
        <f>Tree!#REF!</f>
        <v>#REF!</v>
      </c>
      <c r="G22" s="122" t="e">
        <f t="shared" si="4"/>
        <v>#REF!</v>
      </c>
      <c r="H22" s="79" t="e">
        <f>INDEX(Tree!#REF!,MATCH($J22,Tree!#REF!,0))</f>
        <v>#REF!</v>
      </c>
      <c r="I22" s="100" t="e">
        <f t="shared" si="5"/>
        <v>#REF!</v>
      </c>
      <c r="J22" s="41" t="s">
        <v>24</v>
      </c>
      <c r="K22" s="79" t="e">
        <f>INDEX(Tree!#REF!,MATCH($J22,Tree!#REF!,0))</f>
        <v>#REF!</v>
      </c>
      <c r="L22" s="99" t="e">
        <f t="shared" si="0"/>
        <v>#REF!</v>
      </c>
      <c r="M22" s="79" t="e">
        <f>Tree!#REF!</f>
        <v>#REF!</v>
      </c>
      <c r="N22" s="100" t="e">
        <f t="shared" si="10"/>
        <v>#REF!</v>
      </c>
      <c r="O22" s="79" t="s">
        <v>29</v>
      </c>
      <c r="P22" s="79" t="e">
        <f>INDEX(Tree!#REF!,MATCH($O22,Tree!#REF!,0)+MATCH(Tree!#REF!,Tree!#REF!,0)-1)</f>
        <v>#REF!</v>
      </c>
      <c r="Q22" s="99" t="e">
        <f t="shared" si="6"/>
        <v>#REF!</v>
      </c>
      <c r="R22" s="117" t="e">
        <f>Tree!#REF!</f>
        <v>#REF!</v>
      </c>
      <c r="S22" s="100" t="e">
        <f t="shared" si="7"/>
        <v>#REF!</v>
      </c>
      <c r="T22" s="41" t="s">
        <v>32</v>
      </c>
      <c r="U22" s="41" t="e">
        <f>Tree!#REF!</f>
        <v>#REF!</v>
      </c>
      <c r="V22" s="41"/>
      <c r="W22" s="99" t="e">
        <f>S22*U22</f>
        <v>#REF!</v>
      </c>
      <c r="X22" s="139" t="e">
        <f>Tree!#REF!/SUM(Tree!#REF!,Tree!#REF!)</f>
        <v>#REF!</v>
      </c>
      <c r="Y22" s="100" t="e">
        <f t="shared" si="2"/>
        <v>#REF!</v>
      </c>
      <c r="Z22" s="80" t="s">
        <v>51</v>
      </c>
      <c r="AA22" s="80"/>
      <c r="AB22" s="80" t="e">
        <f>Tree!#REF!</f>
        <v>#REF!</v>
      </c>
      <c r="AC22" s="86" t="e">
        <f t="shared" si="8"/>
        <v>#REF!</v>
      </c>
      <c r="AD22" s="80" t="e">
        <f t="shared" si="9"/>
        <v>#REF!</v>
      </c>
    </row>
    <row r="23" spans="3:41">
      <c r="C23" s="121" t="e">
        <f>Tree!#REF!</f>
        <v>#REF!</v>
      </c>
      <c r="D23" s="41" t="e">
        <f>Tree!#REF!</f>
        <v>#REF!</v>
      </c>
      <c r="E23" s="122" t="e">
        <f t="shared" si="3"/>
        <v>#REF!</v>
      </c>
      <c r="F23" s="41" t="e">
        <f>Tree!#REF!</f>
        <v>#REF!</v>
      </c>
      <c r="G23" s="122" t="e">
        <f t="shared" si="4"/>
        <v>#REF!</v>
      </c>
      <c r="H23" s="79" t="e">
        <f>INDEX(Tree!#REF!,MATCH($J23,Tree!#REF!,0))</f>
        <v>#REF!</v>
      </c>
      <c r="I23" s="100" t="e">
        <f t="shared" si="5"/>
        <v>#REF!</v>
      </c>
      <c r="J23" s="41" t="s">
        <v>24</v>
      </c>
      <c r="K23" s="79" t="e">
        <f>INDEX(Tree!#REF!,MATCH($J23,Tree!#REF!,0))</f>
        <v>#REF!</v>
      </c>
      <c r="L23" s="99" t="e">
        <f t="shared" si="0"/>
        <v>#REF!</v>
      </c>
      <c r="M23" s="79" t="e">
        <f>Tree!#REF!</f>
        <v>#REF!</v>
      </c>
      <c r="N23" s="100" t="e">
        <f t="shared" si="10"/>
        <v>#REF!</v>
      </c>
      <c r="O23" s="79" t="s">
        <v>29</v>
      </c>
      <c r="P23" s="79" t="e">
        <f>INDEX(Tree!#REF!,MATCH($O23,Tree!#REF!,0)+MATCH(Tree!#REF!,Tree!#REF!,0)-1)</f>
        <v>#REF!</v>
      </c>
      <c r="Q23" s="99" t="e">
        <f t="shared" si="6"/>
        <v>#REF!</v>
      </c>
      <c r="R23" s="117" t="e">
        <f>Tree!#REF!</f>
        <v>#REF!</v>
      </c>
      <c r="S23" s="100" t="e">
        <f t="shared" si="7"/>
        <v>#REF!</v>
      </c>
      <c r="T23" s="41" t="s">
        <v>32</v>
      </c>
      <c r="U23" s="41" t="e">
        <f>Tree!#REF!</f>
        <v>#REF!</v>
      </c>
      <c r="V23" s="41"/>
      <c r="W23" s="99" t="e">
        <f>S23*U23</f>
        <v>#REF!</v>
      </c>
      <c r="X23" s="139" t="e">
        <f>Tree!#REF!/SUM(Tree!#REF!,Tree!#REF!)</f>
        <v>#REF!</v>
      </c>
      <c r="Y23" s="100" t="e">
        <f t="shared" si="2"/>
        <v>#REF!</v>
      </c>
      <c r="Z23" s="80" t="s">
        <v>52</v>
      </c>
      <c r="AA23" s="80"/>
      <c r="AB23" s="80" t="e">
        <f>Tree!#REF!</f>
        <v>#REF!</v>
      </c>
      <c r="AC23" s="86" t="e">
        <f t="shared" si="8"/>
        <v>#REF!</v>
      </c>
      <c r="AD23" s="80" t="e">
        <f t="shared" si="9"/>
        <v>#REF!</v>
      </c>
      <c r="AO23" s="116"/>
    </row>
    <row r="24" spans="3:41">
      <c r="C24" s="121" t="e">
        <f>Tree!#REF!</f>
        <v>#REF!</v>
      </c>
      <c r="D24" s="41" t="e">
        <f>Tree!#REF!</f>
        <v>#REF!</v>
      </c>
      <c r="E24" s="122" t="e">
        <f t="shared" si="3"/>
        <v>#REF!</v>
      </c>
      <c r="F24" s="41" t="e">
        <f>Tree!#REF!</f>
        <v>#REF!</v>
      </c>
      <c r="G24" s="122" t="e">
        <f t="shared" si="4"/>
        <v>#REF!</v>
      </c>
      <c r="H24" s="79" t="e">
        <f>INDEX(Tree!#REF!,MATCH($J24,Tree!#REF!,0))</f>
        <v>#REF!</v>
      </c>
      <c r="I24" s="100" t="e">
        <f t="shared" si="5"/>
        <v>#REF!</v>
      </c>
      <c r="J24" s="41" t="s">
        <v>24</v>
      </c>
      <c r="K24" s="79" t="e">
        <f>INDEX(Tree!#REF!,MATCH($J24,Tree!#REF!,0))</f>
        <v>#REF!</v>
      </c>
      <c r="L24" s="99" t="e">
        <f t="shared" si="0"/>
        <v>#REF!</v>
      </c>
      <c r="M24" s="79" t="e">
        <f>Tree!#REF!</f>
        <v>#REF!</v>
      </c>
      <c r="N24" s="100" t="e">
        <f t="shared" si="10"/>
        <v>#REF!</v>
      </c>
      <c r="O24" s="79" t="s">
        <v>28</v>
      </c>
      <c r="P24" s="79" t="e">
        <f>INDEX(Tree!#REF!,MATCH($O24,Tree!#REF!,0)+MATCH(Tree!#REF!,Tree!#REF!,0)-1)</f>
        <v>#REF!</v>
      </c>
      <c r="Q24" s="99" t="e">
        <f t="shared" si="6"/>
        <v>#REF!</v>
      </c>
      <c r="R24" s="117" t="e">
        <f>Tree!#REF!</f>
        <v>#REF!</v>
      </c>
      <c r="S24" s="100" t="e">
        <f t="shared" si="7"/>
        <v>#REF!</v>
      </c>
      <c r="T24" s="41" t="s">
        <v>31</v>
      </c>
      <c r="U24" s="41"/>
      <c r="V24" s="41" t="e">
        <f>Tree!#REF!</f>
        <v>#REF!</v>
      </c>
      <c r="W24" s="99"/>
      <c r="X24" s="117"/>
      <c r="Y24" s="100">
        <f t="shared" si="2"/>
        <v>0</v>
      </c>
      <c r="Z24" s="80"/>
      <c r="AA24" s="80"/>
      <c r="AB24" s="41"/>
      <c r="AC24" s="86" t="e">
        <f t="shared" si="8"/>
        <v>#REF!</v>
      </c>
      <c r="AD24" s="80">
        <f t="shared" si="9"/>
        <v>0</v>
      </c>
      <c r="AO24" s="116"/>
    </row>
    <row r="25" spans="3:41">
      <c r="C25" s="135" t="e">
        <f>Tree!#REF!</f>
        <v>#REF!</v>
      </c>
      <c r="D25" s="81" t="e">
        <f>Tree!#REF!</f>
        <v>#REF!</v>
      </c>
      <c r="E25" s="136" t="e">
        <f t="shared" si="3"/>
        <v>#REF!</v>
      </c>
      <c r="F25" s="81" t="e">
        <f>Tree!#REF!</f>
        <v>#REF!</v>
      </c>
      <c r="G25" s="136" t="e">
        <f t="shared" si="4"/>
        <v>#REF!</v>
      </c>
      <c r="H25" s="82" t="e">
        <f>INDEX(Tree!#REF!,MATCH($J25,Tree!#REF!,0))</f>
        <v>#REF!</v>
      </c>
      <c r="I25" s="101" t="e">
        <f t="shared" si="5"/>
        <v>#REF!</v>
      </c>
      <c r="J25" s="81" t="s">
        <v>24</v>
      </c>
      <c r="K25" s="82" t="e">
        <f>INDEX(Tree!#REF!,MATCH($J25,Tree!#REF!,0))</f>
        <v>#REF!</v>
      </c>
      <c r="L25" s="103" t="e">
        <f t="shared" si="0"/>
        <v>#REF!</v>
      </c>
      <c r="M25" s="82" t="e">
        <f>Tree!#REF!</f>
        <v>#REF!</v>
      </c>
      <c r="N25" s="101" t="e">
        <f t="shared" si="10"/>
        <v>#REF!</v>
      </c>
      <c r="O25" s="82" t="s">
        <v>28</v>
      </c>
      <c r="P25" s="82" t="e">
        <f>INDEX(Tree!#REF!,MATCH($O25,Tree!#REF!,0)+MATCH(Tree!#REF!,Tree!#REF!,0)-1)</f>
        <v>#REF!</v>
      </c>
      <c r="Q25" s="103" t="e">
        <f t="shared" si="6"/>
        <v>#REF!</v>
      </c>
      <c r="R25" s="118" t="e">
        <f>Tree!#REF!</f>
        <v>#REF!</v>
      </c>
      <c r="S25" s="101" t="e">
        <f t="shared" si="7"/>
        <v>#REF!</v>
      </c>
      <c r="T25" s="81" t="s">
        <v>32</v>
      </c>
      <c r="U25" s="81" t="e">
        <f>Tree!#REF!</f>
        <v>#REF!</v>
      </c>
      <c r="V25" s="81"/>
      <c r="W25" s="103" t="e">
        <f>S25*U25</f>
        <v>#REF!</v>
      </c>
      <c r="X25" s="120"/>
      <c r="Y25" s="101" t="e">
        <f t="shared" si="2"/>
        <v>#REF!</v>
      </c>
      <c r="Z25" s="81" t="s">
        <v>53</v>
      </c>
      <c r="AA25" s="81" t="e">
        <f>Tree!#REF!</f>
        <v>#REF!</v>
      </c>
      <c r="AB25" s="81"/>
      <c r="AC25" s="87" t="e">
        <f t="shared" si="8"/>
        <v>#REF!</v>
      </c>
      <c r="AD25" s="81" t="e">
        <f t="shared" si="9"/>
        <v>#REF!</v>
      </c>
      <c r="AO25" s="116"/>
    </row>
    <row r="26" spans="3:41">
      <c r="C26" s="121" t="e">
        <f>Tree!#REF!</f>
        <v>#REF!</v>
      </c>
      <c r="D26" s="41" t="e">
        <f>Tree!#REF!</f>
        <v>#REF!</v>
      </c>
      <c r="E26" s="122" t="e">
        <f t="shared" si="3"/>
        <v>#REF!</v>
      </c>
      <c r="F26" s="41" t="e">
        <f>Tree!#REF!</f>
        <v>#REF!</v>
      </c>
      <c r="G26" s="122" t="e">
        <f t="shared" si="4"/>
        <v>#REF!</v>
      </c>
      <c r="H26" s="79" t="e">
        <f>INDEX(Tree!#REF!,MATCH($J26,Tree!#REF!,0))</f>
        <v>#REF!</v>
      </c>
      <c r="I26" s="100" t="e">
        <f t="shared" si="5"/>
        <v>#REF!</v>
      </c>
      <c r="J26" s="41" t="s">
        <v>24</v>
      </c>
      <c r="K26" s="79" t="e">
        <f>INDEX(Tree!#REF!,MATCH($J26,Tree!#REF!,0))</f>
        <v>#REF!</v>
      </c>
      <c r="L26" s="99" t="e">
        <f t="shared" si="0"/>
        <v>#REF!</v>
      </c>
      <c r="M26" s="79" t="e">
        <f>Tree!#REF!</f>
        <v>#REF!</v>
      </c>
      <c r="N26" s="100" t="e">
        <f t="shared" si="10"/>
        <v>#REF!</v>
      </c>
      <c r="O26" s="79" t="s">
        <v>28</v>
      </c>
      <c r="P26" s="79" t="e">
        <f>INDEX(Tree!#REF!,MATCH($O26,Tree!#REF!,0)+MATCH(Tree!#REF!,Tree!#REF!,0)-1)</f>
        <v>#REF!</v>
      </c>
      <c r="Q26" s="99" t="e">
        <f t="shared" si="6"/>
        <v>#REF!</v>
      </c>
      <c r="R26" s="117" t="e">
        <f>Tree!#REF!</f>
        <v>#REF!</v>
      </c>
      <c r="S26" s="100" t="e">
        <f t="shared" si="7"/>
        <v>#REF!</v>
      </c>
      <c r="T26" s="41" t="s">
        <v>32</v>
      </c>
      <c r="U26" s="41" t="e">
        <f>Tree!#REF!</f>
        <v>#REF!</v>
      </c>
      <c r="V26" s="41"/>
      <c r="W26" s="99" t="e">
        <f>S26*U26</f>
        <v>#REF!</v>
      </c>
      <c r="X26" s="139">
        <v>0</v>
      </c>
      <c r="Y26" s="100" t="e">
        <f t="shared" si="2"/>
        <v>#REF!</v>
      </c>
      <c r="Z26" s="80" t="s">
        <v>116</v>
      </c>
      <c r="AA26" s="80" t="e">
        <f>Tree!#REF!</f>
        <v>#REF!</v>
      </c>
      <c r="AB26" s="41"/>
      <c r="AC26" s="86" t="e">
        <f t="shared" si="8"/>
        <v>#REF!</v>
      </c>
      <c r="AD26" s="80" t="e">
        <f t="shared" si="9"/>
        <v>#REF!</v>
      </c>
      <c r="AO26" s="116"/>
    </row>
    <row r="27" spans="3:41">
      <c r="C27" s="121" t="e">
        <f>Tree!#REF!</f>
        <v>#REF!</v>
      </c>
      <c r="D27" s="41" t="e">
        <f>Tree!#REF!</f>
        <v>#REF!</v>
      </c>
      <c r="E27" s="122" t="e">
        <f t="shared" si="3"/>
        <v>#REF!</v>
      </c>
      <c r="F27" s="41" t="e">
        <f>Tree!#REF!</f>
        <v>#REF!</v>
      </c>
      <c r="G27" s="122" t="e">
        <f t="shared" si="4"/>
        <v>#REF!</v>
      </c>
      <c r="H27" s="79" t="e">
        <f>INDEX(Tree!#REF!,MATCH($J27,Tree!#REF!,0))</f>
        <v>#REF!</v>
      </c>
      <c r="I27" s="100" t="e">
        <f t="shared" si="5"/>
        <v>#REF!</v>
      </c>
      <c r="J27" s="41" t="s">
        <v>24</v>
      </c>
      <c r="K27" s="79" t="e">
        <f>INDEX(Tree!#REF!,MATCH($J27,Tree!#REF!,0))</f>
        <v>#REF!</v>
      </c>
      <c r="L27" s="99" t="e">
        <f t="shared" si="0"/>
        <v>#REF!</v>
      </c>
      <c r="M27" s="79" t="e">
        <f>Tree!#REF!</f>
        <v>#REF!</v>
      </c>
      <c r="N27" s="100" t="e">
        <f t="shared" si="10"/>
        <v>#REF!</v>
      </c>
      <c r="O27" s="79" t="s">
        <v>28</v>
      </c>
      <c r="P27" s="79" t="e">
        <f>INDEX(Tree!#REF!,MATCH($O27,Tree!#REF!,0)+MATCH(Tree!#REF!,Tree!#REF!,0)-1)</f>
        <v>#REF!</v>
      </c>
      <c r="Q27" s="99" t="e">
        <f t="shared" si="6"/>
        <v>#REF!</v>
      </c>
      <c r="R27" s="117" t="e">
        <f>Tree!#REF!</f>
        <v>#REF!</v>
      </c>
      <c r="S27" s="100" t="e">
        <f t="shared" si="7"/>
        <v>#REF!</v>
      </c>
      <c r="T27" s="41" t="s">
        <v>32</v>
      </c>
      <c r="U27" s="41" t="e">
        <f>Tree!#REF!</f>
        <v>#REF!</v>
      </c>
      <c r="V27" s="41"/>
      <c r="W27" s="99" t="e">
        <f>S27*U27</f>
        <v>#REF!</v>
      </c>
      <c r="X27" s="139" t="e">
        <f>Tree!#REF!/SUM(Tree!#REF!,Tree!#REF!)</f>
        <v>#REF!</v>
      </c>
      <c r="Y27" s="100" t="e">
        <f t="shared" si="2"/>
        <v>#REF!</v>
      </c>
      <c r="Z27" s="80" t="s">
        <v>51</v>
      </c>
      <c r="AA27" s="80"/>
      <c r="AB27" s="41" t="e">
        <f>Tree!#REF!</f>
        <v>#REF!</v>
      </c>
      <c r="AC27" s="86" t="e">
        <f t="shared" si="8"/>
        <v>#REF!</v>
      </c>
      <c r="AD27" s="80" t="e">
        <f t="shared" si="9"/>
        <v>#REF!</v>
      </c>
      <c r="AO27" s="116"/>
    </row>
    <row r="28" spans="3:41">
      <c r="C28" s="121" t="e">
        <f>Tree!#REF!</f>
        <v>#REF!</v>
      </c>
      <c r="D28" s="41" t="e">
        <f>Tree!#REF!</f>
        <v>#REF!</v>
      </c>
      <c r="E28" s="122" t="e">
        <f t="shared" si="3"/>
        <v>#REF!</v>
      </c>
      <c r="F28" s="41" t="e">
        <f>Tree!#REF!</f>
        <v>#REF!</v>
      </c>
      <c r="G28" s="122" t="e">
        <f t="shared" si="4"/>
        <v>#REF!</v>
      </c>
      <c r="H28" s="79" t="e">
        <f>INDEX(Tree!#REF!,MATCH($J28,Tree!#REF!,0))</f>
        <v>#REF!</v>
      </c>
      <c r="I28" s="100" t="e">
        <f t="shared" si="5"/>
        <v>#REF!</v>
      </c>
      <c r="J28" s="80" t="s">
        <v>24</v>
      </c>
      <c r="K28" s="90" t="e">
        <f>INDEX(Tree!#REF!,MATCH($J28,Tree!#REF!,0))</f>
        <v>#REF!</v>
      </c>
      <c r="L28" s="104" t="e">
        <f t="shared" si="0"/>
        <v>#REF!</v>
      </c>
      <c r="M28" s="90" t="e">
        <f>Tree!#REF!</f>
        <v>#REF!</v>
      </c>
      <c r="N28" s="102" t="e">
        <f t="shared" si="10"/>
        <v>#REF!</v>
      </c>
      <c r="O28" s="90" t="s">
        <v>28</v>
      </c>
      <c r="P28" s="90" t="e">
        <f>INDEX(Tree!#REF!,MATCH($O28,Tree!#REF!,0)+MATCH(Tree!#REF!,Tree!#REF!,0)-1)</f>
        <v>#REF!</v>
      </c>
      <c r="Q28" s="104" t="e">
        <f t="shared" si="6"/>
        <v>#REF!</v>
      </c>
      <c r="R28" s="119" t="e">
        <f>Tree!#REF!</f>
        <v>#REF!</v>
      </c>
      <c r="S28" s="102" t="e">
        <f t="shared" si="7"/>
        <v>#REF!</v>
      </c>
      <c r="T28" s="80" t="s">
        <v>32</v>
      </c>
      <c r="U28" s="80" t="e">
        <f>Tree!#REF!</f>
        <v>#REF!</v>
      </c>
      <c r="V28" s="80"/>
      <c r="W28" s="104" t="e">
        <f>S28*U28</f>
        <v>#REF!</v>
      </c>
      <c r="X28" s="139" t="e">
        <f>Tree!#REF!/SUM(Tree!#REF!,Tree!#REF!)</f>
        <v>#REF!</v>
      </c>
      <c r="Y28" s="102" t="e">
        <f t="shared" si="2"/>
        <v>#REF!</v>
      </c>
      <c r="Z28" s="80" t="s">
        <v>52</v>
      </c>
      <c r="AA28" s="80"/>
      <c r="AB28" s="80" t="e">
        <f>Tree!#REF!</f>
        <v>#REF!</v>
      </c>
      <c r="AC28" s="91" t="e">
        <f t="shared" si="8"/>
        <v>#REF!</v>
      </c>
      <c r="AD28" s="80" t="e">
        <f t="shared" si="9"/>
        <v>#REF!</v>
      </c>
      <c r="AO28" s="116"/>
    </row>
    <row r="29" spans="3:41">
      <c r="C29" s="121" t="e">
        <f>Tree!#REF!</f>
        <v>#REF!</v>
      </c>
      <c r="D29" s="41" t="e">
        <f>Tree!#REF!</f>
        <v>#REF!</v>
      </c>
      <c r="E29" s="122" t="e">
        <f t="shared" si="3"/>
        <v>#REF!</v>
      </c>
      <c r="F29" s="41" t="e">
        <f>Tree!#REF!</f>
        <v>#REF!</v>
      </c>
      <c r="G29" s="122" t="e">
        <f t="shared" si="4"/>
        <v>#REF!</v>
      </c>
      <c r="H29" s="79" t="e">
        <f>INDEX(Tree!#REF!,MATCH($J29,Tree!#REF!,0))</f>
        <v>#REF!</v>
      </c>
      <c r="I29" s="100" t="e">
        <f t="shared" si="5"/>
        <v>#REF!</v>
      </c>
      <c r="J29" s="80" t="s">
        <v>25</v>
      </c>
      <c r="K29" s="90" t="e">
        <f>INDEX(Tree!#REF!,MATCH($J29,Tree!#REF!,0))</f>
        <v>#REF!</v>
      </c>
      <c r="L29" s="104" t="e">
        <f t="shared" si="0"/>
        <v>#REF!</v>
      </c>
      <c r="M29" s="90" t="e">
        <f>Tree!#REF!</f>
        <v>#REF!</v>
      </c>
      <c r="N29" s="102" t="e">
        <f t="shared" si="10"/>
        <v>#REF!</v>
      </c>
      <c r="O29" s="90" t="s">
        <v>30</v>
      </c>
      <c r="P29" s="90" t="e">
        <f>INDEX(Tree!#REF!,MATCH($O29,Tree!#REF!,0)+MATCH(Tree!#REF!,Tree!#REF!,0)-1)</f>
        <v>#REF!</v>
      </c>
      <c r="Q29" s="104" t="e">
        <f t="shared" si="6"/>
        <v>#REF!</v>
      </c>
      <c r="R29" s="119" t="e">
        <f>Tree!#REF!</f>
        <v>#REF!</v>
      </c>
      <c r="S29" s="102" t="e">
        <f t="shared" si="7"/>
        <v>#REF!</v>
      </c>
      <c r="T29" s="80" t="s">
        <v>31</v>
      </c>
      <c r="U29" s="80"/>
      <c r="V29" s="80" t="e">
        <f>Tree!#REF!</f>
        <v>#REF!</v>
      </c>
      <c r="W29" s="104"/>
      <c r="X29" s="119"/>
      <c r="Y29" s="102">
        <f t="shared" si="2"/>
        <v>0</v>
      </c>
      <c r="Z29" s="80"/>
      <c r="AA29" s="80"/>
      <c r="AB29" s="80"/>
      <c r="AC29" s="91" t="e">
        <f t="shared" si="8"/>
        <v>#REF!</v>
      </c>
      <c r="AD29" s="80">
        <f t="shared" si="9"/>
        <v>0</v>
      </c>
      <c r="AO29" s="116"/>
    </row>
    <row r="30" spans="3:41">
      <c r="C30" s="121" t="e">
        <f>Tree!#REF!</f>
        <v>#REF!</v>
      </c>
      <c r="D30" s="41" t="e">
        <f>Tree!#REF!</f>
        <v>#REF!</v>
      </c>
      <c r="E30" s="122" t="e">
        <f t="shared" si="3"/>
        <v>#REF!</v>
      </c>
      <c r="F30" s="41" t="e">
        <f>Tree!#REF!</f>
        <v>#REF!</v>
      </c>
      <c r="G30" s="122" t="e">
        <f t="shared" si="4"/>
        <v>#REF!</v>
      </c>
      <c r="H30" s="79" t="e">
        <f>INDEX(Tree!#REF!,MATCH($J30,Tree!#REF!,0))</f>
        <v>#REF!</v>
      </c>
      <c r="I30" s="100" t="e">
        <f t="shared" si="5"/>
        <v>#REF!</v>
      </c>
      <c r="J30" s="80" t="s">
        <v>25</v>
      </c>
      <c r="K30" s="90" t="e">
        <f>INDEX(Tree!#REF!,MATCH($J30,Tree!#REF!,0))</f>
        <v>#REF!</v>
      </c>
      <c r="L30" s="104" t="e">
        <f t="shared" si="0"/>
        <v>#REF!</v>
      </c>
      <c r="M30" s="90" t="e">
        <f>Tree!#REF!</f>
        <v>#REF!</v>
      </c>
      <c r="N30" s="102" t="e">
        <f t="shared" si="10"/>
        <v>#REF!</v>
      </c>
      <c r="O30" s="90" t="s">
        <v>30</v>
      </c>
      <c r="P30" s="90" t="e">
        <f>INDEX(Tree!#REF!,MATCH($O30,Tree!#REF!,0)+MATCH(Tree!#REF!,Tree!#REF!,0)-1)</f>
        <v>#REF!</v>
      </c>
      <c r="Q30" s="104" t="e">
        <f t="shared" si="6"/>
        <v>#REF!</v>
      </c>
      <c r="R30" s="119" t="e">
        <f>Tree!#REF!</f>
        <v>#REF!</v>
      </c>
      <c r="S30" s="102" t="e">
        <f t="shared" si="7"/>
        <v>#REF!</v>
      </c>
      <c r="T30" s="80" t="s">
        <v>32</v>
      </c>
      <c r="U30" s="80" t="e">
        <f>Tree!#REF!</f>
        <v>#REF!</v>
      </c>
      <c r="V30" s="80"/>
      <c r="W30" s="104" t="e">
        <f>S30*U30</f>
        <v>#REF!</v>
      </c>
      <c r="X30" s="119" t="e">
        <f>Tree!#REF!</f>
        <v>#REF!</v>
      </c>
      <c r="Y30" s="102" t="e">
        <f t="shared" si="2"/>
        <v>#REF!</v>
      </c>
      <c r="Z30" s="80" t="s">
        <v>53</v>
      </c>
      <c r="AA30" s="80" t="e">
        <f>Tree!#REF!</f>
        <v>#REF!</v>
      </c>
      <c r="AB30" s="80"/>
      <c r="AC30" s="91" t="e">
        <f t="shared" si="8"/>
        <v>#REF!</v>
      </c>
      <c r="AD30" s="80" t="e">
        <f t="shared" si="9"/>
        <v>#REF!</v>
      </c>
      <c r="AO30" s="116"/>
    </row>
    <row r="31" spans="3:41">
      <c r="C31" s="121" t="e">
        <f>Tree!#REF!</f>
        <v>#REF!</v>
      </c>
      <c r="D31" s="41" t="e">
        <f>Tree!#REF!</f>
        <v>#REF!</v>
      </c>
      <c r="E31" s="122" t="e">
        <f t="shared" si="3"/>
        <v>#REF!</v>
      </c>
      <c r="F31" s="41" t="e">
        <f>Tree!#REF!</f>
        <v>#REF!</v>
      </c>
      <c r="G31" s="122" t="e">
        <f t="shared" si="4"/>
        <v>#REF!</v>
      </c>
      <c r="H31" s="79" t="e">
        <f>INDEX(Tree!#REF!,MATCH($J31,Tree!#REF!,0))</f>
        <v>#REF!</v>
      </c>
      <c r="I31" s="100" t="e">
        <f t="shared" si="5"/>
        <v>#REF!</v>
      </c>
      <c r="J31" s="80" t="s">
        <v>25</v>
      </c>
      <c r="K31" s="90" t="e">
        <f>INDEX(Tree!#REF!,MATCH($J31,Tree!#REF!,0))</f>
        <v>#REF!</v>
      </c>
      <c r="L31" s="104" t="e">
        <f t="shared" si="0"/>
        <v>#REF!</v>
      </c>
      <c r="M31" s="90" t="e">
        <f>Tree!#REF!</f>
        <v>#REF!</v>
      </c>
      <c r="N31" s="102" t="e">
        <f t="shared" si="10"/>
        <v>#REF!</v>
      </c>
      <c r="O31" s="90" t="s">
        <v>30</v>
      </c>
      <c r="P31" s="90" t="e">
        <f>INDEX(Tree!#REF!,MATCH($O31,Tree!#REF!,0)+MATCH(Tree!#REF!,Tree!#REF!,0)-1)</f>
        <v>#REF!</v>
      </c>
      <c r="Q31" s="104" t="e">
        <f t="shared" si="6"/>
        <v>#REF!</v>
      </c>
      <c r="R31" s="119" t="e">
        <f>Tree!#REF!</f>
        <v>#REF!</v>
      </c>
      <c r="S31" s="102" t="e">
        <f t="shared" si="7"/>
        <v>#REF!</v>
      </c>
      <c r="T31" s="80" t="s">
        <v>32</v>
      </c>
      <c r="U31" s="80" t="e">
        <f>Tree!#REF!</f>
        <v>#REF!</v>
      </c>
      <c r="V31" s="80"/>
      <c r="W31" s="104" t="e">
        <f>S31*U31</f>
        <v>#REF!</v>
      </c>
      <c r="X31" s="119" t="e">
        <f>Tree!#REF!</f>
        <v>#REF!</v>
      </c>
      <c r="Y31" s="102" t="e">
        <f t="shared" si="2"/>
        <v>#REF!</v>
      </c>
      <c r="Z31" s="80" t="s">
        <v>116</v>
      </c>
      <c r="AA31" s="80" t="e">
        <f>Tree!#REF!</f>
        <v>#REF!</v>
      </c>
      <c r="AB31" s="80"/>
      <c r="AC31" s="91" t="e">
        <f t="shared" si="8"/>
        <v>#REF!</v>
      </c>
      <c r="AD31" s="80" t="e">
        <f t="shared" si="9"/>
        <v>#REF!</v>
      </c>
      <c r="AO31" s="116"/>
    </row>
    <row r="32" spans="3:41">
      <c r="C32" s="121" t="e">
        <f>Tree!#REF!</f>
        <v>#REF!</v>
      </c>
      <c r="D32" s="41" t="e">
        <f>Tree!#REF!</f>
        <v>#REF!</v>
      </c>
      <c r="E32" s="122" t="e">
        <f t="shared" si="3"/>
        <v>#REF!</v>
      </c>
      <c r="F32" s="41" t="e">
        <f>Tree!#REF!</f>
        <v>#REF!</v>
      </c>
      <c r="G32" s="122" t="e">
        <f t="shared" si="4"/>
        <v>#REF!</v>
      </c>
      <c r="H32" s="79" t="e">
        <f>INDEX(Tree!#REF!,MATCH($J32,Tree!#REF!,0))</f>
        <v>#REF!</v>
      </c>
      <c r="I32" s="100" t="e">
        <f t="shared" si="5"/>
        <v>#REF!</v>
      </c>
      <c r="J32" s="80" t="s">
        <v>25</v>
      </c>
      <c r="K32" s="90" t="e">
        <f>INDEX(Tree!#REF!,MATCH($J32,Tree!#REF!,0))</f>
        <v>#REF!</v>
      </c>
      <c r="L32" s="104" t="e">
        <f t="shared" si="0"/>
        <v>#REF!</v>
      </c>
      <c r="M32" s="90" t="e">
        <f>Tree!#REF!</f>
        <v>#REF!</v>
      </c>
      <c r="N32" s="102" t="e">
        <f t="shared" si="10"/>
        <v>#REF!</v>
      </c>
      <c r="O32" s="90" t="s">
        <v>30</v>
      </c>
      <c r="P32" s="90" t="e">
        <f>INDEX(Tree!#REF!,MATCH($O32,Tree!#REF!,0)+MATCH(Tree!#REF!,Tree!#REF!,0)-1)</f>
        <v>#REF!</v>
      </c>
      <c r="Q32" s="104" t="e">
        <f t="shared" si="6"/>
        <v>#REF!</v>
      </c>
      <c r="R32" s="119" t="e">
        <f>Tree!#REF!</f>
        <v>#REF!</v>
      </c>
      <c r="S32" s="102" t="e">
        <f t="shared" si="7"/>
        <v>#REF!</v>
      </c>
      <c r="T32" s="80" t="s">
        <v>32</v>
      </c>
      <c r="U32" s="80" t="e">
        <f>Tree!#REF!</f>
        <v>#REF!</v>
      </c>
      <c r="V32" s="80"/>
      <c r="W32" s="104" t="e">
        <f>S32*U32</f>
        <v>#REF!</v>
      </c>
      <c r="X32" s="119" t="e">
        <f>Tree!#REF!</f>
        <v>#REF!</v>
      </c>
      <c r="Y32" s="102" t="e">
        <f t="shared" si="2"/>
        <v>#REF!</v>
      </c>
      <c r="Z32" s="80" t="s">
        <v>51</v>
      </c>
      <c r="AA32" s="80"/>
      <c r="AB32" s="80" t="e">
        <f>Tree!#REF!</f>
        <v>#REF!</v>
      </c>
      <c r="AC32" s="91" t="e">
        <f t="shared" si="8"/>
        <v>#REF!</v>
      </c>
      <c r="AD32" s="80" t="e">
        <f t="shared" si="9"/>
        <v>#REF!</v>
      </c>
      <c r="AO32" s="116"/>
    </row>
    <row r="33" spans="3:41">
      <c r="C33" s="121" t="e">
        <f>Tree!#REF!</f>
        <v>#REF!</v>
      </c>
      <c r="D33" s="41" t="e">
        <f>Tree!#REF!</f>
        <v>#REF!</v>
      </c>
      <c r="E33" s="122" t="e">
        <f t="shared" si="3"/>
        <v>#REF!</v>
      </c>
      <c r="F33" s="41" t="e">
        <f>Tree!#REF!</f>
        <v>#REF!</v>
      </c>
      <c r="G33" s="122" t="e">
        <f t="shared" si="4"/>
        <v>#REF!</v>
      </c>
      <c r="H33" s="79" t="e">
        <f>INDEX(Tree!#REF!,MATCH($J33,Tree!#REF!,0))</f>
        <v>#REF!</v>
      </c>
      <c r="I33" s="100" t="e">
        <f t="shared" si="5"/>
        <v>#REF!</v>
      </c>
      <c r="J33" s="80" t="s">
        <v>25</v>
      </c>
      <c r="K33" s="90" t="e">
        <f>INDEX(Tree!#REF!,MATCH($J33,Tree!#REF!,0))</f>
        <v>#REF!</v>
      </c>
      <c r="L33" s="104" t="e">
        <f t="shared" si="0"/>
        <v>#REF!</v>
      </c>
      <c r="M33" s="90" t="e">
        <f>Tree!#REF!</f>
        <v>#REF!</v>
      </c>
      <c r="N33" s="102" t="e">
        <f t="shared" si="10"/>
        <v>#REF!</v>
      </c>
      <c r="O33" s="90" t="s">
        <v>30</v>
      </c>
      <c r="P33" s="90" t="e">
        <f>INDEX(Tree!#REF!,MATCH($O33,Tree!#REF!,0)+MATCH(Tree!#REF!,Tree!#REF!,0)-1)</f>
        <v>#REF!</v>
      </c>
      <c r="Q33" s="104" t="e">
        <f t="shared" si="6"/>
        <v>#REF!</v>
      </c>
      <c r="R33" s="119" t="e">
        <f>Tree!#REF!</f>
        <v>#REF!</v>
      </c>
      <c r="S33" s="102" t="e">
        <f t="shared" si="7"/>
        <v>#REF!</v>
      </c>
      <c r="T33" s="80" t="s">
        <v>32</v>
      </c>
      <c r="U33" s="80" t="e">
        <f>Tree!#REF!</f>
        <v>#REF!</v>
      </c>
      <c r="V33" s="80"/>
      <c r="W33" s="104" t="e">
        <f>S33*U33</f>
        <v>#REF!</v>
      </c>
      <c r="X33" s="119" t="e">
        <f>Tree!#REF!</f>
        <v>#REF!</v>
      </c>
      <c r="Y33" s="102" t="e">
        <f t="shared" si="2"/>
        <v>#REF!</v>
      </c>
      <c r="Z33" s="80" t="s">
        <v>52</v>
      </c>
      <c r="AA33" s="80"/>
      <c r="AB33" s="80" t="e">
        <f>Tree!#REF!</f>
        <v>#REF!</v>
      </c>
      <c r="AC33" s="91" t="e">
        <f t="shared" si="8"/>
        <v>#REF!</v>
      </c>
      <c r="AD33" s="80" t="e">
        <f t="shared" si="9"/>
        <v>#REF!</v>
      </c>
      <c r="AO33" s="116"/>
    </row>
    <row r="34" spans="3:41">
      <c r="C34" s="121" t="e">
        <f>Tree!#REF!</f>
        <v>#REF!</v>
      </c>
      <c r="D34" s="41" t="e">
        <f>Tree!#REF!</f>
        <v>#REF!</v>
      </c>
      <c r="E34" s="122" t="e">
        <f t="shared" si="3"/>
        <v>#REF!</v>
      </c>
      <c r="F34" s="41" t="e">
        <f>Tree!#REF!</f>
        <v>#REF!</v>
      </c>
      <c r="G34" s="122" t="e">
        <f t="shared" si="4"/>
        <v>#REF!</v>
      </c>
      <c r="H34" s="79" t="e">
        <f>INDEX(Tree!#REF!,MATCH($J34,Tree!#REF!,0))</f>
        <v>#REF!</v>
      </c>
      <c r="I34" s="100" t="e">
        <f t="shared" si="5"/>
        <v>#REF!</v>
      </c>
      <c r="J34" s="80" t="s">
        <v>25</v>
      </c>
      <c r="K34" s="90" t="e">
        <f>INDEX(Tree!#REF!,MATCH($J34,Tree!#REF!,0))</f>
        <v>#REF!</v>
      </c>
      <c r="L34" s="104" t="e">
        <f t="shared" si="0"/>
        <v>#REF!</v>
      </c>
      <c r="M34" s="90" t="e">
        <f>Tree!#REF!</f>
        <v>#REF!</v>
      </c>
      <c r="N34" s="102" t="e">
        <f t="shared" si="10"/>
        <v>#REF!</v>
      </c>
      <c r="O34" s="90" t="s">
        <v>26</v>
      </c>
      <c r="P34" s="90" t="e">
        <f>INDEX(Tree!#REF!,MATCH($O34,Tree!#REF!,0)+MATCH(Tree!#REF!,Tree!#REF!,0)-1)</f>
        <v>#REF!</v>
      </c>
      <c r="Q34" s="104" t="e">
        <f t="shared" si="6"/>
        <v>#REF!</v>
      </c>
      <c r="R34" s="119" t="e">
        <f>Tree!#REF!</f>
        <v>#REF!</v>
      </c>
      <c r="S34" s="102" t="e">
        <f t="shared" si="7"/>
        <v>#REF!</v>
      </c>
      <c r="T34" s="80" t="s">
        <v>31</v>
      </c>
      <c r="U34" s="80"/>
      <c r="V34" s="80" t="e">
        <f>Tree!#REF!</f>
        <v>#REF!</v>
      </c>
      <c r="W34" s="104"/>
      <c r="X34" s="119"/>
      <c r="Y34" s="102">
        <f t="shared" si="2"/>
        <v>0</v>
      </c>
      <c r="Z34" s="80"/>
      <c r="AA34" s="80"/>
      <c r="AB34" s="80"/>
      <c r="AC34" s="91" t="e">
        <f t="shared" si="8"/>
        <v>#REF!</v>
      </c>
      <c r="AD34" s="80">
        <f t="shared" si="9"/>
        <v>0</v>
      </c>
      <c r="AO34" s="116"/>
    </row>
    <row r="35" spans="3:41">
      <c r="C35" s="121" t="e">
        <f>Tree!#REF!</f>
        <v>#REF!</v>
      </c>
      <c r="D35" s="41" t="e">
        <f>Tree!#REF!</f>
        <v>#REF!</v>
      </c>
      <c r="E35" s="122" t="e">
        <f t="shared" si="3"/>
        <v>#REF!</v>
      </c>
      <c r="F35" s="41" t="e">
        <f>Tree!#REF!</f>
        <v>#REF!</v>
      </c>
      <c r="G35" s="122" t="e">
        <f t="shared" si="4"/>
        <v>#REF!</v>
      </c>
      <c r="H35" s="79" t="e">
        <f>INDEX(Tree!#REF!,MATCH($J35,Tree!#REF!,0))</f>
        <v>#REF!</v>
      </c>
      <c r="I35" s="100" t="e">
        <f t="shared" si="5"/>
        <v>#REF!</v>
      </c>
      <c r="J35" s="80" t="s">
        <v>25</v>
      </c>
      <c r="K35" s="90" t="e">
        <f>INDEX(Tree!#REF!,MATCH($J35,Tree!#REF!,0))</f>
        <v>#REF!</v>
      </c>
      <c r="L35" s="104" t="e">
        <f t="shared" si="0"/>
        <v>#REF!</v>
      </c>
      <c r="M35" s="90" t="e">
        <f>Tree!#REF!</f>
        <v>#REF!</v>
      </c>
      <c r="N35" s="102" t="e">
        <f t="shared" si="10"/>
        <v>#REF!</v>
      </c>
      <c r="O35" s="90" t="s">
        <v>26</v>
      </c>
      <c r="P35" s="90" t="e">
        <f>INDEX(Tree!#REF!,MATCH($O35,Tree!#REF!,0)+MATCH(Tree!#REF!,Tree!#REF!,0)-1)</f>
        <v>#REF!</v>
      </c>
      <c r="Q35" s="104" t="e">
        <f t="shared" si="6"/>
        <v>#REF!</v>
      </c>
      <c r="R35" s="119" t="e">
        <f>Tree!#REF!</f>
        <v>#REF!</v>
      </c>
      <c r="S35" s="102" t="e">
        <f t="shared" si="7"/>
        <v>#REF!</v>
      </c>
      <c r="T35" s="80" t="s">
        <v>32</v>
      </c>
      <c r="U35" s="80" t="e">
        <f>Tree!#REF!</f>
        <v>#REF!</v>
      </c>
      <c r="V35" s="80"/>
      <c r="W35" s="104" t="e">
        <f>S35*U35</f>
        <v>#REF!</v>
      </c>
      <c r="X35" s="119" t="e">
        <f>Tree!#REF!</f>
        <v>#REF!</v>
      </c>
      <c r="Y35" s="102" t="e">
        <f t="shared" si="2"/>
        <v>#REF!</v>
      </c>
      <c r="Z35" s="80" t="s">
        <v>53</v>
      </c>
      <c r="AA35" s="80" t="e">
        <f>Tree!#REF!</f>
        <v>#REF!</v>
      </c>
      <c r="AB35" s="80"/>
      <c r="AC35" s="91" t="e">
        <f t="shared" si="8"/>
        <v>#REF!</v>
      </c>
      <c r="AD35" s="80" t="e">
        <f t="shared" si="9"/>
        <v>#REF!</v>
      </c>
    </row>
    <row r="36" spans="3:41">
      <c r="C36" s="121" t="e">
        <f>Tree!#REF!</f>
        <v>#REF!</v>
      </c>
      <c r="D36" s="41" t="e">
        <f>Tree!#REF!</f>
        <v>#REF!</v>
      </c>
      <c r="E36" s="122" t="e">
        <f t="shared" si="3"/>
        <v>#REF!</v>
      </c>
      <c r="F36" s="41" t="e">
        <f>Tree!#REF!</f>
        <v>#REF!</v>
      </c>
      <c r="G36" s="122" t="e">
        <f t="shared" si="4"/>
        <v>#REF!</v>
      </c>
      <c r="H36" s="79" t="e">
        <f>INDEX(Tree!#REF!,MATCH($J36,Tree!#REF!,0))</f>
        <v>#REF!</v>
      </c>
      <c r="I36" s="100" t="e">
        <f t="shared" si="5"/>
        <v>#REF!</v>
      </c>
      <c r="J36" s="80" t="s">
        <v>25</v>
      </c>
      <c r="K36" s="90" t="e">
        <f>INDEX(Tree!#REF!,MATCH($J36,Tree!#REF!,0))</f>
        <v>#REF!</v>
      </c>
      <c r="L36" s="104" t="e">
        <f t="shared" ref="L36:L67" si="11">K36*I36</f>
        <v>#REF!</v>
      </c>
      <c r="M36" s="90" t="e">
        <f>Tree!#REF!</f>
        <v>#REF!</v>
      </c>
      <c r="N36" s="102" t="e">
        <f t="shared" si="10"/>
        <v>#REF!</v>
      </c>
      <c r="O36" s="90" t="s">
        <v>26</v>
      </c>
      <c r="P36" s="90" t="e">
        <f>INDEX(Tree!#REF!,MATCH($O36,Tree!#REF!,0)+MATCH(Tree!#REF!,Tree!#REF!,0)-1)</f>
        <v>#REF!</v>
      </c>
      <c r="Q36" s="104" t="e">
        <f t="shared" si="6"/>
        <v>#REF!</v>
      </c>
      <c r="R36" s="119" t="e">
        <f>Tree!#REF!</f>
        <v>#REF!</v>
      </c>
      <c r="S36" s="102" t="e">
        <f t="shared" si="7"/>
        <v>#REF!</v>
      </c>
      <c r="T36" s="80" t="s">
        <v>32</v>
      </c>
      <c r="U36" s="80" t="e">
        <f>Tree!#REF!</f>
        <v>#REF!</v>
      </c>
      <c r="V36" s="80"/>
      <c r="W36" s="104" t="e">
        <f>S36*U36</f>
        <v>#REF!</v>
      </c>
      <c r="X36" s="119" t="e">
        <f>Tree!#REF!</f>
        <v>#REF!</v>
      </c>
      <c r="Y36" s="102" t="e">
        <f t="shared" si="2"/>
        <v>#REF!</v>
      </c>
      <c r="Z36" s="80" t="s">
        <v>116</v>
      </c>
      <c r="AA36" s="80" t="e">
        <f>Tree!#REF!</f>
        <v>#REF!</v>
      </c>
      <c r="AB36" s="80"/>
      <c r="AC36" s="91" t="e">
        <f t="shared" si="8"/>
        <v>#REF!</v>
      </c>
      <c r="AD36" s="80" t="e">
        <f t="shared" si="9"/>
        <v>#REF!</v>
      </c>
      <c r="AO36" s="116"/>
    </row>
    <row r="37" spans="3:41">
      <c r="C37" s="121" t="e">
        <f>Tree!#REF!</f>
        <v>#REF!</v>
      </c>
      <c r="D37" s="41" t="e">
        <f>Tree!#REF!</f>
        <v>#REF!</v>
      </c>
      <c r="E37" s="122" t="e">
        <f t="shared" si="3"/>
        <v>#REF!</v>
      </c>
      <c r="F37" s="41" t="e">
        <f>Tree!#REF!</f>
        <v>#REF!</v>
      </c>
      <c r="G37" s="122" t="e">
        <f t="shared" si="4"/>
        <v>#REF!</v>
      </c>
      <c r="H37" s="79" t="e">
        <f>INDEX(Tree!#REF!,MATCH($J37,Tree!#REF!,0))</f>
        <v>#REF!</v>
      </c>
      <c r="I37" s="100" t="e">
        <f t="shared" si="5"/>
        <v>#REF!</v>
      </c>
      <c r="J37" s="80" t="s">
        <v>25</v>
      </c>
      <c r="K37" s="90" t="e">
        <f>INDEX(Tree!#REF!,MATCH($J37,Tree!#REF!,0))</f>
        <v>#REF!</v>
      </c>
      <c r="L37" s="104" t="e">
        <f t="shared" si="11"/>
        <v>#REF!</v>
      </c>
      <c r="M37" s="90" t="e">
        <f>Tree!#REF!</f>
        <v>#REF!</v>
      </c>
      <c r="N37" s="102" t="e">
        <f t="shared" si="10"/>
        <v>#REF!</v>
      </c>
      <c r="O37" s="90" t="s">
        <v>26</v>
      </c>
      <c r="P37" s="90" t="e">
        <f>INDEX(Tree!#REF!,MATCH($O37,Tree!#REF!,0)+MATCH(Tree!#REF!,Tree!#REF!,0)-1)</f>
        <v>#REF!</v>
      </c>
      <c r="Q37" s="104" t="e">
        <f t="shared" si="6"/>
        <v>#REF!</v>
      </c>
      <c r="R37" s="119" t="e">
        <f>Tree!#REF!</f>
        <v>#REF!</v>
      </c>
      <c r="S37" s="102" t="e">
        <f t="shared" si="7"/>
        <v>#REF!</v>
      </c>
      <c r="T37" s="80" t="s">
        <v>32</v>
      </c>
      <c r="U37" s="80" t="e">
        <f>Tree!#REF!</f>
        <v>#REF!</v>
      </c>
      <c r="V37" s="80"/>
      <c r="W37" s="104" t="e">
        <f>S37*U37</f>
        <v>#REF!</v>
      </c>
      <c r="X37" s="119" t="e">
        <f>Tree!#REF!</f>
        <v>#REF!</v>
      </c>
      <c r="Y37" s="102" t="e">
        <f t="shared" si="2"/>
        <v>#REF!</v>
      </c>
      <c r="Z37" s="80" t="s">
        <v>51</v>
      </c>
      <c r="AA37" s="80"/>
      <c r="AB37" s="80" t="e">
        <f>Tree!#REF!</f>
        <v>#REF!</v>
      </c>
      <c r="AC37" s="91" t="e">
        <f t="shared" si="8"/>
        <v>#REF!</v>
      </c>
      <c r="AD37" s="80" t="e">
        <f t="shared" si="9"/>
        <v>#REF!</v>
      </c>
      <c r="AO37" s="116"/>
    </row>
    <row r="38" spans="3:41">
      <c r="C38" s="121" t="e">
        <f>Tree!#REF!</f>
        <v>#REF!</v>
      </c>
      <c r="D38" s="41" t="e">
        <f>Tree!#REF!</f>
        <v>#REF!</v>
      </c>
      <c r="E38" s="122" t="e">
        <f t="shared" si="3"/>
        <v>#REF!</v>
      </c>
      <c r="F38" s="41" t="e">
        <f>Tree!#REF!</f>
        <v>#REF!</v>
      </c>
      <c r="G38" s="122" t="e">
        <f t="shared" si="4"/>
        <v>#REF!</v>
      </c>
      <c r="H38" s="79" t="e">
        <f>INDEX(Tree!#REF!,MATCH($J38,Tree!#REF!,0))</f>
        <v>#REF!</v>
      </c>
      <c r="I38" s="100" t="e">
        <f t="shared" si="5"/>
        <v>#REF!</v>
      </c>
      <c r="J38" s="80" t="s">
        <v>25</v>
      </c>
      <c r="K38" s="90" t="e">
        <f>INDEX(Tree!#REF!,MATCH($J38,Tree!#REF!,0))</f>
        <v>#REF!</v>
      </c>
      <c r="L38" s="104" t="e">
        <f t="shared" si="11"/>
        <v>#REF!</v>
      </c>
      <c r="M38" s="90" t="e">
        <f>Tree!#REF!</f>
        <v>#REF!</v>
      </c>
      <c r="N38" s="102" t="e">
        <f t="shared" si="10"/>
        <v>#REF!</v>
      </c>
      <c r="O38" s="90" t="s">
        <v>26</v>
      </c>
      <c r="P38" s="90" t="e">
        <f>INDEX(Tree!#REF!,MATCH($O38,Tree!#REF!,0)+MATCH(Tree!#REF!,Tree!#REF!,0)-1)</f>
        <v>#REF!</v>
      </c>
      <c r="Q38" s="104" t="e">
        <f t="shared" si="6"/>
        <v>#REF!</v>
      </c>
      <c r="R38" s="119" t="e">
        <f>Tree!#REF!</f>
        <v>#REF!</v>
      </c>
      <c r="S38" s="102" t="e">
        <f t="shared" si="7"/>
        <v>#REF!</v>
      </c>
      <c r="T38" s="80" t="s">
        <v>32</v>
      </c>
      <c r="U38" s="80" t="e">
        <f>Tree!#REF!</f>
        <v>#REF!</v>
      </c>
      <c r="V38" s="80"/>
      <c r="W38" s="104" t="e">
        <f>S38*U38</f>
        <v>#REF!</v>
      </c>
      <c r="X38" s="119" t="e">
        <f>Tree!#REF!</f>
        <v>#REF!</v>
      </c>
      <c r="Y38" s="102" t="e">
        <f t="shared" si="2"/>
        <v>#REF!</v>
      </c>
      <c r="Z38" s="80" t="s">
        <v>52</v>
      </c>
      <c r="AA38" s="80"/>
      <c r="AB38" s="80" t="e">
        <f>Tree!#REF!</f>
        <v>#REF!</v>
      </c>
      <c r="AC38" s="91" t="e">
        <f t="shared" si="8"/>
        <v>#REF!</v>
      </c>
      <c r="AD38" s="80" t="e">
        <f t="shared" si="9"/>
        <v>#REF!</v>
      </c>
      <c r="AO38" s="116"/>
    </row>
    <row r="39" spans="3:41">
      <c r="C39" s="121" t="e">
        <f>Tree!#REF!</f>
        <v>#REF!</v>
      </c>
      <c r="D39" s="41" t="e">
        <f>Tree!#REF!</f>
        <v>#REF!</v>
      </c>
      <c r="E39" s="122" t="e">
        <f t="shared" si="3"/>
        <v>#REF!</v>
      </c>
      <c r="F39" s="41" t="e">
        <f>Tree!#REF!</f>
        <v>#REF!</v>
      </c>
      <c r="G39" s="122" t="e">
        <f t="shared" si="4"/>
        <v>#REF!</v>
      </c>
      <c r="H39" s="79" t="e">
        <f>INDEX(Tree!#REF!,MATCH($J39,Tree!#REF!,0))</f>
        <v>#REF!</v>
      </c>
      <c r="I39" s="100" t="e">
        <f t="shared" si="5"/>
        <v>#REF!</v>
      </c>
      <c r="J39" s="80" t="s">
        <v>25</v>
      </c>
      <c r="K39" s="90" t="e">
        <f>INDEX(Tree!#REF!,MATCH($J39,Tree!#REF!,0))</f>
        <v>#REF!</v>
      </c>
      <c r="L39" s="104" t="e">
        <f t="shared" si="11"/>
        <v>#REF!</v>
      </c>
      <c r="M39" s="90" t="e">
        <f>Tree!#REF!</f>
        <v>#REF!</v>
      </c>
      <c r="N39" s="102" t="e">
        <f t="shared" si="10"/>
        <v>#REF!</v>
      </c>
      <c r="O39" s="90" t="s">
        <v>27</v>
      </c>
      <c r="P39" s="90" t="e">
        <f>INDEX(Tree!#REF!,MATCH($O39,Tree!#REF!,0)+MATCH(Tree!#REF!,Tree!#REF!,0)-1)</f>
        <v>#REF!</v>
      </c>
      <c r="Q39" s="104" t="e">
        <f t="shared" si="6"/>
        <v>#REF!</v>
      </c>
      <c r="R39" s="119" t="e">
        <f>Tree!#REF!</f>
        <v>#REF!</v>
      </c>
      <c r="S39" s="102" t="e">
        <f t="shared" si="7"/>
        <v>#REF!</v>
      </c>
      <c r="T39" s="80" t="s">
        <v>31</v>
      </c>
      <c r="U39" s="80"/>
      <c r="V39" s="80" t="e">
        <f>Tree!#REF!</f>
        <v>#REF!</v>
      </c>
      <c r="W39" s="104"/>
      <c r="X39" s="119"/>
      <c r="Y39" s="102">
        <f t="shared" si="2"/>
        <v>0</v>
      </c>
      <c r="Z39" s="80"/>
      <c r="AA39" s="80"/>
      <c r="AB39" s="80"/>
      <c r="AC39" s="91" t="e">
        <f t="shared" si="8"/>
        <v>#REF!</v>
      </c>
      <c r="AD39" s="80">
        <f t="shared" si="9"/>
        <v>0</v>
      </c>
      <c r="AO39" s="116"/>
    </row>
    <row r="40" spans="3:41">
      <c r="C40" s="121" t="e">
        <f>Tree!#REF!</f>
        <v>#REF!</v>
      </c>
      <c r="D40" s="41" t="e">
        <f>Tree!#REF!</f>
        <v>#REF!</v>
      </c>
      <c r="E40" s="122" t="e">
        <f t="shared" si="3"/>
        <v>#REF!</v>
      </c>
      <c r="F40" s="41" t="e">
        <f>Tree!#REF!</f>
        <v>#REF!</v>
      </c>
      <c r="G40" s="122" t="e">
        <f t="shared" si="4"/>
        <v>#REF!</v>
      </c>
      <c r="H40" s="79" t="e">
        <f>INDEX(Tree!#REF!,MATCH($J40,Tree!#REF!,0))</f>
        <v>#REF!</v>
      </c>
      <c r="I40" s="100" t="e">
        <f t="shared" si="5"/>
        <v>#REF!</v>
      </c>
      <c r="J40" s="80" t="s">
        <v>25</v>
      </c>
      <c r="K40" s="90" t="e">
        <f>INDEX(Tree!#REF!,MATCH($J40,Tree!#REF!,0))</f>
        <v>#REF!</v>
      </c>
      <c r="L40" s="104" t="e">
        <f t="shared" si="11"/>
        <v>#REF!</v>
      </c>
      <c r="M40" s="90" t="e">
        <f>Tree!#REF!</f>
        <v>#REF!</v>
      </c>
      <c r="N40" s="102" t="e">
        <f t="shared" si="10"/>
        <v>#REF!</v>
      </c>
      <c r="O40" s="90" t="s">
        <v>27</v>
      </c>
      <c r="P40" s="90" t="e">
        <f>INDEX(Tree!#REF!,MATCH($O40,Tree!#REF!,0)+MATCH(Tree!#REF!,Tree!#REF!,0)-1)</f>
        <v>#REF!</v>
      </c>
      <c r="Q40" s="104" t="e">
        <f t="shared" si="6"/>
        <v>#REF!</v>
      </c>
      <c r="R40" s="119" t="e">
        <f>Tree!#REF!</f>
        <v>#REF!</v>
      </c>
      <c r="S40" s="102" t="e">
        <f t="shared" si="7"/>
        <v>#REF!</v>
      </c>
      <c r="T40" s="80" t="s">
        <v>32</v>
      </c>
      <c r="U40" s="80" t="e">
        <f>Tree!#REF!</f>
        <v>#REF!</v>
      </c>
      <c r="V40" s="80"/>
      <c r="W40" s="104" t="e">
        <f>S40*U40</f>
        <v>#REF!</v>
      </c>
      <c r="X40" s="119" t="e">
        <f>Tree!#REF!</f>
        <v>#REF!</v>
      </c>
      <c r="Y40" s="102" t="e">
        <f t="shared" si="2"/>
        <v>#REF!</v>
      </c>
      <c r="Z40" s="80" t="s">
        <v>53</v>
      </c>
      <c r="AA40" s="80" t="e">
        <f>Tree!#REF!</f>
        <v>#REF!</v>
      </c>
      <c r="AB40" s="80"/>
      <c r="AC40" s="91" t="e">
        <f t="shared" si="8"/>
        <v>#REF!</v>
      </c>
      <c r="AD40" s="80" t="e">
        <f t="shared" si="9"/>
        <v>#REF!</v>
      </c>
      <c r="AO40" s="116"/>
    </row>
    <row r="41" spans="3:41">
      <c r="C41" s="121" t="e">
        <f>Tree!#REF!</f>
        <v>#REF!</v>
      </c>
      <c r="D41" s="41" t="e">
        <f>Tree!#REF!</f>
        <v>#REF!</v>
      </c>
      <c r="E41" s="122" t="e">
        <f t="shared" si="3"/>
        <v>#REF!</v>
      </c>
      <c r="F41" s="41" t="e">
        <f>Tree!#REF!</f>
        <v>#REF!</v>
      </c>
      <c r="G41" s="122" t="e">
        <f t="shared" si="4"/>
        <v>#REF!</v>
      </c>
      <c r="H41" s="79" t="e">
        <f>INDEX(Tree!#REF!,MATCH($J41,Tree!#REF!,0))</f>
        <v>#REF!</v>
      </c>
      <c r="I41" s="100" t="e">
        <f t="shared" si="5"/>
        <v>#REF!</v>
      </c>
      <c r="J41" s="80" t="s">
        <v>25</v>
      </c>
      <c r="K41" s="90" t="e">
        <f>INDEX(Tree!#REF!,MATCH($J41,Tree!#REF!,0))</f>
        <v>#REF!</v>
      </c>
      <c r="L41" s="104" t="e">
        <f t="shared" si="11"/>
        <v>#REF!</v>
      </c>
      <c r="M41" s="90" t="e">
        <f>Tree!#REF!</f>
        <v>#REF!</v>
      </c>
      <c r="N41" s="102" t="e">
        <f t="shared" si="10"/>
        <v>#REF!</v>
      </c>
      <c r="O41" s="90" t="s">
        <v>27</v>
      </c>
      <c r="P41" s="90" t="e">
        <f>INDEX(Tree!#REF!,MATCH($O41,Tree!#REF!,0)+MATCH(Tree!#REF!,Tree!#REF!,0)-1)</f>
        <v>#REF!</v>
      </c>
      <c r="Q41" s="104" t="e">
        <f t="shared" si="6"/>
        <v>#REF!</v>
      </c>
      <c r="R41" s="119" t="e">
        <f>Tree!#REF!</f>
        <v>#REF!</v>
      </c>
      <c r="S41" s="102" t="e">
        <f t="shared" si="7"/>
        <v>#REF!</v>
      </c>
      <c r="T41" s="80" t="s">
        <v>32</v>
      </c>
      <c r="U41" s="80" t="e">
        <f>Tree!#REF!</f>
        <v>#REF!</v>
      </c>
      <c r="V41" s="80"/>
      <c r="W41" s="104" t="e">
        <f>S41*U41</f>
        <v>#REF!</v>
      </c>
      <c r="X41" s="119" t="e">
        <f>Tree!#REF!</f>
        <v>#REF!</v>
      </c>
      <c r="Y41" s="102" t="e">
        <f t="shared" si="2"/>
        <v>#REF!</v>
      </c>
      <c r="Z41" s="80" t="s">
        <v>116</v>
      </c>
      <c r="AA41" s="80" t="e">
        <f>Tree!#REF!</f>
        <v>#REF!</v>
      </c>
      <c r="AB41" s="80"/>
      <c r="AC41" s="91" t="e">
        <f t="shared" si="8"/>
        <v>#REF!</v>
      </c>
      <c r="AD41" s="80" t="e">
        <f t="shared" si="9"/>
        <v>#REF!</v>
      </c>
      <c r="AO41" s="116"/>
    </row>
    <row r="42" spans="3:41">
      <c r="C42" s="121" t="e">
        <f>Tree!#REF!</f>
        <v>#REF!</v>
      </c>
      <c r="D42" s="41" t="e">
        <f>Tree!#REF!</f>
        <v>#REF!</v>
      </c>
      <c r="E42" s="122" t="e">
        <f t="shared" si="3"/>
        <v>#REF!</v>
      </c>
      <c r="F42" s="41" t="e">
        <f>Tree!#REF!</f>
        <v>#REF!</v>
      </c>
      <c r="G42" s="122" t="e">
        <f t="shared" si="4"/>
        <v>#REF!</v>
      </c>
      <c r="H42" s="79" t="e">
        <f>INDEX(Tree!#REF!,MATCH($J42,Tree!#REF!,0))</f>
        <v>#REF!</v>
      </c>
      <c r="I42" s="100" t="e">
        <f t="shared" si="5"/>
        <v>#REF!</v>
      </c>
      <c r="J42" s="80" t="s">
        <v>25</v>
      </c>
      <c r="K42" s="90" t="e">
        <f>INDEX(Tree!#REF!,MATCH($J42,Tree!#REF!,0))</f>
        <v>#REF!</v>
      </c>
      <c r="L42" s="104" t="e">
        <f t="shared" si="11"/>
        <v>#REF!</v>
      </c>
      <c r="M42" s="90" t="e">
        <f>Tree!#REF!</f>
        <v>#REF!</v>
      </c>
      <c r="N42" s="102" t="e">
        <f t="shared" si="10"/>
        <v>#REF!</v>
      </c>
      <c r="O42" s="90" t="s">
        <v>27</v>
      </c>
      <c r="P42" s="90" t="e">
        <f>INDEX(Tree!#REF!,MATCH($O42,Tree!#REF!,0)+MATCH(Tree!#REF!,Tree!#REF!,0)-1)</f>
        <v>#REF!</v>
      </c>
      <c r="Q42" s="104" t="e">
        <f t="shared" si="6"/>
        <v>#REF!</v>
      </c>
      <c r="R42" s="119" t="e">
        <f>Tree!#REF!</f>
        <v>#REF!</v>
      </c>
      <c r="S42" s="102" t="e">
        <f t="shared" si="7"/>
        <v>#REF!</v>
      </c>
      <c r="T42" s="80" t="s">
        <v>32</v>
      </c>
      <c r="U42" s="80" t="e">
        <f>Tree!#REF!</f>
        <v>#REF!</v>
      </c>
      <c r="V42" s="80"/>
      <c r="W42" s="104" t="e">
        <f>S42*U42</f>
        <v>#REF!</v>
      </c>
      <c r="X42" s="119" t="e">
        <f>Tree!#REF!</f>
        <v>#REF!</v>
      </c>
      <c r="Y42" s="102" t="e">
        <f t="shared" si="2"/>
        <v>#REF!</v>
      </c>
      <c r="Z42" s="80" t="s">
        <v>51</v>
      </c>
      <c r="AA42" s="80"/>
      <c r="AB42" s="80" t="e">
        <f>Tree!#REF!</f>
        <v>#REF!</v>
      </c>
      <c r="AC42" s="91" t="e">
        <f t="shared" si="8"/>
        <v>#REF!</v>
      </c>
      <c r="AD42" s="80" t="e">
        <f t="shared" si="9"/>
        <v>#REF!</v>
      </c>
      <c r="AO42" s="116"/>
    </row>
    <row r="43" spans="3:41">
      <c r="C43" s="121" t="e">
        <f>Tree!#REF!</f>
        <v>#REF!</v>
      </c>
      <c r="D43" s="41" t="e">
        <f>Tree!#REF!</f>
        <v>#REF!</v>
      </c>
      <c r="E43" s="122" t="e">
        <f t="shared" si="3"/>
        <v>#REF!</v>
      </c>
      <c r="F43" s="41" t="e">
        <f>Tree!#REF!</f>
        <v>#REF!</v>
      </c>
      <c r="G43" s="122" t="e">
        <f t="shared" si="4"/>
        <v>#REF!</v>
      </c>
      <c r="H43" s="79" t="e">
        <f>INDEX(Tree!#REF!,MATCH($J43,Tree!#REF!,0))</f>
        <v>#REF!</v>
      </c>
      <c r="I43" s="100" t="e">
        <f t="shared" si="5"/>
        <v>#REF!</v>
      </c>
      <c r="J43" s="80" t="s">
        <v>25</v>
      </c>
      <c r="K43" s="90" t="e">
        <f>INDEX(Tree!#REF!,MATCH($J43,Tree!#REF!,0))</f>
        <v>#REF!</v>
      </c>
      <c r="L43" s="104" t="e">
        <f t="shared" si="11"/>
        <v>#REF!</v>
      </c>
      <c r="M43" s="90" t="e">
        <f>Tree!#REF!</f>
        <v>#REF!</v>
      </c>
      <c r="N43" s="102" t="e">
        <f t="shared" si="10"/>
        <v>#REF!</v>
      </c>
      <c r="O43" s="90" t="s">
        <v>27</v>
      </c>
      <c r="P43" s="90" t="e">
        <f>INDEX(Tree!#REF!,MATCH($O43,Tree!#REF!,0)+MATCH(Tree!#REF!,Tree!#REF!,0)-1)</f>
        <v>#REF!</v>
      </c>
      <c r="Q43" s="104" t="e">
        <f t="shared" si="6"/>
        <v>#REF!</v>
      </c>
      <c r="R43" s="119" t="e">
        <f>Tree!#REF!</f>
        <v>#REF!</v>
      </c>
      <c r="S43" s="102" t="e">
        <f t="shared" si="7"/>
        <v>#REF!</v>
      </c>
      <c r="T43" s="80" t="s">
        <v>32</v>
      </c>
      <c r="U43" s="80" t="e">
        <f>Tree!#REF!</f>
        <v>#REF!</v>
      </c>
      <c r="V43" s="80"/>
      <c r="W43" s="104" t="e">
        <f>S43*U43</f>
        <v>#REF!</v>
      </c>
      <c r="X43" s="119" t="e">
        <f>Tree!#REF!</f>
        <v>#REF!</v>
      </c>
      <c r="Y43" s="102" t="e">
        <f t="shared" si="2"/>
        <v>#REF!</v>
      </c>
      <c r="Z43" s="80" t="s">
        <v>52</v>
      </c>
      <c r="AA43" s="80"/>
      <c r="AB43" s="80" t="e">
        <f>Tree!#REF!</f>
        <v>#REF!</v>
      </c>
      <c r="AC43" s="91" t="e">
        <f t="shared" si="8"/>
        <v>#REF!</v>
      </c>
      <c r="AD43" s="80" t="e">
        <f t="shared" si="9"/>
        <v>#REF!</v>
      </c>
      <c r="AO43" s="116"/>
    </row>
    <row r="44" spans="3:41">
      <c r="C44" s="121" t="e">
        <f>Tree!#REF!</f>
        <v>#REF!</v>
      </c>
      <c r="D44" s="41" t="e">
        <f>Tree!#REF!</f>
        <v>#REF!</v>
      </c>
      <c r="E44" s="122" t="e">
        <f t="shared" si="3"/>
        <v>#REF!</v>
      </c>
      <c r="F44" s="41" t="e">
        <f>Tree!#REF!</f>
        <v>#REF!</v>
      </c>
      <c r="G44" s="122" t="e">
        <f t="shared" si="4"/>
        <v>#REF!</v>
      </c>
      <c r="H44" s="79" t="e">
        <f>INDEX(Tree!#REF!,MATCH($J44,Tree!#REF!,0))</f>
        <v>#REF!</v>
      </c>
      <c r="I44" s="100" t="e">
        <f t="shared" si="5"/>
        <v>#REF!</v>
      </c>
      <c r="J44" s="80" t="s">
        <v>25</v>
      </c>
      <c r="K44" s="90" t="e">
        <f>INDEX(Tree!#REF!,MATCH($J44,Tree!#REF!,0))</f>
        <v>#REF!</v>
      </c>
      <c r="L44" s="104" t="e">
        <f t="shared" si="11"/>
        <v>#REF!</v>
      </c>
      <c r="M44" s="90" t="e">
        <f>Tree!#REF!</f>
        <v>#REF!</v>
      </c>
      <c r="N44" s="102" t="e">
        <f t="shared" si="10"/>
        <v>#REF!</v>
      </c>
      <c r="O44" s="90" t="s">
        <v>29</v>
      </c>
      <c r="P44" s="90" t="e">
        <f>INDEX(Tree!#REF!,MATCH($O44,Tree!#REF!,0)+MATCH(Tree!#REF!,Tree!#REF!,0)-1)</f>
        <v>#REF!</v>
      </c>
      <c r="Q44" s="104" t="e">
        <f t="shared" si="6"/>
        <v>#REF!</v>
      </c>
      <c r="R44" s="119" t="e">
        <f>Tree!#REF!</f>
        <v>#REF!</v>
      </c>
      <c r="S44" s="102" t="e">
        <f t="shared" si="7"/>
        <v>#REF!</v>
      </c>
      <c r="T44" s="80" t="s">
        <v>31</v>
      </c>
      <c r="U44" s="80"/>
      <c r="V44" s="80" t="e">
        <f>Tree!#REF!</f>
        <v>#REF!</v>
      </c>
      <c r="W44" s="104"/>
      <c r="X44" s="119"/>
      <c r="Y44" s="102">
        <f t="shared" si="2"/>
        <v>0</v>
      </c>
      <c r="Z44" s="80"/>
      <c r="AA44" s="80"/>
      <c r="AB44" s="80"/>
      <c r="AC44" s="91" t="e">
        <f t="shared" si="8"/>
        <v>#REF!</v>
      </c>
      <c r="AD44" s="80">
        <f t="shared" si="9"/>
        <v>0</v>
      </c>
      <c r="AO44" s="116"/>
    </row>
    <row r="45" spans="3:41">
      <c r="C45" s="121" t="e">
        <f>Tree!#REF!</f>
        <v>#REF!</v>
      </c>
      <c r="D45" s="41" t="e">
        <f>Tree!#REF!</f>
        <v>#REF!</v>
      </c>
      <c r="E45" s="122" t="e">
        <f t="shared" si="3"/>
        <v>#REF!</v>
      </c>
      <c r="F45" s="41" t="e">
        <f>Tree!#REF!</f>
        <v>#REF!</v>
      </c>
      <c r="G45" s="122" t="e">
        <f t="shared" si="4"/>
        <v>#REF!</v>
      </c>
      <c r="H45" s="79" t="e">
        <f>INDEX(Tree!#REF!,MATCH($J45,Tree!#REF!,0))</f>
        <v>#REF!</v>
      </c>
      <c r="I45" s="100" t="e">
        <f t="shared" si="5"/>
        <v>#REF!</v>
      </c>
      <c r="J45" s="80" t="s">
        <v>25</v>
      </c>
      <c r="K45" s="90" t="e">
        <f>INDEX(Tree!#REF!,MATCH($J45,Tree!#REF!,0))</f>
        <v>#REF!</v>
      </c>
      <c r="L45" s="104" t="e">
        <f t="shared" si="11"/>
        <v>#REF!</v>
      </c>
      <c r="M45" s="90" t="e">
        <f>Tree!#REF!</f>
        <v>#REF!</v>
      </c>
      <c r="N45" s="102" t="e">
        <f t="shared" si="10"/>
        <v>#REF!</v>
      </c>
      <c r="O45" s="90" t="s">
        <v>29</v>
      </c>
      <c r="P45" s="90" t="e">
        <f>INDEX(Tree!#REF!,MATCH($O45,Tree!#REF!,0)+MATCH(Tree!#REF!,Tree!#REF!,0)-1)</f>
        <v>#REF!</v>
      </c>
      <c r="Q45" s="104" t="e">
        <f t="shared" si="6"/>
        <v>#REF!</v>
      </c>
      <c r="R45" s="119" t="e">
        <f>Tree!#REF!</f>
        <v>#REF!</v>
      </c>
      <c r="S45" s="102" t="e">
        <f t="shared" si="7"/>
        <v>#REF!</v>
      </c>
      <c r="T45" s="80" t="s">
        <v>32</v>
      </c>
      <c r="U45" s="80" t="e">
        <f>Tree!#REF!</f>
        <v>#REF!</v>
      </c>
      <c r="V45" s="80"/>
      <c r="W45" s="104" t="e">
        <f>S45*U45</f>
        <v>#REF!</v>
      </c>
      <c r="X45" s="119" t="e">
        <f>Tree!#REF!</f>
        <v>#REF!</v>
      </c>
      <c r="Y45" s="102" t="e">
        <f t="shared" si="2"/>
        <v>#REF!</v>
      </c>
      <c r="Z45" s="80" t="s">
        <v>53</v>
      </c>
      <c r="AA45" s="80" t="e">
        <f>Tree!#REF!</f>
        <v>#REF!</v>
      </c>
      <c r="AB45" s="80"/>
      <c r="AC45" s="91" t="e">
        <f t="shared" si="8"/>
        <v>#REF!</v>
      </c>
      <c r="AD45" s="80" t="e">
        <f t="shared" si="9"/>
        <v>#REF!</v>
      </c>
      <c r="AO45" s="116"/>
    </row>
    <row r="46" spans="3:41">
      <c r="C46" s="121" t="e">
        <f>Tree!#REF!</f>
        <v>#REF!</v>
      </c>
      <c r="D46" s="41" t="e">
        <f>Tree!#REF!</f>
        <v>#REF!</v>
      </c>
      <c r="E46" s="122" t="e">
        <f t="shared" si="3"/>
        <v>#REF!</v>
      </c>
      <c r="F46" s="41" t="e">
        <f>Tree!#REF!</f>
        <v>#REF!</v>
      </c>
      <c r="G46" s="122" t="e">
        <f t="shared" si="4"/>
        <v>#REF!</v>
      </c>
      <c r="H46" s="79" t="e">
        <f>INDEX(Tree!#REF!,MATCH($J46,Tree!#REF!,0))</f>
        <v>#REF!</v>
      </c>
      <c r="I46" s="100" t="e">
        <f t="shared" si="5"/>
        <v>#REF!</v>
      </c>
      <c r="J46" s="80" t="s">
        <v>25</v>
      </c>
      <c r="K46" s="90" t="e">
        <f>INDEX(Tree!#REF!,MATCH($J46,Tree!#REF!,0))</f>
        <v>#REF!</v>
      </c>
      <c r="L46" s="104" t="e">
        <f t="shared" si="11"/>
        <v>#REF!</v>
      </c>
      <c r="M46" s="90" t="e">
        <f>Tree!#REF!</f>
        <v>#REF!</v>
      </c>
      <c r="N46" s="102" t="e">
        <f t="shared" si="10"/>
        <v>#REF!</v>
      </c>
      <c r="O46" s="90" t="s">
        <v>29</v>
      </c>
      <c r="P46" s="90" t="e">
        <f>INDEX(Tree!#REF!,MATCH($O46,Tree!#REF!,0)+MATCH(Tree!#REF!,Tree!#REF!,0)-1)</f>
        <v>#REF!</v>
      </c>
      <c r="Q46" s="104" t="e">
        <f t="shared" si="6"/>
        <v>#REF!</v>
      </c>
      <c r="R46" s="119" t="e">
        <f>Tree!#REF!</f>
        <v>#REF!</v>
      </c>
      <c r="S46" s="102" t="e">
        <f t="shared" si="7"/>
        <v>#REF!</v>
      </c>
      <c r="T46" s="80" t="s">
        <v>32</v>
      </c>
      <c r="U46" s="80" t="e">
        <f>Tree!#REF!</f>
        <v>#REF!</v>
      </c>
      <c r="V46" s="80"/>
      <c r="W46" s="104" t="e">
        <f>S46*U46</f>
        <v>#REF!</v>
      </c>
      <c r="X46" s="119" t="e">
        <f>Tree!#REF!</f>
        <v>#REF!</v>
      </c>
      <c r="Y46" s="102" t="e">
        <f t="shared" si="2"/>
        <v>#REF!</v>
      </c>
      <c r="Z46" s="80" t="s">
        <v>116</v>
      </c>
      <c r="AA46" s="80" t="e">
        <f>Tree!#REF!</f>
        <v>#REF!</v>
      </c>
      <c r="AB46" s="80"/>
      <c r="AC46" s="91" t="e">
        <f t="shared" si="8"/>
        <v>#REF!</v>
      </c>
      <c r="AD46" s="80" t="e">
        <f t="shared" si="9"/>
        <v>#REF!</v>
      </c>
      <c r="AO46" s="116"/>
    </row>
    <row r="47" spans="3:41">
      <c r="C47" s="121" t="e">
        <f>Tree!#REF!</f>
        <v>#REF!</v>
      </c>
      <c r="D47" s="41" t="e">
        <f>Tree!#REF!</f>
        <v>#REF!</v>
      </c>
      <c r="E47" s="122" t="e">
        <f t="shared" si="3"/>
        <v>#REF!</v>
      </c>
      <c r="F47" s="41" t="e">
        <f>Tree!#REF!</f>
        <v>#REF!</v>
      </c>
      <c r="G47" s="122" t="e">
        <f t="shared" si="4"/>
        <v>#REF!</v>
      </c>
      <c r="H47" s="79" t="e">
        <f>INDEX(Tree!#REF!,MATCH($J47,Tree!#REF!,0))</f>
        <v>#REF!</v>
      </c>
      <c r="I47" s="100" t="e">
        <f t="shared" si="5"/>
        <v>#REF!</v>
      </c>
      <c r="J47" s="80" t="s">
        <v>25</v>
      </c>
      <c r="K47" s="90" t="e">
        <f>INDEX(Tree!#REF!,MATCH($J47,Tree!#REF!,0))</f>
        <v>#REF!</v>
      </c>
      <c r="L47" s="104" t="e">
        <f t="shared" si="11"/>
        <v>#REF!</v>
      </c>
      <c r="M47" s="90" t="e">
        <f>Tree!#REF!</f>
        <v>#REF!</v>
      </c>
      <c r="N47" s="102" t="e">
        <f t="shared" si="10"/>
        <v>#REF!</v>
      </c>
      <c r="O47" s="90" t="s">
        <v>29</v>
      </c>
      <c r="P47" s="90" t="e">
        <f>INDEX(Tree!#REF!,MATCH($O47,Tree!#REF!,0)+MATCH(Tree!#REF!,Tree!#REF!,0)-1)</f>
        <v>#REF!</v>
      </c>
      <c r="Q47" s="104" t="e">
        <f t="shared" si="6"/>
        <v>#REF!</v>
      </c>
      <c r="R47" s="119" t="e">
        <f>Tree!#REF!</f>
        <v>#REF!</v>
      </c>
      <c r="S47" s="102" t="e">
        <f t="shared" si="7"/>
        <v>#REF!</v>
      </c>
      <c r="T47" s="80" t="s">
        <v>32</v>
      </c>
      <c r="U47" s="80" t="e">
        <f>Tree!#REF!</f>
        <v>#REF!</v>
      </c>
      <c r="V47" s="80"/>
      <c r="W47" s="104" t="e">
        <f>S47*U47</f>
        <v>#REF!</v>
      </c>
      <c r="X47" s="119" t="e">
        <f>Tree!#REF!</f>
        <v>#REF!</v>
      </c>
      <c r="Y47" s="102" t="e">
        <f t="shared" si="2"/>
        <v>#REF!</v>
      </c>
      <c r="Z47" s="80" t="s">
        <v>51</v>
      </c>
      <c r="AA47" s="80"/>
      <c r="AB47" s="80" t="e">
        <f>Tree!#REF!</f>
        <v>#REF!</v>
      </c>
      <c r="AC47" s="91" t="e">
        <f t="shared" si="8"/>
        <v>#REF!</v>
      </c>
      <c r="AD47" s="80" t="e">
        <f t="shared" si="9"/>
        <v>#REF!</v>
      </c>
      <c r="AO47" s="116"/>
    </row>
    <row r="48" spans="3:41">
      <c r="C48" s="121" t="e">
        <f>Tree!#REF!</f>
        <v>#REF!</v>
      </c>
      <c r="D48" s="41" t="e">
        <f>Tree!#REF!</f>
        <v>#REF!</v>
      </c>
      <c r="E48" s="122" t="e">
        <f t="shared" si="3"/>
        <v>#REF!</v>
      </c>
      <c r="F48" s="41" t="e">
        <f>Tree!#REF!</f>
        <v>#REF!</v>
      </c>
      <c r="G48" s="122" t="e">
        <f t="shared" si="4"/>
        <v>#REF!</v>
      </c>
      <c r="H48" s="79" t="e">
        <f>INDEX(Tree!#REF!,MATCH($J48,Tree!#REF!,0))</f>
        <v>#REF!</v>
      </c>
      <c r="I48" s="100" t="e">
        <f t="shared" si="5"/>
        <v>#REF!</v>
      </c>
      <c r="J48" s="80" t="s">
        <v>25</v>
      </c>
      <c r="K48" s="90" t="e">
        <f>INDEX(Tree!#REF!,MATCH($J48,Tree!#REF!,0))</f>
        <v>#REF!</v>
      </c>
      <c r="L48" s="104" t="e">
        <f t="shared" si="11"/>
        <v>#REF!</v>
      </c>
      <c r="M48" s="90" t="e">
        <f>Tree!#REF!</f>
        <v>#REF!</v>
      </c>
      <c r="N48" s="102" t="e">
        <f t="shared" si="10"/>
        <v>#REF!</v>
      </c>
      <c r="O48" s="90" t="s">
        <v>29</v>
      </c>
      <c r="P48" s="90" t="e">
        <f>INDEX(Tree!#REF!,MATCH($O48,Tree!#REF!,0)+MATCH(Tree!#REF!,Tree!#REF!,0)-1)</f>
        <v>#REF!</v>
      </c>
      <c r="Q48" s="104" t="e">
        <f t="shared" si="6"/>
        <v>#REF!</v>
      </c>
      <c r="R48" s="119" t="e">
        <f>Tree!#REF!</f>
        <v>#REF!</v>
      </c>
      <c r="S48" s="102" t="e">
        <f t="shared" si="7"/>
        <v>#REF!</v>
      </c>
      <c r="T48" s="80" t="s">
        <v>32</v>
      </c>
      <c r="U48" s="80" t="e">
        <f>Tree!#REF!</f>
        <v>#REF!</v>
      </c>
      <c r="V48" s="80"/>
      <c r="W48" s="104" t="e">
        <f>S48*U48</f>
        <v>#REF!</v>
      </c>
      <c r="X48" s="119" t="e">
        <f>Tree!#REF!</f>
        <v>#REF!</v>
      </c>
      <c r="Y48" s="102" t="e">
        <f t="shared" si="2"/>
        <v>#REF!</v>
      </c>
      <c r="Z48" s="80" t="s">
        <v>52</v>
      </c>
      <c r="AA48" s="80"/>
      <c r="AB48" s="80" t="e">
        <f>Tree!#REF!</f>
        <v>#REF!</v>
      </c>
      <c r="AC48" s="91" t="e">
        <f t="shared" si="8"/>
        <v>#REF!</v>
      </c>
      <c r="AD48" s="80" t="e">
        <f t="shared" si="9"/>
        <v>#REF!</v>
      </c>
    </row>
    <row r="49" spans="3:41">
      <c r="C49" s="121" t="e">
        <f>Tree!#REF!</f>
        <v>#REF!</v>
      </c>
      <c r="D49" s="41" t="e">
        <f>Tree!#REF!</f>
        <v>#REF!</v>
      </c>
      <c r="E49" s="122" t="e">
        <f t="shared" si="3"/>
        <v>#REF!</v>
      </c>
      <c r="F49" s="41" t="e">
        <f>Tree!#REF!</f>
        <v>#REF!</v>
      </c>
      <c r="G49" s="122" t="e">
        <f t="shared" si="4"/>
        <v>#REF!</v>
      </c>
      <c r="H49" s="79" t="e">
        <f>INDEX(Tree!#REF!,MATCH($J49,Tree!#REF!,0))</f>
        <v>#REF!</v>
      </c>
      <c r="I49" s="100" t="e">
        <f t="shared" si="5"/>
        <v>#REF!</v>
      </c>
      <c r="J49" s="80" t="s">
        <v>25</v>
      </c>
      <c r="K49" s="90" t="e">
        <f>INDEX(Tree!#REF!,MATCH($J49,Tree!#REF!,0))</f>
        <v>#REF!</v>
      </c>
      <c r="L49" s="104" t="e">
        <f t="shared" si="11"/>
        <v>#REF!</v>
      </c>
      <c r="M49" s="90" t="e">
        <f>Tree!#REF!</f>
        <v>#REF!</v>
      </c>
      <c r="N49" s="102" t="e">
        <f t="shared" si="10"/>
        <v>#REF!</v>
      </c>
      <c r="O49" s="90" t="s">
        <v>28</v>
      </c>
      <c r="P49" s="90" t="e">
        <f>INDEX(Tree!#REF!,MATCH($O49,Tree!#REF!,0)+MATCH(Tree!#REF!,Tree!#REF!,0)-1)</f>
        <v>#REF!</v>
      </c>
      <c r="Q49" s="104" t="e">
        <f t="shared" si="6"/>
        <v>#REF!</v>
      </c>
      <c r="R49" s="119" t="e">
        <f>Tree!#REF!</f>
        <v>#REF!</v>
      </c>
      <c r="S49" s="102" t="e">
        <f t="shared" si="7"/>
        <v>#REF!</v>
      </c>
      <c r="T49" s="80" t="s">
        <v>31</v>
      </c>
      <c r="U49" s="80"/>
      <c r="V49" s="80" t="e">
        <f>Tree!#REF!</f>
        <v>#REF!</v>
      </c>
      <c r="W49" s="104"/>
      <c r="X49" s="119"/>
      <c r="Y49" s="102">
        <f t="shared" si="2"/>
        <v>0</v>
      </c>
      <c r="Z49" s="80"/>
      <c r="AA49" s="80"/>
      <c r="AB49" s="80"/>
      <c r="AC49" s="91" t="e">
        <f t="shared" si="8"/>
        <v>#REF!</v>
      </c>
      <c r="AD49" s="80">
        <f t="shared" si="9"/>
        <v>0</v>
      </c>
      <c r="AO49" s="116"/>
    </row>
    <row r="50" spans="3:41">
      <c r="C50" s="121" t="e">
        <f>Tree!#REF!</f>
        <v>#REF!</v>
      </c>
      <c r="D50" s="41" t="e">
        <f>Tree!#REF!</f>
        <v>#REF!</v>
      </c>
      <c r="E50" s="122" t="e">
        <f t="shared" si="3"/>
        <v>#REF!</v>
      </c>
      <c r="F50" s="41" t="e">
        <f>Tree!#REF!</f>
        <v>#REF!</v>
      </c>
      <c r="G50" s="122" t="e">
        <f t="shared" si="4"/>
        <v>#REF!</v>
      </c>
      <c r="H50" s="79" t="e">
        <f>INDEX(Tree!#REF!,MATCH($J50,Tree!#REF!,0))</f>
        <v>#REF!</v>
      </c>
      <c r="I50" s="100" t="e">
        <f t="shared" si="5"/>
        <v>#REF!</v>
      </c>
      <c r="J50" s="80" t="s">
        <v>25</v>
      </c>
      <c r="K50" s="90" t="e">
        <f>INDEX(Tree!#REF!,MATCH($J50,Tree!#REF!,0))</f>
        <v>#REF!</v>
      </c>
      <c r="L50" s="104" t="e">
        <f t="shared" si="11"/>
        <v>#REF!</v>
      </c>
      <c r="M50" s="90" t="e">
        <f>Tree!#REF!</f>
        <v>#REF!</v>
      </c>
      <c r="N50" s="102" t="e">
        <f t="shared" si="10"/>
        <v>#REF!</v>
      </c>
      <c r="O50" s="90" t="s">
        <v>28</v>
      </c>
      <c r="P50" s="90" t="e">
        <f>INDEX(Tree!#REF!,MATCH($O50,Tree!#REF!,0)+MATCH(Tree!#REF!,Tree!#REF!,0)-1)</f>
        <v>#REF!</v>
      </c>
      <c r="Q50" s="104" t="e">
        <f t="shared" si="6"/>
        <v>#REF!</v>
      </c>
      <c r="R50" s="119" t="e">
        <f>Tree!#REF!</f>
        <v>#REF!</v>
      </c>
      <c r="S50" s="102" t="e">
        <f t="shared" si="7"/>
        <v>#REF!</v>
      </c>
      <c r="T50" s="80" t="s">
        <v>32</v>
      </c>
      <c r="U50" s="80" t="e">
        <f>Tree!#REF!</f>
        <v>#REF!</v>
      </c>
      <c r="V50" s="80"/>
      <c r="W50" s="104" t="e">
        <f>S50*U50</f>
        <v>#REF!</v>
      </c>
      <c r="X50" s="119" t="e">
        <f>Tree!#REF!</f>
        <v>#REF!</v>
      </c>
      <c r="Y50" s="102" t="e">
        <f t="shared" si="2"/>
        <v>#REF!</v>
      </c>
      <c r="Z50" s="80" t="s">
        <v>53</v>
      </c>
      <c r="AA50" s="80" t="e">
        <f>Tree!#REF!</f>
        <v>#REF!</v>
      </c>
      <c r="AB50" s="80"/>
      <c r="AC50" s="91" t="e">
        <f t="shared" si="8"/>
        <v>#REF!</v>
      </c>
      <c r="AD50" s="80" t="e">
        <f t="shared" si="9"/>
        <v>#REF!</v>
      </c>
      <c r="AO50" s="116"/>
    </row>
    <row r="51" spans="3:41">
      <c r="C51" s="121" t="e">
        <f>Tree!#REF!</f>
        <v>#REF!</v>
      </c>
      <c r="D51" s="41" t="e">
        <f>Tree!#REF!</f>
        <v>#REF!</v>
      </c>
      <c r="E51" s="122" t="e">
        <f t="shared" si="3"/>
        <v>#REF!</v>
      </c>
      <c r="F51" s="41" t="e">
        <f>Tree!#REF!</f>
        <v>#REF!</v>
      </c>
      <c r="G51" s="122" t="e">
        <f t="shared" si="4"/>
        <v>#REF!</v>
      </c>
      <c r="H51" s="79" t="e">
        <f>INDEX(Tree!#REF!,MATCH($J51,Tree!#REF!,0))</f>
        <v>#REF!</v>
      </c>
      <c r="I51" s="100" t="e">
        <f t="shared" si="5"/>
        <v>#REF!</v>
      </c>
      <c r="J51" s="80" t="s">
        <v>25</v>
      </c>
      <c r="K51" s="90" t="e">
        <f>INDEX(Tree!#REF!,MATCH($J51,Tree!#REF!,0))</f>
        <v>#REF!</v>
      </c>
      <c r="L51" s="104" t="e">
        <f t="shared" si="11"/>
        <v>#REF!</v>
      </c>
      <c r="M51" s="90" t="e">
        <f>Tree!#REF!</f>
        <v>#REF!</v>
      </c>
      <c r="N51" s="102" t="e">
        <f t="shared" si="10"/>
        <v>#REF!</v>
      </c>
      <c r="O51" s="90" t="s">
        <v>28</v>
      </c>
      <c r="P51" s="90" t="e">
        <f>INDEX(Tree!#REF!,MATCH($O51,Tree!#REF!,0)+MATCH(Tree!#REF!,Tree!#REF!,0)-1)</f>
        <v>#REF!</v>
      </c>
      <c r="Q51" s="104" t="e">
        <f t="shared" si="6"/>
        <v>#REF!</v>
      </c>
      <c r="R51" s="119" t="e">
        <f>Tree!#REF!</f>
        <v>#REF!</v>
      </c>
      <c r="S51" s="102" t="e">
        <f t="shared" si="7"/>
        <v>#REF!</v>
      </c>
      <c r="T51" s="80" t="s">
        <v>32</v>
      </c>
      <c r="U51" s="80" t="e">
        <f>Tree!#REF!</f>
        <v>#REF!</v>
      </c>
      <c r="V51" s="80"/>
      <c r="W51" s="104" t="e">
        <f>S51*U51</f>
        <v>#REF!</v>
      </c>
      <c r="X51" s="119" t="e">
        <f>Tree!#REF!</f>
        <v>#REF!</v>
      </c>
      <c r="Y51" s="102" t="e">
        <f t="shared" si="2"/>
        <v>#REF!</v>
      </c>
      <c r="Z51" s="80" t="s">
        <v>116</v>
      </c>
      <c r="AA51" s="80" t="e">
        <f>Tree!#REF!</f>
        <v>#REF!</v>
      </c>
      <c r="AB51" s="80"/>
      <c r="AC51" s="91" t="e">
        <f t="shared" si="8"/>
        <v>#REF!</v>
      </c>
      <c r="AD51" s="80" t="e">
        <f t="shared" si="9"/>
        <v>#REF!</v>
      </c>
      <c r="AO51" s="116"/>
    </row>
    <row r="52" spans="3:41">
      <c r="C52" s="121" t="e">
        <f>Tree!#REF!</f>
        <v>#REF!</v>
      </c>
      <c r="D52" s="41" t="e">
        <f>Tree!#REF!</f>
        <v>#REF!</v>
      </c>
      <c r="E52" s="122" t="e">
        <f t="shared" si="3"/>
        <v>#REF!</v>
      </c>
      <c r="F52" s="41" t="e">
        <f>Tree!#REF!</f>
        <v>#REF!</v>
      </c>
      <c r="G52" s="122" t="e">
        <f t="shared" si="4"/>
        <v>#REF!</v>
      </c>
      <c r="H52" s="79" t="e">
        <f>INDEX(Tree!#REF!,MATCH($J52,Tree!#REF!,0))</f>
        <v>#REF!</v>
      </c>
      <c r="I52" s="100" t="e">
        <f t="shared" si="5"/>
        <v>#REF!</v>
      </c>
      <c r="J52" s="80" t="s">
        <v>25</v>
      </c>
      <c r="K52" s="90" t="e">
        <f>INDEX(Tree!#REF!,MATCH($J52,Tree!#REF!,0))</f>
        <v>#REF!</v>
      </c>
      <c r="L52" s="104" t="e">
        <f t="shared" si="11"/>
        <v>#REF!</v>
      </c>
      <c r="M52" s="90" t="e">
        <f>Tree!#REF!</f>
        <v>#REF!</v>
      </c>
      <c r="N52" s="102" t="e">
        <f t="shared" si="10"/>
        <v>#REF!</v>
      </c>
      <c r="O52" s="90" t="s">
        <v>28</v>
      </c>
      <c r="P52" s="90" t="e">
        <f>INDEX(Tree!#REF!,MATCH($O52,Tree!#REF!,0)+MATCH(Tree!#REF!,Tree!#REF!,0)-1)</f>
        <v>#REF!</v>
      </c>
      <c r="Q52" s="104" t="e">
        <f t="shared" si="6"/>
        <v>#REF!</v>
      </c>
      <c r="R52" s="119" t="e">
        <f>Tree!#REF!</f>
        <v>#REF!</v>
      </c>
      <c r="S52" s="102" t="e">
        <f t="shared" si="7"/>
        <v>#REF!</v>
      </c>
      <c r="T52" s="80" t="s">
        <v>32</v>
      </c>
      <c r="U52" s="80" t="e">
        <f>Tree!#REF!</f>
        <v>#REF!</v>
      </c>
      <c r="V52" s="80"/>
      <c r="W52" s="104" t="e">
        <f>S52*U52</f>
        <v>#REF!</v>
      </c>
      <c r="X52" s="119" t="e">
        <f>Tree!#REF!</f>
        <v>#REF!</v>
      </c>
      <c r="Y52" s="102" t="e">
        <f t="shared" si="2"/>
        <v>#REF!</v>
      </c>
      <c r="Z52" s="80" t="s">
        <v>51</v>
      </c>
      <c r="AA52" s="80"/>
      <c r="AB52" s="80" t="e">
        <f>Tree!#REF!</f>
        <v>#REF!</v>
      </c>
      <c r="AC52" s="91" t="e">
        <f t="shared" si="8"/>
        <v>#REF!</v>
      </c>
      <c r="AD52" s="80" t="e">
        <f t="shared" si="9"/>
        <v>#REF!</v>
      </c>
      <c r="AO52" s="116"/>
    </row>
    <row r="53" spans="3:41">
      <c r="C53" s="121" t="e">
        <f>Tree!#REF!</f>
        <v>#REF!</v>
      </c>
      <c r="D53" s="41" t="e">
        <f>Tree!#REF!</f>
        <v>#REF!</v>
      </c>
      <c r="E53" s="122" t="e">
        <f t="shared" si="3"/>
        <v>#REF!</v>
      </c>
      <c r="F53" s="41" t="e">
        <f>Tree!#REF!</f>
        <v>#REF!</v>
      </c>
      <c r="G53" s="122" t="e">
        <f t="shared" si="4"/>
        <v>#REF!</v>
      </c>
      <c r="H53" s="79" t="e">
        <f>INDEX(Tree!#REF!,MATCH($J53,Tree!#REF!,0))</f>
        <v>#REF!</v>
      </c>
      <c r="I53" s="100" t="e">
        <f t="shared" si="5"/>
        <v>#REF!</v>
      </c>
      <c r="J53" s="80" t="s">
        <v>25</v>
      </c>
      <c r="K53" s="90" t="e">
        <f>INDEX(Tree!#REF!,MATCH($J53,Tree!#REF!,0))</f>
        <v>#REF!</v>
      </c>
      <c r="L53" s="104" t="e">
        <f t="shared" si="11"/>
        <v>#REF!</v>
      </c>
      <c r="M53" s="90" t="e">
        <f>Tree!#REF!</f>
        <v>#REF!</v>
      </c>
      <c r="N53" s="102" t="e">
        <f t="shared" si="10"/>
        <v>#REF!</v>
      </c>
      <c r="O53" s="90" t="s">
        <v>28</v>
      </c>
      <c r="P53" s="90" t="e">
        <f>INDEX(Tree!#REF!,MATCH($O53,Tree!#REF!,0)+MATCH(Tree!#REF!,Tree!#REF!,0)-1)</f>
        <v>#REF!</v>
      </c>
      <c r="Q53" s="104" t="e">
        <f t="shared" si="6"/>
        <v>#REF!</v>
      </c>
      <c r="R53" s="119" t="e">
        <f>Tree!#REF!</f>
        <v>#REF!</v>
      </c>
      <c r="S53" s="102" t="e">
        <f t="shared" si="7"/>
        <v>#REF!</v>
      </c>
      <c r="T53" s="80" t="s">
        <v>32</v>
      </c>
      <c r="U53" s="80" t="e">
        <f>Tree!#REF!</f>
        <v>#REF!</v>
      </c>
      <c r="V53" s="80"/>
      <c r="W53" s="104" t="e">
        <f>S53*U53</f>
        <v>#REF!</v>
      </c>
      <c r="X53" s="119" t="e">
        <f>Tree!#REF!</f>
        <v>#REF!</v>
      </c>
      <c r="Y53" s="102" t="e">
        <f t="shared" si="2"/>
        <v>#REF!</v>
      </c>
      <c r="Z53" s="80" t="s">
        <v>52</v>
      </c>
      <c r="AA53" s="80"/>
      <c r="AB53" s="80" t="e">
        <f>Tree!#REF!</f>
        <v>#REF!</v>
      </c>
      <c r="AC53" s="91" t="e">
        <f t="shared" si="8"/>
        <v>#REF!</v>
      </c>
      <c r="AD53" s="80" t="e">
        <f t="shared" si="9"/>
        <v>#REF!</v>
      </c>
      <c r="AO53" s="116"/>
    </row>
    <row r="54" spans="3:41">
      <c r="C54" s="121" t="e">
        <f>Tree!#REF!</f>
        <v>#REF!</v>
      </c>
      <c r="D54" s="41" t="e">
        <f>Tree!#REF!</f>
        <v>#REF!</v>
      </c>
      <c r="E54" s="122" t="e">
        <f t="shared" si="3"/>
        <v>#REF!</v>
      </c>
      <c r="F54" s="41" t="e">
        <f>Tree!#REF!</f>
        <v>#REF!</v>
      </c>
      <c r="G54" s="122" t="e">
        <f t="shared" si="4"/>
        <v>#REF!</v>
      </c>
      <c r="H54" s="79" t="e">
        <f>INDEX(Tree!#REF!,MATCH($J54,Tree!#REF!,0))</f>
        <v>#REF!</v>
      </c>
      <c r="I54" s="100" t="e">
        <f t="shared" si="5"/>
        <v>#REF!</v>
      </c>
      <c r="J54" s="80" t="s">
        <v>23</v>
      </c>
      <c r="K54" s="90" t="e">
        <f>INDEX(Tree!#REF!,MATCH($J54,Tree!#REF!,0))</f>
        <v>#REF!</v>
      </c>
      <c r="L54" s="104" t="e">
        <f t="shared" si="11"/>
        <v>#REF!</v>
      </c>
      <c r="M54" s="90" t="e">
        <f>Tree!#REF!</f>
        <v>#REF!</v>
      </c>
      <c r="N54" s="102" t="e">
        <f t="shared" si="10"/>
        <v>#REF!</v>
      </c>
      <c r="O54" s="90" t="s">
        <v>30</v>
      </c>
      <c r="P54" s="90" t="e">
        <f>INDEX(Tree!#REF!,MATCH($O54,Tree!#REF!,0)+MATCH(Tree!#REF!,Tree!#REF!,0)-1)</f>
        <v>#REF!</v>
      </c>
      <c r="Q54" s="104" t="e">
        <f t="shared" si="6"/>
        <v>#REF!</v>
      </c>
      <c r="R54" s="119" t="e">
        <f>Tree!#REF!</f>
        <v>#REF!</v>
      </c>
      <c r="S54" s="102" t="e">
        <f t="shared" si="7"/>
        <v>#REF!</v>
      </c>
      <c r="T54" s="80" t="s">
        <v>31</v>
      </c>
      <c r="U54" s="80"/>
      <c r="V54" s="80" t="e">
        <f>Tree!#REF!</f>
        <v>#REF!</v>
      </c>
      <c r="W54" s="104"/>
      <c r="X54" s="119"/>
      <c r="Y54" s="102">
        <f t="shared" si="2"/>
        <v>0</v>
      </c>
      <c r="Z54" s="80"/>
      <c r="AA54" s="80"/>
      <c r="AB54" s="80"/>
      <c r="AC54" s="91" t="e">
        <f t="shared" si="8"/>
        <v>#REF!</v>
      </c>
      <c r="AD54" s="80">
        <f t="shared" si="9"/>
        <v>0</v>
      </c>
      <c r="AO54" s="116"/>
    </row>
    <row r="55" spans="3:41">
      <c r="C55" s="121" t="e">
        <f>Tree!#REF!</f>
        <v>#REF!</v>
      </c>
      <c r="D55" s="41" t="e">
        <f>Tree!#REF!</f>
        <v>#REF!</v>
      </c>
      <c r="E55" s="122" t="e">
        <f t="shared" si="3"/>
        <v>#REF!</v>
      </c>
      <c r="F55" s="41" t="e">
        <f>Tree!#REF!</f>
        <v>#REF!</v>
      </c>
      <c r="G55" s="122" t="e">
        <f t="shared" si="4"/>
        <v>#REF!</v>
      </c>
      <c r="H55" s="79" t="e">
        <f>INDEX(Tree!#REF!,MATCH($J55,Tree!#REF!,0))</f>
        <v>#REF!</v>
      </c>
      <c r="I55" s="100" t="e">
        <f t="shared" si="5"/>
        <v>#REF!</v>
      </c>
      <c r="J55" s="80" t="s">
        <v>23</v>
      </c>
      <c r="K55" s="90" t="e">
        <f>INDEX(Tree!#REF!,MATCH($J55,Tree!#REF!,0))</f>
        <v>#REF!</v>
      </c>
      <c r="L55" s="104" t="e">
        <f t="shared" si="11"/>
        <v>#REF!</v>
      </c>
      <c r="M55" s="90" t="e">
        <f>Tree!#REF!</f>
        <v>#REF!</v>
      </c>
      <c r="N55" s="102" t="e">
        <f t="shared" si="10"/>
        <v>#REF!</v>
      </c>
      <c r="O55" s="90" t="s">
        <v>30</v>
      </c>
      <c r="P55" s="90" t="e">
        <f>INDEX(Tree!#REF!,MATCH($O55,Tree!#REF!,0)+MATCH(Tree!#REF!,Tree!#REF!,0)-1)</f>
        <v>#REF!</v>
      </c>
      <c r="Q55" s="104" t="e">
        <f t="shared" si="6"/>
        <v>#REF!</v>
      </c>
      <c r="R55" s="119" t="e">
        <f>Tree!#REF!</f>
        <v>#REF!</v>
      </c>
      <c r="S55" s="102" t="e">
        <f t="shared" si="7"/>
        <v>#REF!</v>
      </c>
      <c r="T55" s="80" t="s">
        <v>32</v>
      </c>
      <c r="U55" s="80" t="e">
        <f>Tree!#REF!</f>
        <v>#REF!</v>
      </c>
      <c r="V55" s="80"/>
      <c r="W55" s="104" t="e">
        <f>S55*U55</f>
        <v>#REF!</v>
      </c>
      <c r="X55" s="119" t="e">
        <f>Tree!#REF!</f>
        <v>#REF!</v>
      </c>
      <c r="Y55" s="102" t="e">
        <f t="shared" si="2"/>
        <v>#REF!</v>
      </c>
      <c r="Z55" s="80" t="s">
        <v>53</v>
      </c>
      <c r="AA55" s="80" t="e">
        <f>Tree!#REF!</f>
        <v>#REF!</v>
      </c>
      <c r="AB55" s="80"/>
      <c r="AC55" s="91" t="e">
        <f t="shared" si="8"/>
        <v>#REF!</v>
      </c>
      <c r="AD55" s="80" t="e">
        <f t="shared" si="9"/>
        <v>#REF!</v>
      </c>
      <c r="AO55" s="116"/>
    </row>
    <row r="56" spans="3:41">
      <c r="C56" s="121" t="e">
        <f>Tree!#REF!</f>
        <v>#REF!</v>
      </c>
      <c r="D56" s="41" t="e">
        <f>Tree!#REF!</f>
        <v>#REF!</v>
      </c>
      <c r="E56" s="122" t="e">
        <f t="shared" si="3"/>
        <v>#REF!</v>
      </c>
      <c r="F56" s="41" t="e">
        <f>Tree!#REF!</f>
        <v>#REF!</v>
      </c>
      <c r="G56" s="122" t="e">
        <f t="shared" si="4"/>
        <v>#REF!</v>
      </c>
      <c r="H56" s="79" t="e">
        <f>INDEX(Tree!#REF!,MATCH($J56,Tree!#REF!,0))</f>
        <v>#REF!</v>
      </c>
      <c r="I56" s="100" t="e">
        <f t="shared" si="5"/>
        <v>#REF!</v>
      </c>
      <c r="J56" s="80" t="s">
        <v>23</v>
      </c>
      <c r="K56" s="90" t="e">
        <f>INDEX(Tree!#REF!,MATCH($J56,Tree!#REF!,0))</f>
        <v>#REF!</v>
      </c>
      <c r="L56" s="104" t="e">
        <f t="shared" si="11"/>
        <v>#REF!</v>
      </c>
      <c r="M56" s="90" t="e">
        <f>Tree!#REF!</f>
        <v>#REF!</v>
      </c>
      <c r="N56" s="102" t="e">
        <f t="shared" si="10"/>
        <v>#REF!</v>
      </c>
      <c r="O56" s="90" t="s">
        <v>30</v>
      </c>
      <c r="P56" s="90" t="e">
        <f>INDEX(Tree!#REF!,MATCH($O56,Tree!#REF!,0)+MATCH(Tree!#REF!,Tree!#REF!,0)-1)</f>
        <v>#REF!</v>
      </c>
      <c r="Q56" s="104" t="e">
        <f t="shared" si="6"/>
        <v>#REF!</v>
      </c>
      <c r="R56" s="119" t="e">
        <f>Tree!#REF!</f>
        <v>#REF!</v>
      </c>
      <c r="S56" s="102" t="e">
        <f t="shared" si="7"/>
        <v>#REF!</v>
      </c>
      <c r="T56" s="80" t="s">
        <v>32</v>
      </c>
      <c r="U56" s="80" t="e">
        <f>Tree!#REF!</f>
        <v>#REF!</v>
      </c>
      <c r="V56" s="80"/>
      <c r="W56" s="104" t="e">
        <f>S56*U56</f>
        <v>#REF!</v>
      </c>
      <c r="X56" s="119" t="e">
        <f>Tree!#REF!</f>
        <v>#REF!</v>
      </c>
      <c r="Y56" s="102" t="e">
        <f t="shared" si="2"/>
        <v>#REF!</v>
      </c>
      <c r="Z56" s="80" t="s">
        <v>116</v>
      </c>
      <c r="AA56" s="80" t="e">
        <f>Tree!#REF!</f>
        <v>#REF!</v>
      </c>
      <c r="AB56" s="80"/>
      <c r="AC56" s="91" t="e">
        <f t="shared" si="8"/>
        <v>#REF!</v>
      </c>
      <c r="AD56" s="80" t="e">
        <f t="shared" si="9"/>
        <v>#REF!</v>
      </c>
      <c r="AO56" s="116"/>
    </row>
    <row r="57" spans="3:41">
      <c r="C57" s="121" t="e">
        <f>Tree!#REF!</f>
        <v>#REF!</v>
      </c>
      <c r="D57" s="41" t="e">
        <f>Tree!#REF!</f>
        <v>#REF!</v>
      </c>
      <c r="E57" s="122" t="e">
        <f t="shared" si="3"/>
        <v>#REF!</v>
      </c>
      <c r="F57" s="41" t="e">
        <f>Tree!#REF!</f>
        <v>#REF!</v>
      </c>
      <c r="G57" s="122" t="e">
        <f t="shared" si="4"/>
        <v>#REF!</v>
      </c>
      <c r="H57" s="79" t="e">
        <f>INDEX(Tree!#REF!,MATCH($J57,Tree!#REF!,0))</f>
        <v>#REF!</v>
      </c>
      <c r="I57" s="100" t="e">
        <f t="shared" si="5"/>
        <v>#REF!</v>
      </c>
      <c r="J57" s="80" t="s">
        <v>23</v>
      </c>
      <c r="K57" s="90" t="e">
        <f>INDEX(Tree!#REF!,MATCH($J57,Tree!#REF!,0))</f>
        <v>#REF!</v>
      </c>
      <c r="L57" s="104" t="e">
        <f t="shared" si="11"/>
        <v>#REF!</v>
      </c>
      <c r="M57" s="90" t="e">
        <f>Tree!#REF!</f>
        <v>#REF!</v>
      </c>
      <c r="N57" s="102" t="e">
        <f t="shared" si="10"/>
        <v>#REF!</v>
      </c>
      <c r="O57" s="90" t="s">
        <v>30</v>
      </c>
      <c r="P57" s="90" t="e">
        <f>INDEX(Tree!#REF!,MATCH($O57,Tree!#REF!,0)+MATCH(Tree!#REF!,Tree!#REF!,0)-1)</f>
        <v>#REF!</v>
      </c>
      <c r="Q57" s="104" t="e">
        <f t="shared" si="6"/>
        <v>#REF!</v>
      </c>
      <c r="R57" s="119" t="e">
        <f>Tree!#REF!</f>
        <v>#REF!</v>
      </c>
      <c r="S57" s="102" t="e">
        <f t="shared" si="7"/>
        <v>#REF!</v>
      </c>
      <c r="T57" s="80" t="s">
        <v>32</v>
      </c>
      <c r="U57" s="80" t="e">
        <f>Tree!#REF!</f>
        <v>#REF!</v>
      </c>
      <c r="V57" s="80"/>
      <c r="W57" s="104" t="e">
        <f>S57*U57</f>
        <v>#REF!</v>
      </c>
      <c r="X57" s="119" t="e">
        <f>Tree!#REF!</f>
        <v>#REF!</v>
      </c>
      <c r="Y57" s="102" t="e">
        <f t="shared" si="2"/>
        <v>#REF!</v>
      </c>
      <c r="Z57" s="80" t="s">
        <v>51</v>
      </c>
      <c r="AA57" s="80"/>
      <c r="AB57" s="80" t="e">
        <f>Tree!#REF!</f>
        <v>#REF!</v>
      </c>
      <c r="AC57" s="91" t="e">
        <f t="shared" si="8"/>
        <v>#REF!</v>
      </c>
      <c r="AD57" s="80" t="e">
        <f t="shared" si="9"/>
        <v>#REF!</v>
      </c>
      <c r="AO57" s="116"/>
    </row>
    <row r="58" spans="3:41">
      <c r="C58" s="121" t="e">
        <f>Tree!#REF!</f>
        <v>#REF!</v>
      </c>
      <c r="D58" s="41" t="e">
        <f>Tree!#REF!</f>
        <v>#REF!</v>
      </c>
      <c r="E58" s="122" t="e">
        <f t="shared" si="3"/>
        <v>#REF!</v>
      </c>
      <c r="F58" s="41" t="e">
        <f>Tree!#REF!</f>
        <v>#REF!</v>
      </c>
      <c r="G58" s="122" t="e">
        <f t="shared" si="4"/>
        <v>#REF!</v>
      </c>
      <c r="H58" s="79" t="e">
        <f>INDEX(Tree!#REF!,MATCH($J58,Tree!#REF!,0))</f>
        <v>#REF!</v>
      </c>
      <c r="I58" s="100" t="e">
        <f t="shared" si="5"/>
        <v>#REF!</v>
      </c>
      <c r="J58" s="80" t="s">
        <v>23</v>
      </c>
      <c r="K58" s="90" t="e">
        <f>INDEX(Tree!#REF!,MATCH($J58,Tree!#REF!,0))</f>
        <v>#REF!</v>
      </c>
      <c r="L58" s="104" t="e">
        <f t="shared" si="11"/>
        <v>#REF!</v>
      </c>
      <c r="M58" s="90" t="e">
        <f>Tree!#REF!</f>
        <v>#REF!</v>
      </c>
      <c r="N58" s="102" t="e">
        <f t="shared" si="10"/>
        <v>#REF!</v>
      </c>
      <c r="O58" s="90" t="s">
        <v>30</v>
      </c>
      <c r="P58" s="90" t="e">
        <f>INDEX(Tree!#REF!,MATCH($O58,Tree!#REF!,0)+MATCH(Tree!#REF!,Tree!#REF!,0)-1)</f>
        <v>#REF!</v>
      </c>
      <c r="Q58" s="104" t="e">
        <f t="shared" si="6"/>
        <v>#REF!</v>
      </c>
      <c r="R58" s="119" t="e">
        <f>Tree!#REF!</f>
        <v>#REF!</v>
      </c>
      <c r="S58" s="102" t="e">
        <f t="shared" si="7"/>
        <v>#REF!</v>
      </c>
      <c r="T58" s="80" t="s">
        <v>32</v>
      </c>
      <c r="U58" s="80" t="e">
        <f>Tree!#REF!</f>
        <v>#REF!</v>
      </c>
      <c r="V58" s="80"/>
      <c r="W58" s="104" t="e">
        <f>S58*U58</f>
        <v>#REF!</v>
      </c>
      <c r="X58" s="119" t="e">
        <f>Tree!#REF!</f>
        <v>#REF!</v>
      </c>
      <c r="Y58" s="102" t="e">
        <f t="shared" si="2"/>
        <v>#REF!</v>
      </c>
      <c r="Z58" s="80" t="s">
        <v>52</v>
      </c>
      <c r="AA58" s="80"/>
      <c r="AB58" s="80" t="e">
        <f>Tree!#REF!</f>
        <v>#REF!</v>
      </c>
      <c r="AC58" s="91" t="e">
        <f t="shared" si="8"/>
        <v>#REF!</v>
      </c>
      <c r="AD58" s="80" t="e">
        <f t="shared" si="9"/>
        <v>#REF!</v>
      </c>
    </row>
    <row r="59" spans="3:41">
      <c r="C59" s="121" t="e">
        <f>Tree!#REF!</f>
        <v>#REF!</v>
      </c>
      <c r="D59" s="41" t="e">
        <f>Tree!#REF!</f>
        <v>#REF!</v>
      </c>
      <c r="E59" s="122" t="e">
        <f t="shared" si="3"/>
        <v>#REF!</v>
      </c>
      <c r="F59" s="41" t="e">
        <f>Tree!#REF!</f>
        <v>#REF!</v>
      </c>
      <c r="G59" s="122" t="e">
        <f t="shared" si="4"/>
        <v>#REF!</v>
      </c>
      <c r="H59" s="79" t="e">
        <f>INDEX(Tree!#REF!,MATCH($J59,Tree!#REF!,0))</f>
        <v>#REF!</v>
      </c>
      <c r="I59" s="100" t="e">
        <f t="shared" si="5"/>
        <v>#REF!</v>
      </c>
      <c r="J59" s="80" t="s">
        <v>23</v>
      </c>
      <c r="K59" s="90" t="e">
        <f>INDEX(Tree!#REF!,MATCH($J59,Tree!#REF!,0))</f>
        <v>#REF!</v>
      </c>
      <c r="L59" s="104" t="e">
        <f t="shared" si="11"/>
        <v>#REF!</v>
      </c>
      <c r="M59" s="90" t="e">
        <f>Tree!#REF!</f>
        <v>#REF!</v>
      </c>
      <c r="N59" s="102" t="e">
        <f t="shared" si="10"/>
        <v>#REF!</v>
      </c>
      <c r="O59" s="90" t="s">
        <v>26</v>
      </c>
      <c r="P59" s="90" t="e">
        <f>INDEX(Tree!#REF!,MATCH($O59,Tree!#REF!,0)+MATCH(Tree!#REF!,Tree!#REF!,0)-1)</f>
        <v>#REF!</v>
      </c>
      <c r="Q59" s="104" t="e">
        <f t="shared" si="6"/>
        <v>#REF!</v>
      </c>
      <c r="R59" s="119" t="e">
        <f>Tree!#REF!</f>
        <v>#REF!</v>
      </c>
      <c r="S59" s="102" t="e">
        <f t="shared" si="7"/>
        <v>#REF!</v>
      </c>
      <c r="T59" s="80" t="s">
        <v>31</v>
      </c>
      <c r="U59" s="80"/>
      <c r="V59" s="80" t="e">
        <f>Tree!#REF!</f>
        <v>#REF!</v>
      </c>
      <c r="W59" s="104"/>
      <c r="X59" s="119"/>
      <c r="Y59" s="102">
        <f t="shared" si="2"/>
        <v>0</v>
      </c>
      <c r="Z59" s="80"/>
      <c r="AA59" s="80"/>
      <c r="AB59" s="80"/>
      <c r="AC59" s="91" t="e">
        <f t="shared" si="8"/>
        <v>#REF!</v>
      </c>
      <c r="AD59" s="80">
        <f t="shared" si="9"/>
        <v>0</v>
      </c>
    </row>
    <row r="60" spans="3:41">
      <c r="C60" s="121" t="e">
        <f>Tree!#REF!</f>
        <v>#REF!</v>
      </c>
      <c r="D60" s="41" t="e">
        <f>Tree!#REF!</f>
        <v>#REF!</v>
      </c>
      <c r="E60" s="122" t="e">
        <f t="shared" si="3"/>
        <v>#REF!</v>
      </c>
      <c r="F60" s="41" t="e">
        <f>Tree!#REF!</f>
        <v>#REF!</v>
      </c>
      <c r="G60" s="122" t="e">
        <f t="shared" si="4"/>
        <v>#REF!</v>
      </c>
      <c r="H60" s="79" t="e">
        <f>INDEX(Tree!#REF!,MATCH($J60,Tree!#REF!,0))</f>
        <v>#REF!</v>
      </c>
      <c r="I60" s="100" t="e">
        <f t="shared" si="5"/>
        <v>#REF!</v>
      </c>
      <c r="J60" s="80" t="s">
        <v>23</v>
      </c>
      <c r="K60" s="90" t="e">
        <f>INDEX(Tree!#REF!,MATCH($J60,Tree!#REF!,0))</f>
        <v>#REF!</v>
      </c>
      <c r="L60" s="104" t="e">
        <f t="shared" si="11"/>
        <v>#REF!</v>
      </c>
      <c r="M60" s="90" t="e">
        <f>Tree!#REF!</f>
        <v>#REF!</v>
      </c>
      <c r="N60" s="102" t="e">
        <f t="shared" si="10"/>
        <v>#REF!</v>
      </c>
      <c r="O60" s="90" t="s">
        <v>26</v>
      </c>
      <c r="P60" s="90" t="e">
        <f>INDEX(Tree!#REF!,MATCH($O60,Tree!#REF!,0)+MATCH(Tree!#REF!,Tree!#REF!,0)-1)</f>
        <v>#REF!</v>
      </c>
      <c r="Q60" s="104" t="e">
        <f t="shared" si="6"/>
        <v>#REF!</v>
      </c>
      <c r="R60" s="119" t="e">
        <f>Tree!#REF!</f>
        <v>#REF!</v>
      </c>
      <c r="S60" s="102" t="e">
        <f t="shared" si="7"/>
        <v>#REF!</v>
      </c>
      <c r="T60" s="80" t="s">
        <v>32</v>
      </c>
      <c r="U60" s="80" t="e">
        <f>Tree!#REF!</f>
        <v>#REF!</v>
      </c>
      <c r="V60" s="80"/>
      <c r="W60" s="104" t="e">
        <f>S60*U60</f>
        <v>#REF!</v>
      </c>
      <c r="X60" s="119" t="e">
        <f>Tree!#REF!</f>
        <v>#REF!</v>
      </c>
      <c r="Y60" s="102" t="e">
        <f t="shared" si="2"/>
        <v>#REF!</v>
      </c>
      <c r="Z60" s="80" t="s">
        <v>53</v>
      </c>
      <c r="AA60" s="80" t="e">
        <f>Tree!#REF!</f>
        <v>#REF!</v>
      </c>
      <c r="AB60" s="80"/>
      <c r="AC60" s="91" t="e">
        <f t="shared" si="8"/>
        <v>#REF!</v>
      </c>
      <c r="AD60" s="80" t="e">
        <f t="shared" si="9"/>
        <v>#REF!</v>
      </c>
    </row>
    <row r="61" spans="3:41">
      <c r="C61" s="121" t="e">
        <f>Tree!#REF!</f>
        <v>#REF!</v>
      </c>
      <c r="D61" s="41" t="e">
        <f>Tree!#REF!</f>
        <v>#REF!</v>
      </c>
      <c r="E61" s="122" t="e">
        <f t="shared" si="3"/>
        <v>#REF!</v>
      </c>
      <c r="F61" s="41" t="e">
        <f>Tree!#REF!</f>
        <v>#REF!</v>
      </c>
      <c r="G61" s="122" t="e">
        <f t="shared" si="4"/>
        <v>#REF!</v>
      </c>
      <c r="H61" s="79" t="e">
        <f>INDEX(Tree!#REF!,MATCH($J61,Tree!#REF!,0))</f>
        <v>#REF!</v>
      </c>
      <c r="I61" s="100" t="e">
        <f t="shared" si="5"/>
        <v>#REF!</v>
      </c>
      <c r="J61" s="80" t="s">
        <v>23</v>
      </c>
      <c r="K61" s="90" t="e">
        <f>INDEX(Tree!#REF!,MATCH($J61,Tree!#REF!,0))</f>
        <v>#REF!</v>
      </c>
      <c r="L61" s="104" t="e">
        <f t="shared" si="11"/>
        <v>#REF!</v>
      </c>
      <c r="M61" s="90" t="e">
        <f>Tree!#REF!</f>
        <v>#REF!</v>
      </c>
      <c r="N61" s="102" t="e">
        <f t="shared" si="10"/>
        <v>#REF!</v>
      </c>
      <c r="O61" s="90" t="s">
        <v>26</v>
      </c>
      <c r="P61" s="90" t="e">
        <f>INDEX(Tree!#REF!,MATCH($O61,Tree!#REF!,0)+MATCH(Tree!#REF!,Tree!#REF!,0)-1)</f>
        <v>#REF!</v>
      </c>
      <c r="Q61" s="104" t="e">
        <f t="shared" si="6"/>
        <v>#REF!</v>
      </c>
      <c r="R61" s="119" t="e">
        <f>Tree!#REF!</f>
        <v>#REF!</v>
      </c>
      <c r="S61" s="102" t="e">
        <f t="shared" si="7"/>
        <v>#REF!</v>
      </c>
      <c r="T61" s="80" t="s">
        <v>32</v>
      </c>
      <c r="U61" s="80" t="e">
        <f>Tree!#REF!</f>
        <v>#REF!</v>
      </c>
      <c r="V61" s="80"/>
      <c r="W61" s="104" t="e">
        <f>S61*U61</f>
        <v>#REF!</v>
      </c>
      <c r="X61" s="119" t="e">
        <f>Tree!#REF!</f>
        <v>#REF!</v>
      </c>
      <c r="Y61" s="102" t="e">
        <f t="shared" si="2"/>
        <v>#REF!</v>
      </c>
      <c r="Z61" s="80" t="s">
        <v>116</v>
      </c>
      <c r="AA61" s="80" t="e">
        <f>Tree!#REF!</f>
        <v>#REF!</v>
      </c>
      <c r="AB61" s="80"/>
      <c r="AC61" s="91" t="e">
        <f t="shared" si="8"/>
        <v>#REF!</v>
      </c>
      <c r="AD61" s="80" t="e">
        <f t="shared" si="9"/>
        <v>#REF!</v>
      </c>
    </row>
    <row r="62" spans="3:41">
      <c r="C62" s="121" t="e">
        <f>Tree!#REF!</f>
        <v>#REF!</v>
      </c>
      <c r="D62" s="41" t="e">
        <f>Tree!#REF!</f>
        <v>#REF!</v>
      </c>
      <c r="E62" s="122" t="e">
        <f t="shared" si="3"/>
        <v>#REF!</v>
      </c>
      <c r="F62" s="41" t="e">
        <f>Tree!#REF!</f>
        <v>#REF!</v>
      </c>
      <c r="G62" s="122" t="e">
        <f t="shared" si="4"/>
        <v>#REF!</v>
      </c>
      <c r="H62" s="79" t="e">
        <f>INDEX(Tree!#REF!,MATCH($J62,Tree!#REF!,0))</f>
        <v>#REF!</v>
      </c>
      <c r="I62" s="100" t="e">
        <f t="shared" si="5"/>
        <v>#REF!</v>
      </c>
      <c r="J62" s="80" t="s">
        <v>23</v>
      </c>
      <c r="K62" s="90" t="e">
        <f>INDEX(Tree!#REF!,MATCH($J62,Tree!#REF!,0))</f>
        <v>#REF!</v>
      </c>
      <c r="L62" s="104" t="e">
        <f t="shared" si="11"/>
        <v>#REF!</v>
      </c>
      <c r="M62" s="90" t="e">
        <f>Tree!#REF!</f>
        <v>#REF!</v>
      </c>
      <c r="N62" s="102" t="e">
        <f t="shared" si="10"/>
        <v>#REF!</v>
      </c>
      <c r="O62" s="90" t="s">
        <v>26</v>
      </c>
      <c r="P62" s="90" t="e">
        <f>INDEX(Tree!#REF!,MATCH($O62,Tree!#REF!,0)+MATCH(Tree!#REF!,Tree!#REF!,0)-1)</f>
        <v>#REF!</v>
      </c>
      <c r="Q62" s="104" t="e">
        <f t="shared" si="6"/>
        <v>#REF!</v>
      </c>
      <c r="R62" s="119" t="e">
        <f>Tree!#REF!</f>
        <v>#REF!</v>
      </c>
      <c r="S62" s="102" t="e">
        <f t="shared" si="7"/>
        <v>#REF!</v>
      </c>
      <c r="T62" s="80" t="s">
        <v>32</v>
      </c>
      <c r="U62" s="80" t="e">
        <f>Tree!#REF!</f>
        <v>#REF!</v>
      </c>
      <c r="V62" s="80"/>
      <c r="W62" s="104" t="e">
        <f>S62*U62</f>
        <v>#REF!</v>
      </c>
      <c r="X62" s="119" t="e">
        <f>Tree!#REF!</f>
        <v>#REF!</v>
      </c>
      <c r="Y62" s="102" t="e">
        <f t="shared" si="2"/>
        <v>#REF!</v>
      </c>
      <c r="Z62" s="80" t="s">
        <v>51</v>
      </c>
      <c r="AA62" s="80"/>
      <c r="AB62" s="80" t="e">
        <f>Tree!#REF!</f>
        <v>#REF!</v>
      </c>
      <c r="AC62" s="91" t="e">
        <f t="shared" si="8"/>
        <v>#REF!</v>
      </c>
      <c r="AD62" s="80" t="e">
        <f t="shared" si="9"/>
        <v>#REF!</v>
      </c>
    </row>
    <row r="63" spans="3:41">
      <c r="C63" s="121" t="e">
        <f>Tree!#REF!</f>
        <v>#REF!</v>
      </c>
      <c r="D63" s="41" t="e">
        <f>Tree!#REF!</f>
        <v>#REF!</v>
      </c>
      <c r="E63" s="122" t="e">
        <f t="shared" si="3"/>
        <v>#REF!</v>
      </c>
      <c r="F63" s="41" t="e">
        <f>Tree!#REF!</f>
        <v>#REF!</v>
      </c>
      <c r="G63" s="122" t="e">
        <f t="shared" si="4"/>
        <v>#REF!</v>
      </c>
      <c r="H63" s="79" t="e">
        <f>INDEX(Tree!#REF!,MATCH($J63,Tree!#REF!,0))</f>
        <v>#REF!</v>
      </c>
      <c r="I63" s="100" t="e">
        <f t="shared" si="5"/>
        <v>#REF!</v>
      </c>
      <c r="J63" s="80" t="s">
        <v>23</v>
      </c>
      <c r="K63" s="90" t="e">
        <f>INDEX(Tree!#REF!,MATCH($J63,Tree!#REF!,0))</f>
        <v>#REF!</v>
      </c>
      <c r="L63" s="104" t="e">
        <f t="shared" si="11"/>
        <v>#REF!</v>
      </c>
      <c r="M63" s="90" t="e">
        <f>Tree!#REF!</f>
        <v>#REF!</v>
      </c>
      <c r="N63" s="102" t="e">
        <f t="shared" si="10"/>
        <v>#REF!</v>
      </c>
      <c r="O63" s="90" t="s">
        <v>26</v>
      </c>
      <c r="P63" s="90" t="e">
        <f>INDEX(Tree!#REF!,MATCH($O63,Tree!#REF!,0)+MATCH(Tree!#REF!,Tree!#REF!,0)-1)</f>
        <v>#REF!</v>
      </c>
      <c r="Q63" s="104" t="e">
        <f t="shared" si="6"/>
        <v>#REF!</v>
      </c>
      <c r="R63" s="119" t="e">
        <f>Tree!#REF!</f>
        <v>#REF!</v>
      </c>
      <c r="S63" s="102" t="e">
        <f t="shared" si="7"/>
        <v>#REF!</v>
      </c>
      <c r="T63" s="80" t="s">
        <v>32</v>
      </c>
      <c r="U63" s="80" t="e">
        <f>Tree!#REF!</f>
        <v>#REF!</v>
      </c>
      <c r="V63" s="80"/>
      <c r="W63" s="104" t="e">
        <f>S63*U63</f>
        <v>#REF!</v>
      </c>
      <c r="X63" s="119" t="e">
        <f>Tree!#REF!</f>
        <v>#REF!</v>
      </c>
      <c r="Y63" s="102" t="e">
        <f t="shared" si="2"/>
        <v>#REF!</v>
      </c>
      <c r="Z63" s="80" t="s">
        <v>52</v>
      </c>
      <c r="AA63" s="80"/>
      <c r="AB63" s="80" t="e">
        <f>Tree!#REF!</f>
        <v>#REF!</v>
      </c>
      <c r="AC63" s="91" t="e">
        <f t="shared" si="8"/>
        <v>#REF!</v>
      </c>
      <c r="AD63" s="80" t="e">
        <f t="shared" si="9"/>
        <v>#REF!</v>
      </c>
    </row>
    <row r="64" spans="3:41">
      <c r="C64" s="121" t="e">
        <f>Tree!#REF!</f>
        <v>#REF!</v>
      </c>
      <c r="D64" s="41" t="e">
        <f>Tree!#REF!</f>
        <v>#REF!</v>
      </c>
      <c r="E64" s="122" t="e">
        <f t="shared" si="3"/>
        <v>#REF!</v>
      </c>
      <c r="F64" s="41" t="e">
        <f>Tree!#REF!</f>
        <v>#REF!</v>
      </c>
      <c r="G64" s="122" t="e">
        <f t="shared" si="4"/>
        <v>#REF!</v>
      </c>
      <c r="H64" s="79" t="e">
        <f>INDEX(Tree!#REF!,MATCH($J64,Tree!#REF!,0))</f>
        <v>#REF!</v>
      </c>
      <c r="I64" s="100" t="e">
        <f t="shared" si="5"/>
        <v>#REF!</v>
      </c>
      <c r="J64" s="80" t="s">
        <v>23</v>
      </c>
      <c r="K64" s="90" t="e">
        <f>INDEX(Tree!#REF!,MATCH($J64,Tree!#REF!,0))</f>
        <v>#REF!</v>
      </c>
      <c r="L64" s="104" t="e">
        <f t="shared" si="11"/>
        <v>#REF!</v>
      </c>
      <c r="M64" s="90" t="e">
        <f>Tree!#REF!</f>
        <v>#REF!</v>
      </c>
      <c r="N64" s="102" t="e">
        <f t="shared" si="10"/>
        <v>#REF!</v>
      </c>
      <c r="O64" s="90" t="s">
        <v>27</v>
      </c>
      <c r="P64" s="90" t="e">
        <f>INDEX(Tree!#REF!,MATCH($O64,Tree!#REF!,0)+MATCH(Tree!#REF!,Tree!#REF!,0)-1)</f>
        <v>#REF!</v>
      </c>
      <c r="Q64" s="104" t="e">
        <f t="shared" si="6"/>
        <v>#REF!</v>
      </c>
      <c r="R64" s="119" t="e">
        <f>Tree!#REF!</f>
        <v>#REF!</v>
      </c>
      <c r="S64" s="102" t="e">
        <f t="shared" si="7"/>
        <v>#REF!</v>
      </c>
      <c r="T64" s="80" t="s">
        <v>31</v>
      </c>
      <c r="U64" s="80"/>
      <c r="V64" s="80" t="e">
        <f>Tree!#REF!</f>
        <v>#REF!</v>
      </c>
      <c r="W64" s="104"/>
      <c r="X64" s="119"/>
      <c r="Y64" s="102">
        <f t="shared" si="2"/>
        <v>0</v>
      </c>
      <c r="Z64" s="80"/>
      <c r="AA64" s="80"/>
      <c r="AB64" s="80"/>
      <c r="AC64" s="91" t="e">
        <f t="shared" si="8"/>
        <v>#REF!</v>
      </c>
      <c r="AD64" s="80">
        <f t="shared" si="9"/>
        <v>0</v>
      </c>
    </row>
    <row r="65" spans="3:30">
      <c r="C65" s="121" t="e">
        <f>Tree!#REF!</f>
        <v>#REF!</v>
      </c>
      <c r="D65" s="41" t="e">
        <f>Tree!#REF!</f>
        <v>#REF!</v>
      </c>
      <c r="E65" s="122" t="e">
        <f t="shared" si="3"/>
        <v>#REF!</v>
      </c>
      <c r="F65" s="41" t="e">
        <f>Tree!#REF!</f>
        <v>#REF!</v>
      </c>
      <c r="G65" s="122" t="e">
        <f t="shared" si="4"/>
        <v>#REF!</v>
      </c>
      <c r="H65" s="79" t="e">
        <f>INDEX(Tree!#REF!,MATCH($J65,Tree!#REF!,0))</f>
        <v>#REF!</v>
      </c>
      <c r="I65" s="100" t="e">
        <f t="shared" si="5"/>
        <v>#REF!</v>
      </c>
      <c r="J65" s="80" t="s">
        <v>23</v>
      </c>
      <c r="K65" s="90" t="e">
        <f>INDEX(Tree!#REF!,MATCH($J65,Tree!#REF!,0))</f>
        <v>#REF!</v>
      </c>
      <c r="L65" s="104" t="e">
        <f t="shared" si="11"/>
        <v>#REF!</v>
      </c>
      <c r="M65" s="90" t="e">
        <f>Tree!#REF!</f>
        <v>#REF!</v>
      </c>
      <c r="N65" s="102" t="e">
        <f t="shared" si="10"/>
        <v>#REF!</v>
      </c>
      <c r="O65" s="90" t="s">
        <v>27</v>
      </c>
      <c r="P65" s="90" t="e">
        <f>INDEX(Tree!#REF!,MATCH($O65,Tree!#REF!,0)+MATCH(Tree!#REF!,Tree!#REF!,0)-1)</f>
        <v>#REF!</v>
      </c>
      <c r="Q65" s="104" t="e">
        <f t="shared" si="6"/>
        <v>#REF!</v>
      </c>
      <c r="R65" s="119" t="e">
        <f>Tree!#REF!</f>
        <v>#REF!</v>
      </c>
      <c r="S65" s="102" t="e">
        <f t="shared" si="7"/>
        <v>#REF!</v>
      </c>
      <c r="T65" s="80" t="s">
        <v>32</v>
      </c>
      <c r="U65" s="80" t="e">
        <f>Tree!#REF!</f>
        <v>#REF!</v>
      </c>
      <c r="V65" s="80"/>
      <c r="W65" s="104" t="e">
        <f>S65*U65</f>
        <v>#REF!</v>
      </c>
      <c r="X65" s="119" t="e">
        <f>Tree!#REF!</f>
        <v>#REF!</v>
      </c>
      <c r="Y65" s="102" t="e">
        <f t="shared" si="2"/>
        <v>#REF!</v>
      </c>
      <c r="Z65" s="80" t="s">
        <v>53</v>
      </c>
      <c r="AA65" s="80" t="e">
        <f>Tree!#REF!</f>
        <v>#REF!</v>
      </c>
      <c r="AB65" s="80"/>
      <c r="AC65" s="91" t="e">
        <f t="shared" si="8"/>
        <v>#REF!</v>
      </c>
      <c r="AD65" s="80" t="e">
        <f t="shared" si="9"/>
        <v>#REF!</v>
      </c>
    </row>
    <row r="66" spans="3:30">
      <c r="C66" s="121" t="e">
        <f>Tree!#REF!</f>
        <v>#REF!</v>
      </c>
      <c r="D66" s="41" t="e">
        <f>Tree!#REF!</f>
        <v>#REF!</v>
      </c>
      <c r="E66" s="122" t="e">
        <f t="shared" si="3"/>
        <v>#REF!</v>
      </c>
      <c r="F66" s="41" t="e">
        <f>Tree!#REF!</f>
        <v>#REF!</v>
      </c>
      <c r="G66" s="122" t="e">
        <f t="shared" si="4"/>
        <v>#REF!</v>
      </c>
      <c r="H66" s="79" t="e">
        <f>INDEX(Tree!#REF!,MATCH($J66,Tree!#REF!,0))</f>
        <v>#REF!</v>
      </c>
      <c r="I66" s="100" t="e">
        <f t="shared" si="5"/>
        <v>#REF!</v>
      </c>
      <c r="J66" s="80" t="s">
        <v>23</v>
      </c>
      <c r="K66" s="90" t="e">
        <f>INDEX(Tree!#REF!,MATCH($J66,Tree!#REF!,0))</f>
        <v>#REF!</v>
      </c>
      <c r="L66" s="104" t="e">
        <f t="shared" si="11"/>
        <v>#REF!</v>
      </c>
      <c r="M66" s="90" t="e">
        <f>Tree!#REF!</f>
        <v>#REF!</v>
      </c>
      <c r="N66" s="102" t="e">
        <f t="shared" si="10"/>
        <v>#REF!</v>
      </c>
      <c r="O66" s="90" t="s">
        <v>27</v>
      </c>
      <c r="P66" s="90" t="e">
        <f>INDEX(Tree!#REF!,MATCH($O66,Tree!#REF!,0)+MATCH(Tree!#REF!,Tree!#REF!,0)-1)</f>
        <v>#REF!</v>
      </c>
      <c r="Q66" s="104" t="e">
        <f t="shared" si="6"/>
        <v>#REF!</v>
      </c>
      <c r="R66" s="119" t="e">
        <f>Tree!#REF!</f>
        <v>#REF!</v>
      </c>
      <c r="S66" s="102" t="e">
        <f t="shared" si="7"/>
        <v>#REF!</v>
      </c>
      <c r="T66" s="80" t="s">
        <v>32</v>
      </c>
      <c r="U66" s="80" t="e">
        <f>Tree!#REF!</f>
        <v>#REF!</v>
      </c>
      <c r="V66" s="80"/>
      <c r="W66" s="104" t="e">
        <f>S66*U66</f>
        <v>#REF!</v>
      </c>
      <c r="X66" s="119" t="e">
        <f>Tree!#REF!</f>
        <v>#REF!</v>
      </c>
      <c r="Y66" s="102" t="e">
        <f t="shared" si="2"/>
        <v>#REF!</v>
      </c>
      <c r="Z66" s="80" t="s">
        <v>116</v>
      </c>
      <c r="AA66" s="80" t="e">
        <f>Tree!#REF!</f>
        <v>#REF!</v>
      </c>
      <c r="AB66" s="80"/>
      <c r="AC66" s="91" t="e">
        <f t="shared" si="8"/>
        <v>#REF!</v>
      </c>
      <c r="AD66" s="80" t="e">
        <f t="shared" si="9"/>
        <v>#REF!</v>
      </c>
    </row>
    <row r="67" spans="3:30">
      <c r="C67" s="121" t="e">
        <f>Tree!#REF!</f>
        <v>#REF!</v>
      </c>
      <c r="D67" s="41" t="e">
        <f>Tree!#REF!</f>
        <v>#REF!</v>
      </c>
      <c r="E67" s="122" t="e">
        <f t="shared" si="3"/>
        <v>#REF!</v>
      </c>
      <c r="F67" s="41" t="e">
        <f>Tree!#REF!</f>
        <v>#REF!</v>
      </c>
      <c r="G67" s="122" t="e">
        <f t="shared" si="4"/>
        <v>#REF!</v>
      </c>
      <c r="H67" s="79" t="e">
        <f>INDEX(Tree!#REF!,MATCH($J67,Tree!#REF!,0))</f>
        <v>#REF!</v>
      </c>
      <c r="I67" s="100" t="e">
        <f t="shared" si="5"/>
        <v>#REF!</v>
      </c>
      <c r="J67" s="80" t="s">
        <v>23</v>
      </c>
      <c r="K67" s="90" t="e">
        <f>INDEX(Tree!#REF!,MATCH($J67,Tree!#REF!,0))</f>
        <v>#REF!</v>
      </c>
      <c r="L67" s="104" t="e">
        <f t="shared" si="11"/>
        <v>#REF!</v>
      </c>
      <c r="M67" s="90" t="e">
        <f>Tree!#REF!</f>
        <v>#REF!</v>
      </c>
      <c r="N67" s="102" t="e">
        <f t="shared" si="10"/>
        <v>#REF!</v>
      </c>
      <c r="O67" s="90" t="s">
        <v>27</v>
      </c>
      <c r="P67" s="90" t="e">
        <f>INDEX(Tree!#REF!,MATCH($O67,Tree!#REF!,0)+MATCH(Tree!#REF!,Tree!#REF!,0)-1)</f>
        <v>#REF!</v>
      </c>
      <c r="Q67" s="104" t="e">
        <f t="shared" si="6"/>
        <v>#REF!</v>
      </c>
      <c r="R67" s="119" t="e">
        <f>Tree!#REF!</f>
        <v>#REF!</v>
      </c>
      <c r="S67" s="102" t="e">
        <f t="shared" si="7"/>
        <v>#REF!</v>
      </c>
      <c r="T67" s="80" t="s">
        <v>32</v>
      </c>
      <c r="U67" s="80" t="e">
        <f>Tree!#REF!</f>
        <v>#REF!</v>
      </c>
      <c r="V67" s="80"/>
      <c r="W67" s="104" t="e">
        <f>S67*U67</f>
        <v>#REF!</v>
      </c>
      <c r="X67" s="119" t="e">
        <f>Tree!#REF!</f>
        <v>#REF!</v>
      </c>
      <c r="Y67" s="102" t="e">
        <f t="shared" si="2"/>
        <v>#REF!</v>
      </c>
      <c r="Z67" s="80" t="s">
        <v>51</v>
      </c>
      <c r="AA67" s="80"/>
      <c r="AB67" s="80" t="e">
        <f>Tree!#REF!</f>
        <v>#REF!</v>
      </c>
      <c r="AC67" s="91" t="e">
        <f t="shared" si="8"/>
        <v>#REF!</v>
      </c>
      <c r="AD67" s="80" t="e">
        <f t="shared" si="9"/>
        <v>#REF!</v>
      </c>
    </row>
    <row r="68" spans="3:30">
      <c r="C68" s="121" t="e">
        <f>Tree!#REF!</f>
        <v>#REF!</v>
      </c>
      <c r="D68" s="41" t="e">
        <f>Tree!#REF!</f>
        <v>#REF!</v>
      </c>
      <c r="E68" s="122" t="e">
        <f t="shared" si="3"/>
        <v>#REF!</v>
      </c>
      <c r="F68" s="41" t="e">
        <f>Tree!#REF!</f>
        <v>#REF!</v>
      </c>
      <c r="G68" s="122" t="e">
        <f t="shared" si="4"/>
        <v>#REF!</v>
      </c>
      <c r="H68" s="79" t="e">
        <f>INDEX(Tree!#REF!,MATCH($J68,Tree!#REF!,0))</f>
        <v>#REF!</v>
      </c>
      <c r="I68" s="100" t="e">
        <f t="shared" si="5"/>
        <v>#REF!</v>
      </c>
      <c r="J68" s="80" t="s">
        <v>23</v>
      </c>
      <c r="K68" s="90" t="e">
        <f>INDEX(Tree!#REF!,MATCH($J68,Tree!#REF!,0))</f>
        <v>#REF!</v>
      </c>
      <c r="L68" s="104" t="e">
        <f t="shared" ref="L68:L99" si="12">K68*I68</f>
        <v>#REF!</v>
      </c>
      <c r="M68" s="90" t="e">
        <f>Tree!#REF!</f>
        <v>#REF!</v>
      </c>
      <c r="N68" s="102" t="e">
        <f t="shared" si="10"/>
        <v>#REF!</v>
      </c>
      <c r="O68" s="90" t="s">
        <v>27</v>
      </c>
      <c r="P68" s="90" t="e">
        <f>INDEX(Tree!#REF!,MATCH($O68,Tree!#REF!,0)+MATCH(Tree!#REF!,Tree!#REF!,0)-1)</f>
        <v>#REF!</v>
      </c>
      <c r="Q68" s="104" t="e">
        <f t="shared" si="6"/>
        <v>#REF!</v>
      </c>
      <c r="R68" s="119" t="e">
        <f>Tree!#REF!</f>
        <v>#REF!</v>
      </c>
      <c r="S68" s="102" t="e">
        <f t="shared" si="7"/>
        <v>#REF!</v>
      </c>
      <c r="T68" s="80" t="s">
        <v>32</v>
      </c>
      <c r="U68" s="80" t="e">
        <f>Tree!#REF!</f>
        <v>#REF!</v>
      </c>
      <c r="V68" s="80"/>
      <c r="W68" s="104" t="e">
        <f>S68*U68</f>
        <v>#REF!</v>
      </c>
      <c r="X68" s="119" t="e">
        <f>Tree!#REF!</f>
        <v>#REF!</v>
      </c>
      <c r="Y68" s="102" t="e">
        <f t="shared" ref="Y68:Y103" si="13">W68*X68</f>
        <v>#REF!</v>
      </c>
      <c r="Z68" s="80" t="s">
        <v>52</v>
      </c>
      <c r="AA68" s="80"/>
      <c r="AB68" s="80" t="e">
        <f>Tree!#REF!</f>
        <v>#REF!</v>
      </c>
      <c r="AC68" s="91" t="e">
        <f t="shared" si="8"/>
        <v>#REF!</v>
      </c>
      <c r="AD68" s="80" t="e">
        <f t="shared" si="9"/>
        <v>#REF!</v>
      </c>
    </row>
    <row r="69" spans="3:30">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23</v>
      </c>
      <c r="K69" s="90" t="e">
        <f>INDEX(Tree!#REF!,MATCH($J69,Tree!#REF!,0))</f>
        <v>#REF!</v>
      </c>
      <c r="L69" s="104" t="e">
        <f t="shared" si="12"/>
        <v>#REF!</v>
      </c>
      <c r="M69" s="90" t="e">
        <f>Tree!#REF!</f>
        <v>#REF!</v>
      </c>
      <c r="N69" s="102" t="e">
        <f t="shared" si="10"/>
        <v>#REF!</v>
      </c>
      <c r="O69" s="90" t="s">
        <v>29</v>
      </c>
      <c r="P69" s="90" t="e">
        <f>INDEX(Tree!#REF!,MATCH($O69,Tree!#REF!,0)+MATCH(Tree!#REF!,Tree!#REF!,0)-1)</f>
        <v>#REF!</v>
      </c>
      <c r="Q69" s="104" t="e">
        <f t="shared" ref="Q69:Q103" si="17">N69*P69</f>
        <v>#REF!</v>
      </c>
      <c r="R69" s="119" t="e">
        <f>Tree!#REF!</f>
        <v>#REF!</v>
      </c>
      <c r="S69" s="102" t="e">
        <f t="shared" ref="S69:S103" si="18">Q69*R69</f>
        <v>#REF!</v>
      </c>
      <c r="T69" s="80" t="s">
        <v>31</v>
      </c>
      <c r="U69" s="80"/>
      <c r="V69" s="80" t="e">
        <f>Tree!#REF!</f>
        <v>#REF!</v>
      </c>
      <c r="W69" s="104"/>
      <c r="X69" s="119"/>
      <c r="Y69" s="102">
        <f t="shared" si="13"/>
        <v>0</v>
      </c>
      <c r="Z69" s="80"/>
      <c r="AA69" s="80"/>
      <c r="AB69" s="80"/>
      <c r="AC69" s="91" t="e">
        <f t="shared" ref="AC69:AC103" si="19">V69*S69+AA69*Y69</f>
        <v>#REF!</v>
      </c>
      <c r="AD69" s="80">
        <f t="shared" ref="AD69:AD103" si="20">AB69*Y69</f>
        <v>0</v>
      </c>
    </row>
    <row r="70" spans="3:30">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23</v>
      </c>
      <c r="K70" s="90" t="e">
        <f>INDEX(Tree!#REF!,MATCH($J70,Tree!#REF!,0))</f>
        <v>#REF!</v>
      </c>
      <c r="L70" s="104" t="e">
        <f t="shared" si="12"/>
        <v>#REF!</v>
      </c>
      <c r="M70" s="90" t="e">
        <f>Tree!#REF!</f>
        <v>#REF!</v>
      </c>
      <c r="N70" s="102" t="e">
        <f t="shared" si="10"/>
        <v>#REF!</v>
      </c>
      <c r="O70" s="90" t="s">
        <v>29</v>
      </c>
      <c r="P70" s="90" t="e">
        <f>INDEX(Tree!#REF!,MATCH($O70,Tree!#REF!,0)+MATCH(Tree!#REF!,Tree!#REF!,0)-1)</f>
        <v>#REF!</v>
      </c>
      <c r="Q70" s="104" t="e">
        <f t="shared" si="17"/>
        <v>#REF!</v>
      </c>
      <c r="R70" s="119" t="e">
        <f>Tree!#REF!</f>
        <v>#REF!</v>
      </c>
      <c r="S70" s="102" t="e">
        <f t="shared" si="18"/>
        <v>#REF!</v>
      </c>
      <c r="T70" s="80" t="s">
        <v>32</v>
      </c>
      <c r="U70" s="80" t="e">
        <f>Tree!#REF!</f>
        <v>#REF!</v>
      </c>
      <c r="V70" s="80"/>
      <c r="W70" s="104" t="e">
        <f>S70*U70</f>
        <v>#REF!</v>
      </c>
      <c r="X70" s="119" t="e">
        <f>Tree!#REF!</f>
        <v>#REF!</v>
      </c>
      <c r="Y70" s="102" t="e">
        <f t="shared" si="13"/>
        <v>#REF!</v>
      </c>
      <c r="Z70" s="80" t="s">
        <v>53</v>
      </c>
      <c r="AA70" s="80" t="e">
        <f>Tree!#REF!</f>
        <v>#REF!</v>
      </c>
      <c r="AB70" s="80"/>
      <c r="AC70" s="91" t="e">
        <f t="shared" si="19"/>
        <v>#REF!</v>
      </c>
      <c r="AD70" s="80" t="e">
        <f t="shared" si="20"/>
        <v>#REF!</v>
      </c>
    </row>
    <row r="71" spans="3:30">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23</v>
      </c>
      <c r="K71" s="90" t="e">
        <f>INDEX(Tree!#REF!,MATCH($J71,Tree!#REF!,0))</f>
        <v>#REF!</v>
      </c>
      <c r="L71" s="104" t="e">
        <f t="shared" si="12"/>
        <v>#REF!</v>
      </c>
      <c r="M71" s="90" t="e">
        <f>Tree!#REF!</f>
        <v>#REF!</v>
      </c>
      <c r="N71" s="102" t="e">
        <f t="shared" si="10"/>
        <v>#REF!</v>
      </c>
      <c r="O71" s="90" t="s">
        <v>29</v>
      </c>
      <c r="P71" s="90" t="e">
        <f>INDEX(Tree!#REF!,MATCH($O71,Tree!#REF!,0)+MATCH(Tree!#REF!,Tree!#REF!,0)-1)</f>
        <v>#REF!</v>
      </c>
      <c r="Q71" s="104" t="e">
        <f t="shared" si="17"/>
        <v>#REF!</v>
      </c>
      <c r="R71" s="119" t="e">
        <f>Tree!#REF!</f>
        <v>#REF!</v>
      </c>
      <c r="S71" s="102" t="e">
        <f t="shared" si="18"/>
        <v>#REF!</v>
      </c>
      <c r="T71" s="80" t="s">
        <v>32</v>
      </c>
      <c r="U71" s="80" t="e">
        <f>Tree!#REF!</f>
        <v>#REF!</v>
      </c>
      <c r="V71" s="80"/>
      <c r="W71" s="104" t="e">
        <f>S71*U71</f>
        <v>#REF!</v>
      </c>
      <c r="X71" s="119" t="e">
        <f>Tree!#REF!</f>
        <v>#REF!</v>
      </c>
      <c r="Y71" s="102" t="e">
        <f t="shared" si="13"/>
        <v>#REF!</v>
      </c>
      <c r="Z71" s="80" t="s">
        <v>116</v>
      </c>
      <c r="AA71" s="80" t="e">
        <f>Tree!#REF!</f>
        <v>#REF!</v>
      </c>
      <c r="AB71" s="80"/>
      <c r="AC71" s="91" t="e">
        <f t="shared" si="19"/>
        <v>#REF!</v>
      </c>
      <c r="AD71" s="80" t="e">
        <f t="shared" si="20"/>
        <v>#REF!</v>
      </c>
    </row>
    <row r="72" spans="3:30">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23</v>
      </c>
      <c r="K72" s="90" t="e">
        <f>INDEX(Tree!#REF!,MATCH($J72,Tree!#REF!,0))</f>
        <v>#REF!</v>
      </c>
      <c r="L72" s="104" t="e">
        <f t="shared" si="12"/>
        <v>#REF!</v>
      </c>
      <c r="M72" s="90" t="e">
        <f>Tree!#REF!</f>
        <v>#REF!</v>
      </c>
      <c r="N72" s="102" t="e">
        <f t="shared" si="10"/>
        <v>#REF!</v>
      </c>
      <c r="O72" s="90" t="s">
        <v>29</v>
      </c>
      <c r="P72" s="90" t="e">
        <f>INDEX(Tree!#REF!,MATCH($O72,Tree!#REF!,0)+MATCH(Tree!#REF!,Tree!#REF!,0)-1)</f>
        <v>#REF!</v>
      </c>
      <c r="Q72" s="104" t="e">
        <f t="shared" si="17"/>
        <v>#REF!</v>
      </c>
      <c r="R72" s="119" t="e">
        <f>Tree!#REF!</f>
        <v>#REF!</v>
      </c>
      <c r="S72" s="102" t="e">
        <f t="shared" si="18"/>
        <v>#REF!</v>
      </c>
      <c r="T72" s="80" t="s">
        <v>32</v>
      </c>
      <c r="U72" s="80" t="e">
        <f>Tree!#REF!</f>
        <v>#REF!</v>
      </c>
      <c r="V72" s="80"/>
      <c r="W72" s="104" t="e">
        <f>S72*U72</f>
        <v>#REF!</v>
      </c>
      <c r="X72" s="119" t="e">
        <f>Tree!#REF!</f>
        <v>#REF!</v>
      </c>
      <c r="Y72" s="102" t="e">
        <f t="shared" si="13"/>
        <v>#REF!</v>
      </c>
      <c r="Z72" s="80" t="s">
        <v>51</v>
      </c>
      <c r="AA72" s="80"/>
      <c r="AB72" s="80" t="e">
        <f>Tree!#REF!</f>
        <v>#REF!</v>
      </c>
      <c r="AC72" s="91" t="e">
        <f t="shared" si="19"/>
        <v>#REF!</v>
      </c>
      <c r="AD72" s="80" t="e">
        <f t="shared" si="20"/>
        <v>#REF!</v>
      </c>
    </row>
    <row r="73" spans="3:30">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23</v>
      </c>
      <c r="K73" s="90" t="e">
        <f>INDEX(Tree!#REF!,MATCH($J73,Tree!#REF!,0))</f>
        <v>#REF!</v>
      </c>
      <c r="L73" s="104" t="e">
        <f t="shared" si="12"/>
        <v>#REF!</v>
      </c>
      <c r="M73" s="90" t="e">
        <f>Tree!#REF!</f>
        <v>#REF!</v>
      </c>
      <c r="N73" s="102" t="e">
        <f t="shared" si="10"/>
        <v>#REF!</v>
      </c>
      <c r="O73" s="90" t="s">
        <v>29</v>
      </c>
      <c r="P73" s="90" t="e">
        <f>INDEX(Tree!#REF!,MATCH($O73,Tree!#REF!,0)+MATCH(Tree!#REF!,Tree!#REF!,0)-1)</f>
        <v>#REF!</v>
      </c>
      <c r="Q73" s="104" t="e">
        <f t="shared" si="17"/>
        <v>#REF!</v>
      </c>
      <c r="R73" s="119" t="e">
        <f>Tree!#REF!</f>
        <v>#REF!</v>
      </c>
      <c r="S73" s="102" t="e">
        <f t="shared" si="18"/>
        <v>#REF!</v>
      </c>
      <c r="T73" s="80" t="s">
        <v>32</v>
      </c>
      <c r="U73" s="80" t="e">
        <f>Tree!#REF!</f>
        <v>#REF!</v>
      </c>
      <c r="V73" s="80"/>
      <c r="W73" s="104" t="e">
        <f>S73*U73</f>
        <v>#REF!</v>
      </c>
      <c r="X73" s="119" t="e">
        <f>Tree!#REF!</f>
        <v>#REF!</v>
      </c>
      <c r="Y73" s="102" t="e">
        <f t="shared" si="13"/>
        <v>#REF!</v>
      </c>
      <c r="Z73" s="80" t="s">
        <v>52</v>
      </c>
      <c r="AA73" s="80"/>
      <c r="AB73" s="80" t="e">
        <f>Tree!#REF!</f>
        <v>#REF!</v>
      </c>
      <c r="AC73" s="91" t="e">
        <f t="shared" si="19"/>
        <v>#REF!</v>
      </c>
      <c r="AD73" s="80" t="e">
        <f t="shared" si="20"/>
        <v>#REF!</v>
      </c>
    </row>
    <row r="74" spans="3:30">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23</v>
      </c>
      <c r="K74" s="90" t="e">
        <f>INDEX(Tree!#REF!,MATCH($J74,Tree!#REF!,0))</f>
        <v>#REF!</v>
      </c>
      <c r="L74" s="104" t="e">
        <f t="shared" si="12"/>
        <v>#REF!</v>
      </c>
      <c r="M74" s="90" t="e">
        <f>Tree!#REF!</f>
        <v>#REF!</v>
      </c>
      <c r="N74" s="102" t="e">
        <f t="shared" ref="N74:N103" si="21">L74*M74</f>
        <v>#REF!</v>
      </c>
      <c r="O74" s="90" t="s">
        <v>28</v>
      </c>
      <c r="P74" s="90" t="e">
        <f>INDEX(Tree!#REF!,MATCH($O74,Tree!#REF!,0)+MATCH(Tree!#REF!,Tree!#REF!,0)-1)</f>
        <v>#REF!</v>
      </c>
      <c r="Q74" s="104" t="e">
        <f t="shared" si="17"/>
        <v>#REF!</v>
      </c>
      <c r="R74" s="119" t="e">
        <f>Tree!#REF!</f>
        <v>#REF!</v>
      </c>
      <c r="S74" s="102" t="e">
        <f t="shared" si="18"/>
        <v>#REF!</v>
      </c>
      <c r="T74" s="80" t="s">
        <v>31</v>
      </c>
      <c r="U74" s="80"/>
      <c r="V74" s="80" t="e">
        <f>Tree!#REF!</f>
        <v>#REF!</v>
      </c>
      <c r="W74" s="104"/>
      <c r="X74" s="119"/>
      <c r="Y74" s="102">
        <f t="shared" si="13"/>
        <v>0</v>
      </c>
      <c r="Z74" s="80"/>
      <c r="AA74" s="80"/>
      <c r="AB74" s="80"/>
      <c r="AC74" s="91" t="e">
        <f t="shared" si="19"/>
        <v>#REF!</v>
      </c>
      <c r="AD74" s="80">
        <f t="shared" si="20"/>
        <v>0</v>
      </c>
    </row>
    <row r="75" spans="3:30">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23</v>
      </c>
      <c r="K75" s="90" t="e">
        <f>INDEX(Tree!#REF!,MATCH($J75,Tree!#REF!,0))</f>
        <v>#REF!</v>
      </c>
      <c r="L75" s="104" t="e">
        <f t="shared" si="12"/>
        <v>#REF!</v>
      </c>
      <c r="M75" s="90" t="e">
        <f>Tree!#REF!</f>
        <v>#REF!</v>
      </c>
      <c r="N75" s="102" t="e">
        <f t="shared" si="21"/>
        <v>#REF!</v>
      </c>
      <c r="O75" s="90" t="s">
        <v>28</v>
      </c>
      <c r="P75" s="90" t="e">
        <f>INDEX(Tree!#REF!,MATCH($O75,Tree!#REF!,0)+MATCH(Tree!#REF!,Tree!#REF!,0)-1)</f>
        <v>#REF!</v>
      </c>
      <c r="Q75" s="104" t="e">
        <f t="shared" si="17"/>
        <v>#REF!</v>
      </c>
      <c r="R75" s="119" t="e">
        <f>Tree!#REF!</f>
        <v>#REF!</v>
      </c>
      <c r="S75" s="102" t="e">
        <f t="shared" si="18"/>
        <v>#REF!</v>
      </c>
      <c r="T75" s="80" t="s">
        <v>32</v>
      </c>
      <c r="U75" s="80" t="e">
        <f>Tree!#REF!</f>
        <v>#REF!</v>
      </c>
      <c r="V75" s="80"/>
      <c r="W75" s="104" t="e">
        <f>S75*U75</f>
        <v>#REF!</v>
      </c>
      <c r="X75" s="119" t="e">
        <f>Tree!#REF!</f>
        <v>#REF!</v>
      </c>
      <c r="Y75" s="102" t="e">
        <f t="shared" si="13"/>
        <v>#REF!</v>
      </c>
      <c r="Z75" s="80" t="s">
        <v>53</v>
      </c>
      <c r="AA75" s="80" t="e">
        <f>Tree!#REF!</f>
        <v>#REF!</v>
      </c>
      <c r="AB75" s="80"/>
      <c r="AC75" s="91" t="e">
        <f t="shared" si="19"/>
        <v>#REF!</v>
      </c>
      <c r="AD75" s="80" t="e">
        <f t="shared" si="20"/>
        <v>#REF!</v>
      </c>
    </row>
    <row r="76" spans="3:30">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23</v>
      </c>
      <c r="K76" s="90" t="e">
        <f>INDEX(Tree!#REF!,MATCH($J76,Tree!#REF!,0))</f>
        <v>#REF!</v>
      </c>
      <c r="L76" s="104" t="e">
        <f t="shared" si="12"/>
        <v>#REF!</v>
      </c>
      <c r="M76" s="90" t="e">
        <f>Tree!#REF!</f>
        <v>#REF!</v>
      </c>
      <c r="N76" s="102" t="e">
        <f t="shared" si="21"/>
        <v>#REF!</v>
      </c>
      <c r="O76" s="90" t="s">
        <v>28</v>
      </c>
      <c r="P76" s="90" t="e">
        <f>INDEX(Tree!#REF!,MATCH($O76,Tree!#REF!,0)+MATCH(Tree!#REF!,Tree!#REF!,0)-1)</f>
        <v>#REF!</v>
      </c>
      <c r="Q76" s="104" t="e">
        <f t="shared" si="17"/>
        <v>#REF!</v>
      </c>
      <c r="R76" s="119" t="e">
        <f>Tree!#REF!</f>
        <v>#REF!</v>
      </c>
      <c r="S76" s="102" t="e">
        <f t="shared" si="18"/>
        <v>#REF!</v>
      </c>
      <c r="T76" s="80" t="s">
        <v>32</v>
      </c>
      <c r="U76" s="80" t="e">
        <f>Tree!#REF!</f>
        <v>#REF!</v>
      </c>
      <c r="V76" s="80"/>
      <c r="W76" s="104" t="e">
        <f>S76*U76</f>
        <v>#REF!</v>
      </c>
      <c r="X76" s="119" t="e">
        <f>Tree!#REF!</f>
        <v>#REF!</v>
      </c>
      <c r="Y76" s="102" t="e">
        <f t="shared" si="13"/>
        <v>#REF!</v>
      </c>
      <c r="Z76" s="80" t="s">
        <v>116</v>
      </c>
      <c r="AA76" s="80" t="e">
        <f>Tree!#REF!</f>
        <v>#REF!</v>
      </c>
      <c r="AB76" s="80"/>
      <c r="AC76" s="91" t="e">
        <f t="shared" si="19"/>
        <v>#REF!</v>
      </c>
      <c r="AD76" s="80" t="e">
        <f t="shared" si="20"/>
        <v>#REF!</v>
      </c>
    </row>
    <row r="77" spans="3:30">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23</v>
      </c>
      <c r="K77" s="90" t="e">
        <f>INDEX(Tree!#REF!,MATCH($J77,Tree!#REF!,0))</f>
        <v>#REF!</v>
      </c>
      <c r="L77" s="104" t="e">
        <f t="shared" si="12"/>
        <v>#REF!</v>
      </c>
      <c r="M77" s="90" t="e">
        <f>Tree!#REF!</f>
        <v>#REF!</v>
      </c>
      <c r="N77" s="102" t="e">
        <f t="shared" si="21"/>
        <v>#REF!</v>
      </c>
      <c r="O77" s="90" t="s">
        <v>28</v>
      </c>
      <c r="P77" s="90" t="e">
        <f>INDEX(Tree!#REF!,MATCH($O77,Tree!#REF!,0)+MATCH(Tree!#REF!,Tree!#REF!,0)-1)</f>
        <v>#REF!</v>
      </c>
      <c r="Q77" s="104" t="e">
        <f t="shared" si="17"/>
        <v>#REF!</v>
      </c>
      <c r="R77" s="119" t="e">
        <f>Tree!#REF!</f>
        <v>#REF!</v>
      </c>
      <c r="S77" s="102" t="e">
        <f t="shared" si="18"/>
        <v>#REF!</v>
      </c>
      <c r="T77" s="80" t="s">
        <v>32</v>
      </c>
      <c r="U77" s="80" t="e">
        <f>Tree!#REF!</f>
        <v>#REF!</v>
      </c>
      <c r="V77" s="80"/>
      <c r="W77" s="104" t="e">
        <f>S77*U77</f>
        <v>#REF!</v>
      </c>
      <c r="X77" s="119" t="e">
        <f>Tree!#REF!</f>
        <v>#REF!</v>
      </c>
      <c r="Y77" s="102" t="e">
        <f t="shared" si="13"/>
        <v>#REF!</v>
      </c>
      <c r="Z77" s="80" t="s">
        <v>51</v>
      </c>
      <c r="AA77" s="80"/>
      <c r="AB77" s="80" t="e">
        <f>Tree!#REF!</f>
        <v>#REF!</v>
      </c>
      <c r="AC77" s="91" t="e">
        <f t="shared" si="19"/>
        <v>#REF!</v>
      </c>
      <c r="AD77" s="80" t="e">
        <f t="shared" si="20"/>
        <v>#REF!</v>
      </c>
    </row>
    <row r="78" spans="3:30">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23</v>
      </c>
      <c r="K78" s="90" t="e">
        <f>INDEX(Tree!#REF!,MATCH($J78,Tree!#REF!,0))</f>
        <v>#REF!</v>
      </c>
      <c r="L78" s="104" t="e">
        <f t="shared" si="12"/>
        <v>#REF!</v>
      </c>
      <c r="M78" s="90" t="e">
        <f>Tree!#REF!</f>
        <v>#REF!</v>
      </c>
      <c r="N78" s="102" t="e">
        <f t="shared" si="21"/>
        <v>#REF!</v>
      </c>
      <c r="O78" s="90" t="s">
        <v>28</v>
      </c>
      <c r="P78" s="90" t="e">
        <f>INDEX(Tree!#REF!,MATCH($O78,Tree!#REF!,0)+MATCH(Tree!#REF!,Tree!#REF!,0)-1)</f>
        <v>#REF!</v>
      </c>
      <c r="Q78" s="104" t="e">
        <f t="shared" si="17"/>
        <v>#REF!</v>
      </c>
      <c r="R78" s="119" t="e">
        <f>Tree!#REF!</f>
        <v>#REF!</v>
      </c>
      <c r="S78" s="102" t="e">
        <f t="shared" si="18"/>
        <v>#REF!</v>
      </c>
      <c r="T78" s="80" t="s">
        <v>32</v>
      </c>
      <c r="U78" s="80" t="e">
        <f>Tree!#REF!</f>
        <v>#REF!</v>
      </c>
      <c r="V78" s="80"/>
      <c r="W78" s="104" t="e">
        <f>S78*U78</f>
        <v>#REF!</v>
      </c>
      <c r="X78" s="119" t="e">
        <f>Tree!#REF!</f>
        <v>#REF!</v>
      </c>
      <c r="Y78" s="102" t="e">
        <f t="shared" si="13"/>
        <v>#REF!</v>
      </c>
      <c r="Z78" s="80" t="s">
        <v>52</v>
      </c>
      <c r="AA78" s="80"/>
      <c r="AB78" s="80" t="e">
        <f>Tree!#REF!</f>
        <v>#REF!</v>
      </c>
      <c r="AC78" s="91" t="e">
        <f t="shared" si="19"/>
        <v>#REF!</v>
      </c>
      <c r="AD78" s="80" t="e">
        <f t="shared" si="20"/>
        <v>#REF!</v>
      </c>
    </row>
    <row r="79" spans="3:30">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22</v>
      </c>
      <c r="K79" s="90" t="e">
        <f>INDEX(Tree!#REF!,MATCH($J79,Tree!#REF!,0))</f>
        <v>#REF!</v>
      </c>
      <c r="L79" s="104" t="e">
        <f t="shared" si="12"/>
        <v>#REF!</v>
      </c>
      <c r="M79" s="90" t="e">
        <f>Tree!#REF!</f>
        <v>#REF!</v>
      </c>
      <c r="N79" s="102" t="e">
        <f t="shared" si="21"/>
        <v>#REF!</v>
      </c>
      <c r="O79" s="90" t="s">
        <v>30</v>
      </c>
      <c r="P79" s="90" t="e">
        <f>INDEX(Tree!#REF!,MATCH($O79,Tree!#REF!,0)+MATCH(Tree!#REF!,Tree!#REF!,0)-1)</f>
        <v>#REF!</v>
      </c>
      <c r="Q79" s="104" t="e">
        <f t="shared" si="17"/>
        <v>#REF!</v>
      </c>
      <c r="R79" s="119" t="e">
        <f>Tree!#REF!</f>
        <v>#REF!</v>
      </c>
      <c r="S79" s="102" t="e">
        <f t="shared" si="18"/>
        <v>#REF!</v>
      </c>
      <c r="T79" s="80" t="s">
        <v>31</v>
      </c>
      <c r="U79" s="80"/>
      <c r="V79" s="80" t="e">
        <f>Tree!#REF!</f>
        <v>#REF!</v>
      </c>
      <c r="W79" s="104"/>
      <c r="X79" s="119"/>
      <c r="Y79" s="102">
        <f t="shared" si="13"/>
        <v>0</v>
      </c>
      <c r="Z79" s="80"/>
      <c r="AA79" s="80"/>
      <c r="AB79" s="80"/>
      <c r="AC79" s="91" t="e">
        <f t="shared" si="19"/>
        <v>#REF!</v>
      </c>
      <c r="AD79" s="80">
        <f t="shared" si="20"/>
        <v>0</v>
      </c>
    </row>
    <row r="80" spans="3:30">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22</v>
      </c>
      <c r="K80" s="90" t="e">
        <f>INDEX(Tree!#REF!,MATCH($J80,Tree!#REF!,0))</f>
        <v>#REF!</v>
      </c>
      <c r="L80" s="104" t="e">
        <f t="shared" si="12"/>
        <v>#REF!</v>
      </c>
      <c r="M80" s="90" t="e">
        <f>Tree!#REF!</f>
        <v>#REF!</v>
      </c>
      <c r="N80" s="102" t="e">
        <f t="shared" si="21"/>
        <v>#REF!</v>
      </c>
      <c r="O80" s="90" t="s">
        <v>30</v>
      </c>
      <c r="P80" s="90" t="e">
        <f>INDEX(Tree!#REF!,MATCH($O80,Tree!#REF!,0)+MATCH(Tree!#REF!,Tree!#REF!,0)-1)</f>
        <v>#REF!</v>
      </c>
      <c r="Q80" s="104" t="e">
        <f t="shared" si="17"/>
        <v>#REF!</v>
      </c>
      <c r="R80" s="119" t="e">
        <f>Tree!#REF!</f>
        <v>#REF!</v>
      </c>
      <c r="S80" s="102" t="e">
        <f t="shared" si="18"/>
        <v>#REF!</v>
      </c>
      <c r="T80" s="80" t="s">
        <v>32</v>
      </c>
      <c r="U80" s="80" t="e">
        <f>Tree!#REF!</f>
        <v>#REF!</v>
      </c>
      <c r="V80" s="80"/>
      <c r="W80" s="104" t="e">
        <f>S80*U80</f>
        <v>#REF!</v>
      </c>
      <c r="X80" s="119" t="e">
        <f>Tree!#REF!</f>
        <v>#REF!</v>
      </c>
      <c r="Y80" s="102" t="e">
        <f t="shared" si="13"/>
        <v>#REF!</v>
      </c>
      <c r="Z80" s="80" t="s">
        <v>53</v>
      </c>
      <c r="AA80" s="80" t="e">
        <f>Tree!#REF!</f>
        <v>#REF!</v>
      </c>
      <c r="AB80" s="80"/>
      <c r="AC80" s="91" t="e">
        <f t="shared" si="19"/>
        <v>#REF!</v>
      </c>
      <c r="AD80" s="80" t="e">
        <f t="shared" si="20"/>
        <v>#REF!</v>
      </c>
    </row>
    <row r="81" spans="3:30">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22</v>
      </c>
      <c r="K81" s="90" t="e">
        <f>INDEX(Tree!#REF!,MATCH($J81,Tree!#REF!,0))</f>
        <v>#REF!</v>
      </c>
      <c r="L81" s="104" t="e">
        <f t="shared" si="12"/>
        <v>#REF!</v>
      </c>
      <c r="M81" s="90" t="e">
        <f>Tree!#REF!</f>
        <v>#REF!</v>
      </c>
      <c r="N81" s="102" t="e">
        <f t="shared" si="21"/>
        <v>#REF!</v>
      </c>
      <c r="O81" s="90" t="s">
        <v>30</v>
      </c>
      <c r="P81" s="90" t="e">
        <f>INDEX(Tree!#REF!,MATCH($O81,Tree!#REF!,0)+MATCH(Tree!#REF!,Tree!#REF!,0)-1)</f>
        <v>#REF!</v>
      </c>
      <c r="Q81" s="104" t="e">
        <f t="shared" si="17"/>
        <v>#REF!</v>
      </c>
      <c r="R81" s="119" t="e">
        <f>Tree!#REF!</f>
        <v>#REF!</v>
      </c>
      <c r="S81" s="102" t="e">
        <f t="shared" si="18"/>
        <v>#REF!</v>
      </c>
      <c r="T81" s="80" t="s">
        <v>32</v>
      </c>
      <c r="U81" s="80" t="e">
        <f>Tree!#REF!</f>
        <v>#REF!</v>
      </c>
      <c r="V81" s="80"/>
      <c r="W81" s="104" t="e">
        <f>S81*U81</f>
        <v>#REF!</v>
      </c>
      <c r="X81" s="119" t="e">
        <f>Tree!#REF!</f>
        <v>#REF!</v>
      </c>
      <c r="Y81" s="102" t="e">
        <f t="shared" si="13"/>
        <v>#REF!</v>
      </c>
      <c r="Z81" s="80" t="s">
        <v>116</v>
      </c>
      <c r="AA81" s="80" t="e">
        <f>Tree!#REF!</f>
        <v>#REF!</v>
      </c>
      <c r="AB81" s="80"/>
      <c r="AC81" s="91" t="e">
        <f t="shared" si="19"/>
        <v>#REF!</v>
      </c>
      <c r="AD81" s="80" t="e">
        <f t="shared" si="20"/>
        <v>#REF!</v>
      </c>
    </row>
    <row r="82" spans="3:30">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22</v>
      </c>
      <c r="K82" s="90" t="e">
        <f>INDEX(Tree!#REF!,MATCH($J82,Tree!#REF!,0))</f>
        <v>#REF!</v>
      </c>
      <c r="L82" s="104" t="e">
        <f t="shared" si="12"/>
        <v>#REF!</v>
      </c>
      <c r="M82" s="90" t="e">
        <f>Tree!#REF!</f>
        <v>#REF!</v>
      </c>
      <c r="N82" s="102" t="e">
        <f t="shared" si="21"/>
        <v>#REF!</v>
      </c>
      <c r="O82" s="90" t="s">
        <v>30</v>
      </c>
      <c r="P82" s="90" t="e">
        <f>INDEX(Tree!#REF!,MATCH($O82,Tree!#REF!,0)+MATCH(Tree!#REF!,Tree!#REF!,0)-1)</f>
        <v>#REF!</v>
      </c>
      <c r="Q82" s="104" t="e">
        <f t="shared" si="17"/>
        <v>#REF!</v>
      </c>
      <c r="R82" s="119" t="e">
        <f>Tree!#REF!</f>
        <v>#REF!</v>
      </c>
      <c r="S82" s="102" t="e">
        <f t="shared" si="18"/>
        <v>#REF!</v>
      </c>
      <c r="T82" s="80" t="s">
        <v>32</v>
      </c>
      <c r="U82" s="80" t="e">
        <f>Tree!#REF!</f>
        <v>#REF!</v>
      </c>
      <c r="V82" s="80"/>
      <c r="W82" s="104" t="e">
        <f>S82*U82</f>
        <v>#REF!</v>
      </c>
      <c r="X82" s="119" t="e">
        <f>Tree!#REF!</f>
        <v>#REF!</v>
      </c>
      <c r="Y82" s="102" t="e">
        <f t="shared" si="13"/>
        <v>#REF!</v>
      </c>
      <c r="Z82" s="80" t="s">
        <v>51</v>
      </c>
      <c r="AA82" s="80"/>
      <c r="AB82" s="80" t="e">
        <f>Tree!#REF!</f>
        <v>#REF!</v>
      </c>
      <c r="AC82" s="91" t="e">
        <f t="shared" si="19"/>
        <v>#REF!</v>
      </c>
      <c r="AD82" s="80" t="e">
        <f t="shared" si="20"/>
        <v>#REF!</v>
      </c>
    </row>
    <row r="83" spans="3:30">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22</v>
      </c>
      <c r="K83" s="90" t="e">
        <f>INDEX(Tree!#REF!,MATCH($J83,Tree!#REF!,0))</f>
        <v>#REF!</v>
      </c>
      <c r="L83" s="104" t="e">
        <f t="shared" si="12"/>
        <v>#REF!</v>
      </c>
      <c r="M83" s="90" t="e">
        <f>Tree!#REF!</f>
        <v>#REF!</v>
      </c>
      <c r="N83" s="102" t="e">
        <f t="shared" si="21"/>
        <v>#REF!</v>
      </c>
      <c r="O83" s="90" t="s">
        <v>30</v>
      </c>
      <c r="P83" s="90" t="e">
        <f>INDEX(Tree!#REF!,MATCH($O83,Tree!#REF!,0)+MATCH(Tree!#REF!,Tree!#REF!,0)-1)</f>
        <v>#REF!</v>
      </c>
      <c r="Q83" s="104" t="e">
        <f t="shared" si="17"/>
        <v>#REF!</v>
      </c>
      <c r="R83" s="119" t="e">
        <f>Tree!#REF!</f>
        <v>#REF!</v>
      </c>
      <c r="S83" s="102" t="e">
        <f t="shared" si="18"/>
        <v>#REF!</v>
      </c>
      <c r="T83" s="80" t="s">
        <v>32</v>
      </c>
      <c r="U83" s="80" t="e">
        <f>Tree!#REF!</f>
        <v>#REF!</v>
      </c>
      <c r="V83" s="80"/>
      <c r="W83" s="104" t="e">
        <f>S83*U83</f>
        <v>#REF!</v>
      </c>
      <c r="X83" s="119" t="e">
        <f>Tree!#REF!</f>
        <v>#REF!</v>
      </c>
      <c r="Y83" s="102" t="e">
        <f t="shared" si="13"/>
        <v>#REF!</v>
      </c>
      <c r="Z83" s="80" t="s">
        <v>52</v>
      </c>
      <c r="AA83" s="80"/>
      <c r="AB83" s="80" t="e">
        <f>Tree!#REF!</f>
        <v>#REF!</v>
      </c>
      <c r="AC83" s="91" t="e">
        <f t="shared" si="19"/>
        <v>#REF!</v>
      </c>
      <c r="AD83" s="80" t="e">
        <f t="shared" si="20"/>
        <v>#REF!</v>
      </c>
    </row>
    <row r="84" spans="3:30">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22</v>
      </c>
      <c r="K84" s="90" t="e">
        <f>INDEX(Tree!#REF!,MATCH($J84,Tree!#REF!,0))</f>
        <v>#REF!</v>
      </c>
      <c r="L84" s="104" t="e">
        <f t="shared" si="12"/>
        <v>#REF!</v>
      </c>
      <c r="M84" s="90" t="e">
        <f>Tree!#REF!</f>
        <v>#REF!</v>
      </c>
      <c r="N84" s="102" t="e">
        <f t="shared" si="21"/>
        <v>#REF!</v>
      </c>
      <c r="O84" s="90" t="s">
        <v>26</v>
      </c>
      <c r="P84" s="90" t="e">
        <f>INDEX(Tree!#REF!,MATCH($O84,Tree!#REF!,0)+MATCH(Tree!#REF!,Tree!#REF!,0)-1)</f>
        <v>#REF!</v>
      </c>
      <c r="Q84" s="104" t="e">
        <f t="shared" si="17"/>
        <v>#REF!</v>
      </c>
      <c r="R84" s="119" t="e">
        <f>Tree!#REF!</f>
        <v>#REF!</v>
      </c>
      <c r="S84" s="102" t="e">
        <f t="shared" si="18"/>
        <v>#REF!</v>
      </c>
      <c r="T84" s="80" t="s">
        <v>31</v>
      </c>
      <c r="U84" s="80"/>
      <c r="V84" s="80" t="e">
        <f>Tree!#REF!</f>
        <v>#REF!</v>
      </c>
      <c r="W84" s="104"/>
      <c r="X84" s="119"/>
      <c r="Y84" s="102">
        <f t="shared" si="13"/>
        <v>0</v>
      </c>
      <c r="Z84" s="80"/>
      <c r="AA84" s="80"/>
      <c r="AB84" s="80"/>
      <c r="AC84" s="91" t="e">
        <f t="shared" si="19"/>
        <v>#REF!</v>
      </c>
      <c r="AD84" s="80">
        <f t="shared" si="20"/>
        <v>0</v>
      </c>
    </row>
    <row r="85" spans="3:30">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22</v>
      </c>
      <c r="K85" s="90" t="e">
        <f>INDEX(Tree!#REF!,MATCH($J85,Tree!#REF!,0))</f>
        <v>#REF!</v>
      </c>
      <c r="L85" s="104" t="e">
        <f t="shared" si="12"/>
        <v>#REF!</v>
      </c>
      <c r="M85" s="90" t="e">
        <f>Tree!#REF!</f>
        <v>#REF!</v>
      </c>
      <c r="N85" s="102" t="e">
        <f t="shared" si="21"/>
        <v>#REF!</v>
      </c>
      <c r="O85" s="90" t="s">
        <v>26</v>
      </c>
      <c r="P85" s="90" t="e">
        <f>INDEX(Tree!#REF!,MATCH($O85,Tree!#REF!,0)+MATCH(Tree!#REF!,Tree!#REF!,0)-1)</f>
        <v>#REF!</v>
      </c>
      <c r="Q85" s="104" t="e">
        <f t="shared" si="17"/>
        <v>#REF!</v>
      </c>
      <c r="R85" s="119" t="e">
        <f>Tree!#REF!</f>
        <v>#REF!</v>
      </c>
      <c r="S85" s="102" t="e">
        <f t="shared" si="18"/>
        <v>#REF!</v>
      </c>
      <c r="T85" s="80" t="s">
        <v>32</v>
      </c>
      <c r="U85" s="80" t="e">
        <f>Tree!#REF!</f>
        <v>#REF!</v>
      </c>
      <c r="V85" s="80"/>
      <c r="W85" s="104" t="e">
        <f>S85*U85</f>
        <v>#REF!</v>
      </c>
      <c r="X85" s="119" t="e">
        <f>Tree!#REF!</f>
        <v>#REF!</v>
      </c>
      <c r="Y85" s="102" t="e">
        <f t="shared" si="13"/>
        <v>#REF!</v>
      </c>
      <c r="Z85" s="80" t="s">
        <v>53</v>
      </c>
      <c r="AA85" s="80" t="e">
        <f>Tree!#REF!</f>
        <v>#REF!</v>
      </c>
      <c r="AB85" s="80"/>
      <c r="AC85" s="91" t="e">
        <f t="shared" si="19"/>
        <v>#REF!</v>
      </c>
      <c r="AD85" s="80" t="e">
        <f t="shared" si="20"/>
        <v>#REF!</v>
      </c>
    </row>
    <row r="86" spans="3:30">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22</v>
      </c>
      <c r="K86" s="90" t="e">
        <f>INDEX(Tree!#REF!,MATCH($J86,Tree!#REF!,0))</f>
        <v>#REF!</v>
      </c>
      <c r="L86" s="104" t="e">
        <f t="shared" si="12"/>
        <v>#REF!</v>
      </c>
      <c r="M86" s="90" t="e">
        <f>Tree!#REF!</f>
        <v>#REF!</v>
      </c>
      <c r="N86" s="102" t="e">
        <f t="shared" si="21"/>
        <v>#REF!</v>
      </c>
      <c r="O86" s="90" t="s">
        <v>26</v>
      </c>
      <c r="P86" s="90" t="e">
        <f>INDEX(Tree!#REF!,MATCH($O86,Tree!#REF!,0)+MATCH(Tree!#REF!,Tree!#REF!,0)-1)</f>
        <v>#REF!</v>
      </c>
      <c r="Q86" s="104" t="e">
        <f t="shared" si="17"/>
        <v>#REF!</v>
      </c>
      <c r="R86" s="119" t="e">
        <f>Tree!#REF!</f>
        <v>#REF!</v>
      </c>
      <c r="S86" s="102" t="e">
        <f t="shared" si="18"/>
        <v>#REF!</v>
      </c>
      <c r="T86" s="80" t="s">
        <v>32</v>
      </c>
      <c r="U86" s="80" t="e">
        <f>Tree!#REF!</f>
        <v>#REF!</v>
      </c>
      <c r="V86" s="80"/>
      <c r="W86" s="104" t="e">
        <f>S86*U86</f>
        <v>#REF!</v>
      </c>
      <c r="X86" s="119" t="e">
        <f>Tree!#REF!</f>
        <v>#REF!</v>
      </c>
      <c r="Y86" s="102" t="e">
        <f t="shared" si="13"/>
        <v>#REF!</v>
      </c>
      <c r="Z86" s="80" t="s">
        <v>116</v>
      </c>
      <c r="AA86" s="80" t="e">
        <f>Tree!#REF!</f>
        <v>#REF!</v>
      </c>
      <c r="AB86" s="80"/>
      <c r="AC86" s="91" t="e">
        <f t="shared" si="19"/>
        <v>#REF!</v>
      </c>
      <c r="AD86" s="80" t="e">
        <f t="shared" si="20"/>
        <v>#REF!</v>
      </c>
    </row>
    <row r="87" spans="3:30">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22</v>
      </c>
      <c r="K87" s="90" t="e">
        <f>INDEX(Tree!#REF!,MATCH($J87,Tree!#REF!,0))</f>
        <v>#REF!</v>
      </c>
      <c r="L87" s="104" t="e">
        <f t="shared" si="12"/>
        <v>#REF!</v>
      </c>
      <c r="M87" s="90" t="e">
        <f>Tree!#REF!</f>
        <v>#REF!</v>
      </c>
      <c r="N87" s="102" t="e">
        <f t="shared" si="21"/>
        <v>#REF!</v>
      </c>
      <c r="O87" s="90" t="s">
        <v>26</v>
      </c>
      <c r="P87" s="90" t="e">
        <f>INDEX(Tree!#REF!,MATCH($O87,Tree!#REF!,0)+MATCH(Tree!#REF!,Tree!#REF!,0)-1)</f>
        <v>#REF!</v>
      </c>
      <c r="Q87" s="104" t="e">
        <f t="shared" si="17"/>
        <v>#REF!</v>
      </c>
      <c r="R87" s="119" t="e">
        <f>Tree!#REF!</f>
        <v>#REF!</v>
      </c>
      <c r="S87" s="102" t="e">
        <f t="shared" si="18"/>
        <v>#REF!</v>
      </c>
      <c r="T87" s="80" t="s">
        <v>32</v>
      </c>
      <c r="U87" s="80" t="e">
        <f>Tree!#REF!</f>
        <v>#REF!</v>
      </c>
      <c r="V87" s="80"/>
      <c r="W87" s="104" t="e">
        <f>S87*U87</f>
        <v>#REF!</v>
      </c>
      <c r="X87" s="119" t="e">
        <f>Tree!#REF!</f>
        <v>#REF!</v>
      </c>
      <c r="Y87" s="102" t="e">
        <f t="shared" si="13"/>
        <v>#REF!</v>
      </c>
      <c r="Z87" s="80" t="s">
        <v>51</v>
      </c>
      <c r="AA87" s="80"/>
      <c r="AB87" s="80" t="e">
        <f>Tree!#REF!</f>
        <v>#REF!</v>
      </c>
      <c r="AC87" s="91" t="e">
        <f t="shared" si="19"/>
        <v>#REF!</v>
      </c>
      <c r="AD87" s="80" t="e">
        <f t="shared" si="20"/>
        <v>#REF!</v>
      </c>
    </row>
    <row r="88" spans="3:30">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22</v>
      </c>
      <c r="K88" s="90" t="e">
        <f>INDEX(Tree!#REF!,MATCH($J88,Tree!#REF!,0))</f>
        <v>#REF!</v>
      </c>
      <c r="L88" s="104" t="e">
        <f t="shared" si="12"/>
        <v>#REF!</v>
      </c>
      <c r="M88" s="90" t="e">
        <f>Tree!#REF!</f>
        <v>#REF!</v>
      </c>
      <c r="N88" s="102" t="e">
        <f t="shared" si="21"/>
        <v>#REF!</v>
      </c>
      <c r="O88" s="90" t="s">
        <v>26</v>
      </c>
      <c r="P88" s="90" t="e">
        <f>INDEX(Tree!#REF!,MATCH($O88,Tree!#REF!,0)+MATCH(Tree!#REF!,Tree!#REF!,0)-1)</f>
        <v>#REF!</v>
      </c>
      <c r="Q88" s="104" t="e">
        <f t="shared" si="17"/>
        <v>#REF!</v>
      </c>
      <c r="R88" s="119" t="e">
        <f>Tree!#REF!</f>
        <v>#REF!</v>
      </c>
      <c r="S88" s="102" t="e">
        <f t="shared" si="18"/>
        <v>#REF!</v>
      </c>
      <c r="T88" s="80" t="s">
        <v>32</v>
      </c>
      <c r="U88" s="80" t="e">
        <f>Tree!#REF!</f>
        <v>#REF!</v>
      </c>
      <c r="V88" s="80"/>
      <c r="W88" s="104" t="e">
        <f>S88*U88</f>
        <v>#REF!</v>
      </c>
      <c r="X88" s="119" t="e">
        <f>Tree!#REF!</f>
        <v>#REF!</v>
      </c>
      <c r="Y88" s="102" t="e">
        <f t="shared" si="13"/>
        <v>#REF!</v>
      </c>
      <c r="Z88" s="80" t="s">
        <v>52</v>
      </c>
      <c r="AA88" s="80"/>
      <c r="AB88" s="80" t="e">
        <f>Tree!#REF!</f>
        <v>#REF!</v>
      </c>
      <c r="AC88" s="91" t="e">
        <f t="shared" si="19"/>
        <v>#REF!</v>
      </c>
      <c r="AD88" s="80" t="e">
        <f t="shared" si="20"/>
        <v>#REF!</v>
      </c>
    </row>
    <row r="89" spans="3:30">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22</v>
      </c>
      <c r="K89" s="90" t="e">
        <f>INDEX(Tree!#REF!,MATCH($J89,Tree!#REF!,0))</f>
        <v>#REF!</v>
      </c>
      <c r="L89" s="104" t="e">
        <f t="shared" si="12"/>
        <v>#REF!</v>
      </c>
      <c r="M89" s="90" t="e">
        <f>Tree!#REF!</f>
        <v>#REF!</v>
      </c>
      <c r="N89" s="102" t="e">
        <f t="shared" si="21"/>
        <v>#REF!</v>
      </c>
      <c r="O89" s="90" t="s">
        <v>27</v>
      </c>
      <c r="P89" s="90" t="e">
        <f>INDEX(Tree!#REF!,MATCH($O89,Tree!#REF!,0)+MATCH(Tree!#REF!,Tree!#REF!,0)-1)</f>
        <v>#REF!</v>
      </c>
      <c r="Q89" s="104" t="e">
        <f t="shared" si="17"/>
        <v>#REF!</v>
      </c>
      <c r="R89" s="119" t="e">
        <f>Tree!#REF!</f>
        <v>#REF!</v>
      </c>
      <c r="S89" s="102" t="e">
        <f t="shared" si="18"/>
        <v>#REF!</v>
      </c>
      <c r="T89" s="80" t="s">
        <v>31</v>
      </c>
      <c r="U89" s="80"/>
      <c r="V89" s="80" t="e">
        <f>Tree!#REF!</f>
        <v>#REF!</v>
      </c>
      <c r="W89" s="104"/>
      <c r="X89" s="119"/>
      <c r="Y89" s="102">
        <f t="shared" si="13"/>
        <v>0</v>
      </c>
      <c r="Z89" s="80"/>
      <c r="AA89" s="80"/>
      <c r="AB89" s="80"/>
      <c r="AC89" s="91" t="e">
        <f t="shared" si="19"/>
        <v>#REF!</v>
      </c>
      <c r="AD89" s="80">
        <f t="shared" si="20"/>
        <v>0</v>
      </c>
    </row>
    <row r="90" spans="3:30">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22</v>
      </c>
      <c r="K90" s="90" t="e">
        <f>INDEX(Tree!#REF!,MATCH($J90,Tree!#REF!,0))</f>
        <v>#REF!</v>
      </c>
      <c r="L90" s="104" t="e">
        <f t="shared" si="12"/>
        <v>#REF!</v>
      </c>
      <c r="M90" s="90" t="e">
        <f>Tree!#REF!</f>
        <v>#REF!</v>
      </c>
      <c r="N90" s="102" t="e">
        <f t="shared" si="21"/>
        <v>#REF!</v>
      </c>
      <c r="O90" s="90" t="s">
        <v>27</v>
      </c>
      <c r="P90" s="90" t="e">
        <f>INDEX(Tree!#REF!,MATCH($O90,Tree!#REF!,0)+MATCH(Tree!#REF!,Tree!#REF!,0)-1)</f>
        <v>#REF!</v>
      </c>
      <c r="Q90" s="104" t="e">
        <f t="shared" si="17"/>
        <v>#REF!</v>
      </c>
      <c r="R90" s="119" t="e">
        <f>Tree!#REF!</f>
        <v>#REF!</v>
      </c>
      <c r="S90" s="102" t="e">
        <f t="shared" si="18"/>
        <v>#REF!</v>
      </c>
      <c r="T90" s="80" t="s">
        <v>32</v>
      </c>
      <c r="U90" s="80" t="e">
        <f>Tree!#REF!</f>
        <v>#REF!</v>
      </c>
      <c r="V90" s="80"/>
      <c r="W90" s="104" t="e">
        <f>S90*U90</f>
        <v>#REF!</v>
      </c>
      <c r="X90" s="119" t="e">
        <f>Tree!#REF!</f>
        <v>#REF!</v>
      </c>
      <c r="Y90" s="102" t="e">
        <f t="shared" si="13"/>
        <v>#REF!</v>
      </c>
      <c r="Z90" s="80" t="s">
        <v>53</v>
      </c>
      <c r="AA90" s="80" t="e">
        <f>Tree!#REF!</f>
        <v>#REF!</v>
      </c>
      <c r="AB90" s="80"/>
      <c r="AC90" s="91" t="e">
        <f t="shared" si="19"/>
        <v>#REF!</v>
      </c>
      <c r="AD90" s="80" t="e">
        <f t="shared" si="20"/>
        <v>#REF!</v>
      </c>
    </row>
    <row r="91" spans="3:30">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22</v>
      </c>
      <c r="K91" s="90" t="e">
        <f>INDEX(Tree!#REF!,MATCH($J91,Tree!#REF!,0))</f>
        <v>#REF!</v>
      </c>
      <c r="L91" s="104" t="e">
        <f t="shared" si="12"/>
        <v>#REF!</v>
      </c>
      <c r="M91" s="90" t="e">
        <f>Tree!#REF!</f>
        <v>#REF!</v>
      </c>
      <c r="N91" s="102" t="e">
        <f t="shared" si="21"/>
        <v>#REF!</v>
      </c>
      <c r="O91" s="90" t="s">
        <v>27</v>
      </c>
      <c r="P91" s="90" t="e">
        <f>INDEX(Tree!#REF!,MATCH($O91,Tree!#REF!,0)+MATCH(Tree!#REF!,Tree!#REF!,0)-1)</f>
        <v>#REF!</v>
      </c>
      <c r="Q91" s="104" t="e">
        <f t="shared" si="17"/>
        <v>#REF!</v>
      </c>
      <c r="R91" s="119" t="e">
        <f>Tree!#REF!</f>
        <v>#REF!</v>
      </c>
      <c r="S91" s="102" t="e">
        <f t="shared" si="18"/>
        <v>#REF!</v>
      </c>
      <c r="T91" s="80" t="s">
        <v>32</v>
      </c>
      <c r="U91" s="80" t="e">
        <f>Tree!#REF!</f>
        <v>#REF!</v>
      </c>
      <c r="V91" s="80"/>
      <c r="W91" s="104" t="e">
        <f>S91*U91</f>
        <v>#REF!</v>
      </c>
      <c r="X91" s="119" t="e">
        <f>Tree!#REF!</f>
        <v>#REF!</v>
      </c>
      <c r="Y91" s="102" t="e">
        <f t="shared" si="13"/>
        <v>#REF!</v>
      </c>
      <c r="Z91" s="80" t="s">
        <v>116</v>
      </c>
      <c r="AA91" s="80" t="e">
        <f>Tree!#REF!</f>
        <v>#REF!</v>
      </c>
      <c r="AB91" s="80"/>
      <c r="AC91" s="91" t="e">
        <f t="shared" si="19"/>
        <v>#REF!</v>
      </c>
      <c r="AD91" s="80" t="e">
        <f t="shared" si="20"/>
        <v>#REF!</v>
      </c>
    </row>
    <row r="92" spans="3:30">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22</v>
      </c>
      <c r="K92" s="90" t="e">
        <f>INDEX(Tree!#REF!,MATCH($J92,Tree!#REF!,0))</f>
        <v>#REF!</v>
      </c>
      <c r="L92" s="104" t="e">
        <f t="shared" si="12"/>
        <v>#REF!</v>
      </c>
      <c r="M92" s="90" t="e">
        <f>Tree!#REF!</f>
        <v>#REF!</v>
      </c>
      <c r="N92" s="102" t="e">
        <f t="shared" si="21"/>
        <v>#REF!</v>
      </c>
      <c r="O92" s="90" t="s">
        <v>27</v>
      </c>
      <c r="P92" s="90" t="e">
        <f>INDEX(Tree!#REF!,MATCH($O92,Tree!#REF!,0)+MATCH(Tree!#REF!,Tree!#REF!,0)-1)</f>
        <v>#REF!</v>
      </c>
      <c r="Q92" s="104" t="e">
        <f t="shared" si="17"/>
        <v>#REF!</v>
      </c>
      <c r="R92" s="119" t="e">
        <f>Tree!#REF!</f>
        <v>#REF!</v>
      </c>
      <c r="S92" s="102" t="e">
        <f t="shared" si="18"/>
        <v>#REF!</v>
      </c>
      <c r="T92" s="80" t="s">
        <v>32</v>
      </c>
      <c r="U92" s="80" t="e">
        <f>Tree!#REF!</f>
        <v>#REF!</v>
      </c>
      <c r="V92" s="80"/>
      <c r="W92" s="104" t="e">
        <f>S92*U92</f>
        <v>#REF!</v>
      </c>
      <c r="X92" s="119" t="e">
        <f>Tree!#REF!</f>
        <v>#REF!</v>
      </c>
      <c r="Y92" s="102" t="e">
        <f t="shared" si="13"/>
        <v>#REF!</v>
      </c>
      <c r="Z92" s="80" t="s">
        <v>51</v>
      </c>
      <c r="AA92" s="80"/>
      <c r="AB92" s="80" t="e">
        <f>Tree!#REF!</f>
        <v>#REF!</v>
      </c>
      <c r="AC92" s="91" t="e">
        <f t="shared" si="19"/>
        <v>#REF!</v>
      </c>
      <c r="AD92" s="80" t="e">
        <f t="shared" si="20"/>
        <v>#REF!</v>
      </c>
    </row>
    <row r="93" spans="3:30">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22</v>
      </c>
      <c r="K93" s="90" t="e">
        <f>INDEX(Tree!#REF!,MATCH($J93,Tree!#REF!,0))</f>
        <v>#REF!</v>
      </c>
      <c r="L93" s="104" t="e">
        <f t="shared" si="12"/>
        <v>#REF!</v>
      </c>
      <c r="M93" s="90" t="e">
        <f>Tree!#REF!</f>
        <v>#REF!</v>
      </c>
      <c r="N93" s="102" t="e">
        <f t="shared" si="21"/>
        <v>#REF!</v>
      </c>
      <c r="O93" s="90" t="s">
        <v>27</v>
      </c>
      <c r="P93" s="90" t="e">
        <f>INDEX(Tree!#REF!,MATCH($O93,Tree!#REF!,0)+MATCH(Tree!#REF!,Tree!#REF!,0)-1)</f>
        <v>#REF!</v>
      </c>
      <c r="Q93" s="104" t="e">
        <f t="shared" si="17"/>
        <v>#REF!</v>
      </c>
      <c r="R93" s="119" t="e">
        <f>Tree!#REF!</f>
        <v>#REF!</v>
      </c>
      <c r="S93" s="102" t="e">
        <f t="shared" si="18"/>
        <v>#REF!</v>
      </c>
      <c r="T93" s="80" t="s">
        <v>32</v>
      </c>
      <c r="U93" s="80" t="e">
        <f>Tree!#REF!</f>
        <v>#REF!</v>
      </c>
      <c r="V93" s="80"/>
      <c r="W93" s="104" t="e">
        <f>S93*U93</f>
        <v>#REF!</v>
      </c>
      <c r="X93" s="119" t="e">
        <f>Tree!#REF!</f>
        <v>#REF!</v>
      </c>
      <c r="Y93" s="102" t="e">
        <f t="shared" si="13"/>
        <v>#REF!</v>
      </c>
      <c r="Z93" s="80" t="s">
        <v>52</v>
      </c>
      <c r="AA93" s="80"/>
      <c r="AB93" s="80" t="e">
        <f>Tree!#REF!</f>
        <v>#REF!</v>
      </c>
      <c r="AC93" s="91" t="e">
        <f t="shared" si="19"/>
        <v>#REF!</v>
      </c>
      <c r="AD93" s="80" t="e">
        <f t="shared" si="20"/>
        <v>#REF!</v>
      </c>
    </row>
    <row r="94" spans="3:30">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22</v>
      </c>
      <c r="K94" s="90" t="e">
        <f>INDEX(Tree!#REF!,MATCH($J94,Tree!#REF!,0))</f>
        <v>#REF!</v>
      </c>
      <c r="L94" s="104" t="e">
        <f t="shared" si="12"/>
        <v>#REF!</v>
      </c>
      <c r="M94" s="90" t="e">
        <f>Tree!#REF!</f>
        <v>#REF!</v>
      </c>
      <c r="N94" s="102" t="e">
        <f t="shared" si="21"/>
        <v>#REF!</v>
      </c>
      <c r="O94" s="90" t="s">
        <v>29</v>
      </c>
      <c r="P94" s="90" t="e">
        <f>INDEX(Tree!#REF!,MATCH($O94,Tree!#REF!,0)+MATCH(Tree!#REF!,Tree!#REF!,0)-1)</f>
        <v>#REF!</v>
      </c>
      <c r="Q94" s="104" t="e">
        <f t="shared" si="17"/>
        <v>#REF!</v>
      </c>
      <c r="R94" s="119" t="e">
        <f>Tree!#REF!</f>
        <v>#REF!</v>
      </c>
      <c r="S94" s="102" t="e">
        <f t="shared" si="18"/>
        <v>#REF!</v>
      </c>
      <c r="T94" s="80" t="s">
        <v>31</v>
      </c>
      <c r="U94" s="80"/>
      <c r="V94" s="80" t="e">
        <f>Tree!#REF!</f>
        <v>#REF!</v>
      </c>
      <c r="W94" s="104"/>
      <c r="X94" s="119"/>
      <c r="Y94" s="102">
        <f t="shared" si="13"/>
        <v>0</v>
      </c>
      <c r="Z94" s="80"/>
      <c r="AA94" s="80"/>
      <c r="AB94" s="80"/>
      <c r="AC94" s="91" t="e">
        <f t="shared" si="19"/>
        <v>#REF!</v>
      </c>
      <c r="AD94" s="80">
        <f t="shared" si="20"/>
        <v>0</v>
      </c>
    </row>
    <row r="95" spans="3:30">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22</v>
      </c>
      <c r="K95" s="90" t="e">
        <f>INDEX(Tree!#REF!,MATCH($J95,Tree!#REF!,0))</f>
        <v>#REF!</v>
      </c>
      <c r="L95" s="104" t="e">
        <f t="shared" si="12"/>
        <v>#REF!</v>
      </c>
      <c r="M95" s="90" t="e">
        <f>Tree!#REF!</f>
        <v>#REF!</v>
      </c>
      <c r="N95" s="102" t="e">
        <f t="shared" si="21"/>
        <v>#REF!</v>
      </c>
      <c r="O95" s="90" t="s">
        <v>29</v>
      </c>
      <c r="P95" s="90" t="e">
        <f>INDEX(Tree!#REF!,MATCH($O95,Tree!#REF!,0)+MATCH(Tree!#REF!,Tree!#REF!,0)-1)</f>
        <v>#REF!</v>
      </c>
      <c r="Q95" s="104" t="e">
        <f t="shared" si="17"/>
        <v>#REF!</v>
      </c>
      <c r="R95" s="119" t="e">
        <f>Tree!#REF!</f>
        <v>#REF!</v>
      </c>
      <c r="S95" s="102" t="e">
        <f t="shared" si="18"/>
        <v>#REF!</v>
      </c>
      <c r="T95" s="80" t="s">
        <v>32</v>
      </c>
      <c r="U95" s="80" t="e">
        <f>Tree!#REF!</f>
        <v>#REF!</v>
      </c>
      <c r="V95" s="80"/>
      <c r="W95" s="104" t="e">
        <f>S95*U95</f>
        <v>#REF!</v>
      </c>
      <c r="X95" s="119" t="e">
        <f>Tree!#REF!</f>
        <v>#REF!</v>
      </c>
      <c r="Y95" s="102" t="e">
        <f t="shared" si="13"/>
        <v>#REF!</v>
      </c>
      <c r="Z95" s="80" t="s">
        <v>53</v>
      </c>
      <c r="AA95" s="80" t="e">
        <f>Tree!#REF!</f>
        <v>#REF!</v>
      </c>
      <c r="AB95" s="80"/>
      <c r="AC95" s="91" t="e">
        <f t="shared" si="19"/>
        <v>#REF!</v>
      </c>
      <c r="AD95" s="80" t="e">
        <f t="shared" si="20"/>
        <v>#REF!</v>
      </c>
    </row>
    <row r="96" spans="3:30">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22</v>
      </c>
      <c r="K96" s="90" t="e">
        <f>INDEX(Tree!#REF!,MATCH($J96,Tree!#REF!,0))</f>
        <v>#REF!</v>
      </c>
      <c r="L96" s="104" t="e">
        <f t="shared" si="12"/>
        <v>#REF!</v>
      </c>
      <c r="M96" s="90" t="e">
        <f>Tree!#REF!</f>
        <v>#REF!</v>
      </c>
      <c r="N96" s="102" t="e">
        <f t="shared" si="21"/>
        <v>#REF!</v>
      </c>
      <c r="O96" s="90" t="s">
        <v>29</v>
      </c>
      <c r="P96" s="90" t="e">
        <f>INDEX(Tree!#REF!,MATCH($O96,Tree!#REF!,0)+MATCH(Tree!#REF!,Tree!#REF!,0)-1)</f>
        <v>#REF!</v>
      </c>
      <c r="Q96" s="104" t="e">
        <f t="shared" si="17"/>
        <v>#REF!</v>
      </c>
      <c r="R96" s="119" t="e">
        <f>Tree!#REF!</f>
        <v>#REF!</v>
      </c>
      <c r="S96" s="102" t="e">
        <f t="shared" si="18"/>
        <v>#REF!</v>
      </c>
      <c r="T96" s="80" t="s">
        <v>32</v>
      </c>
      <c r="U96" s="80" t="e">
        <f>Tree!#REF!</f>
        <v>#REF!</v>
      </c>
      <c r="V96" s="80"/>
      <c r="W96" s="104" t="e">
        <f>S96*U96</f>
        <v>#REF!</v>
      </c>
      <c r="X96" s="119" t="e">
        <f>Tree!#REF!</f>
        <v>#REF!</v>
      </c>
      <c r="Y96" s="102" t="e">
        <f t="shared" si="13"/>
        <v>#REF!</v>
      </c>
      <c r="Z96" s="80" t="s">
        <v>116</v>
      </c>
      <c r="AA96" s="80" t="e">
        <f>Tree!#REF!</f>
        <v>#REF!</v>
      </c>
      <c r="AB96" s="80"/>
      <c r="AC96" s="91" t="e">
        <f t="shared" si="19"/>
        <v>#REF!</v>
      </c>
      <c r="AD96" s="80" t="e">
        <f t="shared" si="20"/>
        <v>#REF!</v>
      </c>
    </row>
    <row r="97" spans="3:30">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22</v>
      </c>
      <c r="K97" s="90" t="e">
        <f>INDEX(Tree!#REF!,MATCH($J97,Tree!#REF!,0))</f>
        <v>#REF!</v>
      </c>
      <c r="L97" s="104" t="e">
        <f t="shared" si="12"/>
        <v>#REF!</v>
      </c>
      <c r="M97" s="90" t="e">
        <f>Tree!#REF!</f>
        <v>#REF!</v>
      </c>
      <c r="N97" s="102" t="e">
        <f t="shared" si="21"/>
        <v>#REF!</v>
      </c>
      <c r="O97" s="90" t="s">
        <v>29</v>
      </c>
      <c r="P97" s="90" t="e">
        <f>INDEX(Tree!#REF!,MATCH($O97,Tree!#REF!,0)+MATCH(Tree!#REF!,Tree!#REF!,0)-1)</f>
        <v>#REF!</v>
      </c>
      <c r="Q97" s="104" t="e">
        <f t="shared" si="17"/>
        <v>#REF!</v>
      </c>
      <c r="R97" s="119" t="e">
        <f>Tree!#REF!</f>
        <v>#REF!</v>
      </c>
      <c r="S97" s="102" t="e">
        <f t="shared" si="18"/>
        <v>#REF!</v>
      </c>
      <c r="T97" s="80" t="s">
        <v>32</v>
      </c>
      <c r="U97" s="80" t="e">
        <f>Tree!#REF!</f>
        <v>#REF!</v>
      </c>
      <c r="V97" s="80"/>
      <c r="W97" s="104" t="e">
        <f>S97*U97</f>
        <v>#REF!</v>
      </c>
      <c r="X97" s="119" t="e">
        <f>Tree!#REF!</f>
        <v>#REF!</v>
      </c>
      <c r="Y97" s="102" t="e">
        <f t="shared" si="13"/>
        <v>#REF!</v>
      </c>
      <c r="Z97" s="80" t="s">
        <v>51</v>
      </c>
      <c r="AA97" s="80"/>
      <c r="AB97" s="80" t="e">
        <f>Tree!#REF!</f>
        <v>#REF!</v>
      </c>
      <c r="AC97" s="91" t="e">
        <f t="shared" si="19"/>
        <v>#REF!</v>
      </c>
      <c r="AD97" s="80" t="e">
        <f t="shared" si="20"/>
        <v>#REF!</v>
      </c>
    </row>
    <row r="98" spans="3:30">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22</v>
      </c>
      <c r="K98" s="90" t="e">
        <f>INDEX(Tree!#REF!,MATCH($J98,Tree!#REF!,0))</f>
        <v>#REF!</v>
      </c>
      <c r="L98" s="104" t="e">
        <f t="shared" si="12"/>
        <v>#REF!</v>
      </c>
      <c r="M98" s="90" t="e">
        <f>Tree!#REF!</f>
        <v>#REF!</v>
      </c>
      <c r="N98" s="102" t="e">
        <f t="shared" si="21"/>
        <v>#REF!</v>
      </c>
      <c r="O98" s="90" t="s">
        <v>29</v>
      </c>
      <c r="P98" s="90" t="e">
        <f>INDEX(Tree!#REF!,MATCH($O98,Tree!#REF!,0)+MATCH(Tree!#REF!,Tree!#REF!,0)-1)</f>
        <v>#REF!</v>
      </c>
      <c r="Q98" s="104" t="e">
        <f t="shared" si="17"/>
        <v>#REF!</v>
      </c>
      <c r="R98" s="119" t="e">
        <f>Tree!#REF!</f>
        <v>#REF!</v>
      </c>
      <c r="S98" s="102" t="e">
        <f t="shared" si="18"/>
        <v>#REF!</v>
      </c>
      <c r="T98" s="80" t="s">
        <v>32</v>
      </c>
      <c r="U98" s="80" t="e">
        <f>Tree!#REF!</f>
        <v>#REF!</v>
      </c>
      <c r="V98" s="80"/>
      <c r="W98" s="104" t="e">
        <f>S98*U98</f>
        <v>#REF!</v>
      </c>
      <c r="X98" s="119" t="e">
        <f>Tree!#REF!</f>
        <v>#REF!</v>
      </c>
      <c r="Y98" s="102" t="e">
        <f t="shared" si="13"/>
        <v>#REF!</v>
      </c>
      <c r="Z98" s="80" t="s">
        <v>52</v>
      </c>
      <c r="AA98" s="80"/>
      <c r="AB98" s="80" t="e">
        <f>Tree!#REF!</f>
        <v>#REF!</v>
      </c>
      <c r="AC98" s="91" t="e">
        <f t="shared" si="19"/>
        <v>#REF!</v>
      </c>
      <c r="AD98" s="80" t="e">
        <f t="shared" si="20"/>
        <v>#REF!</v>
      </c>
    </row>
    <row r="99" spans="3:30">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22</v>
      </c>
      <c r="K99" s="90" t="e">
        <f>INDEX(Tree!#REF!,MATCH($J99,Tree!#REF!,0))</f>
        <v>#REF!</v>
      </c>
      <c r="L99" s="104" t="e">
        <f t="shared" si="12"/>
        <v>#REF!</v>
      </c>
      <c r="M99" s="90" t="e">
        <f>Tree!#REF!</f>
        <v>#REF!</v>
      </c>
      <c r="N99" s="102" t="e">
        <f t="shared" si="21"/>
        <v>#REF!</v>
      </c>
      <c r="O99" s="90" t="s">
        <v>28</v>
      </c>
      <c r="P99" s="90" t="e">
        <f>INDEX(Tree!#REF!,MATCH($O99,Tree!#REF!,0)+MATCH(Tree!#REF!,Tree!#REF!,0)-1)</f>
        <v>#REF!</v>
      </c>
      <c r="Q99" s="104" t="e">
        <f t="shared" si="17"/>
        <v>#REF!</v>
      </c>
      <c r="R99" s="119" t="e">
        <f>Tree!#REF!</f>
        <v>#REF!</v>
      </c>
      <c r="S99" s="102" t="e">
        <f t="shared" si="18"/>
        <v>#REF!</v>
      </c>
      <c r="T99" s="80" t="s">
        <v>31</v>
      </c>
      <c r="U99" s="80"/>
      <c r="V99" s="80" t="e">
        <f>Tree!#REF!</f>
        <v>#REF!</v>
      </c>
      <c r="W99" s="104"/>
      <c r="X99" s="119"/>
      <c r="Y99" s="102">
        <f t="shared" si="13"/>
        <v>0</v>
      </c>
      <c r="Z99" s="80"/>
      <c r="AA99" s="80"/>
      <c r="AB99" s="80"/>
      <c r="AC99" s="91" t="e">
        <f t="shared" si="19"/>
        <v>#REF!</v>
      </c>
      <c r="AD99" s="80">
        <f t="shared" si="20"/>
        <v>0</v>
      </c>
    </row>
    <row r="100" spans="3:30">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22</v>
      </c>
      <c r="K100" s="90" t="e">
        <f>INDEX(Tree!#REF!,MATCH($J100,Tree!#REF!,0))</f>
        <v>#REF!</v>
      </c>
      <c r="L100" s="104" t="e">
        <f>K100*I100</f>
        <v>#REF!</v>
      </c>
      <c r="M100" s="90" t="e">
        <f>Tree!#REF!</f>
        <v>#REF!</v>
      </c>
      <c r="N100" s="102" t="e">
        <f t="shared" si="21"/>
        <v>#REF!</v>
      </c>
      <c r="O100" s="90" t="s">
        <v>28</v>
      </c>
      <c r="P100" s="90" t="e">
        <f>INDEX(Tree!#REF!,MATCH($O100,Tree!#REF!,0)+MATCH(Tree!#REF!,Tree!#REF!,0)-1)</f>
        <v>#REF!</v>
      </c>
      <c r="Q100" s="104" t="e">
        <f t="shared" si="17"/>
        <v>#REF!</v>
      </c>
      <c r="R100" s="119" t="e">
        <f>Tree!#REF!</f>
        <v>#REF!</v>
      </c>
      <c r="S100" s="102" t="e">
        <f t="shared" si="18"/>
        <v>#REF!</v>
      </c>
      <c r="T100" s="80" t="s">
        <v>32</v>
      </c>
      <c r="U100" s="80" t="e">
        <f>Tree!#REF!</f>
        <v>#REF!</v>
      </c>
      <c r="V100" s="80"/>
      <c r="W100" s="104" t="e">
        <f>S100*U100</f>
        <v>#REF!</v>
      </c>
      <c r="X100" s="119" t="e">
        <f>Tree!#REF!</f>
        <v>#REF!</v>
      </c>
      <c r="Y100" s="102" t="e">
        <f t="shared" si="13"/>
        <v>#REF!</v>
      </c>
      <c r="Z100" s="80" t="s">
        <v>53</v>
      </c>
      <c r="AA100" s="80" t="e">
        <f>Tree!#REF!</f>
        <v>#REF!</v>
      </c>
      <c r="AB100" s="80"/>
      <c r="AC100" s="91" t="e">
        <f t="shared" si="19"/>
        <v>#REF!</v>
      </c>
      <c r="AD100" s="80" t="e">
        <f t="shared" si="20"/>
        <v>#REF!</v>
      </c>
    </row>
    <row r="101" spans="3:30">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22</v>
      </c>
      <c r="K101" s="90" t="e">
        <f>INDEX(Tree!#REF!,MATCH($J101,Tree!#REF!,0))</f>
        <v>#REF!</v>
      </c>
      <c r="L101" s="104" t="e">
        <f>K101*I101</f>
        <v>#REF!</v>
      </c>
      <c r="M101" s="90" t="e">
        <f>Tree!#REF!</f>
        <v>#REF!</v>
      </c>
      <c r="N101" s="102" t="e">
        <f t="shared" si="21"/>
        <v>#REF!</v>
      </c>
      <c r="O101" s="90" t="s">
        <v>28</v>
      </c>
      <c r="P101" s="90" t="e">
        <f>INDEX(Tree!#REF!,MATCH($O101,Tree!#REF!,0)+MATCH(Tree!#REF!,Tree!#REF!,0)-1)</f>
        <v>#REF!</v>
      </c>
      <c r="Q101" s="104" t="e">
        <f t="shared" si="17"/>
        <v>#REF!</v>
      </c>
      <c r="R101" s="119" t="e">
        <f>Tree!#REF!</f>
        <v>#REF!</v>
      </c>
      <c r="S101" s="102" t="e">
        <f t="shared" si="18"/>
        <v>#REF!</v>
      </c>
      <c r="T101" s="80" t="s">
        <v>32</v>
      </c>
      <c r="U101" s="80" t="e">
        <f>Tree!#REF!</f>
        <v>#REF!</v>
      </c>
      <c r="V101" s="80"/>
      <c r="W101" s="104" t="e">
        <f>S101*U101</f>
        <v>#REF!</v>
      </c>
      <c r="X101" s="119" t="e">
        <f>Tree!#REF!</f>
        <v>#REF!</v>
      </c>
      <c r="Y101" s="102" t="e">
        <f t="shared" si="13"/>
        <v>#REF!</v>
      </c>
      <c r="Z101" s="80" t="s">
        <v>116</v>
      </c>
      <c r="AA101" s="80" t="e">
        <f>Tree!#REF!</f>
        <v>#REF!</v>
      </c>
      <c r="AB101" s="80"/>
      <c r="AC101" s="91" t="e">
        <f t="shared" si="19"/>
        <v>#REF!</v>
      </c>
      <c r="AD101" s="80" t="e">
        <f t="shared" si="20"/>
        <v>#REF!</v>
      </c>
    </row>
    <row r="102" spans="3:30">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22</v>
      </c>
      <c r="K102" s="90" t="e">
        <f>INDEX(Tree!#REF!,MATCH($J102,Tree!#REF!,0))</f>
        <v>#REF!</v>
      </c>
      <c r="L102" s="104" t="e">
        <f>K102*I102</f>
        <v>#REF!</v>
      </c>
      <c r="M102" s="90" t="e">
        <f>Tree!#REF!</f>
        <v>#REF!</v>
      </c>
      <c r="N102" s="102" t="e">
        <f t="shared" si="21"/>
        <v>#REF!</v>
      </c>
      <c r="O102" s="90" t="s">
        <v>28</v>
      </c>
      <c r="P102" s="90" t="e">
        <f>INDEX(Tree!#REF!,MATCH($O102,Tree!#REF!,0)+MATCH(Tree!#REF!,Tree!#REF!,0)-1)</f>
        <v>#REF!</v>
      </c>
      <c r="Q102" s="104" t="e">
        <f t="shared" si="17"/>
        <v>#REF!</v>
      </c>
      <c r="R102" s="119" t="e">
        <f>Tree!#REF!</f>
        <v>#REF!</v>
      </c>
      <c r="S102" s="102" t="e">
        <f t="shared" si="18"/>
        <v>#REF!</v>
      </c>
      <c r="T102" s="80" t="s">
        <v>32</v>
      </c>
      <c r="U102" s="80" t="e">
        <f>Tree!#REF!</f>
        <v>#REF!</v>
      </c>
      <c r="V102" s="80"/>
      <c r="W102" s="104" t="e">
        <f>S102*U102</f>
        <v>#REF!</v>
      </c>
      <c r="X102" s="119" t="e">
        <f>Tree!#REF!</f>
        <v>#REF!</v>
      </c>
      <c r="Y102" s="102" t="e">
        <f t="shared" si="13"/>
        <v>#REF!</v>
      </c>
      <c r="Z102" s="80" t="s">
        <v>51</v>
      </c>
      <c r="AA102" s="80"/>
      <c r="AB102" s="80" t="e">
        <f>Tree!#REF!</f>
        <v>#REF!</v>
      </c>
      <c r="AC102" s="91" t="e">
        <f t="shared" si="19"/>
        <v>#REF!</v>
      </c>
      <c r="AD102" s="80" t="e">
        <f t="shared" si="20"/>
        <v>#REF!</v>
      </c>
    </row>
    <row r="103" spans="3:30">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22</v>
      </c>
      <c r="K103" s="90" t="e">
        <f>INDEX(Tree!#REF!,MATCH($J103,Tree!#REF!,0))</f>
        <v>#REF!</v>
      </c>
      <c r="L103" s="104" t="e">
        <f>K103*I103</f>
        <v>#REF!</v>
      </c>
      <c r="M103" s="90" t="e">
        <f>Tree!#REF!</f>
        <v>#REF!</v>
      </c>
      <c r="N103" s="102" t="e">
        <f t="shared" si="21"/>
        <v>#REF!</v>
      </c>
      <c r="O103" s="90" t="s">
        <v>28</v>
      </c>
      <c r="P103" s="90" t="e">
        <f>INDEX(Tree!#REF!,MATCH($O103,Tree!#REF!,0)+MATCH(Tree!#REF!,Tree!#REF!,0)-1)</f>
        <v>#REF!</v>
      </c>
      <c r="Q103" s="104" t="e">
        <f t="shared" si="17"/>
        <v>#REF!</v>
      </c>
      <c r="R103" s="119" t="e">
        <f>Tree!#REF!</f>
        <v>#REF!</v>
      </c>
      <c r="S103" s="102" t="e">
        <f t="shared" si="18"/>
        <v>#REF!</v>
      </c>
      <c r="T103" s="80" t="s">
        <v>32</v>
      </c>
      <c r="U103" s="80" t="e">
        <f>Tree!#REF!</f>
        <v>#REF!</v>
      </c>
      <c r="V103" s="80"/>
      <c r="W103" s="104" t="e">
        <f>S103*U103</f>
        <v>#REF!</v>
      </c>
      <c r="X103" s="119" t="e">
        <f>Tree!#REF!</f>
        <v>#REF!</v>
      </c>
      <c r="Y103" s="102" t="e">
        <f t="shared" si="13"/>
        <v>#REF!</v>
      </c>
      <c r="Z103" s="80" t="s">
        <v>52</v>
      </c>
      <c r="AA103" s="80"/>
      <c r="AB103" s="80" t="e">
        <f>Tree!#REF!</f>
        <v>#REF!</v>
      </c>
      <c r="AC103" s="91" t="e">
        <f t="shared" si="19"/>
        <v>#REF!</v>
      </c>
      <c r="AD103" s="80" t="e">
        <f t="shared" si="20"/>
        <v>#REF!</v>
      </c>
    </row>
  </sheetData>
  <sortState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sheetViews>
  <sheetFormatPr baseColWidth="10" defaultColWidth="8.83203125" defaultRowHeight="15"/>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7.5" style="75" customWidth="1"/>
    <col min="14" max="14" width="19.5" style="75" customWidth="1"/>
    <col min="15" max="15" width="13.83203125" style="75" customWidth="1"/>
    <col min="16" max="16" width="18.1640625" style="75" customWidth="1"/>
    <col min="17" max="17" width="9.5" style="75" customWidth="1"/>
    <col min="18" max="18" width="2" bestFit="1" customWidth="1"/>
    <col min="19" max="19" width="16.5" bestFit="1" customWidth="1"/>
    <col min="20" max="20" width="13.5" style="85" bestFit="1" customWidth="1"/>
    <col min="21" max="21" width="17.5" style="75" customWidth="1"/>
    <col min="22" max="22" width="21.5" style="75" customWidth="1"/>
    <col min="23" max="23" width="13.33203125" bestFit="1" customWidth="1"/>
    <col min="24" max="24" width="17" customWidth="1"/>
    <col min="25" max="25" width="17.5" bestFit="1" customWidth="1"/>
    <col min="26" max="26" width="2" bestFit="1" customWidth="1"/>
    <col min="27" max="27" width="17.6640625" bestFit="1" customWidth="1"/>
    <col min="28" max="28" width="15.5" bestFit="1" customWidth="1"/>
    <col min="29" max="29" width="12.6640625" style="85" bestFit="1" customWidth="1"/>
    <col min="30" max="30" width="20.1640625" style="75" customWidth="1"/>
    <col min="31" max="31" width="20.83203125" style="75" customWidth="1"/>
    <col min="32" max="32" width="13.33203125" bestFit="1" customWidth="1"/>
    <col min="33" max="33" width="21.5" customWidth="1"/>
    <col min="34" max="34" width="25.6640625" style="72" bestFit="1" customWidth="1"/>
    <col min="35" max="35" width="2" bestFit="1" customWidth="1"/>
    <col min="36" max="36" width="8.33203125" style="72" bestFit="1" customWidth="1"/>
    <col min="37" max="37" width="13.1640625" bestFit="1" customWidth="1"/>
    <col min="38" max="38" width="12.6640625" style="85" bestFit="1" customWidth="1"/>
    <col min="39" max="39" width="13.1640625" style="72" bestFit="1" customWidth="1"/>
    <col min="42" max="42" width="25.6640625" bestFit="1" customWidth="1"/>
    <col min="43" max="43" width="16.6640625" bestFit="1" customWidth="1"/>
    <col min="48" max="48" width="9.83203125" customWidth="1"/>
    <col min="49" max="49" width="10" customWidth="1"/>
  </cols>
  <sheetData>
    <row r="1" spans="1:51" s="127" customFormat="1">
      <c r="C1" s="128" t="s">
        <v>5</v>
      </c>
      <c r="E1" s="128" t="s">
        <v>0</v>
      </c>
      <c r="G1" s="128" t="s">
        <v>107</v>
      </c>
      <c r="L1" s="128" t="s">
        <v>1</v>
      </c>
      <c r="M1" s="129"/>
      <c r="N1" s="129"/>
      <c r="O1" s="129"/>
      <c r="P1" s="129"/>
      <c r="Q1" s="129"/>
      <c r="T1" s="128" t="s">
        <v>69</v>
      </c>
      <c r="U1" s="129"/>
      <c r="V1" s="129"/>
      <c r="AC1" s="128" t="s">
        <v>32</v>
      </c>
      <c r="AD1" s="129"/>
      <c r="AE1" s="129"/>
      <c r="AH1" s="130"/>
      <c r="AJ1" s="130"/>
      <c r="AL1" s="128" t="s">
        <v>56</v>
      </c>
      <c r="AM1" s="130"/>
    </row>
    <row r="2" spans="1:51" s="131" customFormat="1" ht="16">
      <c r="C2" s="108" t="s">
        <v>135</v>
      </c>
      <c r="D2" s="109" t="s">
        <v>136</v>
      </c>
      <c r="E2" s="108" t="s">
        <v>135</v>
      </c>
      <c r="F2" s="111" t="s">
        <v>136</v>
      </c>
      <c r="G2" s="108" t="s">
        <v>135</v>
      </c>
      <c r="H2" s="111" t="s">
        <v>137</v>
      </c>
      <c r="I2" s="111" t="s">
        <v>135</v>
      </c>
      <c r="J2" s="109"/>
      <c r="K2" s="109" t="s">
        <v>136</v>
      </c>
      <c r="L2" s="108" t="s">
        <v>135</v>
      </c>
      <c r="M2" s="94" t="s">
        <v>158</v>
      </c>
      <c r="N2" s="94" t="s">
        <v>161</v>
      </c>
      <c r="O2" s="111" t="s">
        <v>137</v>
      </c>
      <c r="P2" s="111" t="s">
        <v>135</v>
      </c>
      <c r="Q2" s="110"/>
      <c r="R2" s="109"/>
      <c r="S2" s="111" t="s">
        <v>136</v>
      </c>
      <c r="T2" s="112" t="s">
        <v>135</v>
      </c>
      <c r="U2" s="94" t="s">
        <v>158</v>
      </c>
      <c r="V2" s="94" t="s">
        <v>161</v>
      </c>
      <c r="W2" s="111" t="s">
        <v>137</v>
      </c>
      <c r="X2" s="111" t="s">
        <v>135</v>
      </c>
      <c r="Y2" s="109"/>
      <c r="Z2" s="109"/>
      <c r="AA2" s="109" t="s">
        <v>136</v>
      </c>
      <c r="AB2" s="109" t="s">
        <v>136</v>
      </c>
      <c r="AC2" s="108" t="s">
        <v>135</v>
      </c>
      <c r="AD2" s="94" t="s">
        <v>158</v>
      </c>
      <c r="AE2" s="94" t="s">
        <v>161</v>
      </c>
      <c r="AF2" s="111" t="s">
        <v>137</v>
      </c>
      <c r="AG2" s="111" t="s">
        <v>135</v>
      </c>
      <c r="AH2" s="113"/>
      <c r="AI2" s="109"/>
      <c r="AJ2" s="113" t="s">
        <v>136</v>
      </c>
      <c r="AK2" s="109" t="s">
        <v>136</v>
      </c>
      <c r="AL2" s="108" t="s">
        <v>136</v>
      </c>
      <c r="AM2" s="113" t="s">
        <v>136</v>
      </c>
    </row>
    <row r="3" spans="1:51" s="124" customFormat="1" ht="80">
      <c r="A3" s="125" t="s">
        <v>159</v>
      </c>
      <c r="C3" s="92" t="s">
        <v>42</v>
      </c>
      <c r="D3" s="93" t="s">
        <v>132</v>
      </c>
      <c r="E3" s="92" t="s">
        <v>80</v>
      </c>
      <c r="F3" s="93" t="s">
        <v>133</v>
      </c>
      <c r="G3" s="92" t="s">
        <v>134</v>
      </c>
      <c r="H3" s="94" t="s">
        <v>123</v>
      </c>
      <c r="I3" s="95" t="s">
        <v>83</v>
      </c>
      <c r="J3" s="93"/>
      <c r="K3" s="93" t="s">
        <v>155</v>
      </c>
      <c r="L3" s="92" t="s">
        <v>35</v>
      </c>
      <c r="M3" s="123" t="s">
        <v>163</v>
      </c>
      <c r="N3" s="123"/>
      <c r="O3" s="95" t="s">
        <v>124</v>
      </c>
      <c r="P3" s="123" t="s">
        <v>160</v>
      </c>
      <c r="Q3" s="94"/>
      <c r="R3" s="93"/>
      <c r="S3" s="95" t="s">
        <v>156</v>
      </c>
      <c r="T3" s="96" t="s">
        <v>33</v>
      </c>
      <c r="U3" s="123" t="s">
        <v>157</v>
      </c>
      <c r="V3" s="123"/>
      <c r="W3" s="95" t="s">
        <v>124</v>
      </c>
      <c r="X3" s="123" t="s">
        <v>160</v>
      </c>
      <c r="Y3" s="93"/>
      <c r="Z3" s="93"/>
      <c r="AA3" s="93" t="s">
        <v>141</v>
      </c>
      <c r="AB3" s="93" t="s">
        <v>142</v>
      </c>
      <c r="AC3" s="92" t="s">
        <v>33</v>
      </c>
      <c r="AD3" s="123" t="s">
        <v>157</v>
      </c>
      <c r="AE3" s="123"/>
      <c r="AF3" s="95" t="s">
        <v>124</v>
      </c>
      <c r="AG3" s="123" t="s">
        <v>160</v>
      </c>
      <c r="AH3" s="97"/>
      <c r="AI3" s="93"/>
      <c r="AJ3" s="97" t="s">
        <v>139</v>
      </c>
      <c r="AK3" s="93" t="s">
        <v>140</v>
      </c>
      <c r="AL3" s="92" t="s">
        <v>139</v>
      </c>
      <c r="AM3" s="97" t="s">
        <v>140</v>
      </c>
      <c r="AP3" s="133" t="s">
        <v>162</v>
      </c>
      <c r="AQ3" s="93" t="s">
        <v>138</v>
      </c>
      <c r="AR3" s="124" t="s">
        <v>34</v>
      </c>
      <c r="AS3" s="124" t="s">
        <v>150</v>
      </c>
      <c r="AT3" s="124" t="s">
        <v>40</v>
      </c>
      <c r="AU3" s="124" t="s">
        <v>151</v>
      </c>
      <c r="AV3" s="124" t="s">
        <v>152</v>
      </c>
      <c r="AW3" s="124" t="s">
        <v>153</v>
      </c>
      <c r="AX3" s="124" t="s">
        <v>154</v>
      </c>
    </row>
    <row r="4" spans="1:51">
      <c r="A4" s="98" t="s">
        <v>148</v>
      </c>
      <c r="C4" s="121" t="e">
        <f>Tree!#REF!</f>
        <v>#REF!</v>
      </c>
      <c r="D4" s="41" t="e">
        <f>Tree!#REF!</f>
        <v>#REF!</v>
      </c>
      <c r="E4" s="122" t="e">
        <f>D4*C4</f>
        <v>#REF!</v>
      </c>
      <c r="F4" s="41" t="e">
        <f>Tree!#REF!</f>
        <v>#REF!</v>
      </c>
      <c r="G4" s="122" t="e">
        <f>F4*E4</f>
        <v>#REF!</v>
      </c>
      <c r="H4" s="79" t="e">
        <f>INDEX(Tree!#REF!,MATCH($J4,Tree!#REF!,0))</f>
        <v>#REF!</v>
      </c>
      <c r="I4" s="100" t="e">
        <f>G4*H4</f>
        <v>#REF!</v>
      </c>
      <c r="J4" s="41" t="s">
        <v>24</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30</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31</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30</v>
      </c>
      <c r="AQ4" s="107" t="e">
        <f>(AS4*AT4/(1-(1+AT4)^(-AU4))+SUM(AV4:AX4))^-AR4</f>
        <v>#REF!</v>
      </c>
      <c r="AR4" t="e">
        <f>Tree!#REF!</f>
        <v>#REF!</v>
      </c>
      <c r="AS4" s="116" t="e">
        <f>Tree!#REF!</f>
        <v>#REF!</v>
      </c>
      <c r="AT4" t="e">
        <f>Tree!#REF!</f>
        <v>#REF!</v>
      </c>
      <c r="AU4" t="e">
        <f>Tree!#REF!</f>
        <v>#REF!</v>
      </c>
      <c r="AV4" s="116" t="e">
        <f>Tree!#REF!</f>
        <v>#REF!</v>
      </c>
      <c r="AW4" s="116" t="e">
        <f>Tree!#REF!</f>
        <v>#REF!</v>
      </c>
    </row>
    <row r="5" spans="1:51">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24</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30</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32</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53</v>
      </c>
      <c r="AI5" s="137">
        <f t="shared" ref="AI5:AI68" si="15">IF(AH5&lt;&gt;AH4,1,0)</f>
        <v>1</v>
      </c>
      <c r="AJ5" s="81" t="e">
        <f>Tree!#REF!</f>
        <v>#REF!</v>
      </c>
      <c r="AK5" s="81"/>
      <c r="AL5" s="87" t="e">
        <f t="shared" ref="AL5:AL68" si="16">AB5*X5+AJ5*AG5</f>
        <v>#REF!</v>
      </c>
      <c r="AM5" s="81" t="e">
        <f t="shared" ref="AM5:AM68" si="17">AK5*AG5</f>
        <v>#REF!</v>
      </c>
      <c r="AP5" s="1" t="s">
        <v>29</v>
      </c>
      <c r="AQ5" s="107" t="e">
        <f>(AS5*AT5/(1-(1+AT5)^(-AU5))+SUM(AV5:AX5))^-AR5</f>
        <v>#REF!</v>
      </c>
      <c r="AR5" t="e">
        <f>Tree!#REF!</f>
        <v>#REF!</v>
      </c>
      <c r="AS5" s="116" t="e">
        <f>Tree!#REF!</f>
        <v>#REF!</v>
      </c>
      <c r="AT5" t="e">
        <f>Tree!#REF!</f>
        <v>#REF!</v>
      </c>
      <c r="AU5" t="e">
        <f>Tree!#REF!</f>
        <v>#REF!</v>
      </c>
      <c r="AV5" s="116" t="e">
        <f>Tree!#REF!</f>
        <v>#REF!</v>
      </c>
      <c r="AW5" s="116" t="e">
        <f>Tree!#REF!</f>
        <v>#REF!</v>
      </c>
    </row>
    <row r="6" spans="1:51">
      <c r="C6" s="121" t="e">
        <f>Tree!#REF!</f>
        <v>#REF!</v>
      </c>
      <c r="D6" s="41" t="e">
        <f>Tree!#REF!</f>
        <v>#REF!</v>
      </c>
      <c r="E6" s="122" t="e">
        <f t="shared" si="3"/>
        <v>#REF!</v>
      </c>
      <c r="F6" s="41" t="e">
        <f>Tree!#REF!</f>
        <v>#REF!</v>
      </c>
      <c r="G6" s="122" t="e">
        <f t="shared" si="4"/>
        <v>#REF!</v>
      </c>
      <c r="H6" s="79" t="e">
        <f>INDEX(Tree!#REF!,MATCH($J6,Tree!#REF!,0))</f>
        <v>#REF!</v>
      </c>
      <c r="I6" s="100" t="e">
        <f t="shared" si="5"/>
        <v>#REF!</v>
      </c>
      <c r="J6" s="41" t="s">
        <v>24</v>
      </c>
      <c r="K6" s="79" t="e">
        <f>INDEX(Tree!#REF!,MATCH($J6,Tree!#REF!,0))</f>
        <v>#REF!</v>
      </c>
      <c r="L6" s="99" t="e">
        <f t="shared" si="0"/>
        <v>#REF!</v>
      </c>
      <c r="M6" s="100" t="e">
        <f>'Example calcs 2000'!N6*0.95</f>
        <v>#REF!</v>
      </c>
      <c r="N6" s="100" t="e">
        <f t="shared" si="6"/>
        <v>#REF!</v>
      </c>
      <c r="O6" s="100" t="str">
        <f t="shared" si="7"/>
        <v/>
      </c>
      <c r="P6" s="100" t="e">
        <f t="shared" si="8"/>
        <v>#REF!</v>
      </c>
      <c r="Q6" s="79" t="s">
        <v>30</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32</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116</v>
      </c>
      <c r="AI6" s="39">
        <f t="shared" si="15"/>
        <v>1</v>
      </c>
      <c r="AJ6" s="80" t="e">
        <f>Tree!#REF!</f>
        <v>#REF!</v>
      </c>
      <c r="AK6" s="41"/>
      <c r="AL6" s="86" t="e">
        <f t="shared" si="16"/>
        <v>#REF!</v>
      </c>
      <c r="AM6" s="80" t="e">
        <f t="shared" si="17"/>
        <v>#REF!</v>
      </c>
      <c r="AP6" s="1" t="s">
        <v>28</v>
      </c>
      <c r="AQ6" s="107" t="e">
        <f>(AS6*AT6/(1-(1+AT6)^(-AU6))+SUM(AV6:AX6))^-AR6</f>
        <v>#REF!</v>
      </c>
      <c r="AR6" t="e">
        <f>Tree!#REF!</f>
        <v>#REF!</v>
      </c>
      <c r="AS6" s="116" t="e">
        <f>Tree!#REF!</f>
        <v>#REF!</v>
      </c>
      <c r="AT6" t="e">
        <f>Tree!#REF!</f>
        <v>#REF!</v>
      </c>
      <c r="AU6" t="e">
        <f>Tree!#REF!</f>
        <v>#REF!</v>
      </c>
      <c r="AV6" s="116" t="e">
        <f>Tree!#REF!</f>
        <v>#REF!</v>
      </c>
      <c r="AW6" s="116" t="e">
        <f>Tree!#REF!</f>
        <v>#REF!</v>
      </c>
    </row>
    <row r="7" spans="1:51">
      <c r="A7" s="105" t="s">
        <v>117</v>
      </c>
      <c r="C7" s="121" t="e">
        <f>Tree!#REF!</f>
        <v>#REF!</v>
      </c>
      <c r="D7" s="41" t="e">
        <f>Tree!#REF!</f>
        <v>#REF!</v>
      </c>
      <c r="E7" s="122" t="e">
        <f t="shared" si="3"/>
        <v>#REF!</v>
      </c>
      <c r="F7" s="41" t="e">
        <f>Tree!#REF!</f>
        <v>#REF!</v>
      </c>
      <c r="G7" s="122" t="e">
        <f t="shared" si="4"/>
        <v>#REF!</v>
      </c>
      <c r="H7" s="79" t="e">
        <f>INDEX(Tree!#REF!,MATCH($J7,Tree!#REF!,0))</f>
        <v>#REF!</v>
      </c>
      <c r="I7" s="100" t="e">
        <f t="shared" si="5"/>
        <v>#REF!</v>
      </c>
      <c r="J7" s="41" t="s">
        <v>24</v>
      </c>
      <c r="K7" s="79" t="e">
        <f>INDEX(Tree!#REF!,MATCH($J7,Tree!#REF!,0))</f>
        <v>#REF!</v>
      </c>
      <c r="L7" s="99" t="e">
        <f t="shared" si="0"/>
        <v>#REF!</v>
      </c>
      <c r="M7" s="100" t="e">
        <f>'Example calcs 2000'!N7*0.95</f>
        <v>#REF!</v>
      </c>
      <c r="N7" s="100" t="e">
        <f t="shared" si="6"/>
        <v>#REF!</v>
      </c>
      <c r="O7" s="100" t="str">
        <f t="shared" si="7"/>
        <v/>
      </c>
      <c r="P7" s="100" t="e">
        <f t="shared" si="8"/>
        <v>#REF!</v>
      </c>
      <c r="Q7" s="79" t="s">
        <v>30</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32</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51</v>
      </c>
      <c r="AI7" s="39">
        <f t="shared" si="15"/>
        <v>1</v>
      </c>
      <c r="AJ7" s="80"/>
      <c r="AK7" s="41" t="e">
        <f>Tree!#REF!</f>
        <v>#REF!</v>
      </c>
      <c r="AL7" s="86" t="e">
        <f t="shared" si="16"/>
        <v>#REF!</v>
      </c>
      <c r="AM7" s="80" t="e">
        <f t="shared" si="17"/>
        <v>#REF!</v>
      </c>
      <c r="AP7" s="1"/>
      <c r="AQ7" s="107"/>
    </row>
    <row r="8" spans="1:51">
      <c r="A8" s="71" t="s">
        <v>143</v>
      </c>
      <c r="C8" s="121" t="e">
        <f>Tree!#REF!</f>
        <v>#REF!</v>
      </c>
      <c r="D8" s="41" t="e">
        <f>Tree!#REF!</f>
        <v>#REF!</v>
      </c>
      <c r="E8" s="122" t="e">
        <f t="shared" si="3"/>
        <v>#REF!</v>
      </c>
      <c r="F8" s="41" t="e">
        <f>Tree!#REF!</f>
        <v>#REF!</v>
      </c>
      <c r="G8" s="122" t="e">
        <f t="shared" si="4"/>
        <v>#REF!</v>
      </c>
      <c r="H8" s="79" t="e">
        <f>INDEX(Tree!#REF!,MATCH($J8,Tree!#REF!,0))</f>
        <v>#REF!</v>
      </c>
      <c r="I8" s="100" t="e">
        <f t="shared" si="5"/>
        <v>#REF!</v>
      </c>
      <c r="J8" s="41" t="s">
        <v>24</v>
      </c>
      <c r="K8" s="79" t="e">
        <f>INDEX(Tree!#REF!,MATCH($J8,Tree!#REF!,0))</f>
        <v>#REF!</v>
      </c>
      <c r="L8" s="99" t="e">
        <f t="shared" si="0"/>
        <v>#REF!</v>
      </c>
      <c r="M8" s="100" t="e">
        <f>'Example calcs 2000'!N8*0.95</f>
        <v>#REF!</v>
      </c>
      <c r="N8" s="100" t="e">
        <f t="shared" si="6"/>
        <v>#REF!</v>
      </c>
      <c r="O8" s="100" t="str">
        <f t="shared" si="7"/>
        <v/>
      </c>
      <c r="P8" s="100" t="e">
        <f t="shared" si="8"/>
        <v>#REF!</v>
      </c>
      <c r="Q8" s="79" t="s">
        <v>30</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32</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52</v>
      </c>
      <c r="AI8" s="39">
        <f t="shared" si="15"/>
        <v>1</v>
      </c>
      <c r="AJ8" s="80"/>
      <c r="AK8" s="41" t="e">
        <f>Tree!#REF!</f>
        <v>#REF!</v>
      </c>
      <c r="AL8" s="86" t="e">
        <f t="shared" si="16"/>
        <v>#REF!</v>
      </c>
      <c r="AM8" s="80" t="e">
        <f t="shared" si="17"/>
        <v>#REF!</v>
      </c>
      <c r="AP8" s="1" t="s">
        <v>31</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164</v>
      </c>
    </row>
    <row r="9" spans="1:51">
      <c r="C9" s="121" t="e">
        <f>Tree!#REF!</f>
        <v>#REF!</v>
      </c>
      <c r="D9" s="41" t="e">
        <f>Tree!#REF!</f>
        <v>#REF!</v>
      </c>
      <c r="E9" s="122" t="e">
        <f t="shared" si="3"/>
        <v>#REF!</v>
      </c>
      <c r="F9" s="41" t="e">
        <f>Tree!#REF!</f>
        <v>#REF!</v>
      </c>
      <c r="G9" s="122" t="e">
        <f t="shared" si="4"/>
        <v>#REF!</v>
      </c>
      <c r="H9" s="79" t="e">
        <f>INDEX(Tree!#REF!,MATCH($J9,Tree!#REF!,0))</f>
        <v>#REF!</v>
      </c>
      <c r="I9" s="100" t="e">
        <f t="shared" si="5"/>
        <v>#REF!</v>
      </c>
      <c r="J9" s="41" t="s">
        <v>24</v>
      </c>
      <c r="K9" s="79" t="e">
        <f>INDEX(Tree!#REF!,MATCH($J9,Tree!#REF!,0))</f>
        <v>#REF!</v>
      </c>
      <c r="L9" s="99" t="e">
        <f t="shared" si="0"/>
        <v>#REF!</v>
      </c>
      <c r="M9" s="100" t="e">
        <f>'Example calcs 2000'!N9*0.95</f>
        <v>#REF!</v>
      </c>
      <c r="N9" s="100" t="e">
        <f t="shared" si="6"/>
        <v>#REF!</v>
      </c>
      <c r="O9" s="100" t="str">
        <f t="shared" si="7"/>
        <v/>
      </c>
      <c r="P9" s="100" t="e">
        <f t="shared" si="8"/>
        <v>#REF!</v>
      </c>
      <c r="Q9" s="79" t="s">
        <v>26</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31</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32</v>
      </c>
      <c r="AQ9" s="107" t="e">
        <f>Tree!#REF!^-AR9</f>
        <v>#REF!</v>
      </c>
      <c r="AR9" t="e">
        <f>Tree!#REF!</f>
        <v>#REF!</v>
      </c>
    </row>
    <row r="10" spans="1:51">
      <c r="A10" s="106" t="s">
        <v>149</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24</v>
      </c>
      <c r="K10" s="82" t="e">
        <f>INDEX(Tree!#REF!,MATCH($J10,Tree!#REF!,0))</f>
        <v>#REF!</v>
      </c>
      <c r="L10" s="103" t="e">
        <f t="shared" si="0"/>
        <v>#REF!</v>
      </c>
      <c r="M10" s="101" t="e">
        <f>'Example calcs 2000'!N10*0.95</f>
        <v>#REF!</v>
      </c>
      <c r="N10" s="101" t="e">
        <f t="shared" si="6"/>
        <v>#REF!</v>
      </c>
      <c r="O10" s="101" t="str">
        <f t="shared" si="7"/>
        <v/>
      </c>
      <c r="P10" s="101" t="e">
        <f t="shared" si="8"/>
        <v>#REF!</v>
      </c>
      <c r="Q10" s="82" t="s">
        <v>26</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32</v>
      </c>
      <c r="Z10" s="137">
        <f t="shared" si="13"/>
        <v>1</v>
      </c>
      <c r="AA10" s="81" t="e">
        <f>Tree!#REF!</f>
        <v>#REF!</v>
      </c>
      <c r="AB10" s="81"/>
      <c r="AC10" s="103" t="e">
        <f>X10*AA10</f>
        <v>#REF!</v>
      </c>
      <c r="AD10" s="101" t="e">
        <f>'Example calcs 2000'!Y10*0.8</f>
        <v>#REF!</v>
      </c>
      <c r="AE10" s="101" t="e">
        <f t="shared" si="14"/>
        <v>#REF!</v>
      </c>
      <c r="AF10" s="120"/>
      <c r="AG10" s="101" t="e">
        <f t="shared" si="2"/>
        <v>#REF!</v>
      </c>
      <c r="AH10" s="81" t="s">
        <v>53</v>
      </c>
      <c r="AI10" s="137">
        <f t="shared" si="15"/>
        <v>1</v>
      </c>
      <c r="AJ10" s="81" t="e">
        <f>Tree!#REF!</f>
        <v>#REF!</v>
      </c>
      <c r="AK10" s="81"/>
      <c r="AL10" s="87" t="e">
        <f t="shared" si="16"/>
        <v>#REF!</v>
      </c>
      <c r="AM10" s="81" t="e">
        <f t="shared" si="17"/>
        <v>#REF!</v>
      </c>
      <c r="AP10" s="1"/>
      <c r="AQ10" s="107"/>
    </row>
    <row r="11" spans="1:51">
      <c r="A11" s="138" t="s">
        <v>171</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24</v>
      </c>
      <c r="K11" s="79" t="e">
        <f>INDEX(Tree!#REF!,MATCH($J11,Tree!#REF!,0))</f>
        <v>#REF!</v>
      </c>
      <c r="L11" s="99" t="e">
        <f t="shared" si="0"/>
        <v>#REF!</v>
      </c>
      <c r="M11" s="100" t="e">
        <f>'Example calcs 2000'!N11*0.95</f>
        <v>#REF!</v>
      </c>
      <c r="N11" s="100" t="e">
        <f t="shared" si="6"/>
        <v>#REF!</v>
      </c>
      <c r="O11" s="100" t="str">
        <f t="shared" si="7"/>
        <v/>
      </c>
      <c r="P11" s="100" t="e">
        <f t="shared" si="8"/>
        <v>#REF!</v>
      </c>
      <c r="Q11" s="79" t="s">
        <v>26</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32</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116</v>
      </c>
      <c r="AI11" s="39">
        <f t="shared" si="15"/>
        <v>1</v>
      </c>
      <c r="AJ11" s="80" t="e">
        <f>Tree!#REF!</f>
        <v>#REF!</v>
      </c>
      <c r="AK11" s="81"/>
      <c r="AL11" s="86" t="e">
        <f t="shared" si="16"/>
        <v>#REF!</v>
      </c>
      <c r="AM11" s="80" t="e">
        <f t="shared" si="17"/>
        <v>#REF!</v>
      </c>
      <c r="AP11" s="1" t="s">
        <v>116</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164</v>
      </c>
    </row>
    <row r="12" spans="1:51">
      <c r="C12" s="121" t="e">
        <f>Tree!#REF!</f>
        <v>#REF!</v>
      </c>
      <c r="D12" s="41" t="e">
        <f>Tree!#REF!</f>
        <v>#REF!</v>
      </c>
      <c r="E12" s="122" t="e">
        <f t="shared" si="3"/>
        <v>#REF!</v>
      </c>
      <c r="F12" s="41" t="e">
        <f>Tree!#REF!</f>
        <v>#REF!</v>
      </c>
      <c r="G12" s="122" t="e">
        <f t="shared" si="4"/>
        <v>#REF!</v>
      </c>
      <c r="H12" s="79" t="e">
        <f>INDEX(Tree!#REF!,MATCH($J12,Tree!#REF!,0))</f>
        <v>#REF!</v>
      </c>
      <c r="I12" s="100" t="e">
        <f t="shared" si="5"/>
        <v>#REF!</v>
      </c>
      <c r="J12" s="41" t="s">
        <v>24</v>
      </c>
      <c r="K12" s="79" t="e">
        <f>INDEX(Tree!#REF!,MATCH($J12,Tree!#REF!,0))</f>
        <v>#REF!</v>
      </c>
      <c r="L12" s="99" t="e">
        <f t="shared" si="0"/>
        <v>#REF!</v>
      </c>
      <c r="M12" s="100" t="e">
        <f>'Example calcs 2000'!N12*0.95</f>
        <v>#REF!</v>
      </c>
      <c r="N12" s="100" t="e">
        <f t="shared" si="6"/>
        <v>#REF!</v>
      </c>
      <c r="O12" s="100" t="str">
        <f t="shared" si="7"/>
        <v/>
      </c>
      <c r="P12" s="100" t="e">
        <f t="shared" si="8"/>
        <v>#REF!</v>
      </c>
      <c r="Q12" s="79" t="s">
        <v>26</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32</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51</v>
      </c>
      <c r="AI12" s="39">
        <f t="shared" si="15"/>
        <v>1</v>
      </c>
      <c r="AJ12" s="80"/>
      <c r="AK12" s="41" t="e">
        <f>Tree!#REF!</f>
        <v>#REF!</v>
      </c>
      <c r="AL12" s="86" t="e">
        <f t="shared" si="16"/>
        <v>#REF!</v>
      </c>
      <c r="AM12" s="80" t="e">
        <f t="shared" si="17"/>
        <v>#REF!</v>
      </c>
      <c r="AP12" s="1" t="s">
        <v>52</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164</v>
      </c>
    </row>
    <row r="13" spans="1:51">
      <c r="C13" s="121" t="e">
        <f>Tree!#REF!</f>
        <v>#REF!</v>
      </c>
      <c r="D13" s="41" t="e">
        <f>Tree!#REF!</f>
        <v>#REF!</v>
      </c>
      <c r="E13" s="122" t="e">
        <f t="shared" si="3"/>
        <v>#REF!</v>
      </c>
      <c r="F13" s="41" t="e">
        <f>Tree!#REF!</f>
        <v>#REF!</v>
      </c>
      <c r="G13" s="122" t="e">
        <f t="shared" si="4"/>
        <v>#REF!</v>
      </c>
      <c r="H13" s="79" t="e">
        <f>INDEX(Tree!#REF!,MATCH($J13,Tree!#REF!,0))</f>
        <v>#REF!</v>
      </c>
      <c r="I13" s="100" t="e">
        <f t="shared" si="5"/>
        <v>#REF!</v>
      </c>
      <c r="J13" s="41" t="s">
        <v>24</v>
      </c>
      <c r="K13" s="79" t="e">
        <f>INDEX(Tree!#REF!,MATCH($J13,Tree!#REF!,0))</f>
        <v>#REF!</v>
      </c>
      <c r="L13" s="99" t="e">
        <f t="shared" si="0"/>
        <v>#REF!</v>
      </c>
      <c r="M13" s="100" t="e">
        <f>'Example calcs 2000'!N13*0.95</f>
        <v>#REF!</v>
      </c>
      <c r="N13" s="100" t="e">
        <f t="shared" si="6"/>
        <v>#REF!</v>
      </c>
      <c r="O13" s="100" t="str">
        <f t="shared" si="7"/>
        <v/>
      </c>
      <c r="P13" s="100" t="e">
        <f t="shared" si="8"/>
        <v>#REF!</v>
      </c>
      <c r="Q13" s="79" t="s">
        <v>26</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32</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52</v>
      </c>
      <c r="AI13" s="39">
        <f t="shared" si="15"/>
        <v>1</v>
      </c>
      <c r="AJ13" s="80"/>
      <c r="AK13" s="41" t="e">
        <f>Tree!#REF!</f>
        <v>#REF!</v>
      </c>
      <c r="AL13" s="86" t="e">
        <f t="shared" si="16"/>
        <v>#REF!</v>
      </c>
      <c r="AM13" s="80" t="e">
        <f t="shared" si="17"/>
        <v>#REF!</v>
      </c>
      <c r="AP13" s="1" t="s">
        <v>53</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164</v>
      </c>
    </row>
    <row r="14" spans="1:51">
      <c r="C14" s="121" t="e">
        <f>Tree!#REF!</f>
        <v>#REF!</v>
      </c>
      <c r="D14" s="41" t="e">
        <f>Tree!#REF!</f>
        <v>#REF!</v>
      </c>
      <c r="E14" s="122" t="e">
        <f t="shared" si="3"/>
        <v>#REF!</v>
      </c>
      <c r="F14" s="41" t="e">
        <f>Tree!#REF!</f>
        <v>#REF!</v>
      </c>
      <c r="G14" s="122" t="e">
        <f t="shared" si="4"/>
        <v>#REF!</v>
      </c>
      <c r="H14" s="79" t="e">
        <f>INDEX(Tree!#REF!,MATCH($J14,Tree!#REF!,0))</f>
        <v>#REF!</v>
      </c>
      <c r="I14" s="100" t="e">
        <f t="shared" si="5"/>
        <v>#REF!</v>
      </c>
      <c r="J14" s="41" t="s">
        <v>24</v>
      </c>
      <c r="K14" s="79" t="e">
        <f>INDEX(Tree!#REF!,MATCH($J14,Tree!#REF!,0))</f>
        <v>#REF!</v>
      </c>
      <c r="L14" s="99" t="e">
        <f t="shared" si="0"/>
        <v>#REF!</v>
      </c>
      <c r="M14" s="100" t="e">
        <f>'Example calcs 2000'!N14*0.95</f>
        <v>#REF!</v>
      </c>
      <c r="N14" s="100" t="e">
        <f t="shared" si="6"/>
        <v>#REF!</v>
      </c>
      <c r="O14" s="100" t="str">
        <f t="shared" si="7"/>
        <v/>
      </c>
      <c r="P14" s="100" t="e">
        <f t="shared" si="8"/>
        <v>#REF!</v>
      </c>
      <c r="Q14" s="79" t="s">
        <v>27</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31</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c r="C15" s="135" t="e">
        <f>Tree!#REF!</f>
        <v>#REF!</v>
      </c>
      <c r="D15" s="81" t="e">
        <f>Tree!#REF!</f>
        <v>#REF!</v>
      </c>
      <c r="E15" s="136" t="e">
        <f t="shared" si="3"/>
        <v>#REF!</v>
      </c>
      <c r="F15" s="81" t="e">
        <f>Tree!#REF!</f>
        <v>#REF!</v>
      </c>
      <c r="G15" s="136" t="e">
        <f t="shared" si="4"/>
        <v>#REF!</v>
      </c>
      <c r="H15" s="82" t="e">
        <f>INDEX(Tree!#REF!,MATCH($J15,Tree!#REF!,0))</f>
        <v>#REF!</v>
      </c>
      <c r="I15" s="101" t="e">
        <f t="shared" si="5"/>
        <v>#REF!</v>
      </c>
      <c r="J15" s="81" t="s">
        <v>24</v>
      </c>
      <c r="K15" s="82" t="e">
        <f>INDEX(Tree!#REF!,MATCH($J15,Tree!#REF!,0))</f>
        <v>#REF!</v>
      </c>
      <c r="L15" s="103" t="e">
        <f t="shared" si="0"/>
        <v>#REF!</v>
      </c>
      <c r="M15" s="101" t="e">
        <f>'Example calcs 2000'!N15*0.95</f>
        <v>#REF!</v>
      </c>
      <c r="N15" s="101" t="e">
        <f t="shared" si="6"/>
        <v>#REF!</v>
      </c>
      <c r="O15" s="101" t="str">
        <f t="shared" si="7"/>
        <v/>
      </c>
      <c r="P15" s="101" t="e">
        <f t="shared" si="8"/>
        <v>#REF!</v>
      </c>
      <c r="Q15" s="82" t="s">
        <v>27</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32</v>
      </c>
      <c r="Z15" s="137">
        <f t="shared" si="13"/>
        <v>1</v>
      </c>
      <c r="AA15" s="81" t="e">
        <f>Tree!#REF!</f>
        <v>#REF!</v>
      </c>
      <c r="AB15" s="81"/>
      <c r="AC15" s="103" t="e">
        <f>X15*AA15</f>
        <v>#REF!</v>
      </c>
      <c r="AD15" s="101" t="e">
        <f>'Example calcs 2000'!Y15*0.8</f>
        <v>#REF!</v>
      </c>
      <c r="AE15" s="101" t="e">
        <f t="shared" si="14"/>
        <v>#REF!</v>
      </c>
      <c r="AF15" s="120"/>
      <c r="AG15" s="101" t="e">
        <f t="shared" si="2"/>
        <v>#REF!</v>
      </c>
      <c r="AH15" s="81" t="s">
        <v>53</v>
      </c>
      <c r="AI15" s="137">
        <f t="shared" si="15"/>
        <v>1</v>
      </c>
      <c r="AJ15" s="81" t="e">
        <f>Tree!#REF!</f>
        <v>#REF!</v>
      </c>
      <c r="AK15" s="81"/>
      <c r="AL15" s="87" t="e">
        <f t="shared" si="16"/>
        <v>#REF!</v>
      </c>
      <c r="AM15" s="81" t="e">
        <f t="shared" si="17"/>
        <v>#REF!</v>
      </c>
      <c r="AP15" s="1"/>
    </row>
    <row r="16" spans="1:51">
      <c r="C16" s="121" t="e">
        <f>Tree!#REF!</f>
        <v>#REF!</v>
      </c>
      <c r="D16" s="41" t="e">
        <f>Tree!#REF!</f>
        <v>#REF!</v>
      </c>
      <c r="E16" s="122" t="e">
        <f t="shared" si="3"/>
        <v>#REF!</v>
      </c>
      <c r="F16" s="41" t="e">
        <f>Tree!#REF!</f>
        <v>#REF!</v>
      </c>
      <c r="G16" s="122" t="e">
        <f t="shared" si="4"/>
        <v>#REF!</v>
      </c>
      <c r="H16" s="79" t="e">
        <f>INDEX(Tree!#REF!,MATCH($J16,Tree!#REF!,0))</f>
        <v>#REF!</v>
      </c>
      <c r="I16" s="100" t="e">
        <f t="shared" si="5"/>
        <v>#REF!</v>
      </c>
      <c r="J16" s="41" t="s">
        <v>24</v>
      </c>
      <c r="K16" s="79" t="e">
        <f>INDEX(Tree!#REF!,MATCH($J16,Tree!#REF!,0))</f>
        <v>#REF!</v>
      </c>
      <c r="L16" s="99" t="e">
        <f t="shared" si="0"/>
        <v>#REF!</v>
      </c>
      <c r="M16" s="100" t="e">
        <f>'Example calcs 2000'!N16*0.95</f>
        <v>#REF!</v>
      </c>
      <c r="N16" s="100" t="e">
        <f t="shared" si="6"/>
        <v>#REF!</v>
      </c>
      <c r="O16" s="100" t="str">
        <f t="shared" si="7"/>
        <v/>
      </c>
      <c r="P16" s="100" t="e">
        <f t="shared" si="8"/>
        <v>#REF!</v>
      </c>
      <c r="Q16" s="79" t="s">
        <v>27</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32</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116</v>
      </c>
      <c r="AI16" s="39">
        <f t="shared" si="15"/>
        <v>1</v>
      </c>
      <c r="AJ16" s="80" t="e">
        <f>Tree!#REF!</f>
        <v>#REF!</v>
      </c>
      <c r="AK16" s="41"/>
      <c r="AL16" s="86" t="e">
        <f t="shared" si="16"/>
        <v>#REF!</v>
      </c>
      <c r="AM16" s="80" t="e">
        <f t="shared" si="17"/>
        <v>#REF!</v>
      </c>
      <c r="AP16" s="1"/>
    </row>
    <row r="17" spans="3:50">
      <c r="C17" s="121" t="e">
        <f>Tree!#REF!</f>
        <v>#REF!</v>
      </c>
      <c r="D17" s="41" t="e">
        <f>Tree!#REF!</f>
        <v>#REF!</v>
      </c>
      <c r="E17" s="122" t="e">
        <f t="shared" si="3"/>
        <v>#REF!</v>
      </c>
      <c r="F17" s="41" t="e">
        <f>Tree!#REF!</f>
        <v>#REF!</v>
      </c>
      <c r="G17" s="122" t="e">
        <f t="shared" si="4"/>
        <v>#REF!</v>
      </c>
      <c r="H17" s="79" t="e">
        <f>INDEX(Tree!#REF!,MATCH($J17,Tree!#REF!,0))</f>
        <v>#REF!</v>
      </c>
      <c r="I17" s="100" t="e">
        <f t="shared" si="5"/>
        <v>#REF!</v>
      </c>
      <c r="J17" s="41" t="s">
        <v>24</v>
      </c>
      <c r="K17" s="79" t="e">
        <f>INDEX(Tree!#REF!,MATCH($J17,Tree!#REF!,0))</f>
        <v>#REF!</v>
      </c>
      <c r="L17" s="99" t="e">
        <f t="shared" si="0"/>
        <v>#REF!</v>
      </c>
      <c r="M17" s="100" t="e">
        <f>'Example calcs 2000'!N17*0.95</f>
        <v>#REF!</v>
      </c>
      <c r="N17" s="100" t="e">
        <f t="shared" si="6"/>
        <v>#REF!</v>
      </c>
      <c r="O17" s="100" t="str">
        <f t="shared" si="7"/>
        <v/>
      </c>
      <c r="P17" s="100" t="e">
        <f t="shared" si="8"/>
        <v>#REF!</v>
      </c>
      <c r="Q17" s="79" t="s">
        <v>27</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32</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51</v>
      </c>
      <c r="AI17" s="39">
        <f t="shared" si="15"/>
        <v>1</v>
      </c>
      <c r="AJ17" s="80"/>
      <c r="AK17" s="80" t="e">
        <f>Tree!#REF!</f>
        <v>#REF!</v>
      </c>
      <c r="AL17" s="86" t="e">
        <f t="shared" si="16"/>
        <v>#REF!</v>
      </c>
      <c r="AM17" s="80" t="e">
        <f t="shared" si="17"/>
        <v>#REF!</v>
      </c>
      <c r="AP17" s="1"/>
    </row>
    <row r="18" spans="3:50">
      <c r="C18" s="121" t="e">
        <f>Tree!#REF!</f>
        <v>#REF!</v>
      </c>
      <c r="D18" s="41" t="e">
        <f>Tree!#REF!</f>
        <v>#REF!</v>
      </c>
      <c r="E18" s="122" t="e">
        <f t="shared" si="3"/>
        <v>#REF!</v>
      </c>
      <c r="F18" s="41" t="e">
        <f>Tree!#REF!</f>
        <v>#REF!</v>
      </c>
      <c r="G18" s="122" t="e">
        <f t="shared" si="4"/>
        <v>#REF!</v>
      </c>
      <c r="H18" s="79" t="e">
        <f>INDEX(Tree!#REF!,MATCH($J18,Tree!#REF!,0))</f>
        <v>#REF!</v>
      </c>
      <c r="I18" s="100" t="e">
        <f t="shared" si="5"/>
        <v>#REF!</v>
      </c>
      <c r="J18" s="41" t="s">
        <v>24</v>
      </c>
      <c r="K18" s="79" t="e">
        <f>INDEX(Tree!#REF!,MATCH($J18,Tree!#REF!,0))</f>
        <v>#REF!</v>
      </c>
      <c r="L18" s="99" t="e">
        <f t="shared" si="0"/>
        <v>#REF!</v>
      </c>
      <c r="M18" s="100" t="e">
        <f>'Example calcs 2000'!N18*0.95</f>
        <v>#REF!</v>
      </c>
      <c r="N18" s="100" t="e">
        <f t="shared" si="6"/>
        <v>#REF!</v>
      </c>
      <c r="O18" s="100" t="str">
        <f t="shared" si="7"/>
        <v/>
      </c>
      <c r="P18" s="100" t="e">
        <f t="shared" si="8"/>
        <v>#REF!</v>
      </c>
      <c r="Q18" s="79" t="s">
        <v>27</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32</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52</v>
      </c>
      <c r="AI18" s="39">
        <f t="shared" si="15"/>
        <v>1</v>
      </c>
      <c r="AJ18" s="80"/>
      <c r="AK18" s="80" t="e">
        <f>Tree!#REF!</f>
        <v>#REF!</v>
      </c>
      <c r="AL18" s="86" t="e">
        <f t="shared" si="16"/>
        <v>#REF!</v>
      </c>
      <c r="AM18" s="80" t="e">
        <f t="shared" si="17"/>
        <v>#REF!</v>
      </c>
      <c r="AP18" s="1"/>
    </row>
    <row r="19" spans="3:50">
      <c r="C19" s="121" t="e">
        <f>Tree!#REF!</f>
        <v>#REF!</v>
      </c>
      <c r="D19" s="41" t="e">
        <f>Tree!#REF!</f>
        <v>#REF!</v>
      </c>
      <c r="E19" s="122" t="e">
        <f t="shared" si="3"/>
        <v>#REF!</v>
      </c>
      <c r="F19" s="41" t="e">
        <f>Tree!#REF!</f>
        <v>#REF!</v>
      </c>
      <c r="G19" s="122" t="e">
        <f t="shared" si="4"/>
        <v>#REF!</v>
      </c>
      <c r="H19" s="79" t="e">
        <f>INDEX(Tree!#REF!,MATCH($J19,Tree!#REF!,0))</f>
        <v>#REF!</v>
      </c>
      <c r="I19" s="100" t="e">
        <f t="shared" si="5"/>
        <v>#REF!</v>
      </c>
      <c r="J19" s="41" t="s">
        <v>24</v>
      </c>
      <c r="K19" s="79" t="e">
        <f>INDEX(Tree!#REF!,MATCH($J19,Tree!#REF!,0))</f>
        <v>#REF!</v>
      </c>
      <c r="L19" s="99" t="e">
        <f t="shared" si="0"/>
        <v>#REF!</v>
      </c>
      <c r="M19" s="100" t="e">
        <f>'Example calcs 2000'!N19*0.95</f>
        <v>#REF!</v>
      </c>
      <c r="N19" s="100" t="e">
        <f t="shared" si="6"/>
        <v>#REF!</v>
      </c>
      <c r="O19" s="100" t="str">
        <f t="shared" si="7"/>
        <v/>
      </c>
      <c r="P19" s="100" t="e">
        <f t="shared" si="8"/>
        <v>#REF!</v>
      </c>
      <c r="Q19" s="79" t="s">
        <v>29</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31</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c r="C20" s="135" t="e">
        <f>Tree!#REF!</f>
        <v>#REF!</v>
      </c>
      <c r="D20" s="81" t="e">
        <f>Tree!#REF!</f>
        <v>#REF!</v>
      </c>
      <c r="E20" s="136" t="e">
        <f t="shared" si="3"/>
        <v>#REF!</v>
      </c>
      <c r="F20" s="81" t="e">
        <f>Tree!#REF!</f>
        <v>#REF!</v>
      </c>
      <c r="G20" s="136" t="e">
        <f t="shared" si="4"/>
        <v>#REF!</v>
      </c>
      <c r="H20" s="82" t="e">
        <f>INDEX(Tree!#REF!,MATCH($J20,Tree!#REF!,0))</f>
        <v>#REF!</v>
      </c>
      <c r="I20" s="101" t="e">
        <f t="shared" si="5"/>
        <v>#REF!</v>
      </c>
      <c r="J20" s="81" t="s">
        <v>24</v>
      </c>
      <c r="K20" s="82" t="e">
        <f>INDEX(Tree!#REF!,MATCH($J20,Tree!#REF!,0))</f>
        <v>#REF!</v>
      </c>
      <c r="L20" s="103" t="e">
        <f t="shared" si="0"/>
        <v>#REF!</v>
      </c>
      <c r="M20" s="101" t="e">
        <f>'Example calcs 2000'!N20*0.95</f>
        <v>#REF!</v>
      </c>
      <c r="N20" s="101" t="e">
        <f t="shared" si="6"/>
        <v>#REF!</v>
      </c>
      <c r="O20" s="101" t="str">
        <f t="shared" si="7"/>
        <v/>
      </c>
      <c r="P20" s="101" t="e">
        <f t="shared" si="8"/>
        <v>#REF!</v>
      </c>
      <c r="Q20" s="82" t="s">
        <v>29</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32</v>
      </c>
      <c r="Z20" s="137">
        <f t="shared" si="13"/>
        <v>1</v>
      </c>
      <c r="AA20" s="81" t="e">
        <f>Tree!#REF!</f>
        <v>#REF!</v>
      </c>
      <c r="AB20" s="81"/>
      <c r="AC20" s="103" t="e">
        <f>X20*AA20</f>
        <v>#REF!</v>
      </c>
      <c r="AD20" s="101" t="e">
        <f>'Example calcs 2000'!Y20*0.8</f>
        <v>#REF!</v>
      </c>
      <c r="AE20" s="101" t="e">
        <f t="shared" si="14"/>
        <v>#REF!</v>
      </c>
      <c r="AF20" s="120"/>
      <c r="AG20" s="101" t="e">
        <f t="shared" si="2"/>
        <v>#REF!</v>
      </c>
      <c r="AH20" s="81" t="s">
        <v>53</v>
      </c>
      <c r="AI20" s="137">
        <f t="shared" si="15"/>
        <v>1</v>
      </c>
      <c r="AJ20" s="81" t="e">
        <f>Tree!#REF!</f>
        <v>#REF!</v>
      </c>
      <c r="AK20" s="81"/>
      <c r="AL20" s="87" t="e">
        <f t="shared" si="16"/>
        <v>#REF!</v>
      </c>
      <c r="AM20" s="81" t="e">
        <f t="shared" si="17"/>
        <v>#REF!</v>
      </c>
    </row>
    <row r="21" spans="3:50">
      <c r="C21" s="121" t="e">
        <f>Tree!#REF!</f>
        <v>#REF!</v>
      </c>
      <c r="D21" s="41" t="e">
        <f>Tree!#REF!</f>
        <v>#REF!</v>
      </c>
      <c r="E21" s="122" t="e">
        <f t="shared" si="3"/>
        <v>#REF!</v>
      </c>
      <c r="F21" s="41" t="e">
        <f>Tree!#REF!</f>
        <v>#REF!</v>
      </c>
      <c r="G21" s="122" t="e">
        <f t="shared" si="4"/>
        <v>#REF!</v>
      </c>
      <c r="H21" s="79" t="e">
        <f>INDEX(Tree!#REF!,MATCH($J21,Tree!#REF!,0))</f>
        <v>#REF!</v>
      </c>
      <c r="I21" s="100" t="e">
        <f t="shared" si="5"/>
        <v>#REF!</v>
      </c>
      <c r="J21" s="41" t="s">
        <v>24</v>
      </c>
      <c r="K21" s="79" t="e">
        <f>INDEX(Tree!#REF!,MATCH($J21,Tree!#REF!,0))</f>
        <v>#REF!</v>
      </c>
      <c r="L21" s="99" t="e">
        <f t="shared" si="0"/>
        <v>#REF!</v>
      </c>
      <c r="M21" s="100" t="e">
        <f>'Example calcs 2000'!N21*0.95</f>
        <v>#REF!</v>
      </c>
      <c r="N21" s="100" t="e">
        <f t="shared" si="6"/>
        <v>#REF!</v>
      </c>
      <c r="O21" s="100" t="str">
        <f t="shared" si="7"/>
        <v/>
      </c>
      <c r="P21" s="100" t="e">
        <f t="shared" si="8"/>
        <v>#REF!</v>
      </c>
      <c r="Q21" s="79" t="s">
        <v>29</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32</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116</v>
      </c>
      <c r="AI21" s="39">
        <f t="shared" si="15"/>
        <v>1</v>
      </c>
      <c r="AJ21" s="80" t="e">
        <f>Tree!#REF!</f>
        <v>#REF!</v>
      </c>
      <c r="AK21" s="80"/>
      <c r="AL21" s="86" t="e">
        <f t="shared" si="16"/>
        <v>#REF!</v>
      </c>
      <c r="AM21" s="80" t="e">
        <f t="shared" si="17"/>
        <v>#REF!</v>
      </c>
    </row>
    <row r="22" spans="3:50">
      <c r="C22" s="121" t="e">
        <f>Tree!#REF!</f>
        <v>#REF!</v>
      </c>
      <c r="D22" s="41" t="e">
        <f>Tree!#REF!</f>
        <v>#REF!</v>
      </c>
      <c r="E22" s="122" t="e">
        <f t="shared" si="3"/>
        <v>#REF!</v>
      </c>
      <c r="F22" s="41" t="e">
        <f>Tree!#REF!</f>
        <v>#REF!</v>
      </c>
      <c r="G22" s="122" t="e">
        <f t="shared" si="4"/>
        <v>#REF!</v>
      </c>
      <c r="H22" s="79" t="e">
        <f>INDEX(Tree!#REF!,MATCH($J22,Tree!#REF!,0))</f>
        <v>#REF!</v>
      </c>
      <c r="I22" s="100" t="e">
        <f t="shared" si="5"/>
        <v>#REF!</v>
      </c>
      <c r="J22" s="41" t="s">
        <v>24</v>
      </c>
      <c r="K22" s="79" t="e">
        <f>INDEX(Tree!#REF!,MATCH($J22,Tree!#REF!,0))</f>
        <v>#REF!</v>
      </c>
      <c r="L22" s="99" t="e">
        <f t="shared" si="0"/>
        <v>#REF!</v>
      </c>
      <c r="M22" s="100" t="e">
        <f>'Example calcs 2000'!N22*0.95</f>
        <v>#REF!</v>
      </c>
      <c r="N22" s="100" t="e">
        <f t="shared" si="6"/>
        <v>#REF!</v>
      </c>
      <c r="O22" s="100" t="str">
        <f t="shared" si="7"/>
        <v/>
      </c>
      <c r="P22" s="100" t="e">
        <f t="shared" si="8"/>
        <v>#REF!</v>
      </c>
      <c r="Q22" s="79" t="s">
        <v>29</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32</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51</v>
      </c>
      <c r="AI22" s="39">
        <f t="shared" si="15"/>
        <v>1</v>
      </c>
      <c r="AJ22" s="80"/>
      <c r="AK22" s="80" t="e">
        <f>Tree!#REF!</f>
        <v>#REF!</v>
      </c>
      <c r="AL22" s="86" t="e">
        <f t="shared" si="16"/>
        <v>#REF!</v>
      </c>
      <c r="AM22" s="80" t="e">
        <f t="shared" si="17"/>
        <v>#REF!</v>
      </c>
    </row>
    <row r="23" spans="3:50">
      <c r="C23" s="121" t="e">
        <f>Tree!#REF!</f>
        <v>#REF!</v>
      </c>
      <c r="D23" s="41" t="e">
        <f>Tree!#REF!</f>
        <v>#REF!</v>
      </c>
      <c r="E23" s="122" t="e">
        <f t="shared" si="3"/>
        <v>#REF!</v>
      </c>
      <c r="F23" s="41" t="e">
        <f>Tree!#REF!</f>
        <v>#REF!</v>
      </c>
      <c r="G23" s="122" t="e">
        <f t="shared" si="4"/>
        <v>#REF!</v>
      </c>
      <c r="H23" s="79" t="e">
        <f>INDEX(Tree!#REF!,MATCH($J23,Tree!#REF!,0))</f>
        <v>#REF!</v>
      </c>
      <c r="I23" s="100" t="e">
        <f t="shared" si="5"/>
        <v>#REF!</v>
      </c>
      <c r="J23" s="41" t="s">
        <v>24</v>
      </c>
      <c r="K23" s="79" t="e">
        <f>INDEX(Tree!#REF!,MATCH($J23,Tree!#REF!,0))</f>
        <v>#REF!</v>
      </c>
      <c r="L23" s="99" t="e">
        <f t="shared" si="0"/>
        <v>#REF!</v>
      </c>
      <c r="M23" s="100" t="e">
        <f>'Example calcs 2000'!N23*0.95</f>
        <v>#REF!</v>
      </c>
      <c r="N23" s="100" t="e">
        <f t="shared" si="6"/>
        <v>#REF!</v>
      </c>
      <c r="O23" s="100" t="str">
        <f t="shared" si="7"/>
        <v/>
      </c>
      <c r="P23" s="100" t="e">
        <f t="shared" si="8"/>
        <v>#REF!</v>
      </c>
      <c r="Q23" s="79" t="s">
        <v>29</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32</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52</v>
      </c>
      <c r="AI23" s="39">
        <f t="shared" si="15"/>
        <v>1</v>
      </c>
      <c r="AJ23" s="80"/>
      <c r="AK23" s="80" t="e">
        <f>Tree!#REF!</f>
        <v>#REF!</v>
      </c>
      <c r="AL23" s="86" t="e">
        <f t="shared" si="16"/>
        <v>#REF!</v>
      </c>
      <c r="AM23" s="80" t="e">
        <f t="shared" si="17"/>
        <v>#REF!</v>
      </c>
    </row>
    <row r="24" spans="3:50">
      <c r="C24" s="121" t="e">
        <f>Tree!#REF!</f>
        <v>#REF!</v>
      </c>
      <c r="D24" s="41" t="e">
        <f>Tree!#REF!</f>
        <v>#REF!</v>
      </c>
      <c r="E24" s="122" t="e">
        <f t="shared" si="3"/>
        <v>#REF!</v>
      </c>
      <c r="F24" s="41" t="e">
        <f>Tree!#REF!</f>
        <v>#REF!</v>
      </c>
      <c r="G24" s="122" t="e">
        <f t="shared" si="4"/>
        <v>#REF!</v>
      </c>
      <c r="H24" s="79" t="e">
        <f>INDEX(Tree!#REF!,MATCH($J24,Tree!#REF!,0))</f>
        <v>#REF!</v>
      </c>
      <c r="I24" s="100" t="e">
        <f t="shared" si="5"/>
        <v>#REF!</v>
      </c>
      <c r="J24" s="41" t="s">
        <v>24</v>
      </c>
      <c r="K24" s="79" t="e">
        <f>INDEX(Tree!#REF!,MATCH($J24,Tree!#REF!,0))</f>
        <v>#REF!</v>
      </c>
      <c r="L24" s="99" t="e">
        <f t="shared" si="0"/>
        <v>#REF!</v>
      </c>
      <c r="M24" s="100" t="e">
        <f>'Example calcs 2000'!N24*0.95</f>
        <v>#REF!</v>
      </c>
      <c r="N24" s="100" t="e">
        <f t="shared" si="6"/>
        <v>#REF!</v>
      </c>
      <c r="O24" s="100" t="str">
        <f t="shared" si="7"/>
        <v/>
      </c>
      <c r="P24" s="100" t="e">
        <f t="shared" si="8"/>
        <v>#REF!</v>
      </c>
      <c r="Q24" s="79" t="s">
        <v>28</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31</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c r="C25" s="135" t="e">
        <f>Tree!#REF!</f>
        <v>#REF!</v>
      </c>
      <c r="D25" s="81" t="e">
        <f>Tree!#REF!</f>
        <v>#REF!</v>
      </c>
      <c r="E25" s="136" t="e">
        <f t="shared" si="3"/>
        <v>#REF!</v>
      </c>
      <c r="F25" s="81" t="e">
        <f>Tree!#REF!</f>
        <v>#REF!</v>
      </c>
      <c r="G25" s="136" t="e">
        <f t="shared" si="4"/>
        <v>#REF!</v>
      </c>
      <c r="H25" s="82" t="e">
        <f>INDEX(Tree!#REF!,MATCH($J25,Tree!#REF!,0))</f>
        <v>#REF!</v>
      </c>
      <c r="I25" s="101" t="e">
        <f t="shared" si="5"/>
        <v>#REF!</v>
      </c>
      <c r="J25" s="81" t="s">
        <v>24</v>
      </c>
      <c r="K25" s="82" t="e">
        <f>INDEX(Tree!#REF!,MATCH($J25,Tree!#REF!,0))</f>
        <v>#REF!</v>
      </c>
      <c r="L25" s="103" t="e">
        <f t="shared" si="0"/>
        <v>#REF!</v>
      </c>
      <c r="M25" s="101" t="e">
        <f>'Example calcs 2000'!N25*0.95</f>
        <v>#REF!</v>
      </c>
      <c r="N25" s="101" t="e">
        <f t="shared" si="6"/>
        <v>#REF!</v>
      </c>
      <c r="O25" s="101" t="str">
        <f t="shared" si="7"/>
        <v/>
      </c>
      <c r="P25" s="101" t="e">
        <f t="shared" si="8"/>
        <v>#REF!</v>
      </c>
      <c r="Q25" s="82" t="s">
        <v>28</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32</v>
      </c>
      <c r="Z25" s="137">
        <f t="shared" si="13"/>
        <v>1</v>
      </c>
      <c r="AA25" s="81" t="e">
        <f>Tree!#REF!</f>
        <v>#REF!</v>
      </c>
      <c r="AB25" s="81"/>
      <c r="AC25" s="103" t="e">
        <f>X25*AA25</f>
        <v>#REF!</v>
      </c>
      <c r="AD25" s="101" t="e">
        <f>'Example calcs 2000'!Y25*0.8</f>
        <v>#REF!</v>
      </c>
      <c r="AE25" s="101" t="e">
        <f t="shared" si="14"/>
        <v>#REF!</v>
      </c>
      <c r="AF25" s="120"/>
      <c r="AG25" s="101" t="e">
        <f t="shared" si="2"/>
        <v>#REF!</v>
      </c>
      <c r="AH25" s="81" t="s">
        <v>53</v>
      </c>
      <c r="AI25" s="137">
        <f t="shared" si="15"/>
        <v>1</v>
      </c>
      <c r="AJ25" s="81" t="e">
        <f>Tree!#REF!</f>
        <v>#REF!</v>
      </c>
      <c r="AK25" s="81"/>
      <c r="AL25" s="87" t="e">
        <f t="shared" si="16"/>
        <v>#REF!</v>
      </c>
      <c r="AM25" s="81" t="e">
        <f t="shared" si="17"/>
        <v>#REF!</v>
      </c>
    </row>
    <row r="26" spans="3:50">
      <c r="C26" s="121" t="e">
        <f>Tree!#REF!</f>
        <v>#REF!</v>
      </c>
      <c r="D26" s="41" t="e">
        <f>Tree!#REF!</f>
        <v>#REF!</v>
      </c>
      <c r="E26" s="122" t="e">
        <f t="shared" si="3"/>
        <v>#REF!</v>
      </c>
      <c r="F26" s="41" t="e">
        <f>Tree!#REF!</f>
        <v>#REF!</v>
      </c>
      <c r="G26" s="122" t="e">
        <f t="shared" si="4"/>
        <v>#REF!</v>
      </c>
      <c r="H26" s="79" t="e">
        <f>INDEX(Tree!#REF!,MATCH($J26,Tree!#REF!,0))</f>
        <v>#REF!</v>
      </c>
      <c r="I26" s="100" t="e">
        <f t="shared" si="5"/>
        <v>#REF!</v>
      </c>
      <c r="J26" s="41" t="s">
        <v>24</v>
      </c>
      <c r="K26" s="79" t="e">
        <f>INDEX(Tree!#REF!,MATCH($J26,Tree!#REF!,0))</f>
        <v>#REF!</v>
      </c>
      <c r="L26" s="99" t="e">
        <f t="shared" si="0"/>
        <v>#REF!</v>
      </c>
      <c r="M26" s="100" t="e">
        <f>'Example calcs 2000'!N26*0.95</f>
        <v>#REF!</v>
      </c>
      <c r="N26" s="100" t="e">
        <f t="shared" si="6"/>
        <v>#REF!</v>
      </c>
      <c r="O26" s="100" t="str">
        <f t="shared" si="7"/>
        <v/>
      </c>
      <c r="P26" s="100" t="e">
        <f t="shared" si="8"/>
        <v>#REF!</v>
      </c>
      <c r="Q26" s="79" t="s">
        <v>28</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32</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116</v>
      </c>
      <c r="AI26" s="39">
        <f t="shared" si="15"/>
        <v>1</v>
      </c>
      <c r="AJ26" s="80" t="e">
        <f>Tree!#REF!</f>
        <v>#REF!</v>
      </c>
      <c r="AK26" s="41"/>
      <c r="AL26" s="86" t="e">
        <f t="shared" si="16"/>
        <v>#REF!</v>
      </c>
      <c r="AM26" s="80" t="e">
        <f t="shared" si="17"/>
        <v>#REF!</v>
      </c>
    </row>
    <row r="27" spans="3:50">
      <c r="C27" s="121" t="e">
        <f>Tree!#REF!</f>
        <v>#REF!</v>
      </c>
      <c r="D27" s="41" t="e">
        <f>Tree!#REF!</f>
        <v>#REF!</v>
      </c>
      <c r="E27" s="122" t="e">
        <f t="shared" si="3"/>
        <v>#REF!</v>
      </c>
      <c r="F27" s="41" t="e">
        <f>Tree!#REF!</f>
        <v>#REF!</v>
      </c>
      <c r="G27" s="122" t="e">
        <f t="shared" si="4"/>
        <v>#REF!</v>
      </c>
      <c r="H27" s="79" t="e">
        <f>INDEX(Tree!#REF!,MATCH($J27,Tree!#REF!,0))</f>
        <v>#REF!</v>
      </c>
      <c r="I27" s="100" t="e">
        <f t="shared" si="5"/>
        <v>#REF!</v>
      </c>
      <c r="J27" s="41" t="s">
        <v>24</v>
      </c>
      <c r="K27" s="79" t="e">
        <f>INDEX(Tree!#REF!,MATCH($J27,Tree!#REF!,0))</f>
        <v>#REF!</v>
      </c>
      <c r="L27" s="99" t="e">
        <f t="shared" si="0"/>
        <v>#REF!</v>
      </c>
      <c r="M27" s="100" t="e">
        <f>'Example calcs 2000'!N27*0.95</f>
        <v>#REF!</v>
      </c>
      <c r="N27" s="100" t="e">
        <f t="shared" si="6"/>
        <v>#REF!</v>
      </c>
      <c r="O27" s="100" t="str">
        <f t="shared" si="7"/>
        <v/>
      </c>
      <c r="P27" s="100" t="e">
        <f t="shared" si="8"/>
        <v>#REF!</v>
      </c>
      <c r="Q27" s="79" t="s">
        <v>28</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32</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51</v>
      </c>
      <c r="AI27" s="39">
        <f t="shared" si="15"/>
        <v>1</v>
      </c>
      <c r="AJ27" s="80"/>
      <c r="AK27" s="41" t="e">
        <f>Tree!#REF!</f>
        <v>#REF!</v>
      </c>
      <c r="AL27" s="86" t="e">
        <f t="shared" si="16"/>
        <v>#REF!</v>
      </c>
      <c r="AM27" s="80" t="e">
        <f t="shared" si="17"/>
        <v>#REF!</v>
      </c>
    </row>
    <row r="28" spans="3:50">
      <c r="C28" s="121" t="e">
        <f>Tree!#REF!</f>
        <v>#REF!</v>
      </c>
      <c r="D28" s="41" t="e">
        <f>Tree!#REF!</f>
        <v>#REF!</v>
      </c>
      <c r="E28" s="122" t="e">
        <f t="shared" si="3"/>
        <v>#REF!</v>
      </c>
      <c r="F28" s="41" t="e">
        <f>Tree!#REF!</f>
        <v>#REF!</v>
      </c>
      <c r="G28" s="122" t="e">
        <f t="shared" si="4"/>
        <v>#REF!</v>
      </c>
      <c r="H28" s="79" t="e">
        <f>INDEX(Tree!#REF!,MATCH($J28,Tree!#REF!,0))</f>
        <v>#REF!</v>
      </c>
      <c r="I28" s="100" t="e">
        <f t="shared" si="5"/>
        <v>#REF!</v>
      </c>
      <c r="J28" s="80" t="s">
        <v>24</v>
      </c>
      <c r="K28" s="90" t="e">
        <f>INDEX(Tree!#REF!,MATCH($J28,Tree!#REF!,0))</f>
        <v>#REF!</v>
      </c>
      <c r="L28" s="104" t="e">
        <f t="shared" si="0"/>
        <v>#REF!</v>
      </c>
      <c r="M28" s="102" t="e">
        <f>'Example calcs 2000'!N28*0.95</f>
        <v>#REF!</v>
      </c>
      <c r="N28" s="100" t="e">
        <f t="shared" si="6"/>
        <v>#REF!</v>
      </c>
      <c r="O28" s="102" t="str">
        <f t="shared" si="7"/>
        <v/>
      </c>
      <c r="P28" s="102" t="e">
        <f t="shared" si="8"/>
        <v>#REF!</v>
      </c>
      <c r="Q28" s="90" t="s">
        <v>28</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32</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52</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c r="C29" s="121" t="e">
        <f>Tree!#REF!</f>
        <v>#REF!</v>
      </c>
      <c r="D29" s="41" t="e">
        <f>Tree!#REF!</f>
        <v>#REF!</v>
      </c>
      <c r="E29" s="122" t="e">
        <f t="shared" si="3"/>
        <v>#REF!</v>
      </c>
      <c r="F29" s="41" t="e">
        <f>Tree!#REF!</f>
        <v>#REF!</v>
      </c>
      <c r="G29" s="122" t="e">
        <f t="shared" si="4"/>
        <v>#REF!</v>
      </c>
      <c r="H29" s="79" t="e">
        <f>INDEX(Tree!#REF!,MATCH($J29,Tree!#REF!,0))</f>
        <v>#REF!</v>
      </c>
      <c r="I29" s="100" t="e">
        <f t="shared" si="5"/>
        <v>#REF!</v>
      </c>
      <c r="J29" s="80" t="s">
        <v>25</v>
      </c>
      <c r="K29" s="90" t="e">
        <f>INDEX(Tree!#REF!,MATCH($J29,Tree!#REF!,0))</f>
        <v>#REF!</v>
      </c>
      <c r="L29" s="104" t="e">
        <f t="shared" si="0"/>
        <v>#REF!</v>
      </c>
      <c r="M29" s="102" t="e">
        <f>'Example calcs 2000'!N29*0.95</f>
        <v>#REF!</v>
      </c>
      <c r="N29" s="100" t="e">
        <f t="shared" si="6"/>
        <v>#REF!</v>
      </c>
      <c r="O29" s="102" t="str">
        <f t="shared" si="7"/>
        <v/>
      </c>
      <c r="P29" s="102" t="e">
        <f t="shared" si="8"/>
        <v>#REF!</v>
      </c>
      <c r="Q29" s="90" t="s">
        <v>30</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31</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c r="C30" s="121" t="e">
        <f>Tree!#REF!</f>
        <v>#REF!</v>
      </c>
      <c r="D30" s="41" t="e">
        <f>Tree!#REF!</f>
        <v>#REF!</v>
      </c>
      <c r="E30" s="122" t="e">
        <f t="shared" si="3"/>
        <v>#REF!</v>
      </c>
      <c r="F30" s="41" t="e">
        <f>Tree!#REF!</f>
        <v>#REF!</v>
      </c>
      <c r="G30" s="122" t="e">
        <f t="shared" si="4"/>
        <v>#REF!</v>
      </c>
      <c r="H30" s="79" t="e">
        <f>INDEX(Tree!#REF!,MATCH($J30,Tree!#REF!,0))</f>
        <v>#REF!</v>
      </c>
      <c r="I30" s="100" t="e">
        <f t="shared" si="5"/>
        <v>#REF!</v>
      </c>
      <c r="J30" s="80" t="s">
        <v>25</v>
      </c>
      <c r="K30" s="90" t="e">
        <f>INDEX(Tree!#REF!,MATCH($J30,Tree!#REF!,0))</f>
        <v>#REF!</v>
      </c>
      <c r="L30" s="104" t="e">
        <f t="shared" si="0"/>
        <v>#REF!</v>
      </c>
      <c r="M30" s="102" t="e">
        <f>'Example calcs 2000'!N30*0.95</f>
        <v>#REF!</v>
      </c>
      <c r="N30" s="100" t="e">
        <f t="shared" si="6"/>
        <v>#REF!</v>
      </c>
      <c r="O30" s="102" t="str">
        <f t="shared" si="7"/>
        <v/>
      </c>
      <c r="P30" s="102" t="e">
        <f t="shared" si="8"/>
        <v>#REF!</v>
      </c>
      <c r="Q30" s="90" t="s">
        <v>30</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32</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53</v>
      </c>
      <c r="AI30" s="39">
        <f t="shared" si="15"/>
        <v>1</v>
      </c>
      <c r="AJ30" s="80" t="e">
        <f>Tree!#REF!</f>
        <v>#REF!</v>
      </c>
      <c r="AK30" s="80"/>
      <c r="AL30" s="91" t="e">
        <f t="shared" si="16"/>
        <v>#REF!</v>
      </c>
      <c r="AM30" s="80" t="e">
        <f t="shared" si="17"/>
        <v>#REF!</v>
      </c>
    </row>
    <row r="31" spans="3:50" s="72" customFormat="1">
      <c r="C31" s="121" t="e">
        <f>Tree!#REF!</f>
        <v>#REF!</v>
      </c>
      <c r="D31" s="41" t="e">
        <f>Tree!#REF!</f>
        <v>#REF!</v>
      </c>
      <c r="E31" s="122" t="e">
        <f t="shared" si="3"/>
        <v>#REF!</v>
      </c>
      <c r="F31" s="41" t="e">
        <f>Tree!#REF!</f>
        <v>#REF!</v>
      </c>
      <c r="G31" s="122" t="e">
        <f t="shared" si="4"/>
        <v>#REF!</v>
      </c>
      <c r="H31" s="79" t="e">
        <f>INDEX(Tree!#REF!,MATCH($J31,Tree!#REF!,0))</f>
        <v>#REF!</v>
      </c>
      <c r="I31" s="100" t="e">
        <f t="shared" si="5"/>
        <v>#REF!</v>
      </c>
      <c r="J31" s="80" t="s">
        <v>25</v>
      </c>
      <c r="K31" s="90" t="e">
        <f>INDEX(Tree!#REF!,MATCH($J31,Tree!#REF!,0))</f>
        <v>#REF!</v>
      </c>
      <c r="L31" s="104" t="e">
        <f t="shared" si="0"/>
        <v>#REF!</v>
      </c>
      <c r="M31" s="102" t="e">
        <f>'Example calcs 2000'!N31*0.95</f>
        <v>#REF!</v>
      </c>
      <c r="N31" s="100" t="e">
        <f t="shared" si="6"/>
        <v>#REF!</v>
      </c>
      <c r="O31" s="102" t="str">
        <f t="shared" si="7"/>
        <v/>
      </c>
      <c r="P31" s="102" t="e">
        <f t="shared" si="8"/>
        <v>#REF!</v>
      </c>
      <c r="Q31" s="90" t="s">
        <v>30</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32</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116</v>
      </c>
      <c r="AI31" s="39">
        <f t="shared" si="15"/>
        <v>1</v>
      </c>
      <c r="AJ31" s="80" t="e">
        <f>Tree!#REF!</f>
        <v>#REF!</v>
      </c>
      <c r="AK31" s="80"/>
      <c r="AL31" s="91" t="e">
        <f t="shared" si="16"/>
        <v>#REF!</v>
      </c>
      <c r="AM31" s="80" t="e">
        <f t="shared" si="17"/>
        <v>#REF!</v>
      </c>
    </row>
    <row r="32" spans="3:50" s="72" customFormat="1">
      <c r="C32" s="121" t="e">
        <f>Tree!#REF!</f>
        <v>#REF!</v>
      </c>
      <c r="D32" s="41" t="e">
        <f>Tree!#REF!</f>
        <v>#REF!</v>
      </c>
      <c r="E32" s="122" t="e">
        <f t="shared" si="3"/>
        <v>#REF!</v>
      </c>
      <c r="F32" s="41" t="e">
        <f>Tree!#REF!</f>
        <v>#REF!</v>
      </c>
      <c r="G32" s="122" t="e">
        <f t="shared" si="4"/>
        <v>#REF!</v>
      </c>
      <c r="H32" s="79" t="e">
        <f>INDEX(Tree!#REF!,MATCH($J32,Tree!#REF!,0))</f>
        <v>#REF!</v>
      </c>
      <c r="I32" s="100" t="e">
        <f t="shared" si="5"/>
        <v>#REF!</v>
      </c>
      <c r="J32" s="80" t="s">
        <v>25</v>
      </c>
      <c r="K32" s="90" t="e">
        <f>INDEX(Tree!#REF!,MATCH($J32,Tree!#REF!,0))</f>
        <v>#REF!</v>
      </c>
      <c r="L32" s="104" t="e">
        <f t="shared" si="0"/>
        <v>#REF!</v>
      </c>
      <c r="M32" s="102" t="e">
        <f>'Example calcs 2000'!N32*0.95</f>
        <v>#REF!</v>
      </c>
      <c r="N32" s="100" t="e">
        <f t="shared" si="6"/>
        <v>#REF!</v>
      </c>
      <c r="O32" s="102" t="str">
        <f t="shared" si="7"/>
        <v/>
      </c>
      <c r="P32" s="102" t="e">
        <f t="shared" si="8"/>
        <v>#REF!</v>
      </c>
      <c r="Q32" s="90" t="s">
        <v>30</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32</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51</v>
      </c>
      <c r="AI32" s="39">
        <f t="shared" si="15"/>
        <v>1</v>
      </c>
      <c r="AJ32" s="80"/>
      <c r="AK32" s="80" t="e">
        <f>Tree!#REF!</f>
        <v>#REF!</v>
      </c>
      <c r="AL32" s="91" t="e">
        <f t="shared" si="16"/>
        <v>#REF!</v>
      </c>
      <c r="AM32" s="80" t="e">
        <f t="shared" si="17"/>
        <v>#REF!</v>
      </c>
    </row>
    <row r="33" spans="3:39" s="72" customFormat="1">
      <c r="C33" s="121" t="e">
        <f>Tree!#REF!</f>
        <v>#REF!</v>
      </c>
      <c r="D33" s="41" t="e">
        <f>Tree!#REF!</f>
        <v>#REF!</v>
      </c>
      <c r="E33" s="122" t="e">
        <f t="shared" si="3"/>
        <v>#REF!</v>
      </c>
      <c r="F33" s="41" t="e">
        <f>Tree!#REF!</f>
        <v>#REF!</v>
      </c>
      <c r="G33" s="122" t="e">
        <f t="shared" si="4"/>
        <v>#REF!</v>
      </c>
      <c r="H33" s="79" t="e">
        <f>INDEX(Tree!#REF!,MATCH($J33,Tree!#REF!,0))</f>
        <v>#REF!</v>
      </c>
      <c r="I33" s="100" t="e">
        <f t="shared" si="5"/>
        <v>#REF!</v>
      </c>
      <c r="J33" s="80" t="s">
        <v>25</v>
      </c>
      <c r="K33" s="90" t="e">
        <f>INDEX(Tree!#REF!,MATCH($J33,Tree!#REF!,0))</f>
        <v>#REF!</v>
      </c>
      <c r="L33" s="104" t="e">
        <f t="shared" si="0"/>
        <v>#REF!</v>
      </c>
      <c r="M33" s="102" t="e">
        <f>'Example calcs 2000'!N33*0.95</f>
        <v>#REF!</v>
      </c>
      <c r="N33" s="100" t="e">
        <f t="shared" si="6"/>
        <v>#REF!</v>
      </c>
      <c r="O33" s="102" t="str">
        <f t="shared" si="7"/>
        <v/>
      </c>
      <c r="P33" s="102" t="e">
        <f t="shared" si="8"/>
        <v>#REF!</v>
      </c>
      <c r="Q33" s="90" t="s">
        <v>30</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32</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52</v>
      </c>
      <c r="AI33" s="39">
        <f t="shared" si="15"/>
        <v>1</v>
      </c>
      <c r="AJ33" s="80"/>
      <c r="AK33" s="80" t="e">
        <f>Tree!#REF!</f>
        <v>#REF!</v>
      </c>
      <c r="AL33" s="91" t="e">
        <f t="shared" si="16"/>
        <v>#REF!</v>
      </c>
      <c r="AM33" s="80" t="e">
        <f t="shared" si="17"/>
        <v>#REF!</v>
      </c>
    </row>
    <row r="34" spans="3:39" s="72" customFormat="1">
      <c r="C34" s="121" t="e">
        <f>Tree!#REF!</f>
        <v>#REF!</v>
      </c>
      <c r="D34" s="41" t="e">
        <f>Tree!#REF!</f>
        <v>#REF!</v>
      </c>
      <c r="E34" s="122" t="e">
        <f t="shared" si="3"/>
        <v>#REF!</v>
      </c>
      <c r="F34" s="41" t="e">
        <f>Tree!#REF!</f>
        <v>#REF!</v>
      </c>
      <c r="G34" s="122" t="e">
        <f t="shared" si="4"/>
        <v>#REF!</v>
      </c>
      <c r="H34" s="79" t="e">
        <f>INDEX(Tree!#REF!,MATCH($J34,Tree!#REF!,0))</f>
        <v>#REF!</v>
      </c>
      <c r="I34" s="100" t="e">
        <f t="shared" si="5"/>
        <v>#REF!</v>
      </c>
      <c r="J34" s="80" t="s">
        <v>25</v>
      </c>
      <c r="K34" s="90" t="e">
        <f>INDEX(Tree!#REF!,MATCH($J34,Tree!#REF!,0))</f>
        <v>#REF!</v>
      </c>
      <c r="L34" s="104" t="e">
        <f t="shared" si="0"/>
        <v>#REF!</v>
      </c>
      <c r="M34" s="102" t="e">
        <f>'Example calcs 2000'!N34*0.95</f>
        <v>#REF!</v>
      </c>
      <c r="N34" s="100" t="e">
        <f t="shared" si="6"/>
        <v>#REF!</v>
      </c>
      <c r="O34" s="102" t="str">
        <f t="shared" si="7"/>
        <v/>
      </c>
      <c r="P34" s="102" t="e">
        <f t="shared" si="8"/>
        <v>#REF!</v>
      </c>
      <c r="Q34" s="90" t="s">
        <v>26</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31</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c r="C35" s="121" t="e">
        <f>Tree!#REF!</f>
        <v>#REF!</v>
      </c>
      <c r="D35" s="41" t="e">
        <f>Tree!#REF!</f>
        <v>#REF!</v>
      </c>
      <c r="E35" s="122" t="e">
        <f t="shared" si="3"/>
        <v>#REF!</v>
      </c>
      <c r="F35" s="41" t="e">
        <f>Tree!#REF!</f>
        <v>#REF!</v>
      </c>
      <c r="G35" s="122" t="e">
        <f t="shared" si="4"/>
        <v>#REF!</v>
      </c>
      <c r="H35" s="79" t="e">
        <f>INDEX(Tree!#REF!,MATCH($J35,Tree!#REF!,0))</f>
        <v>#REF!</v>
      </c>
      <c r="I35" s="100" t="e">
        <f t="shared" si="5"/>
        <v>#REF!</v>
      </c>
      <c r="J35" s="80" t="s">
        <v>25</v>
      </c>
      <c r="K35" s="90" t="e">
        <f>INDEX(Tree!#REF!,MATCH($J35,Tree!#REF!,0))</f>
        <v>#REF!</v>
      </c>
      <c r="L35" s="104" t="e">
        <f t="shared" si="0"/>
        <v>#REF!</v>
      </c>
      <c r="M35" s="102" t="e">
        <f>'Example calcs 2000'!N35*0.95</f>
        <v>#REF!</v>
      </c>
      <c r="N35" s="100" t="e">
        <f t="shared" si="6"/>
        <v>#REF!</v>
      </c>
      <c r="O35" s="102" t="str">
        <f t="shared" si="7"/>
        <v/>
      </c>
      <c r="P35" s="102" t="e">
        <f t="shared" si="8"/>
        <v>#REF!</v>
      </c>
      <c r="Q35" s="90" t="s">
        <v>26</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32</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53</v>
      </c>
      <c r="AI35" s="39">
        <f t="shared" si="15"/>
        <v>1</v>
      </c>
      <c r="AJ35" s="80" t="e">
        <f>Tree!#REF!</f>
        <v>#REF!</v>
      </c>
      <c r="AK35" s="80"/>
      <c r="AL35" s="91" t="e">
        <f t="shared" si="16"/>
        <v>#REF!</v>
      </c>
      <c r="AM35" s="80" t="e">
        <f t="shared" si="17"/>
        <v>#REF!</v>
      </c>
    </row>
    <row r="36" spans="3:39" s="72" customFormat="1">
      <c r="C36" s="121" t="e">
        <f>Tree!#REF!</f>
        <v>#REF!</v>
      </c>
      <c r="D36" s="41" t="e">
        <f>Tree!#REF!</f>
        <v>#REF!</v>
      </c>
      <c r="E36" s="122" t="e">
        <f t="shared" si="3"/>
        <v>#REF!</v>
      </c>
      <c r="F36" s="41" t="e">
        <f>Tree!#REF!</f>
        <v>#REF!</v>
      </c>
      <c r="G36" s="122" t="e">
        <f t="shared" si="4"/>
        <v>#REF!</v>
      </c>
      <c r="H36" s="79" t="e">
        <f>INDEX(Tree!#REF!,MATCH($J36,Tree!#REF!,0))</f>
        <v>#REF!</v>
      </c>
      <c r="I36" s="100" t="e">
        <f t="shared" si="5"/>
        <v>#REF!</v>
      </c>
      <c r="J36" s="80" t="s">
        <v>25</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26</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32</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116</v>
      </c>
      <c r="AI36" s="39">
        <f t="shared" si="15"/>
        <v>1</v>
      </c>
      <c r="AJ36" s="80" t="e">
        <f>Tree!#REF!</f>
        <v>#REF!</v>
      </c>
      <c r="AK36" s="80"/>
      <c r="AL36" s="91" t="e">
        <f t="shared" si="16"/>
        <v>#REF!</v>
      </c>
      <c r="AM36" s="80" t="e">
        <f t="shared" si="17"/>
        <v>#REF!</v>
      </c>
    </row>
    <row r="37" spans="3:39" s="72" customFormat="1">
      <c r="C37" s="121" t="e">
        <f>Tree!#REF!</f>
        <v>#REF!</v>
      </c>
      <c r="D37" s="41" t="e">
        <f>Tree!#REF!</f>
        <v>#REF!</v>
      </c>
      <c r="E37" s="122" t="e">
        <f t="shared" si="3"/>
        <v>#REF!</v>
      </c>
      <c r="F37" s="41" t="e">
        <f>Tree!#REF!</f>
        <v>#REF!</v>
      </c>
      <c r="G37" s="122" t="e">
        <f t="shared" si="4"/>
        <v>#REF!</v>
      </c>
      <c r="H37" s="79" t="e">
        <f>INDEX(Tree!#REF!,MATCH($J37,Tree!#REF!,0))</f>
        <v>#REF!</v>
      </c>
      <c r="I37" s="100" t="e">
        <f t="shared" si="5"/>
        <v>#REF!</v>
      </c>
      <c r="J37" s="80" t="s">
        <v>25</v>
      </c>
      <c r="K37" s="90" t="e">
        <f>INDEX(Tree!#REF!,MATCH($J37,Tree!#REF!,0))</f>
        <v>#REF!</v>
      </c>
      <c r="L37" s="104" t="e">
        <f t="shared" si="19"/>
        <v>#REF!</v>
      </c>
      <c r="M37" s="102" t="e">
        <f>'Example calcs 2000'!N37*0.95</f>
        <v>#REF!</v>
      </c>
      <c r="N37" s="100" t="e">
        <f t="shared" si="6"/>
        <v>#REF!</v>
      </c>
      <c r="O37" s="102" t="str">
        <f t="shared" si="7"/>
        <v/>
      </c>
      <c r="P37" s="102" t="e">
        <f t="shared" si="8"/>
        <v>#REF!</v>
      </c>
      <c r="Q37" s="90" t="s">
        <v>26</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32</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51</v>
      </c>
      <c r="AI37" s="39">
        <f t="shared" si="15"/>
        <v>1</v>
      </c>
      <c r="AJ37" s="80"/>
      <c r="AK37" s="80" t="e">
        <f>Tree!#REF!</f>
        <v>#REF!</v>
      </c>
      <c r="AL37" s="91" t="e">
        <f t="shared" si="16"/>
        <v>#REF!</v>
      </c>
      <c r="AM37" s="80" t="e">
        <f t="shared" si="17"/>
        <v>#REF!</v>
      </c>
    </row>
    <row r="38" spans="3:39" s="72" customFormat="1">
      <c r="C38" s="121" t="e">
        <f>Tree!#REF!</f>
        <v>#REF!</v>
      </c>
      <c r="D38" s="41" t="e">
        <f>Tree!#REF!</f>
        <v>#REF!</v>
      </c>
      <c r="E38" s="122" t="e">
        <f t="shared" si="3"/>
        <v>#REF!</v>
      </c>
      <c r="F38" s="41" t="e">
        <f>Tree!#REF!</f>
        <v>#REF!</v>
      </c>
      <c r="G38" s="122" t="e">
        <f t="shared" si="4"/>
        <v>#REF!</v>
      </c>
      <c r="H38" s="79" t="e">
        <f>INDEX(Tree!#REF!,MATCH($J38,Tree!#REF!,0))</f>
        <v>#REF!</v>
      </c>
      <c r="I38" s="100" t="e">
        <f t="shared" si="5"/>
        <v>#REF!</v>
      </c>
      <c r="J38" s="80" t="s">
        <v>25</v>
      </c>
      <c r="K38" s="90" t="e">
        <f>INDEX(Tree!#REF!,MATCH($J38,Tree!#REF!,0))</f>
        <v>#REF!</v>
      </c>
      <c r="L38" s="104" t="e">
        <f t="shared" si="19"/>
        <v>#REF!</v>
      </c>
      <c r="M38" s="102" t="e">
        <f>'Example calcs 2000'!N38*0.95</f>
        <v>#REF!</v>
      </c>
      <c r="N38" s="100" t="e">
        <f t="shared" si="6"/>
        <v>#REF!</v>
      </c>
      <c r="O38" s="102" t="str">
        <f t="shared" si="7"/>
        <v/>
      </c>
      <c r="P38" s="102" t="e">
        <f t="shared" si="8"/>
        <v>#REF!</v>
      </c>
      <c r="Q38" s="90" t="s">
        <v>26</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32</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52</v>
      </c>
      <c r="AI38" s="39">
        <f t="shared" si="15"/>
        <v>1</v>
      </c>
      <c r="AJ38" s="80"/>
      <c r="AK38" s="80" t="e">
        <f>Tree!#REF!</f>
        <v>#REF!</v>
      </c>
      <c r="AL38" s="91" t="e">
        <f t="shared" si="16"/>
        <v>#REF!</v>
      </c>
      <c r="AM38" s="80" t="e">
        <f t="shared" si="17"/>
        <v>#REF!</v>
      </c>
    </row>
    <row r="39" spans="3:39" s="72" customFormat="1">
      <c r="C39" s="121" t="e">
        <f>Tree!#REF!</f>
        <v>#REF!</v>
      </c>
      <c r="D39" s="41" t="e">
        <f>Tree!#REF!</f>
        <v>#REF!</v>
      </c>
      <c r="E39" s="122" t="e">
        <f t="shared" si="3"/>
        <v>#REF!</v>
      </c>
      <c r="F39" s="41" t="e">
        <f>Tree!#REF!</f>
        <v>#REF!</v>
      </c>
      <c r="G39" s="122" t="e">
        <f t="shared" si="4"/>
        <v>#REF!</v>
      </c>
      <c r="H39" s="79" t="e">
        <f>INDEX(Tree!#REF!,MATCH($J39,Tree!#REF!,0))</f>
        <v>#REF!</v>
      </c>
      <c r="I39" s="100" t="e">
        <f t="shared" si="5"/>
        <v>#REF!</v>
      </c>
      <c r="J39" s="80" t="s">
        <v>25</v>
      </c>
      <c r="K39" s="90" t="e">
        <f>INDEX(Tree!#REF!,MATCH($J39,Tree!#REF!,0))</f>
        <v>#REF!</v>
      </c>
      <c r="L39" s="104" t="e">
        <f t="shared" si="19"/>
        <v>#REF!</v>
      </c>
      <c r="M39" s="102" t="e">
        <f>'Example calcs 2000'!N39*0.95</f>
        <v>#REF!</v>
      </c>
      <c r="N39" s="100" t="e">
        <f t="shared" si="6"/>
        <v>#REF!</v>
      </c>
      <c r="O39" s="102" t="str">
        <f t="shared" si="7"/>
        <v/>
      </c>
      <c r="P39" s="102" t="e">
        <f t="shared" si="8"/>
        <v>#REF!</v>
      </c>
      <c r="Q39" s="90" t="s">
        <v>27</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31</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c r="C40" s="121" t="e">
        <f>Tree!#REF!</f>
        <v>#REF!</v>
      </c>
      <c r="D40" s="41" t="e">
        <f>Tree!#REF!</f>
        <v>#REF!</v>
      </c>
      <c r="E40" s="122" t="e">
        <f t="shared" si="3"/>
        <v>#REF!</v>
      </c>
      <c r="F40" s="41" t="e">
        <f>Tree!#REF!</f>
        <v>#REF!</v>
      </c>
      <c r="G40" s="122" t="e">
        <f t="shared" si="4"/>
        <v>#REF!</v>
      </c>
      <c r="H40" s="79" t="e">
        <f>INDEX(Tree!#REF!,MATCH($J40,Tree!#REF!,0))</f>
        <v>#REF!</v>
      </c>
      <c r="I40" s="100" t="e">
        <f t="shared" si="5"/>
        <v>#REF!</v>
      </c>
      <c r="J40" s="80" t="s">
        <v>25</v>
      </c>
      <c r="K40" s="90" t="e">
        <f>INDEX(Tree!#REF!,MATCH($J40,Tree!#REF!,0))</f>
        <v>#REF!</v>
      </c>
      <c r="L40" s="104" t="e">
        <f t="shared" si="19"/>
        <v>#REF!</v>
      </c>
      <c r="M40" s="102" t="e">
        <f>'Example calcs 2000'!N40*0.95</f>
        <v>#REF!</v>
      </c>
      <c r="N40" s="100" t="e">
        <f t="shared" si="6"/>
        <v>#REF!</v>
      </c>
      <c r="O40" s="102" t="str">
        <f t="shared" si="7"/>
        <v/>
      </c>
      <c r="P40" s="102" t="e">
        <f t="shared" si="8"/>
        <v>#REF!</v>
      </c>
      <c r="Q40" s="90" t="s">
        <v>27</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32</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53</v>
      </c>
      <c r="AI40" s="39">
        <f t="shared" si="15"/>
        <v>1</v>
      </c>
      <c r="AJ40" s="80" t="e">
        <f>Tree!#REF!</f>
        <v>#REF!</v>
      </c>
      <c r="AK40" s="80"/>
      <c r="AL40" s="91" t="e">
        <f t="shared" si="16"/>
        <v>#REF!</v>
      </c>
      <c r="AM40" s="80" t="e">
        <f t="shared" si="17"/>
        <v>#REF!</v>
      </c>
    </row>
    <row r="41" spans="3:39" s="72" customFormat="1">
      <c r="C41" s="121" t="e">
        <f>Tree!#REF!</f>
        <v>#REF!</v>
      </c>
      <c r="D41" s="41" t="e">
        <f>Tree!#REF!</f>
        <v>#REF!</v>
      </c>
      <c r="E41" s="122" t="e">
        <f t="shared" si="3"/>
        <v>#REF!</v>
      </c>
      <c r="F41" s="41" t="e">
        <f>Tree!#REF!</f>
        <v>#REF!</v>
      </c>
      <c r="G41" s="122" t="e">
        <f t="shared" si="4"/>
        <v>#REF!</v>
      </c>
      <c r="H41" s="79" t="e">
        <f>INDEX(Tree!#REF!,MATCH($J41,Tree!#REF!,0))</f>
        <v>#REF!</v>
      </c>
      <c r="I41" s="100" t="e">
        <f t="shared" si="5"/>
        <v>#REF!</v>
      </c>
      <c r="J41" s="80" t="s">
        <v>25</v>
      </c>
      <c r="K41" s="90" t="e">
        <f>INDEX(Tree!#REF!,MATCH($J41,Tree!#REF!,0))</f>
        <v>#REF!</v>
      </c>
      <c r="L41" s="104" t="e">
        <f t="shared" si="19"/>
        <v>#REF!</v>
      </c>
      <c r="M41" s="102" t="e">
        <f>'Example calcs 2000'!N41*0.95</f>
        <v>#REF!</v>
      </c>
      <c r="N41" s="100" t="e">
        <f t="shared" si="6"/>
        <v>#REF!</v>
      </c>
      <c r="O41" s="102" t="str">
        <f t="shared" si="7"/>
        <v/>
      </c>
      <c r="P41" s="102" t="e">
        <f t="shared" si="8"/>
        <v>#REF!</v>
      </c>
      <c r="Q41" s="90" t="s">
        <v>27</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32</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116</v>
      </c>
      <c r="AI41" s="39">
        <f t="shared" si="15"/>
        <v>1</v>
      </c>
      <c r="AJ41" s="80" t="e">
        <f>Tree!#REF!</f>
        <v>#REF!</v>
      </c>
      <c r="AK41" s="80"/>
      <c r="AL41" s="91" t="e">
        <f t="shared" si="16"/>
        <v>#REF!</v>
      </c>
      <c r="AM41" s="80" t="e">
        <f t="shared" si="17"/>
        <v>#REF!</v>
      </c>
    </row>
    <row r="42" spans="3:39" s="72" customFormat="1">
      <c r="C42" s="121" t="e">
        <f>Tree!#REF!</f>
        <v>#REF!</v>
      </c>
      <c r="D42" s="41" t="e">
        <f>Tree!#REF!</f>
        <v>#REF!</v>
      </c>
      <c r="E42" s="122" t="e">
        <f t="shared" si="3"/>
        <v>#REF!</v>
      </c>
      <c r="F42" s="41" t="e">
        <f>Tree!#REF!</f>
        <v>#REF!</v>
      </c>
      <c r="G42" s="122" t="e">
        <f t="shared" si="4"/>
        <v>#REF!</v>
      </c>
      <c r="H42" s="79" t="e">
        <f>INDEX(Tree!#REF!,MATCH($J42,Tree!#REF!,0))</f>
        <v>#REF!</v>
      </c>
      <c r="I42" s="100" t="e">
        <f t="shared" si="5"/>
        <v>#REF!</v>
      </c>
      <c r="J42" s="80" t="s">
        <v>25</v>
      </c>
      <c r="K42" s="90" t="e">
        <f>INDEX(Tree!#REF!,MATCH($J42,Tree!#REF!,0))</f>
        <v>#REF!</v>
      </c>
      <c r="L42" s="104" t="e">
        <f t="shared" si="19"/>
        <v>#REF!</v>
      </c>
      <c r="M42" s="102" t="e">
        <f>'Example calcs 2000'!N42*0.95</f>
        <v>#REF!</v>
      </c>
      <c r="N42" s="100" t="e">
        <f t="shared" si="6"/>
        <v>#REF!</v>
      </c>
      <c r="O42" s="102" t="str">
        <f t="shared" si="7"/>
        <v/>
      </c>
      <c r="P42" s="102" t="e">
        <f t="shared" si="8"/>
        <v>#REF!</v>
      </c>
      <c r="Q42" s="90" t="s">
        <v>27</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32</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51</v>
      </c>
      <c r="AI42" s="39">
        <f t="shared" si="15"/>
        <v>1</v>
      </c>
      <c r="AJ42" s="80"/>
      <c r="AK42" s="80" t="e">
        <f>Tree!#REF!</f>
        <v>#REF!</v>
      </c>
      <c r="AL42" s="91" t="e">
        <f t="shared" si="16"/>
        <v>#REF!</v>
      </c>
      <c r="AM42" s="80" t="e">
        <f t="shared" si="17"/>
        <v>#REF!</v>
      </c>
    </row>
    <row r="43" spans="3:39" s="72" customFormat="1">
      <c r="C43" s="121" t="e">
        <f>Tree!#REF!</f>
        <v>#REF!</v>
      </c>
      <c r="D43" s="41" t="e">
        <f>Tree!#REF!</f>
        <v>#REF!</v>
      </c>
      <c r="E43" s="122" t="e">
        <f t="shared" si="3"/>
        <v>#REF!</v>
      </c>
      <c r="F43" s="41" t="e">
        <f>Tree!#REF!</f>
        <v>#REF!</v>
      </c>
      <c r="G43" s="122" t="e">
        <f t="shared" si="4"/>
        <v>#REF!</v>
      </c>
      <c r="H43" s="79" t="e">
        <f>INDEX(Tree!#REF!,MATCH($J43,Tree!#REF!,0))</f>
        <v>#REF!</v>
      </c>
      <c r="I43" s="100" t="e">
        <f t="shared" si="5"/>
        <v>#REF!</v>
      </c>
      <c r="J43" s="80" t="s">
        <v>25</v>
      </c>
      <c r="K43" s="90" t="e">
        <f>INDEX(Tree!#REF!,MATCH($J43,Tree!#REF!,0))</f>
        <v>#REF!</v>
      </c>
      <c r="L43" s="104" t="e">
        <f t="shared" si="19"/>
        <v>#REF!</v>
      </c>
      <c r="M43" s="102" t="e">
        <f>'Example calcs 2000'!N43*0.95</f>
        <v>#REF!</v>
      </c>
      <c r="N43" s="100" t="e">
        <f t="shared" si="6"/>
        <v>#REF!</v>
      </c>
      <c r="O43" s="102" t="str">
        <f t="shared" si="7"/>
        <v/>
      </c>
      <c r="P43" s="102" t="e">
        <f t="shared" si="8"/>
        <v>#REF!</v>
      </c>
      <c r="Q43" s="90" t="s">
        <v>27</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32</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52</v>
      </c>
      <c r="AI43" s="39">
        <f t="shared" si="15"/>
        <v>1</v>
      </c>
      <c r="AJ43" s="80"/>
      <c r="AK43" s="80" t="e">
        <f>Tree!#REF!</f>
        <v>#REF!</v>
      </c>
      <c r="AL43" s="91" t="e">
        <f t="shared" si="16"/>
        <v>#REF!</v>
      </c>
      <c r="AM43" s="80" t="e">
        <f t="shared" si="17"/>
        <v>#REF!</v>
      </c>
    </row>
    <row r="44" spans="3:39" s="72" customFormat="1">
      <c r="C44" s="121" t="e">
        <f>Tree!#REF!</f>
        <v>#REF!</v>
      </c>
      <c r="D44" s="41" t="e">
        <f>Tree!#REF!</f>
        <v>#REF!</v>
      </c>
      <c r="E44" s="122" t="e">
        <f t="shared" si="3"/>
        <v>#REF!</v>
      </c>
      <c r="F44" s="41" t="e">
        <f>Tree!#REF!</f>
        <v>#REF!</v>
      </c>
      <c r="G44" s="122" t="e">
        <f t="shared" si="4"/>
        <v>#REF!</v>
      </c>
      <c r="H44" s="79" t="e">
        <f>INDEX(Tree!#REF!,MATCH($J44,Tree!#REF!,0))</f>
        <v>#REF!</v>
      </c>
      <c r="I44" s="100" t="e">
        <f t="shared" si="5"/>
        <v>#REF!</v>
      </c>
      <c r="J44" s="80" t="s">
        <v>25</v>
      </c>
      <c r="K44" s="90" t="e">
        <f>INDEX(Tree!#REF!,MATCH($J44,Tree!#REF!,0))</f>
        <v>#REF!</v>
      </c>
      <c r="L44" s="104" t="e">
        <f t="shared" si="19"/>
        <v>#REF!</v>
      </c>
      <c r="M44" s="102" t="e">
        <f>'Example calcs 2000'!N44*0.95</f>
        <v>#REF!</v>
      </c>
      <c r="N44" s="100" t="e">
        <f t="shared" si="6"/>
        <v>#REF!</v>
      </c>
      <c r="O44" s="102" t="str">
        <f t="shared" si="7"/>
        <v/>
      </c>
      <c r="P44" s="102" t="e">
        <f t="shared" si="8"/>
        <v>#REF!</v>
      </c>
      <c r="Q44" s="90" t="s">
        <v>29</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31</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c r="C45" s="121" t="e">
        <f>Tree!#REF!</f>
        <v>#REF!</v>
      </c>
      <c r="D45" s="41" t="e">
        <f>Tree!#REF!</f>
        <v>#REF!</v>
      </c>
      <c r="E45" s="122" t="e">
        <f t="shared" si="3"/>
        <v>#REF!</v>
      </c>
      <c r="F45" s="41" t="e">
        <f>Tree!#REF!</f>
        <v>#REF!</v>
      </c>
      <c r="G45" s="122" t="e">
        <f t="shared" si="4"/>
        <v>#REF!</v>
      </c>
      <c r="H45" s="79" t="e">
        <f>INDEX(Tree!#REF!,MATCH($J45,Tree!#REF!,0))</f>
        <v>#REF!</v>
      </c>
      <c r="I45" s="100" t="e">
        <f t="shared" si="5"/>
        <v>#REF!</v>
      </c>
      <c r="J45" s="80" t="s">
        <v>25</v>
      </c>
      <c r="K45" s="90" t="e">
        <f>INDEX(Tree!#REF!,MATCH($J45,Tree!#REF!,0))</f>
        <v>#REF!</v>
      </c>
      <c r="L45" s="104" t="e">
        <f t="shared" si="19"/>
        <v>#REF!</v>
      </c>
      <c r="M45" s="102" t="e">
        <f>'Example calcs 2000'!N45*0.95</f>
        <v>#REF!</v>
      </c>
      <c r="N45" s="100" t="e">
        <f t="shared" si="6"/>
        <v>#REF!</v>
      </c>
      <c r="O45" s="102" t="str">
        <f t="shared" si="7"/>
        <v/>
      </c>
      <c r="P45" s="102" t="e">
        <f t="shared" si="8"/>
        <v>#REF!</v>
      </c>
      <c r="Q45" s="90" t="s">
        <v>29</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32</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53</v>
      </c>
      <c r="AI45" s="39">
        <f t="shared" si="15"/>
        <v>1</v>
      </c>
      <c r="AJ45" s="80" t="e">
        <f>Tree!#REF!</f>
        <v>#REF!</v>
      </c>
      <c r="AK45" s="80"/>
      <c r="AL45" s="91" t="e">
        <f t="shared" si="16"/>
        <v>#REF!</v>
      </c>
      <c r="AM45" s="80" t="e">
        <f t="shared" si="17"/>
        <v>#REF!</v>
      </c>
    </row>
    <row r="46" spans="3:39" s="72" customFormat="1">
      <c r="C46" s="121" t="e">
        <f>Tree!#REF!</f>
        <v>#REF!</v>
      </c>
      <c r="D46" s="41" t="e">
        <f>Tree!#REF!</f>
        <v>#REF!</v>
      </c>
      <c r="E46" s="122" t="e">
        <f t="shared" si="3"/>
        <v>#REF!</v>
      </c>
      <c r="F46" s="41" t="e">
        <f>Tree!#REF!</f>
        <v>#REF!</v>
      </c>
      <c r="G46" s="122" t="e">
        <f t="shared" si="4"/>
        <v>#REF!</v>
      </c>
      <c r="H46" s="79" t="e">
        <f>INDEX(Tree!#REF!,MATCH($J46,Tree!#REF!,0))</f>
        <v>#REF!</v>
      </c>
      <c r="I46" s="100" t="e">
        <f t="shared" si="5"/>
        <v>#REF!</v>
      </c>
      <c r="J46" s="80" t="s">
        <v>25</v>
      </c>
      <c r="K46" s="90" t="e">
        <f>INDEX(Tree!#REF!,MATCH($J46,Tree!#REF!,0))</f>
        <v>#REF!</v>
      </c>
      <c r="L46" s="104" t="e">
        <f t="shared" si="19"/>
        <v>#REF!</v>
      </c>
      <c r="M46" s="102" t="e">
        <f>'Example calcs 2000'!N46*0.95</f>
        <v>#REF!</v>
      </c>
      <c r="N46" s="100" t="e">
        <f t="shared" si="6"/>
        <v>#REF!</v>
      </c>
      <c r="O46" s="102" t="str">
        <f t="shared" si="7"/>
        <v/>
      </c>
      <c r="P46" s="102" t="e">
        <f t="shared" si="8"/>
        <v>#REF!</v>
      </c>
      <c r="Q46" s="90" t="s">
        <v>29</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32</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116</v>
      </c>
      <c r="AI46" s="39">
        <f t="shared" si="15"/>
        <v>1</v>
      </c>
      <c r="AJ46" s="80" t="e">
        <f>Tree!#REF!</f>
        <v>#REF!</v>
      </c>
      <c r="AK46" s="80"/>
      <c r="AL46" s="91" t="e">
        <f t="shared" si="16"/>
        <v>#REF!</v>
      </c>
      <c r="AM46" s="80" t="e">
        <f t="shared" si="17"/>
        <v>#REF!</v>
      </c>
    </row>
    <row r="47" spans="3:39" s="72" customFormat="1">
      <c r="C47" s="121" t="e">
        <f>Tree!#REF!</f>
        <v>#REF!</v>
      </c>
      <c r="D47" s="41" t="e">
        <f>Tree!#REF!</f>
        <v>#REF!</v>
      </c>
      <c r="E47" s="122" t="e">
        <f t="shared" si="3"/>
        <v>#REF!</v>
      </c>
      <c r="F47" s="41" t="e">
        <f>Tree!#REF!</f>
        <v>#REF!</v>
      </c>
      <c r="G47" s="122" t="e">
        <f t="shared" si="4"/>
        <v>#REF!</v>
      </c>
      <c r="H47" s="79" t="e">
        <f>INDEX(Tree!#REF!,MATCH($J47,Tree!#REF!,0))</f>
        <v>#REF!</v>
      </c>
      <c r="I47" s="100" t="e">
        <f t="shared" si="5"/>
        <v>#REF!</v>
      </c>
      <c r="J47" s="80" t="s">
        <v>25</v>
      </c>
      <c r="K47" s="90" t="e">
        <f>INDEX(Tree!#REF!,MATCH($J47,Tree!#REF!,0))</f>
        <v>#REF!</v>
      </c>
      <c r="L47" s="104" t="e">
        <f t="shared" si="19"/>
        <v>#REF!</v>
      </c>
      <c r="M47" s="102" t="e">
        <f>'Example calcs 2000'!N47*0.95</f>
        <v>#REF!</v>
      </c>
      <c r="N47" s="100" t="e">
        <f t="shared" si="6"/>
        <v>#REF!</v>
      </c>
      <c r="O47" s="102" t="str">
        <f t="shared" si="7"/>
        <v/>
      </c>
      <c r="P47" s="102" t="e">
        <f t="shared" si="8"/>
        <v>#REF!</v>
      </c>
      <c r="Q47" s="90" t="s">
        <v>29</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32</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51</v>
      </c>
      <c r="AI47" s="39">
        <f t="shared" si="15"/>
        <v>1</v>
      </c>
      <c r="AJ47" s="80"/>
      <c r="AK47" s="80" t="e">
        <f>Tree!#REF!</f>
        <v>#REF!</v>
      </c>
      <c r="AL47" s="91" t="e">
        <f t="shared" si="16"/>
        <v>#REF!</v>
      </c>
      <c r="AM47" s="80" t="e">
        <f t="shared" si="17"/>
        <v>#REF!</v>
      </c>
    </row>
    <row r="48" spans="3:39" s="72" customFormat="1">
      <c r="C48" s="121" t="e">
        <f>Tree!#REF!</f>
        <v>#REF!</v>
      </c>
      <c r="D48" s="41" t="e">
        <f>Tree!#REF!</f>
        <v>#REF!</v>
      </c>
      <c r="E48" s="122" t="e">
        <f t="shared" si="3"/>
        <v>#REF!</v>
      </c>
      <c r="F48" s="41" t="e">
        <f>Tree!#REF!</f>
        <v>#REF!</v>
      </c>
      <c r="G48" s="122" t="e">
        <f t="shared" si="4"/>
        <v>#REF!</v>
      </c>
      <c r="H48" s="79" t="e">
        <f>INDEX(Tree!#REF!,MATCH($J48,Tree!#REF!,0))</f>
        <v>#REF!</v>
      </c>
      <c r="I48" s="100" t="e">
        <f t="shared" si="5"/>
        <v>#REF!</v>
      </c>
      <c r="J48" s="80" t="s">
        <v>25</v>
      </c>
      <c r="K48" s="90" t="e">
        <f>INDEX(Tree!#REF!,MATCH($J48,Tree!#REF!,0))</f>
        <v>#REF!</v>
      </c>
      <c r="L48" s="104" t="e">
        <f t="shared" si="19"/>
        <v>#REF!</v>
      </c>
      <c r="M48" s="102" t="e">
        <f>'Example calcs 2000'!N48*0.95</f>
        <v>#REF!</v>
      </c>
      <c r="N48" s="100" t="e">
        <f t="shared" si="6"/>
        <v>#REF!</v>
      </c>
      <c r="O48" s="102" t="str">
        <f t="shared" si="7"/>
        <v/>
      </c>
      <c r="P48" s="102" t="e">
        <f t="shared" si="8"/>
        <v>#REF!</v>
      </c>
      <c r="Q48" s="90" t="s">
        <v>29</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32</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52</v>
      </c>
      <c r="AI48" s="39">
        <f t="shared" si="15"/>
        <v>1</v>
      </c>
      <c r="AJ48" s="80"/>
      <c r="AK48" s="80" t="e">
        <f>Tree!#REF!</f>
        <v>#REF!</v>
      </c>
      <c r="AL48" s="91" t="e">
        <f t="shared" si="16"/>
        <v>#REF!</v>
      </c>
      <c r="AM48" s="80" t="e">
        <f t="shared" si="17"/>
        <v>#REF!</v>
      </c>
    </row>
    <row r="49" spans="3:50" s="72" customFormat="1">
      <c r="C49" s="121" t="e">
        <f>Tree!#REF!</f>
        <v>#REF!</v>
      </c>
      <c r="D49" s="41" t="e">
        <f>Tree!#REF!</f>
        <v>#REF!</v>
      </c>
      <c r="E49" s="122" t="e">
        <f t="shared" si="3"/>
        <v>#REF!</v>
      </c>
      <c r="F49" s="41" t="e">
        <f>Tree!#REF!</f>
        <v>#REF!</v>
      </c>
      <c r="G49" s="122" t="e">
        <f t="shared" si="4"/>
        <v>#REF!</v>
      </c>
      <c r="H49" s="79" t="e">
        <f>INDEX(Tree!#REF!,MATCH($J49,Tree!#REF!,0))</f>
        <v>#REF!</v>
      </c>
      <c r="I49" s="100" t="e">
        <f t="shared" si="5"/>
        <v>#REF!</v>
      </c>
      <c r="J49" s="80" t="s">
        <v>25</v>
      </c>
      <c r="K49" s="90" t="e">
        <f>INDEX(Tree!#REF!,MATCH($J49,Tree!#REF!,0))</f>
        <v>#REF!</v>
      </c>
      <c r="L49" s="104" t="e">
        <f t="shared" si="19"/>
        <v>#REF!</v>
      </c>
      <c r="M49" s="102" t="e">
        <f>'Example calcs 2000'!N49*0.95</f>
        <v>#REF!</v>
      </c>
      <c r="N49" s="100" t="e">
        <f t="shared" si="6"/>
        <v>#REF!</v>
      </c>
      <c r="O49" s="102" t="str">
        <f t="shared" si="7"/>
        <v/>
      </c>
      <c r="P49" s="102" t="e">
        <f t="shared" si="8"/>
        <v>#REF!</v>
      </c>
      <c r="Q49" s="90" t="s">
        <v>28</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31</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c r="C50" s="121" t="e">
        <f>Tree!#REF!</f>
        <v>#REF!</v>
      </c>
      <c r="D50" s="41" t="e">
        <f>Tree!#REF!</f>
        <v>#REF!</v>
      </c>
      <c r="E50" s="122" t="e">
        <f t="shared" si="3"/>
        <v>#REF!</v>
      </c>
      <c r="F50" s="41" t="e">
        <f>Tree!#REF!</f>
        <v>#REF!</v>
      </c>
      <c r="G50" s="122" t="e">
        <f t="shared" si="4"/>
        <v>#REF!</v>
      </c>
      <c r="H50" s="79" t="e">
        <f>INDEX(Tree!#REF!,MATCH($J50,Tree!#REF!,0))</f>
        <v>#REF!</v>
      </c>
      <c r="I50" s="100" t="e">
        <f t="shared" si="5"/>
        <v>#REF!</v>
      </c>
      <c r="J50" s="80" t="s">
        <v>25</v>
      </c>
      <c r="K50" s="90" t="e">
        <f>INDEX(Tree!#REF!,MATCH($J50,Tree!#REF!,0))</f>
        <v>#REF!</v>
      </c>
      <c r="L50" s="104" t="e">
        <f t="shared" si="19"/>
        <v>#REF!</v>
      </c>
      <c r="M50" s="102" t="e">
        <f>'Example calcs 2000'!N50*0.95</f>
        <v>#REF!</v>
      </c>
      <c r="N50" s="100" t="e">
        <f t="shared" si="6"/>
        <v>#REF!</v>
      </c>
      <c r="O50" s="102" t="str">
        <f t="shared" si="7"/>
        <v/>
      </c>
      <c r="P50" s="102" t="e">
        <f t="shared" si="8"/>
        <v>#REF!</v>
      </c>
      <c r="Q50" s="90" t="s">
        <v>28</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32</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53</v>
      </c>
      <c r="AI50" s="39">
        <f t="shared" si="15"/>
        <v>1</v>
      </c>
      <c r="AJ50" s="80" t="e">
        <f>Tree!#REF!</f>
        <v>#REF!</v>
      </c>
      <c r="AK50" s="80"/>
      <c r="AL50" s="91" t="e">
        <f t="shared" si="16"/>
        <v>#REF!</v>
      </c>
      <c r="AM50" s="80" t="e">
        <f t="shared" si="17"/>
        <v>#REF!</v>
      </c>
      <c r="AX50" s="126"/>
    </row>
    <row r="51" spans="3:50" s="72" customFormat="1">
      <c r="C51" s="121" t="e">
        <f>Tree!#REF!</f>
        <v>#REF!</v>
      </c>
      <c r="D51" s="41" t="e">
        <f>Tree!#REF!</f>
        <v>#REF!</v>
      </c>
      <c r="E51" s="122" t="e">
        <f t="shared" si="3"/>
        <v>#REF!</v>
      </c>
      <c r="F51" s="41" t="e">
        <f>Tree!#REF!</f>
        <v>#REF!</v>
      </c>
      <c r="G51" s="122" t="e">
        <f t="shared" si="4"/>
        <v>#REF!</v>
      </c>
      <c r="H51" s="79" t="e">
        <f>INDEX(Tree!#REF!,MATCH($J51,Tree!#REF!,0))</f>
        <v>#REF!</v>
      </c>
      <c r="I51" s="100" t="e">
        <f t="shared" si="5"/>
        <v>#REF!</v>
      </c>
      <c r="J51" s="80" t="s">
        <v>25</v>
      </c>
      <c r="K51" s="90" t="e">
        <f>INDEX(Tree!#REF!,MATCH($J51,Tree!#REF!,0))</f>
        <v>#REF!</v>
      </c>
      <c r="L51" s="104" t="e">
        <f t="shared" si="19"/>
        <v>#REF!</v>
      </c>
      <c r="M51" s="102" t="e">
        <f>'Example calcs 2000'!N51*0.95</f>
        <v>#REF!</v>
      </c>
      <c r="N51" s="100" t="e">
        <f t="shared" si="6"/>
        <v>#REF!</v>
      </c>
      <c r="O51" s="102" t="str">
        <f t="shared" si="7"/>
        <v/>
      </c>
      <c r="P51" s="102" t="e">
        <f t="shared" si="8"/>
        <v>#REF!</v>
      </c>
      <c r="Q51" s="90" t="s">
        <v>28</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32</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116</v>
      </c>
      <c r="AI51" s="39">
        <f t="shared" si="15"/>
        <v>1</v>
      </c>
      <c r="AJ51" s="80" t="e">
        <f>Tree!#REF!</f>
        <v>#REF!</v>
      </c>
      <c r="AK51" s="80"/>
      <c r="AL51" s="91" t="e">
        <f t="shared" si="16"/>
        <v>#REF!</v>
      </c>
      <c r="AM51" s="80" t="e">
        <f t="shared" si="17"/>
        <v>#REF!</v>
      </c>
      <c r="AX51" s="126"/>
    </row>
    <row r="52" spans="3:50" s="72" customFormat="1">
      <c r="C52" s="121" t="e">
        <f>Tree!#REF!</f>
        <v>#REF!</v>
      </c>
      <c r="D52" s="41" t="e">
        <f>Tree!#REF!</f>
        <v>#REF!</v>
      </c>
      <c r="E52" s="122" t="e">
        <f t="shared" si="3"/>
        <v>#REF!</v>
      </c>
      <c r="F52" s="41" t="e">
        <f>Tree!#REF!</f>
        <v>#REF!</v>
      </c>
      <c r="G52" s="122" t="e">
        <f t="shared" si="4"/>
        <v>#REF!</v>
      </c>
      <c r="H52" s="79" t="e">
        <f>INDEX(Tree!#REF!,MATCH($J52,Tree!#REF!,0))</f>
        <v>#REF!</v>
      </c>
      <c r="I52" s="100" t="e">
        <f t="shared" si="5"/>
        <v>#REF!</v>
      </c>
      <c r="J52" s="80" t="s">
        <v>25</v>
      </c>
      <c r="K52" s="90" t="e">
        <f>INDEX(Tree!#REF!,MATCH($J52,Tree!#REF!,0))</f>
        <v>#REF!</v>
      </c>
      <c r="L52" s="104" t="e">
        <f t="shared" si="19"/>
        <v>#REF!</v>
      </c>
      <c r="M52" s="102" t="e">
        <f>'Example calcs 2000'!N52*0.95</f>
        <v>#REF!</v>
      </c>
      <c r="N52" s="100" t="e">
        <f t="shared" si="6"/>
        <v>#REF!</v>
      </c>
      <c r="O52" s="102" t="str">
        <f t="shared" si="7"/>
        <v/>
      </c>
      <c r="P52" s="102" t="e">
        <f t="shared" si="8"/>
        <v>#REF!</v>
      </c>
      <c r="Q52" s="90" t="s">
        <v>28</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32</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51</v>
      </c>
      <c r="AI52" s="39">
        <f t="shared" si="15"/>
        <v>1</v>
      </c>
      <c r="AJ52" s="80"/>
      <c r="AK52" s="80" t="e">
        <f>Tree!#REF!</f>
        <v>#REF!</v>
      </c>
      <c r="AL52" s="91" t="e">
        <f t="shared" si="16"/>
        <v>#REF!</v>
      </c>
      <c r="AM52" s="80" t="e">
        <f t="shared" si="17"/>
        <v>#REF!</v>
      </c>
      <c r="AX52" s="126"/>
    </row>
    <row r="53" spans="3:50" s="72" customFormat="1">
      <c r="C53" s="121" t="e">
        <f>Tree!#REF!</f>
        <v>#REF!</v>
      </c>
      <c r="D53" s="41" t="e">
        <f>Tree!#REF!</f>
        <v>#REF!</v>
      </c>
      <c r="E53" s="122" t="e">
        <f t="shared" si="3"/>
        <v>#REF!</v>
      </c>
      <c r="F53" s="41" t="e">
        <f>Tree!#REF!</f>
        <v>#REF!</v>
      </c>
      <c r="G53" s="122" t="e">
        <f t="shared" si="4"/>
        <v>#REF!</v>
      </c>
      <c r="H53" s="79" t="e">
        <f>INDEX(Tree!#REF!,MATCH($J53,Tree!#REF!,0))</f>
        <v>#REF!</v>
      </c>
      <c r="I53" s="100" t="e">
        <f t="shared" si="5"/>
        <v>#REF!</v>
      </c>
      <c r="J53" s="80" t="s">
        <v>25</v>
      </c>
      <c r="K53" s="90" t="e">
        <f>INDEX(Tree!#REF!,MATCH($J53,Tree!#REF!,0))</f>
        <v>#REF!</v>
      </c>
      <c r="L53" s="104" t="e">
        <f t="shared" si="19"/>
        <v>#REF!</v>
      </c>
      <c r="M53" s="102" t="e">
        <f>'Example calcs 2000'!N53*0.95</f>
        <v>#REF!</v>
      </c>
      <c r="N53" s="100" t="e">
        <f t="shared" si="6"/>
        <v>#REF!</v>
      </c>
      <c r="O53" s="102" t="str">
        <f t="shared" si="7"/>
        <v/>
      </c>
      <c r="P53" s="102" t="e">
        <f t="shared" si="8"/>
        <v>#REF!</v>
      </c>
      <c r="Q53" s="90" t="s">
        <v>28</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32</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52</v>
      </c>
      <c r="AI53" s="39">
        <f t="shared" si="15"/>
        <v>1</v>
      </c>
      <c r="AJ53" s="80"/>
      <c r="AK53" s="80" t="e">
        <f>Tree!#REF!</f>
        <v>#REF!</v>
      </c>
      <c r="AL53" s="91" t="e">
        <f t="shared" si="16"/>
        <v>#REF!</v>
      </c>
      <c r="AM53" s="80" t="e">
        <f t="shared" si="17"/>
        <v>#REF!</v>
      </c>
      <c r="AX53" s="126"/>
    </row>
    <row r="54" spans="3:50" s="72" customFormat="1">
      <c r="C54" s="121" t="e">
        <f>Tree!#REF!</f>
        <v>#REF!</v>
      </c>
      <c r="D54" s="41" t="e">
        <f>Tree!#REF!</f>
        <v>#REF!</v>
      </c>
      <c r="E54" s="122" t="e">
        <f t="shared" si="3"/>
        <v>#REF!</v>
      </c>
      <c r="F54" s="41" t="e">
        <f>Tree!#REF!</f>
        <v>#REF!</v>
      </c>
      <c r="G54" s="122" t="e">
        <f t="shared" si="4"/>
        <v>#REF!</v>
      </c>
      <c r="H54" s="79" t="e">
        <f>INDEX(Tree!#REF!,MATCH($J54,Tree!#REF!,0))</f>
        <v>#REF!</v>
      </c>
      <c r="I54" s="100" t="e">
        <f t="shared" si="5"/>
        <v>#REF!</v>
      </c>
      <c r="J54" s="80" t="s">
        <v>23</v>
      </c>
      <c r="K54" s="90" t="e">
        <f>INDEX(Tree!#REF!,MATCH($J54,Tree!#REF!,0))</f>
        <v>#REF!</v>
      </c>
      <c r="L54" s="104" t="e">
        <f t="shared" si="19"/>
        <v>#REF!</v>
      </c>
      <c r="M54" s="102" t="e">
        <f>'Example calcs 2000'!N54*0.95</f>
        <v>#REF!</v>
      </c>
      <c r="N54" s="100" t="e">
        <f t="shared" si="6"/>
        <v>#REF!</v>
      </c>
      <c r="O54" s="102" t="str">
        <f t="shared" si="7"/>
        <v/>
      </c>
      <c r="P54" s="102" t="e">
        <f t="shared" si="8"/>
        <v>#REF!</v>
      </c>
      <c r="Q54" s="90" t="s">
        <v>30</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31</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c r="C55" s="121" t="e">
        <f>Tree!#REF!</f>
        <v>#REF!</v>
      </c>
      <c r="D55" s="41" t="e">
        <f>Tree!#REF!</f>
        <v>#REF!</v>
      </c>
      <c r="E55" s="122" t="e">
        <f t="shared" si="3"/>
        <v>#REF!</v>
      </c>
      <c r="F55" s="41" t="e">
        <f>Tree!#REF!</f>
        <v>#REF!</v>
      </c>
      <c r="G55" s="122" t="e">
        <f t="shared" si="4"/>
        <v>#REF!</v>
      </c>
      <c r="H55" s="79" t="e">
        <f>INDEX(Tree!#REF!,MATCH($J55,Tree!#REF!,0))</f>
        <v>#REF!</v>
      </c>
      <c r="I55" s="100" t="e">
        <f t="shared" si="5"/>
        <v>#REF!</v>
      </c>
      <c r="J55" s="80" t="s">
        <v>23</v>
      </c>
      <c r="K55" s="90" t="e">
        <f>INDEX(Tree!#REF!,MATCH($J55,Tree!#REF!,0))</f>
        <v>#REF!</v>
      </c>
      <c r="L55" s="104" t="e">
        <f t="shared" si="19"/>
        <v>#REF!</v>
      </c>
      <c r="M55" s="102" t="e">
        <f>'Example calcs 2000'!N55*0.95</f>
        <v>#REF!</v>
      </c>
      <c r="N55" s="100" t="e">
        <f t="shared" si="6"/>
        <v>#REF!</v>
      </c>
      <c r="O55" s="102" t="str">
        <f t="shared" si="7"/>
        <v/>
      </c>
      <c r="P55" s="102" t="e">
        <f t="shared" si="8"/>
        <v>#REF!</v>
      </c>
      <c r="Q55" s="90" t="s">
        <v>30</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32</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53</v>
      </c>
      <c r="AI55" s="39">
        <f t="shared" si="15"/>
        <v>1</v>
      </c>
      <c r="AJ55" s="80" t="e">
        <f>Tree!#REF!</f>
        <v>#REF!</v>
      </c>
      <c r="AK55" s="80"/>
      <c r="AL55" s="91" t="e">
        <f t="shared" si="16"/>
        <v>#REF!</v>
      </c>
      <c r="AM55" s="80" t="e">
        <f t="shared" si="17"/>
        <v>#REF!</v>
      </c>
      <c r="AX55" s="126"/>
    </row>
    <row r="56" spans="3:50" s="72" customFormat="1">
      <c r="C56" s="121" t="e">
        <f>Tree!#REF!</f>
        <v>#REF!</v>
      </c>
      <c r="D56" s="41" t="e">
        <f>Tree!#REF!</f>
        <v>#REF!</v>
      </c>
      <c r="E56" s="122" t="e">
        <f t="shared" si="3"/>
        <v>#REF!</v>
      </c>
      <c r="F56" s="41" t="e">
        <f>Tree!#REF!</f>
        <v>#REF!</v>
      </c>
      <c r="G56" s="122" t="e">
        <f t="shared" si="4"/>
        <v>#REF!</v>
      </c>
      <c r="H56" s="79" t="e">
        <f>INDEX(Tree!#REF!,MATCH($J56,Tree!#REF!,0))</f>
        <v>#REF!</v>
      </c>
      <c r="I56" s="100" t="e">
        <f t="shared" si="5"/>
        <v>#REF!</v>
      </c>
      <c r="J56" s="80" t="s">
        <v>23</v>
      </c>
      <c r="K56" s="90" t="e">
        <f>INDEX(Tree!#REF!,MATCH($J56,Tree!#REF!,0))</f>
        <v>#REF!</v>
      </c>
      <c r="L56" s="104" t="e">
        <f t="shared" si="19"/>
        <v>#REF!</v>
      </c>
      <c r="M56" s="102" t="e">
        <f>'Example calcs 2000'!N56*0.95</f>
        <v>#REF!</v>
      </c>
      <c r="N56" s="100" t="e">
        <f t="shared" si="6"/>
        <v>#REF!</v>
      </c>
      <c r="O56" s="102" t="str">
        <f t="shared" si="7"/>
        <v/>
      </c>
      <c r="P56" s="102" t="e">
        <f t="shared" si="8"/>
        <v>#REF!</v>
      </c>
      <c r="Q56" s="90" t="s">
        <v>30</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32</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116</v>
      </c>
      <c r="AI56" s="39">
        <f t="shared" si="15"/>
        <v>1</v>
      </c>
      <c r="AJ56" s="80" t="e">
        <f>Tree!#REF!</f>
        <v>#REF!</v>
      </c>
      <c r="AK56" s="80"/>
      <c r="AL56" s="91" t="e">
        <f t="shared" si="16"/>
        <v>#REF!</v>
      </c>
      <c r="AM56" s="80" t="e">
        <f t="shared" si="17"/>
        <v>#REF!</v>
      </c>
      <c r="AX56" s="126"/>
    </row>
    <row r="57" spans="3:50" s="72" customFormat="1">
      <c r="C57" s="121" t="e">
        <f>Tree!#REF!</f>
        <v>#REF!</v>
      </c>
      <c r="D57" s="41" t="e">
        <f>Tree!#REF!</f>
        <v>#REF!</v>
      </c>
      <c r="E57" s="122" t="e">
        <f t="shared" si="3"/>
        <v>#REF!</v>
      </c>
      <c r="F57" s="41" t="e">
        <f>Tree!#REF!</f>
        <v>#REF!</v>
      </c>
      <c r="G57" s="122" t="e">
        <f t="shared" si="4"/>
        <v>#REF!</v>
      </c>
      <c r="H57" s="79" t="e">
        <f>INDEX(Tree!#REF!,MATCH($J57,Tree!#REF!,0))</f>
        <v>#REF!</v>
      </c>
      <c r="I57" s="100" t="e">
        <f t="shared" si="5"/>
        <v>#REF!</v>
      </c>
      <c r="J57" s="80" t="s">
        <v>23</v>
      </c>
      <c r="K57" s="90" t="e">
        <f>INDEX(Tree!#REF!,MATCH($J57,Tree!#REF!,0))</f>
        <v>#REF!</v>
      </c>
      <c r="L57" s="104" t="e">
        <f t="shared" si="19"/>
        <v>#REF!</v>
      </c>
      <c r="M57" s="102" t="e">
        <f>'Example calcs 2000'!N57*0.95</f>
        <v>#REF!</v>
      </c>
      <c r="N57" s="100" t="e">
        <f t="shared" si="6"/>
        <v>#REF!</v>
      </c>
      <c r="O57" s="102" t="str">
        <f t="shared" si="7"/>
        <v/>
      </c>
      <c r="P57" s="102" t="e">
        <f t="shared" si="8"/>
        <v>#REF!</v>
      </c>
      <c r="Q57" s="90" t="s">
        <v>30</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32</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51</v>
      </c>
      <c r="AI57" s="39">
        <f t="shared" si="15"/>
        <v>1</v>
      </c>
      <c r="AJ57" s="80"/>
      <c r="AK57" s="80" t="e">
        <f>Tree!#REF!</f>
        <v>#REF!</v>
      </c>
      <c r="AL57" s="91" t="e">
        <f t="shared" si="16"/>
        <v>#REF!</v>
      </c>
      <c r="AM57" s="80" t="e">
        <f t="shared" si="17"/>
        <v>#REF!</v>
      </c>
      <c r="AX57" s="126"/>
    </row>
    <row r="58" spans="3:50" s="72" customFormat="1">
      <c r="C58" s="121" t="e">
        <f>Tree!#REF!</f>
        <v>#REF!</v>
      </c>
      <c r="D58" s="41" t="e">
        <f>Tree!#REF!</f>
        <v>#REF!</v>
      </c>
      <c r="E58" s="122" t="e">
        <f t="shared" si="3"/>
        <v>#REF!</v>
      </c>
      <c r="F58" s="41" t="e">
        <f>Tree!#REF!</f>
        <v>#REF!</v>
      </c>
      <c r="G58" s="122" t="e">
        <f t="shared" si="4"/>
        <v>#REF!</v>
      </c>
      <c r="H58" s="79" t="e">
        <f>INDEX(Tree!#REF!,MATCH($J58,Tree!#REF!,0))</f>
        <v>#REF!</v>
      </c>
      <c r="I58" s="100" t="e">
        <f t="shared" si="5"/>
        <v>#REF!</v>
      </c>
      <c r="J58" s="80" t="s">
        <v>23</v>
      </c>
      <c r="K58" s="90" t="e">
        <f>INDEX(Tree!#REF!,MATCH($J58,Tree!#REF!,0))</f>
        <v>#REF!</v>
      </c>
      <c r="L58" s="104" t="e">
        <f t="shared" si="19"/>
        <v>#REF!</v>
      </c>
      <c r="M58" s="102" t="e">
        <f>'Example calcs 2000'!N58*0.95</f>
        <v>#REF!</v>
      </c>
      <c r="N58" s="100" t="e">
        <f t="shared" si="6"/>
        <v>#REF!</v>
      </c>
      <c r="O58" s="102" t="str">
        <f t="shared" si="7"/>
        <v/>
      </c>
      <c r="P58" s="102" t="e">
        <f t="shared" si="8"/>
        <v>#REF!</v>
      </c>
      <c r="Q58" s="90" t="s">
        <v>30</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32</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52</v>
      </c>
      <c r="AI58" s="39">
        <f t="shared" si="15"/>
        <v>1</v>
      </c>
      <c r="AJ58" s="80"/>
      <c r="AK58" s="80" t="e">
        <f>Tree!#REF!</f>
        <v>#REF!</v>
      </c>
      <c r="AL58" s="91" t="e">
        <f t="shared" si="16"/>
        <v>#REF!</v>
      </c>
      <c r="AM58" s="80" t="e">
        <f t="shared" si="17"/>
        <v>#REF!</v>
      </c>
    </row>
    <row r="59" spans="3:50" s="72" customFormat="1">
      <c r="C59" s="121" t="e">
        <f>Tree!#REF!</f>
        <v>#REF!</v>
      </c>
      <c r="D59" s="41" t="e">
        <f>Tree!#REF!</f>
        <v>#REF!</v>
      </c>
      <c r="E59" s="122" t="e">
        <f t="shared" si="3"/>
        <v>#REF!</v>
      </c>
      <c r="F59" s="41" t="e">
        <f>Tree!#REF!</f>
        <v>#REF!</v>
      </c>
      <c r="G59" s="122" t="e">
        <f t="shared" si="4"/>
        <v>#REF!</v>
      </c>
      <c r="H59" s="79" t="e">
        <f>INDEX(Tree!#REF!,MATCH($J59,Tree!#REF!,0))</f>
        <v>#REF!</v>
      </c>
      <c r="I59" s="100" t="e">
        <f t="shared" si="5"/>
        <v>#REF!</v>
      </c>
      <c r="J59" s="80" t="s">
        <v>23</v>
      </c>
      <c r="K59" s="90" t="e">
        <f>INDEX(Tree!#REF!,MATCH($J59,Tree!#REF!,0))</f>
        <v>#REF!</v>
      </c>
      <c r="L59" s="104" t="e">
        <f t="shared" si="19"/>
        <v>#REF!</v>
      </c>
      <c r="M59" s="102" t="e">
        <f>'Example calcs 2000'!N59*0.95</f>
        <v>#REF!</v>
      </c>
      <c r="N59" s="100" t="e">
        <f t="shared" si="6"/>
        <v>#REF!</v>
      </c>
      <c r="O59" s="102" t="str">
        <f t="shared" si="7"/>
        <v/>
      </c>
      <c r="P59" s="102" t="e">
        <f t="shared" si="8"/>
        <v>#REF!</v>
      </c>
      <c r="Q59" s="90" t="s">
        <v>26</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31</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c r="C60" s="121" t="e">
        <f>Tree!#REF!</f>
        <v>#REF!</v>
      </c>
      <c r="D60" s="41" t="e">
        <f>Tree!#REF!</f>
        <v>#REF!</v>
      </c>
      <c r="E60" s="122" t="e">
        <f t="shared" si="3"/>
        <v>#REF!</v>
      </c>
      <c r="F60" s="41" t="e">
        <f>Tree!#REF!</f>
        <v>#REF!</v>
      </c>
      <c r="G60" s="122" t="e">
        <f t="shared" si="4"/>
        <v>#REF!</v>
      </c>
      <c r="H60" s="79" t="e">
        <f>INDEX(Tree!#REF!,MATCH($J60,Tree!#REF!,0))</f>
        <v>#REF!</v>
      </c>
      <c r="I60" s="100" t="e">
        <f t="shared" si="5"/>
        <v>#REF!</v>
      </c>
      <c r="J60" s="80" t="s">
        <v>23</v>
      </c>
      <c r="K60" s="90" t="e">
        <f>INDEX(Tree!#REF!,MATCH($J60,Tree!#REF!,0))</f>
        <v>#REF!</v>
      </c>
      <c r="L60" s="104" t="e">
        <f t="shared" si="19"/>
        <v>#REF!</v>
      </c>
      <c r="M60" s="102" t="e">
        <f>'Example calcs 2000'!N60*0.95</f>
        <v>#REF!</v>
      </c>
      <c r="N60" s="100" t="e">
        <f t="shared" si="6"/>
        <v>#REF!</v>
      </c>
      <c r="O60" s="102" t="str">
        <f t="shared" si="7"/>
        <v/>
      </c>
      <c r="P60" s="102" t="e">
        <f t="shared" si="8"/>
        <v>#REF!</v>
      </c>
      <c r="Q60" s="90" t="s">
        <v>26</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32</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53</v>
      </c>
      <c r="AI60" s="39">
        <f t="shared" si="15"/>
        <v>1</v>
      </c>
      <c r="AJ60" s="80" t="e">
        <f>Tree!#REF!</f>
        <v>#REF!</v>
      </c>
      <c r="AK60" s="80"/>
      <c r="AL60" s="91" t="e">
        <f t="shared" si="16"/>
        <v>#REF!</v>
      </c>
      <c r="AM60" s="80" t="e">
        <f t="shared" si="17"/>
        <v>#REF!</v>
      </c>
    </row>
    <row r="61" spans="3:50" s="72" customFormat="1">
      <c r="C61" s="121" t="e">
        <f>Tree!#REF!</f>
        <v>#REF!</v>
      </c>
      <c r="D61" s="41" t="e">
        <f>Tree!#REF!</f>
        <v>#REF!</v>
      </c>
      <c r="E61" s="122" t="e">
        <f t="shared" si="3"/>
        <v>#REF!</v>
      </c>
      <c r="F61" s="41" t="e">
        <f>Tree!#REF!</f>
        <v>#REF!</v>
      </c>
      <c r="G61" s="122" t="e">
        <f t="shared" si="4"/>
        <v>#REF!</v>
      </c>
      <c r="H61" s="79" t="e">
        <f>INDEX(Tree!#REF!,MATCH($J61,Tree!#REF!,0))</f>
        <v>#REF!</v>
      </c>
      <c r="I61" s="100" t="e">
        <f t="shared" si="5"/>
        <v>#REF!</v>
      </c>
      <c r="J61" s="80" t="s">
        <v>23</v>
      </c>
      <c r="K61" s="90" t="e">
        <f>INDEX(Tree!#REF!,MATCH($J61,Tree!#REF!,0))</f>
        <v>#REF!</v>
      </c>
      <c r="L61" s="104" t="e">
        <f t="shared" si="19"/>
        <v>#REF!</v>
      </c>
      <c r="M61" s="102" t="e">
        <f>'Example calcs 2000'!N61*0.95</f>
        <v>#REF!</v>
      </c>
      <c r="N61" s="100" t="e">
        <f t="shared" si="6"/>
        <v>#REF!</v>
      </c>
      <c r="O61" s="102" t="str">
        <f t="shared" si="7"/>
        <v/>
      </c>
      <c r="P61" s="102" t="e">
        <f t="shared" si="8"/>
        <v>#REF!</v>
      </c>
      <c r="Q61" s="90" t="s">
        <v>26</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32</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116</v>
      </c>
      <c r="AI61" s="39">
        <f t="shared" si="15"/>
        <v>1</v>
      </c>
      <c r="AJ61" s="80" t="e">
        <f>Tree!#REF!</f>
        <v>#REF!</v>
      </c>
      <c r="AK61" s="80"/>
      <c r="AL61" s="91" t="e">
        <f t="shared" si="16"/>
        <v>#REF!</v>
      </c>
      <c r="AM61" s="80" t="e">
        <f t="shared" si="17"/>
        <v>#REF!</v>
      </c>
    </row>
    <row r="62" spans="3:50" s="72" customFormat="1">
      <c r="C62" s="121" t="e">
        <f>Tree!#REF!</f>
        <v>#REF!</v>
      </c>
      <c r="D62" s="41" t="e">
        <f>Tree!#REF!</f>
        <v>#REF!</v>
      </c>
      <c r="E62" s="122" t="e">
        <f t="shared" si="3"/>
        <v>#REF!</v>
      </c>
      <c r="F62" s="41" t="e">
        <f>Tree!#REF!</f>
        <v>#REF!</v>
      </c>
      <c r="G62" s="122" t="e">
        <f t="shared" si="4"/>
        <v>#REF!</v>
      </c>
      <c r="H62" s="79" t="e">
        <f>INDEX(Tree!#REF!,MATCH($J62,Tree!#REF!,0))</f>
        <v>#REF!</v>
      </c>
      <c r="I62" s="100" t="e">
        <f t="shared" si="5"/>
        <v>#REF!</v>
      </c>
      <c r="J62" s="80" t="s">
        <v>23</v>
      </c>
      <c r="K62" s="90" t="e">
        <f>INDEX(Tree!#REF!,MATCH($J62,Tree!#REF!,0))</f>
        <v>#REF!</v>
      </c>
      <c r="L62" s="104" t="e">
        <f t="shared" si="19"/>
        <v>#REF!</v>
      </c>
      <c r="M62" s="102" t="e">
        <f>'Example calcs 2000'!N62*0.95</f>
        <v>#REF!</v>
      </c>
      <c r="N62" s="100" t="e">
        <f t="shared" si="6"/>
        <v>#REF!</v>
      </c>
      <c r="O62" s="102" t="str">
        <f t="shared" si="7"/>
        <v/>
      </c>
      <c r="P62" s="102" t="e">
        <f t="shared" si="8"/>
        <v>#REF!</v>
      </c>
      <c r="Q62" s="90" t="s">
        <v>26</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32</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51</v>
      </c>
      <c r="AI62" s="39">
        <f t="shared" si="15"/>
        <v>1</v>
      </c>
      <c r="AJ62" s="80"/>
      <c r="AK62" s="80" t="e">
        <f>Tree!#REF!</f>
        <v>#REF!</v>
      </c>
      <c r="AL62" s="91" t="e">
        <f t="shared" si="16"/>
        <v>#REF!</v>
      </c>
      <c r="AM62" s="80" t="e">
        <f t="shared" si="17"/>
        <v>#REF!</v>
      </c>
    </row>
    <row r="63" spans="3:50" s="72" customFormat="1">
      <c r="C63" s="121" t="e">
        <f>Tree!#REF!</f>
        <v>#REF!</v>
      </c>
      <c r="D63" s="41" t="e">
        <f>Tree!#REF!</f>
        <v>#REF!</v>
      </c>
      <c r="E63" s="122" t="e">
        <f t="shared" si="3"/>
        <v>#REF!</v>
      </c>
      <c r="F63" s="41" t="e">
        <f>Tree!#REF!</f>
        <v>#REF!</v>
      </c>
      <c r="G63" s="122" t="e">
        <f t="shared" si="4"/>
        <v>#REF!</v>
      </c>
      <c r="H63" s="79" t="e">
        <f>INDEX(Tree!#REF!,MATCH($J63,Tree!#REF!,0))</f>
        <v>#REF!</v>
      </c>
      <c r="I63" s="100" t="e">
        <f t="shared" si="5"/>
        <v>#REF!</v>
      </c>
      <c r="J63" s="80" t="s">
        <v>23</v>
      </c>
      <c r="K63" s="90" t="e">
        <f>INDEX(Tree!#REF!,MATCH($J63,Tree!#REF!,0))</f>
        <v>#REF!</v>
      </c>
      <c r="L63" s="104" t="e">
        <f t="shared" si="19"/>
        <v>#REF!</v>
      </c>
      <c r="M63" s="102" t="e">
        <f>'Example calcs 2000'!N63*0.95</f>
        <v>#REF!</v>
      </c>
      <c r="N63" s="100" t="e">
        <f t="shared" si="6"/>
        <v>#REF!</v>
      </c>
      <c r="O63" s="102" t="str">
        <f t="shared" si="7"/>
        <v/>
      </c>
      <c r="P63" s="102" t="e">
        <f t="shared" si="8"/>
        <v>#REF!</v>
      </c>
      <c r="Q63" s="90" t="s">
        <v>26</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32</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52</v>
      </c>
      <c r="AI63" s="39">
        <f t="shared" si="15"/>
        <v>1</v>
      </c>
      <c r="AJ63" s="80"/>
      <c r="AK63" s="80" t="e">
        <f>Tree!#REF!</f>
        <v>#REF!</v>
      </c>
      <c r="AL63" s="91" t="e">
        <f t="shared" si="16"/>
        <v>#REF!</v>
      </c>
      <c r="AM63" s="80" t="e">
        <f t="shared" si="17"/>
        <v>#REF!</v>
      </c>
    </row>
    <row r="64" spans="3:50" s="72" customFormat="1">
      <c r="C64" s="121" t="e">
        <f>Tree!#REF!</f>
        <v>#REF!</v>
      </c>
      <c r="D64" s="41" t="e">
        <f>Tree!#REF!</f>
        <v>#REF!</v>
      </c>
      <c r="E64" s="122" t="e">
        <f t="shared" si="3"/>
        <v>#REF!</v>
      </c>
      <c r="F64" s="41" t="e">
        <f>Tree!#REF!</f>
        <v>#REF!</v>
      </c>
      <c r="G64" s="122" t="e">
        <f t="shared" si="4"/>
        <v>#REF!</v>
      </c>
      <c r="H64" s="79" t="e">
        <f>INDEX(Tree!#REF!,MATCH($J64,Tree!#REF!,0))</f>
        <v>#REF!</v>
      </c>
      <c r="I64" s="100" t="e">
        <f t="shared" si="5"/>
        <v>#REF!</v>
      </c>
      <c r="J64" s="80" t="s">
        <v>23</v>
      </c>
      <c r="K64" s="90" t="e">
        <f>INDEX(Tree!#REF!,MATCH($J64,Tree!#REF!,0))</f>
        <v>#REF!</v>
      </c>
      <c r="L64" s="104" t="e">
        <f t="shared" si="19"/>
        <v>#REF!</v>
      </c>
      <c r="M64" s="102" t="e">
        <f>'Example calcs 2000'!N64*0.95</f>
        <v>#REF!</v>
      </c>
      <c r="N64" s="100" t="e">
        <f t="shared" si="6"/>
        <v>#REF!</v>
      </c>
      <c r="O64" s="102" t="str">
        <f t="shared" si="7"/>
        <v/>
      </c>
      <c r="P64" s="102" t="e">
        <f t="shared" si="8"/>
        <v>#REF!</v>
      </c>
      <c r="Q64" s="90" t="s">
        <v>27</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31</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c r="C65" s="121" t="e">
        <f>Tree!#REF!</f>
        <v>#REF!</v>
      </c>
      <c r="D65" s="41" t="e">
        <f>Tree!#REF!</f>
        <v>#REF!</v>
      </c>
      <c r="E65" s="122" t="e">
        <f t="shared" si="3"/>
        <v>#REF!</v>
      </c>
      <c r="F65" s="41" t="e">
        <f>Tree!#REF!</f>
        <v>#REF!</v>
      </c>
      <c r="G65" s="122" t="e">
        <f t="shared" si="4"/>
        <v>#REF!</v>
      </c>
      <c r="H65" s="79" t="e">
        <f>INDEX(Tree!#REF!,MATCH($J65,Tree!#REF!,0))</f>
        <v>#REF!</v>
      </c>
      <c r="I65" s="100" t="e">
        <f t="shared" si="5"/>
        <v>#REF!</v>
      </c>
      <c r="J65" s="80" t="s">
        <v>23</v>
      </c>
      <c r="K65" s="90" t="e">
        <f>INDEX(Tree!#REF!,MATCH($J65,Tree!#REF!,0))</f>
        <v>#REF!</v>
      </c>
      <c r="L65" s="104" t="e">
        <f t="shared" si="19"/>
        <v>#REF!</v>
      </c>
      <c r="M65" s="102" t="e">
        <f>'Example calcs 2000'!N65*0.95</f>
        <v>#REF!</v>
      </c>
      <c r="N65" s="100" t="e">
        <f t="shared" si="6"/>
        <v>#REF!</v>
      </c>
      <c r="O65" s="102" t="str">
        <f t="shared" si="7"/>
        <v/>
      </c>
      <c r="P65" s="102" t="e">
        <f t="shared" si="8"/>
        <v>#REF!</v>
      </c>
      <c r="Q65" s="90" t="s">
        <v>27</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32</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53</v>
      </c>
      <c r="AI65" s="39">
        <f t="shared" si="15"/>
        <v>1</v>
      </c>
      <c r="AJ65" s="80" t="e">
        <f>Tree!#REF!</f>
        <v>#REF!</v>
      </c>
      <c r="AK65" s="80"/>
      <c r="AL65" s="91" t="e">
        <f t="shared" si="16"/>
        <v>#REF!</v>
      </c>
      <c r="AM65" s="80" t="e">
        <f t="shared" si="17"/>
        <v>#REF!</v>
      </c>
    </row>
    <row r="66" spans="3:39" s="72" customFormat="1">
      <c r="C66" s="121" t="e">
        <f>Tree!#REF!</f>
        <v>#REF!</v>
      </c>
      <c r="D66" s="41" t="e">
        <f>Tree!#REF!</f>
        <v>#REF!</v>
      </c>
      <c r="E66" s="122" t="e">
        <f t="shared" si="3"/>
        <v>#REF!</v>
      </c>
      <c r="F66" s="41" t="e">
        <f>Tree!#REF!</f>
        <v>#REF!</v>
      </c>
      <c r="G66" s="122" t="e">
        <f t="shared" si="4"/>
        <v>#REF!</v>
      </c>
      <c r="H66" s="79" t="e">
        <f>INDEX(Tree!#REF!,MATCH($J66,Tree!#REF!,0))</f>
        <v>#REF!</v>
      </c>
      <c r="I66" s="100" t="e">
        <f t="shared" si="5"/>
        <v>#REF!</v>
      </c>
      <c r="J66" s="80" t="s">
        <v>23</v>
      </c>
      <c r="K66" s="90" t="e">
        <f>INDEX(Tree!#REF!,MATCH($J66,Tree!#REF!,0))</f>
        <v>#REF!</v>
      </c>
      <c r="L66" s="104" t="e">
        <f t="shared" si="19"/>
        <v>#REF!</v>
      </c>
      <c r="M66" s="102" t="e">
        <f>'Example calcs 2000'!N66*0.95</f>
        <v>#REF!</v>
      </c>
      <c r="N66" s="100" t="e">
        <f t="shared" si="6"/>
        <v>#REF!</v>
      </c>
      <c r="O66" s="102" t="str">
        <f t="shared" si="7"/>
        <v/>
      </c>
      <c r="P66" s="102" t="e">
        <f t="shared" si="8"/>
        <v>#REF!</v>
      </c>
      <c r="Q66" s="90" t="s">
        <v>27</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32</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116</v>
      </c>
      <c r="AI66" s="39">
        <f t="shared" si="15"/>
        <v>1</v>
      </c>
      <c r="AJ66" s="80" t="e">
        <f>Tree!#REF!</f>
        <v>#REF!</v>
      </c>
      <c r="AK66" s="80"/>
      <c r="AL66" s="91" t="e">
        <f t="shared" si="16"/>
        <v>#REF!</v>
      </c>
      <c r="AM66" s="80" t="e">
        <f t="shared" si="17"/>
        <v>#REF!</v>
      </c>
    </row>
    <row r="67" spans="3:39" s="72" customFormat="1">
      <c r="C67" s="121" t="e">
        <f>Tree!#REF!</f>
        <v>#REF!</v>
      </c>
      <c r="D67" s="41" t="e">
        <f>Tree!#REF!</f>
        <v>#REF!</v>
      </c>
      <c r="E67" s="122" t="e">
        <f t="shared" si="3"/>
        <v>#REF!</v>
      </c>
      <c r="F67" s="41" t="e">
        <f>Tree!#REF!</f>
        <v>#REF!</v>
      </c>
      <c r="G67" s="122" t="e">
        <f t="shared" si="4"/>
        <v>#REF!</v>
      </c>
      <c r="H67" s="79" t="e">
        <f>INDEX(Tree!#REF!,MATCH($J67,Tree!#REF!,0))</f>
        <v>#REF!</v>
      </c>
      <c r="I67" s="100" t="e">
        <f t="shared" si="5"/>
        <v>#REF!</v>
      </c>
      <c r="J67" s="80" t="s">
        <v>23</v>
      </c>
      <c r="K67" s="90" t="e">
        <f>INDEX(Tree!#REF!,MATCH($J67,Tree!#REF!,0))</f>
        <v>#REF!</v>
      </c>
      <c r="L67" s="104" t="e">
        <f t="shared" si="19"/>
        <v>#REF!</v>
      </c>
      <c r="M67" s="102" t="e">
        <f>'Example calcs 2000'!N67*0.95</f>
        <v>#REF!</v>
      </c>
      <c r="N67" s="100" t="e">
        <f t="shared" si="6"/>
        <v>#REF!</v>
      </c>
      <c r="O67" s="102" t="str">
        <f t="shared" si="7"/>
        <v/>
      </c>
      <c r="P67" s="102" t="e">
        <f t="shared" si="8"/>
        <v>#REF!</v>
      </c>
      <c r="Q67" s="90" t="s">
        <v>27</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32</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51</v>
      </c>
      <c r="AI67" s="39">
        <f t="shared" si="15"/>
        <v>1</v>
      </c>
      <c r="AJ67" s="80"/>
      <c r="AK67" s="80" t="e">
        <f>Tree!#REF!</f>
        <v>#REF!</v>
      </c>
      <c r="AL67" s="91" t="e">
        <f t="shared" si="16"/>
        <v>#REF!</v>
      </c>
      <c r="AM67" s="80" t="e">
        <f t="shared" si="17"/>
        <v>#REF!</v>
      </c>
    </row>
    <row r="68" spans="3:39" s="72" customFormat="1">
      <c r="C68" s="121" t="e">
        <f>Tree!#REF!</f>
        <v>#REF!</v>
      </c>
      <c r="D68" s="41" t="e">
        <f>Tree!#REF!</f>
        <v>#REF!</v>
      </c>
      <c r="E68" s="122" t="e">
        <f t="shared" si="3"/>
        <v>#REF!</v>
      </c>
      <c r="F68" s="41" t="e">
        <f>Tree!#REF!</f>
        <v>#REF!</v>
      </c>
      <c r="G68" s="122" t="e">
        <f t="shared" si="4"/>
        <v>#REF!</v>
      </c>
      <c r="H68" s="79" t="e">
        <f>INDEX(Tree!#REF!,MATCH($J68,Tree!#REF!,0))</f>
        <v>#REF!</v>
      </c>
      <c r="I68" s="100" t="e">
        <f t="shared" si="5"/>
        <v>#REF!</v>
      </c>
      <c r="J68" s="80" t="s">
        <v>23</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27</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32</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52</v>
      </c>
      <c r="AI68" s="39">
        <f t="shared" si="15"/>
        <v>1</v>
      </c>
      <c r="AJ68" s="80"/>
      <c r="AK68" s="80" t="e">
        <f>Tree!#REF!</f>
        <v>#REF!</v>
      </c>
      <c r="AL68" s="91" t="e">
        <f t="shared" si="16"/>
        <v>#REF!</v>
      </c>
      <c r="AM68" s="80" t="e">
        <f t="shared" si="17"/>
        <v>#REF!</v>
      </c>
    </row>
    <row r="69" spans="3:39" s="72" customFormat="1">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23</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29</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31</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23</v>
      </c>
      <c r="K70" s="90" t="e">
        <f>INDEX(Tree!#REF!,MATCH($J70,Tree!#REF!,0))</f>
        <v>#REF!</v>
      </c>
      <c r="L70" s="104" t="e">
        <f t="shared" si="20"/>
        <v>#REF!</v>
      </c>
      <c r="M70" s="102" t="e">
        <f>'Example calcs 2000'!N70*0.95</f>
        <v>#REF!</v>
      </c>
      <c r="N70" s="100" t="e">
        <f t="shared" si="26"/>
        <v>#REF!</v>
      </c>
      <c r="O70" s="102" t="str">
        <f t="shared" si="27"/>
        <v/>
      </c>
      <c r="P70" s="102" t="e">
        <f t="shared" si="28"/>
        <v>#REF!</v>
      </c>
      <c r="Q70" s="90" t="s">
        <v>29</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32</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53</v>
      </c>
      <c r="AI70" s="39">
        <f t="shared" si="36"/>
        <v>1</v>
      </c>
      <c r="AJ70" s="80" t="e">
        <f>Tree!#REF!</f>
        <v>#REF!</v>
      </c>
      <c r="AK70" s="80"/>
      <c r="AL70" s="91" t="e">
        <f t="shared" si="37"/>
        <v>#REF!</v>
      </c>
      <c r="AM70" s="80" t="e">
        <f t="shared" si="38"/>
        <v>#REF!</v>
      </c>
    </row>
    <row r="71" spans="3:39" s="72" customFormat="1">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23</v>
      </c>
      <c r="K71" s="90" t="e">
        <f>INDEX(Tree!#REF!,MATCH($J71,Tree!#REF!,0))</f>
        <v>#REF!</v>
      </c>
      <c r="L71" s="104" t="e">
        <f t="shared" si="20"/>
        <v>#REF!</v>
      </c>
      <c r="M71" s="102" t="e">
        <f>'Example calcs 2000'!N71*0.95</f>
        <v>#REF!</v>
      </c>
      <c r="N71" s="100" t="e">
        <f t="shared" si="26"/>
        <v>#REF!</v>
      </c>
      <c r="O71" s="102" t="str">
        <f t="shared" si="27"/>
        <v/>
      </c>
      <c r="P71" s="102" t="e">
        <f t="shared" si="28"/>
        <v>#REF!</v>
      </c>
      <c r="Q71" s="90" t="s">
        <v>29</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32</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116</v>
      </c>
      <c r="AI71" s="39">
        <f t="shared" si="36"/>
        <v>1</v>
      </c>
      <c r="AJ71" s="80" t="e">
        <f>Tree!#REF!</f>
        <v>#REF!</v>
      </c>
      <c r="AK71" s="80"/>
      <c r="AL71" s="91" t="e">
        <f t="shared" si="37"/>
        <v>#REF!</v>
      </c>
      <c r="AM71" s="80" t="e">
        <f t="shared" si="38"/>
        <v>#REF!</v>
      </c>
    </row>
    <row r="72" spans="3:39" s="72" customFormat="1">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23</v>
      </c>
      <c r="K72" s="90" t="e">
        <f>INDEX(Tree!#REF!,MATCH($J72,Tree!#REF!,0))</f>
        <v>#REF!</v>
      </c>
      <c r="L72" s="104" t="e">
        <f t="shared" si="20"/>
        <v>#REF!</v>
      </c>
      <c r="M72" s="102" t="e">
        <f>'Example calcs 2000'!N72*0.95</f>
        <v>#REF!</v>
      </c>
      <c r="N72" s="100" t="e">
        <f t="shared" si="26"/>
        <v>#REF!</v>
      </c>
      <c r="O72" s="102" t="str">
        <f t="shared" si="27"/>
        <v/>
      </c>
      <c r="P72" s="102" t="e">
        <f t="shared" si="28"/>
        <v>#REF!</v>
      </c>
      <c r="Q72" s="90" t="s">
        <v>29</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32</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51</v>
      </c>
      <c r="AI72" s="39">
        <f t="shared" si="36"/>
        <v>1</v>
      </c>
      <c r="AJ72" s="80"/>
      <c r="AK72" s="80" t="e">
        <f>Tree!#REF!</f>
        <v>#REF!</v>
      </c>
      <c r="AL72" s="91" t="e">
        <f t="shared" si="37"/>
        <v>#REF!</v>
      </c>
      <c r="AM72" s="80" t="e">
        <f t="shared" si="38"/>
        <v>#REF!</v>
      </c>
    </row>
    <row r="73" spans="3:39" s="72" customFormat="1">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23</v>
      </c>
      <c r="K73" s="90" t="e">
        <f>INDEX(Tree!#REF!,MATCH($J73,Tree!#REF!,0))</f>
        <v>#REF!</v>
      </c>
      <c r="L73" s="104" t="e">
        <f t="shared" si="20"/>
        <v>#REF!</v>
      </c>
      <c r="M73" s="102" t="e">
        <f>'Example calcs 2000'!N73*0.95</f>
        <v>#REF!</v>
      </c>
      <c r="N73" s="100" t="e">
        <f t="shared" si="26"/>
        <v>#REF!</v>
      </c>
      <c r="O73" s="102" t="str">
        <f t="shared" si="27"/>
        <v/>
      </c>
      <c r="P73" s="102" t="e">
        <f t="shared" si="28"/>
        <v>#REF!</v>
      </c>
      <c r="Q73" s="90" t="s">
        <v>29</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32</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52</v>
      </c>
      <c r="AI73" s="39">
        <f t="shared" si="36"/>
        <v>1</v>
      </c>
      <c r="AJ73" s="80"/>
      <c r="AK73" s="80" t="e">
        <f>Tree!#REF!</f>
        <v>#REF!</v>
      </c>
      <c r="AL73" s="91" t="e">
        <f t="shared" si="37"/>
        <v>#REF!</v>
      </c>
      <c r="AM73" s="80" t="e">
        <f t="shared" si="38"/>
        <v>#REF!</v>
      </c>
    </row>
    <row r="74" spans="3:39" s="72" customFormat="1">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23</v>
      </c>
      <c r="K74" s="90" t="e">
        <f>INDEX(Tree!#REF!,MATCH($J74,Tree!#REF!,0))</f>
        <v>#REF!</v>
      </c>
      <c r="L74" s="104" t="e">
        <f t="shared" si="20"/>
        <v>#REF!</v>
      </c>
      <c r="M74" s="102" t="e">
        <f>'Example calcs 2000'!N74*0.95</f>
        <v>#REF!</v>
      </c>
      <c r="N74" s="100" t="e">
        <f t="shared" si="26"/>
        <v>#REF!</v>
      </c>
      <c r="O74" s="102" t="str">
        <f t="shared" si="27"/>
        <v/>
      </c>
      <c r="P74" s="102" t="e">
        <f t="shared" si="28"/>
        <v>#REF!</v>
      </c>
      <c r="Q74" s="90" t="s">
        <v>28</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31</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23</v>
      </c>
      <c r="K75" s="90" t="e">
        <f>INDEX(Tree!#REF!,MATCH($J75,Tree!#REF!,0))</f>
        <v>#REF!</v>
      </c>
      <c r="L75" s="104" t="e">
        <f t="shared" si="20"/>
        <v>#REF!</v>
      </c>
      <c r="M75" s="102" t="e">
        <f>'Example calcs 2000'!N75*0.95</f>
        <v>#REF!</v>
      </c>
      <c r="N75" s="100" t="e">
        <f t="shared" si="26"/>
        <v>#REF!</v>
      </c>
      <c r="O75" s="102" t="str">
        <f t="shared" si="27"/>
        <v/>
      </c>
      <c r="P75" s="102" t="e">
        <f t="shared" si="28"/>
        <v>#REF!</v>
      </c>
      <c r="Q75" s="90" t="s">
        <v>28</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32</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53</v>
      </c>
      <c r="AI75" s="39">
        <f t="shared" si="36"/>
        <v>1</v>
      </c>
      <c r="AJ75" s="80" t="e">
        <f>Tree!#REF!</f>
        <v>#REF!</v>
      </c>
      <c r="AK75" s="80"/>
      <c r="AL75" s="91" t="e">
        <f t="shared" si="37"/>
        <v>#REF!</v>
      </c>
      <c r="AM75" s="80" t="e">
        <f t="shared" si="38"/>
        <v>#REF!</v>
      </c>
    </row>
    <row r="76" spans="3:39" s="72" customFormat="1">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23</v>
      </c>
      <c r="K76" s="90" t="e">
        <f>INDEX(Tree!#REF!,MATCH($J76,Tree!#REF!,0))</f>
        <v>#REF!</v>
      </c>
      <c r="L76" s="104" t="e">
        <f t="shared" si="20"/>
        <v>#REF!</v>
      </c>
      <c r="M76" s="102" t="e">
        <f>'Example calcs 2000'!N76*0.95</f>
        <v>#REF!</v>
      </c>
      <c r="N76" s="100" t="e">
        <f t="shared" si="26"/>
        <v>#REF!</v>
      </c>
      <c r="O76" s="102" t="str">
        <f t="shared" si="27"/>
        <v/>
      </c>
      <c r="P76" s="102" t="e">
        <f t="shared" si="28"/>
        <v>#REF!</v>
      </c>
      <c r="Q76" s="90" t="s">
        <v>28</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32</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116</v>
      </c>
      <c r="AI76" s="39">
        <f t="shared" si="36"/>
        <v>1</v>
      </c>
      <c r="AJ76" s="80" t="e">
        <f>Tree!#REF!</f>
        <v>#REF!</v>
      </c>
      <c r="AK76" s="80"/>
      <c r="AL76" s="91" t="e">
        <f t="shared" si="37"/>
        <v>#REF!</v>
      </c>
      <c r="AM76" s="80" t="e">
        <f t="shared" si="38"/>
        <v>#REF!</v>
      </c>
    </row>
    <row r="77" spans="3:39" s="72" customFormat="1">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23</v>
      </c>
      <c r="K77" s="90" t="e">
        <f>INDEX(Tree!#REF!,MATCH($J77,Tree!#REF!,0))</f>
        <v>#REF!</v>
      </c>
      <c r="L77" s="104" t="e">
        <f t="shared" si="20"/>
        <v>#REF!</v>
      </c>
      <c r="M77" s="102" t="e">
        <f>'Example calcs 2000'!N77*0.95</f>
        <v>#REF!</v>
      </c>
      <c r="N77" s="100" t="e">
        <f t="shared" si="26"/>
        <v>#REF!</v>
      </c>
      <c r="O77" s="102" t="str">
        <f t="shared" si="27"/>
        <v/>
      </c>
      <c r="P77" s="102" t="e">
        <f t="shared" si="28"/>
        <v>#REF!</v>
      </c>
      <c r="Q77" s="90" t="s">
        <v>28</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32</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51</v>
      </c>
      <c r="AI77" s="39">
        <f t="shared" si="36"/>
        <v>1</v>
      </c>
      <c r="AJ77" s="80"/>
      <c r="AK77" s="80" t="e">
        <f>Tree!#REF!</f>
        <v>#REF!</v>
      </c>
      <c r="AL77" s="91" t="e">
        <f t="shared" si="37"/>
        <v>#REF!</v>
      </c>
      <c r="AM77" s="80" t="e">
        <f t="shared" si="38"/>
        <v>#REF!</v>
      </c>
    </row>
    <row r="78" spans="3:39" s="72" customFormat="1">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23</v>
      </c>
      <c r="K78" s="90" t="e">
        <f>INDEX(Tree!#REF!,MATCH($J78,Tree!#REF!,0))</f>
        <v>#REF!</v>
      </c>
      <c r="L78" s="104" t="e">
        <f t="shared" si="20"/>
        <v>#REF!</v>
      </c>
      <c r="M78" s="102" t="e">
        <f>'Example calcs 2000'!N78*0.95</f>
        <v>#REF!</v>
      </c>
      <c r="N78" s="100" t="e">
        <f t="shared" si="26"/>
        <v>#REF!</v>
      </c>
      <c r="O78" s="102" t="str">
        <f t="shared" si="27"/>
        <v/>
      </c>
      <c r="P78" s="102" t="e">
        <f t="shared" si="28"/>
        <v>#REF!</v>
      </c>
      <c r="Q78" s="90" t="s">
        <v>28</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32</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52</v>
      </c>
      <c r="AI78" s="39">
        <f t="shared" si="36"/>
        <v>1</v>
      </c>
      <c r="AJ78" s="80"/>
      <c r="AK78" s="80" t="e">
        <f>Tree!#REF!</f>
        <v>#REF!</v>
      </c>
      <c r="AL78" s="91" t="e">
        <f t="shared" si="37"/>
        <v>#REF!</v>
      </c>
      <c r="AM78" s="80" t="e">
        <f t="shared" si="38"/>
        <v>#REF!</v>
      </c>
    </row>
    <row r="79" spans="3:39" s="72" customFormat="1">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22</v>
      </c>
      <c r="K79" s="90" t="e">
        <f>INDEX(Tree!#REF!,MATCH($J79,Tree!#REF!,0))</f>
        <v>#REF!</v>
      </c>
      <c r="L79" s="104" t="e">
        <f t="shared" si="20"/>
        <v>#REF!</v>
      </c>
      <c r="M79" s="102" t="e">
        <f>'Example calcs 2000'!N79*0.95</f>
        <v>#REF!</v>
      </c>
      <c r="N79" s="100" t="e">
        <f t="shared" si="26"/>
        <v>#REF!</v>
      </c>
      <c r="O79" s="102" t="str">
        <f t="shared" si="27"/>
        <v/>
      </c>
      <c r="P79" s="102" t="e">
        <f t="shared" si="28"/>
        <v>#REF!</v>
      </c>
      <c r="Q79" s="90" t="s">
        <v>30</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31</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22</v>
      </c>
      <c r="K80" s="90" t="e">
        <f>INDEX(Tree!#REF!,MATCH($J80,Tree!#REF!,0))</f>
        <v>#REF!</v>
      </c>
      <c r="L80" s="104" t="e">
        <f t="shared" si="20"/>
        <v>#REF!</v>
      </c>
      <c r="M80" s="102" t="e">
        <f>'Example calcs 2000'!N80*0.95</f>
        <v>#REF!</v>
      </c>
      <c r="N80" s="100" t="e">
        <f t="shared" si="26"/>
        <v>#REF!</v>
      </c>
      <c r="O80" s="102" t="str">
        <f t="shared" si="27"/>
        <v/>
      </c>
      <c r="P80" s="102" t="e">
        <f t="shared" si="28"/>
        <v>#REF!</v>
      </c>
      <c r="Q80" s="90" t="s">
        <v>30</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32</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53</v>
      </c>
      <c r="AI80" s="39">
        <f t="shared" si="36"/>
        <v>1</v>
      </c>
      <c r="AJ80" s="80" t="e">
        <f>Tree!#REF!</f>
        <v>#REF!</v>
      </c>
      <c r="AK80" s="80"/>
      <c r="AL80" s="91" t="e">
        <f t="shared" si="37"/>
        <v>#REF!</v>
      </c>
      <c r="AM80" s="80" t="e">
        <f t="shared" si="38"/>
        <v>#REF!</v>
      </c>
    </row>
    <row r="81" spans="3:39" s="72" customFormat="1">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22</v>
      </c>
      <c r="K81" s="90" t="e">
        <f>INDEX(Tree!#REF!,MATCH($J81,Tree!#REF!,0))</f>
        <v>#REF!</v>
      </c>
      <c r="L81" s="104" t="e">
        <f t="shared" si="20"/>
        <v>#REF!</v>
      </c>
      <c r="M81" s="102" t="e">
        <f>'Example calcs 2000'!N81*0.95</f>
        <v>#REF!</v>
      </c>
      <c r="N81" s="100" t="e">
        <f t="shared" si="26"/>
        <v>#REF!</v>
      </c>
      <c r="O81" s="102" t="str">
        <f t="shared" si="27"/>
        <v/>
      </c>
      <c r="P81" s="102" t="e">
        <f t="shared" si="28"/>
        <v>#REF!</v>
      </c>
      <c r="Q81" s="90" t="s">
        <v>30</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32</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116</v>
      </c>
      <c r="AI81" s="39">
        <f t="shared" si="36"/>
        <v>1</v>
      </c>
      <c r="AJ81" s="80" t="e">
        <f>Tree!#REF!</f>
        <v>#REF!</v>
      </c>
      <c r="AK81" s="80"/>
      <c r="AL81" s="91" t="e">
        <f t="shared" si="37"/>
        <v>#REF!</v>
      </c>
      <c r="AM81" s="80" t="e">
        <f t="shared" si="38"/>
        <v>#REF!</v>
      </c>
    </row>
    <row r="82" spans="3:39" s="72" customFormat="1">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22</v>
      </c>
      <c r="K82" s="90" t="e">
        <f>INDEX(Tree!#REF!,MATCH($J82,Tree!#REF!,0))</f>
        <v>#REF!</v>
      </c>
      <c r="L82" s="104" t="e">
        <f t="shared" si="20"/>
        <v>#REF!</v>
      </c>
      <c r="M82" s="102" t="e">
        <f>'Example calcs 2000'!N82*0.95</f>
        <v>#REF!</v>
      </c>
      <c r="N82" s="100" t="e">
        <f t="shared" si="26"/>
        <v>#REF!</v>
      </c>
      <c r="O82" s="102" t="str">
        <f t="shared" si="27"/>
        <v/>
      </c>
      <c r="P82" s="102" t="e">
        <f t="shared" si="28"/>
        <v>#REF!</v>
      </c>
      <c r="Q82" s="90" t="s">
        <v>30</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32</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51</v>
      </c>
      <c r="AI82" s="39">
        <f t="shared" si="36"/>
        <v>1</v>
      </c>
      <c r="AJ82" s="80"/>
      <c r="AK82" s="80" t="e">
        <f>Tree!#REF!</f>
        <v>#REF!</v>
      </c>
      <c r="AL82" s="91" t="e">
        <f t="shared" si="37"/>
        <v>#REF!</v>
      </c>
      <c r="AM82" s="80" t="e">
        <f t="shared" si="38"/>
        <v>#REF!</v>
      </c>
    </row>
    <row r="83" spans="3:39" s="72" customFormat="1">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22</v>
      </c>
      <c r="K83" s="90" t="e">
        <f>INDEX(Tree!#REF!,MATCH($J83,Tree!#REF!,0))</f>
        <v>#REF!</v>
      </c>
      <c r="L83" s="104" t="e">
        <f t="shared" si="20"/>
        <v>#REF!</v>
      </c>
      <c r="M83" s="102" t="e">
        <f>'Example calcs 2000'!N83*0.95</f>
        <v>#REF!</v>
      </c>
      <c r="N83" s="100" t="e">
        <f t="shared" si="26"/>
        <v>#REF!</v>
      </c>
      <c r="O83" s="102" t="str">
        <f t="shared" si="27"/>
        <v/>
      </c>
      <c r="P83" s="102" t="e">
        <f t="shared" si="28"/>
        <v>#REF!</v>
      </c>
      <c r="Q83" s="90" t="s">
        <v>30</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32</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52</v>
      </c>
      <c r="AI83" s="39">
        <f t="shared" si="36"/>
        <v>1</v>
      </c>
      <c r="AJ83" s="80"/>
      <c r="AK83" s="80" t="e">
        <f>Tree!#REF!</f>
        <v>#REF!</v>
      </c>
      <c r="AL83" s="91" t="e">
        <f t="shared" si="37"/>
        <v>#REF!</v>
      </c>
      <c r="AM83" s="80" t="e">
        <f t="shared" si="38"/>
        <v>#REF!</v>
      </c>
    </row>
    <row r="84" spans="3:39" s="72" customFormat="1">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22</v>
      </c>
      <c r="K84" s="90" t="e">
        <f>INDEX(Tree!#REF!,MATCH($J84,Tree!#REF!,0))</f>
        <v>#REF!</v>
      </c>
      <c r="L84" s="104" t="e">
        <f t="shared" si="20"/>
        <v>#REF!</v>
      </c>
      <c r="M84" s="102" t="e">
        <f>'Example calcs 2000'!N84*0.95</f>
        <v>#REF!</v>
      </c>
      <c r="N84" s="100" t="e">
        <f t="shared" si="26"/>
        <v>#REF!</v>
      </c>
      <c r="O84" s="102" t="str">
        <f t="shared" si="27"/>
        <v/>
      </c>
      <c r="P84" s="102" t="e">
        <f t="shared" si="28"/>
        <v>#REF!</v>
      </c>
      <c r="Q84" s="90" t="s">
        <v>26</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31</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22</v>
      </c>
      <c r="K85" s="90" t="e">
        <f>INDEX(Tree!#REF!,MATCH($J85,Tree!#REF!,0))</f>
        <v>#REF!</v>
      </c>
      <c r="L85" s="104" t="e">
        <f t="shared" si="20"/>
        <v>#REF!</v>
      </c>
      <c r="M85" s="102" t="e">
        <f>'Example calcs 2000'!N85*0.95</f>
        <v>#REF!</v>
      </c>
      <c r="N85" s="100" t="e">
        <f t="shared" si="26"/>
        <v>#REF!</v>
      </c>
      <c r="O85" s="102" t="str">
        <f t="shared" si="27"/>
        <v/>
      </c>
      <c r="P85" s="102" t="e">
        <f t="shared" si="28"/>
        <v>#REF!</v>
      </c>
      <c r="Q85" s="90" t="s">
        <v>26</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32</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53</v>
      </c>
      <c r="AI85" s="39">
        <f t="shared" si="36"/>
        <v>1</v>
      </c>
      <c r="AJ85" s="80" t="e">
        <f>Tree!#REF!</f>
        <v>#REF!</v>
      </c>
      <c r="AK85" s="80"/>
      <c r="AL85" s="91" t="e">
        <f t="shared" si="37"/>
        <v>#REF!</v>
      </c>
      <c r="AM85" s="80" t="e">
        <f t="shared" si="38"/>
        <v>#REF!</v>
      </c>
    </row>
    <row r="86" spans="3:39" s="72" customFormat="1">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22</v>
      </c>
      <c r="K86" s="90" t="e">
        <f>INDEX(Tree!#REF!,MATCH($J86,Tree!#REF!,0))</f>
        <v>#REF!</v>
      </c>
      <c r="L86" s="104" t="e">
        <f t="shared" si="20"/>
        <v>#REF!</v>
      </c>
      <c r="M86" s="102" t="e">
        <f>'Example calcs 2000'!N86*0.95</f>
        <v>#REF!</v>
      </c>
      <c r="N86" s="100" t="e">
        <f t="shared" si="26"/>
        <v>#REF!</v>
      </c>
      <c r="O86" s="102" t="str">
        <f t="shared" si="27"/>
        <v/>
      </c>
      <c r="P86" s="102" t="e">
        <f t="shared" si="28"/>
        <v>#REF!</v>
      </c>
      <c r="Q86" s="90" t="s">
        <v>26</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32</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116</v>
      </c>
      <c r="AI86" s="39">
        <f t="shared" si="36"/>
        <v>1</v>
      </c>
      <c r="AJ86" s="80" t="e">
        <f>Tree!#REF!</f>
        <v>#REF!</v>
      </c>
      <c r="AK86" s="80"/>
      <c r="AL86" s="91" t="e">
        <f t="shared" si="37"/>
        <v>#REF!</v>
      </c>
      <c r="AM86" s="80" t="e">
        <f t="shared" si="38"/>
        <v>#REF!</v>
      </c>
    </row>
    <row r="87" spans="3:39" s="72" customFormat="1">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22</v>
      </c>
      <c r="K87" s="90" t="e">
        <f>INDEX(Tree!#REF!,MATCH($J87,Tree!#REF!,0))</f>
        <v>#REF!</v>
      </c>
      <c r="L87" s="104" t="e">
        <f t="shared" si="20"/>
        <v>#REF!</v>
      </c>
      <c r="M87" s="102" t="e">
        <f>'Example calcs 2000'!N87*0.95</f>
        <v>#REF!</v>
      </c>
      <c r="N87" s="100" t="e">
        <f t="shared" si="26"/>
        <v>#REF!</v>
      </c>
      <c r="O87" s="102" t="str">
        <f t="shared" si="27"/>
        <v/>
      </c>
      <c r="P87" s="102" t="e">
        <f t="shared" si="28"/>
        <v>#REF!</v>
      </c>
      <c r="Q87" s="90" t="s">
        <v>26</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32</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51</v>
      </c>
      <c r="AI87" s="39">
        <f t="shared" si="36"/>
        <v>1</v>
      </c>
      <c r="AJ87" s="80"/>
      <c r="AK87" s="80" t="e">
        <f>Tree!#REF!</f>
        <v>#REF!</v>
      </c>
      <c r="AL87" s="91" t="e">
        <f t="shared" si="37"/>
        <v>#REF!</v>
      </c>
      <c r="AM87" s="80" t="e">
        <f t="shared" si="38"/>
        <v>#REF!</v>
      </c>
    </row>
    <row r="88" spans="3:39" s="72" customFormat="1">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22</v>
      </c>
      <c r="K88" s="90" t="e">
        <f>INDEX(Tree!#REF!,MATCH($J88,Tree!#REF!,0))</f>
        <v>#REF!</v>
      </c>
      <c r="L88" s="104" t="e">
        <f t="shared" si="20"/>
        <v>#REF!</v>
      </c>
      <c r="M88" s="102" t="e">
        <f>'Example calcs 2000'!N88*0.95</f>
        <v>#REF!</v>
      </c>
      <c r="N88" s="100" t="e">
        <f t="shared" si="26"/>
        <v>#REF!</v>
      </c>
      <c r="O88" s="102" t="str">
        <f t="shared" si="27"/>
        <v/>
      </c>
      <c r="P88" s="102" t="e">
        <f t="shared" si="28"/>
        <v>#REF!</v>
      </c>
      <c r="Q88" s="90" t="s">
        <v>26</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32</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52</v>
      </c>
      <c r="AI88" s="39">
        <f t="shared" si="36"/>
        <v>1</v>
      </c>
      <c r="AJ88" s="80"/>
      <c r="AK88" s="80" t="e">
        <f>Tree!#REF!</f>
        <v>#REF!</v>
      </c>
      <c r="AL88" s="91" t="e">
        <f t="shared" si="37"/>
        <v>#REF!</v>
      </c>
      <c r="AM88" s="80" t="e">
        <f t="shared" si="38"/>
        <v>#REF!</v>
      </c>
    </row>
    <row r="89" spans="3:39" s="72" customFormat="1">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22</v>
      </c>
      <c r="K89" s="90" t="e">
        <f>INDEX(Tree!#REF!,MATCH($J89,Tree!#REF!,0))</f>
        <v>#REF!</v>
      </c>
      <c r="L89" s="104" t="e">
        <f t="shared" si="20"/>
        <v>#REF!</v>
      </c>
      <c r="M89" s="102" t="e">
        <f>'Example calcs 2000'!N89*0.95</f>
        <v>#REF!</v>
      </c>
      <c r="N89" s="100" t="e">
        <f t="shared" si="26"/>
        <v>#REF!</v>
      </c>
      <c r="O89" s="102" t="str">
        <f t="shared" si="27"/>
        <v/>
      </c>
      <c r="P89" s="102" t="e">
        <f t="shared" si="28"/>
        <v>#REF!</v>
      </c>
      <c r="Q89" s="90" t="s">
        <v>27</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31</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22</v>
      </c>
      <c r="K90" s="90" t="e">
        <f>INDEX(Tree!#REF!,MATCH($J90,Tree!#REF!,0))</f>
        <v>#REF!</v>
      </c>
      <c r="L90" s="104" t="e">
        <f t="shared" si="20"/>
        <v>#REF!</v>
      </c>
      <c r="M90" s="102" t="e">
        <f>'Example calcs 2000'!N90*0.95</f>
        <v>#REF!</v>
      </c>
      <c r="N90" s="100" t="e">
        <f t="shared" si="26"/>
        <v>#REF!</v>
      </c>
      <c r="O90" s="102" t="str">
        <f t="shared" si="27"/>
        <v/>
      </c>
      <c r="P90" s="102" t="e">
        <f t="shared" si="28"/>
        <v>#REF!</v>
      </c>
      <c r="Q90" s="90" t="s">
        <v>27</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32</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53</v>
      </c>
      <c r="AI90" s="39">
        <f t="shared" si="36"/>
        <v>1</v>
      </c>
      <c r="AJ90" s="80" t="e">
        <f>Tree!#REF!</f>
        <v>#REF!</v>
      </c>
      <c r="AK90" s="80"/>
      <c r="AL90" s="91" t="e">
        <f t="shared" si="37"/>
        <v>#REF!</v>
      </c>
      <c r="AM90" s="80" t="e">
        <f t="shared" si="38"/>
        <v>#REF!</v>
      </c>
    </row>
    <row r="91" spans="3:39" s="72" customFormat="1">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22</v>
      </c>
      <c r="K91" s="90" t="e">
        <f>INDEX(Tree!#REF!,MATCH($J91,Tree!#REF!,0))</f>
        <v>#REF!</v>
      </c>
      <c r="L91" s="104" t="e">
        <f t="shared" si="20"/>
        <v>#REF!</v>
      </c>
      <c r="M91" s="102" t="e">
        <f>'Example calcs 2000'!N91*0.95</f>
        <v>#REF!</v>
      </c>
      <c r="N91" s="100" t="e">
        <f t="shared" si="26"/>
        <v>#REF!</v>
      </c>
      <c r="O91" s="102" t="str">
        <f t="shared" si="27"/>
        <v/>
      </c>
      <c r="P91" s="102" t="e">
        <f t="shared" si="28"/>
        <v>#REF!</v>
      </c>
      <c r="Q91" s="90" t="s">
        <v>27</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32</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116</v>
      </c>
      <c r="AI91" s="39">
        <f t="shared" si="36"/>
        <v>1</v>
      </c>
      <c r="AJ91" s="80" t="e">
        <f>Tree!#REF!</f>
        <v>#REF!</v>
      </c>
      <c r="AK91" s="80"/>
      <c r="AL91" s="91" t="e">
        <f t="shared" si="37"/>
        <v>#REF!</v>
      </c>
      <c r="AM91" s="80" t="e">
        <f t="shared" si="38"/>
        <v>#REF!</v>
      </c>
    </row>
    <row r="92" spans="3:39" s="72" customFormat="1">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22</v>
      </c>
      <c r="K92" s="90" t="e">
        <f>INDEX(Tree!#REF!,MATCH($J92,Tree!#REF!,0))</f>
        <v>#REF!</v>
      </c>
      <c r="L92" s="104" t="e">
        <f t="shared" si="20"/>
        <v>#REF!</v>
      </c>
      <c r="M92" s="102" t="e">
        <f>'Example calcs 2000'!N92*0.95</f>
        <v>#REF!</v>
      </c>
      <c r="N92" s="100" t="e">
        <f t="shared" si="26"/>
        <v>#REF!</v>
      </c>
      <c r="O92" s="102" t="str">
        <f t="shared" si="27"/>
        <v/>
      </c>
      <c r="P92" s="102" t="e">
        <f t="shared" si="28"/>
        <v>#REF!</v>
      </c>
      <c r="Q92" s="90" t="s">
        <v>27</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32</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51</v>
      </c>
      <c r="AI92" s="39">
        <f t="shared" si="36"/>
        <v>1</v>
      </c>
      <c r="AJ92" s="80"/>
      <c r="AK92" s="80" t="e">
        <f>Tree!#REF!</f>
        <v>#REF!</v>
      </c>
      <c r="AL92" s="91" t="e">
        <f t="shared" si="37"/>
        <v>#REF!</v>
      </c>
      <c r="AM92" s="80" t="e">
        <f t="shared" si="38"/>
        <v>#REF!</v>
      </c>
    </row>
    <row r="93" spans="3:39" s="72" customFormat="1">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22</v>
      </c>
      <c r="K93" s="90" t="e">
        <f>INDEX(Tree!#REF!,MATCH($J93,Tree!#REF!,0))</f>
        <v>#REF!</v>
      </c>
      <c r="L93" s="104" t="e">
        <f t="shared" si="20"/>
        <v>#REF!</v>
      </c>
      <c r="M93" s="102" t="e">
        <f>'Example calcs 2000'!N93*0.95</f>
        <v>#REF!</v>
      </c>
      <c r="N93" s="100" t="e">
        <f t="shared" si="26"/>
        <v>#REF!</v>
      </c>
      <c r="O93" s="102" t="str">
        <f t="shared" si="27"/>
        <v/>
      </c>
      <c r="P93" s="102" t="e">
        <f t="shared" si="28"/>
        <v>#REF!</v>
      </c>
      <c r="Q93" s="90" t="s">
        <v>27</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32</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52</v>
      </c>
      <c r="AI93" s="39">
        <f t="shared" si="36"/>
        <v>1</v>
      </c>
      <c r="AJ93" s="80"/>
      <c r="AK93" s="80" t="e">
        <f>Tree!#REF!</f>
        <v>#REF!</v>
      </c>
      <c r="AL93" s="91" t="e">
        <f t="shared" si="37"/>
        <v>#REF!</v>
      </c>
      <c r="AM93" s="80" t="e">
        <f t="shared" si="38"/>
        <v>#REF!</v>
      </c>
    </row>
    <row r="94" spans="3:39" s="72" customFormat="1">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22</v>
      </c>
      <c r="K94" s="90" t="e">
        <f>INDEX(Tree!#REF!,MATCH($J94,Tree!#REF!,0))</f>
        <v>#REF!</v>
      </c>
      <c r="L94" s="104" t="e">
        <f t="shared" si="20"/>
        <v>#REF!</v>
      </c>
      <c r="M94" s="102" t="e">
        <f>'Example calcs 2000'!N94*0.95</f>
        <v>#REF!</v>
      </c>
      <c r="N94" s="100" t="e">
        <f t="shared" si="26"/>
        <v>#REF!</v>
      </c>
      <c r="O94" s="102" t="str">
        <f t="shared" si="27"/>
        <v/>
      </c>
      <c r="P94" s="102" t="e">
        <f t="shared" si="28"/>
        <v>#REF!</v>
      </c>
      <c r="Q94" s="90" t="s">
        <v>29</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31</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22</v>
      </c>
      <c r="K95" s="90" t="e">
        <f>INDEX(Tree!#REF!,MATCH($J95,Tree!#REF!,0))</f>
        <v>#REF!</v>
      </c>
      <c r="L95" s="104" t="e">
        <f t="shared" si="20"/>
        <v>#REF!</v>
      </c>
      <c r="M95" s="102" t="e">
        <f>'Example calcs 2000'!N95*0.95</f>
        <v>#REF!</v>
      </c>
      <c r="N95" s="100" t="e">
        <f t="shared" si="26"/>
        <v>#REF!</v>
      </c>
      <c r="O95" s="102" t="str">
        <f t="shared" si="27"/>
        <v/>
      </c>
      <c r="P95" s="102" t="e">
        <f t="shared" si="28"/>
        <v>#REF!</v>
      </c>
      <c r="Q95" s="90" t="s">
        <v>29</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32</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53</v>
      </c>
      <c r="AI95" s="39">
        <f t="shared" si="36"/>
        <v>1</v>
      </c>
      <c r="AJ95" s="80" t="e">
        <f>Tree!#REF!</f>
        <v>#REF!</v>
      </c>
      <c r="AK95" s="80"/>
      <c r="AL95" s="91" t="e">
        <f t="shared" si="37"/>
        <v>#REF!</v>
      </c>
      <c r="AM95" s="80" t="e">
        <f t="shared" si="38"/>
        <v>#REF!</v>
      </c>
    </row>
    <row r="96" spans="3:39" s="72" customFormat="1">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22</v>
      </c>
      <c r="K96" s="90" t="e">
        <f>INDEX(Tree!#REF!,MATCH($J96,Tree!#REF!,0))</f>
        <v>#REF!</v>
      </c>
      <c r="L96" s="104" t="e">
        <f t="shared" si="20"/>
        <v>#REF!</v>
      </c>
      <c r="M96" s="102" t="e">
        <f>'Example calcs 2000'!N96*0.95</f>
        <v>#REF!</v>
      </c>
      <c r="N96" s="100" t="e">
        <f t="shared" si="26"/>
        <v>#REF!</v>
      </c>
      <c r="O96" s="102" t="str">
        <f t="shared" si="27"/>
        <v/>
      </c>
      <c r="P96" s="102" t="e">
        <f t="shared" si="28"/>
        <v>#REF!</v>
      </c>
      <c r="Q96" s="90" t="s">
        <v>29</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32</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116</v>
      </c>
      <c r="AI96" s="39">
        <f t="shared" si="36"/>
        <v>1</v>
      </c>
      <c r="AJ96" s="80" t="e">
        <f>Tree!#REF!</f>
        <v>#REF!</v>
      </c>
      <c r="AK96" s="80"/>
      <c r="AL96" s="91" t="e">
        <f t="shared" si="37"/>
        <v>#REF!</v>
      </c>
      <c r="AM96" s="80" t="e">
        <f t="shared" si="38"/>
        <v>#REF!</v>
      </c>
    </row>
    <row r="97" spans="3:50" s="72" customFormat="1">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22</v>
      </c>
      <c r="K97" s="90" t="e">
        <f>INDEX(Tree!#REF!,MATCH($J97,Tree!#REF!,0))</f>
        <v>#REF!</v>
      </c>
      <c r="L97" s="104" t="e">
        <f t="shared" si="20"/>
        <v>#REF!</v>
      </c>
      <c r="M97" s="102" t="e">
        <f>'Example calcs 2000'!N97*0.95</f>
        <v>#REF!</v>
      </c>
      <c r="N97" s="100" t="e">
        <f t="shared" si="26"/>
        <v>#REF!</v>
      </c>
      <c r="O97" s="102" t="str">
        <f t="shared" si="27"/>
        <v/>
      </c>
      <c r="P97" s="102" t="e">
        <f t="shared" si="28"/>
        <v>#REF!</v>
      </c>
      <c r="Q97" s="90" t="s">
        <v>29</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32</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51</v>
      </c>
      <c r="AI97" s="39">
        <f t="shared" si="36"/>
        <v>1</v>
      </c>
      <c r="AJ97" s="80"/>
      <c r="AK97" s="80" t="e">
        <f>Tree!#REF!</f>
        <v>#REF!</v>
      </c>
      <c r="AL97" s="91" t="e">
        <f t="shared" si="37"/>
        <v>#REF!</v>
      </c>
      <c r="AM97" s="80" t="e">
        <f t="shared" si="38"/>
        <v>#REF!</v>
      </c>
    </row>
    <row r="98" spans="3:50" s="72" customFormat="1">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22</v>
      </c>
      <c r="K98" s="90" t="e">
        <f>INDEX(Tree!#REF!,MATCH($J98,Tree!#REF!,0))</f>
        <v>#REF!</v>
      </c>
      <c r="L98" s="104" t="e">
        <f t="shared" si="20"/>
        <v>#REF!</v>
      </c>
      <c r="M98" s="102" t="e">
        <f>'Example calcs 2000'!N98*0.95</f>
        <v>#REF!</v>
      </c>
      <c r="N98" s="100" t="e">
        <f t="shared" si="26"/>
        <v>#REF!</v>
      </c>
      <c r="O98" s="102" t="str">
        <f t="shared" si="27"/>
        <v/>
      </c>
      <c r="P98" s="102" t="e">
        <f t="shared" si="28"/>
        <v>#REF!</v>
      </c>
      <c r="Q98" s="90" t="s">
        <v>29</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32</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52</v>
      </c>
      <c r="AI98" s="39">
        <f t="shared" si="36"/>
        <v>1</v>
      </c>
      <c r="AJ98" s="80"/>
      <c r="AK98" s="80" t="e">
        <f>Tree!#REF!</f>
        <v>#REF!</v>
      </c>
      <c r="AL98" s="91" t="e">
        <f t="shared" si="37"/>
        <v>#REF!</v>
      </c>
      <c r="AM98" s="80" t="e">
        <f t="shared" si="38"/>
        <v>#REF!</v>
      </c>
    </row>
    <row r="99" spans="3:50" s="72" customFormat="1">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22</v>
      </c>
      <c r="K99" s="90" t="e">
        <f>INDEX(Tree!#REF!,MATCH($J99,Tree!#REF!,0))</f>
        <v>#REF!</v>
      </c>
      <c r="L99" s="104" t="e">
        <f t="shared" si="20"/>
        <v>#REF!</v>
      </c>
      <c r="M99" s="102" t="e">
        <f>'Example calcs 2000'!N99*0.95</f>
        <v>#REF!</v>
      </c>
      <c r="N99" s="100" t="e">
        <f t="shared" si="26"/>
        <v>#REF!</v>
      </c>
      <c r="O99" s="102" t="str">
        <f t="shared" si="27"/>
        <v/>
      </c>
      <c r="P99" s="102" t="e">
        <f t="shared" si="28"/>
        <v>#REF!</v>
      </c>
      <c r="Q99" s="90" t="s">
        <v>28</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31</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22</v>
      </c>
      <c r="K100" s="90" t="e">
        <f>INDEX(Tree!#REF!,MATCH($J100,Tree!#REF!,0))</f>
        <v>#REF!</v>
      </c>
      <c r="L100" s="104" t="e">
        <f>K100*I100</f>
        <v>#REF!</v>
      </c>
      <c r="M100" s="102" t="e">
        <f>'Example calcs 2000'!N100*0.95</f>
        <v>#REF!</v>
      </c>
      <c r="N100" s="100" t="e">
        <f t="shared" si="26"/>
        <v>#REF!</v>
      </c>
      <c r="O100" s="102" t="str">
        <f t="shared" si="27"/>
        <v/>
      </c>
      <c r="P100" s="102" t="e">
        <f t="shared" si="28"/>
        <v>#REF!</v>
      </c>
      <c r="Q100" s="90" t="s">
        <v>28</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32</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53</v>
      </c>
      <c r="AI100" s="39">
        <f t="shared" si="36"/>
        <v>1</v>
      </c>
      <c r="AJ100" s="80" t="e">
        <f>Tree!#REF!</f>
        <v>#REF!</v>
      </c>
      <c r="AK100" s="80"/>
      <c r="AL100" s="91" t="e">
        <f t="shared" si="37"/>
        <v>#REF!</v>
      </c>
      <c r="AM100" s="80" t="e">
        <f t="shared" si="38"/>
        <v>#REF!</v>
      </c>
    </row>
    <row r="101" spans="3:50" s="72" customFormat="1">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22</v>
      </c>
      <c r="K101" s="90" t="e">
        <f>INDEX(Tree!#REF!,MATCH($J101,Tree!#REF!,0))</f>
        <v>#REF!</v>
      </c>
      <c r="L101" s="104" t="e">
        <f>K101*I101</f>
        <v>#REF!</v>
      </c>
      <c r="M101" s="102" t="e">
        <f>'Example calcs 2000'!N101*0.95</f>
        <v>#REF!</v>
      </c>
      <c r="N101" s="100" t="e">
        <f t="shared" si="26"/>
        <v>#REF!</v>
      </c>
      <c r="O101" s="102" t="str">
        <f t="shared" si="27"/>
        <v/>
      </c>
      <c r="P101" s="102" t="e">
        <f t="shared" si="28"/>
        <v>#REF!</v>
      </c>
      <c r="Q101" s="90" t="s">
        <v>28</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32</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116</v>
      </c>
      <c r="AI101" s="39">
        <f t="shared" si="36"/>
        <v>1</v>
      </c>
      <c r="AJ101" s="80" t="e">
        <f>Tree!#REF!</f>
        <v>#REF!</v>
      </c>
      <c r="AK101" s="80"/>
      <c r="AL101" s="91" t="e">
        <f t="shared" si="37"/>
        <v>#REF!</v>
      </c>
      <c r="AM101" s="80" t="e">
        <f t="shared" si="38"/>
        <v>#REF!</v>
      </c>
    </row>
    <row r="102" spans="3:50" s="72" customFormat="1">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22</v>
      </c>
      <c r="K102" s="90" t="e">
        <f>INDEX(Tree!#REF!,MATCH($J102,Tree!#REF!,0))</f>
        <v>#REF!</v>
      </c>
      <c r="L102" s="104" t="e">
        <f>K102*I102</f>
        <v>#REF!</v>
      </c>
      <c r="M102" s="102" t="e">
        <f>'Example calcs 2000'!N102*0.95</f>
        <v>#REF!</v>
      </c>
      <c r="N102" s="100" t="e">
        <f t="shared" si="26"/>
        <v>#REF!</v>
      </c>
      <c r="O102" s="102" t="str">
        <f t="shared" si="27"/>
        <v/>
      </c>
      <c r="P102" s="102" t="e">
        <f t="shared" si="28"/>
        <v>#REF!</v>
      </c>
      <c r="Q102" s="90" t="s">
        <v>28</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32</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51</v>
      </c>
      <c r="AI102" s="39">
        <f t="shared" si="36"/>
        <v>1</v>
      </c>
      <c r="AJ102" s="80"/>
      <c r="AK102" s="80" t="e">
        <f>Tree!#REF!</f>
        <v>#REF!</v>
      </c>
      <c r="AL102" s="91" t="e">
        <f t="shared" si="37"/>
        <v>#REF!</v>
      </c>
      <c r="AM102" s="80" t="e">
        <f t="shared" si="38"/>
        <v>#REF!</v>
      </c>
    </row>
    <row r="103" spans="3:50" s="72" customFormat="1">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22</v>
      </c>
      <c r="K103" s="90" t="e">
        <f>INDEX(Tree!#REF!,MATCH($J103,Tree!#REF!,0))</f>
        <v>#REF!</v>
      </c>
      <c r="L103" s="104" t="e">
        <f>K103*I103</f>
        <v>#REF!</v>
      </c>
      <c r="M103" s="102" t="e">
        <f>'Example calcs 2000'!N103*0.95</f>
        <v>#REF!</v>
      </c>
      <c r="N103" s="100" t="e">
        <f t="shared" si="26"/>
        <v>#REF!</v>
      </c>
      <c r="O103" s="102" t="str">
        <f t="shared" si="27"/>
        <v/>
      </c>
      <c r="P103" s="102" t="e">
        <f t="shared" si="28"/>
        <v>#REF!</v>
      </c>
      <c r="Q103" s="90" t="s">
        <v>28</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32</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52</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Microsoft Office User</cp:lastModifiedBy>
  <dcterms:created xsi:type="dcterms:W3CDTF">2019-06-05T23:49:53Z</dcterms:created>
  <dcterms:modified xsi:type="dcterms:W3CDTF">2020-04-03T18:00:35Z</dcterms:modified>
</cp:coreProperties>
</file>