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CIMS\pyCIMS\Model Description\"/>
    </mc:Choice>
  </mc:AlternateContent>
  <xr:revisionPtr revIDLastSave="0" documentId="13_ncr:1_{4E83BB46-2F64-4253-B1AF-9F8AEB26EA4B}" xr6:coauthVersionLast="43" xr6:coauthVersionMax="43" xr10:uidLastSave="{00000000-0000-0000-0000-000000000000}"/>
  <bookViews>
    <workbookView xWindow="-120" yWindow="-120" windowWidth="29040" windowHeight="15840" activeTab="2" xr2:uid="{E476153B-9FEF-4406-8A04-624F81383283}"/>
  </bookViews>
  <sheets>
    <sheet name="Lists" sheetId="16" r:id="rId1"/>
    <sheet name="Simulation" sheetId="15" r:id="rId2"/>
    <sheet name="Map" sheetId="1" r:id="rId3"/>
    <sheet name="Canada" sheetId="18" r:id="rId4"/>
    <sheet name="Alberta" sheetId="17" r:id="rId5"/>
    <sheet name="Residential" sheetId="2" r:id="rId6"/>
    <sheet name="Building" sheetId="3" r:id="rId7"/>
    <sheet name="Shell" sheetId="4" r:id="rId8"/>
    <sheet name="Heating" sheetId="5" r:id="rId9"/>
    <sheet name="Furnace" sheetId="6" r:id="rId10"/>
    <sheet name="Electricity" sheetId="14" r:id="rId11"/>
    <sheet name="Generation" sheetId="10" r:id="rId12"/>
    <sheet name="Base load" sheetId="11" r:id="rId13"/>
    <sheet name="Shoulder load" sheetId="12" r:id="rId14"/>
    <sheet name="Peak load" sheetId="13" r:id="rId15"/>
  </sheets>
  <functionGroups builtInGroupCount="19"/>
  <definedNames>
    <definedName name="Competition">Lists!$A$2:$A$6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0" l="1"/>
  <c r="P2" i="10"/>
  <c r="O2" i="10"/>
  <c r="N2" i="10"/>
  <c r="M2" i="10"/>
  <c r="L2" i="10"/>
  <c r="K2" i="10"/>
  <c r="J2" i="10"/>
  <c r="I2" i="10"/>
  <c r="H2" i="10"/>
  <c r="G2" i="10"/>
  <c r="F2" i="10"/>
  <c r="E3" i="14" l="1"/>
  <c r="P2" i="14"/>
  <c r="O2" i="14"/>
  <c r="N2" i="14"/>
  <c r="M2" i="14"/>
  <c r="L2" i="14"/>
  <c r="K2" i="14"/>
  <c r="J2" i="14"/>
  <c r="I2" i="14"/>
  <c r="H2" i="14"/>
  <c r="G2" i="14"/>
  <c r="F2" i="14"/>
  <c r="E92" i="4"/>
  <c r="E91" i="4"/>
  <c r="E90" i="4"/>
  <c r="E89" i="4"/>
  <c r="E88" i="4"/>
  <c r="E97" i="4"/>
  <c r="E96" i="4"/>
  <c r="E95" i="4"/>
  <c r="E94" i="4"/>
  <c r="E93" i="4"/>
  <c r="E102" i="4"/>
  <c r="E101" i="4"/>
  <c r="E100" i="4"/>
  <c r="E99" i="4"/>
  <c r="E98" i="4"/>
  <c r="E87" i="4"/>
  <c r="E86" i="4"/>
  <c r="E85" i="4"/>
  <c r="E84" i="4"/>
  <c r="E83" i="4"/>
  <c r="E3" i="18" l="1"/>
  <c r="E4" i="18" s="1"/>
  <c r="E5" i="17" s="1"/>
  <c r="E3" i="4"/>
  <c r="E3" i="5"/>
  <c r="E3" i="6"/>
  <c r="E3" i="3"/>
  <c r="E3" i="17"/>
  <c r="E3" i="2"/>
  <c r="P2" i="18"/>
  <c r="O2" i="18"/>
  <c r="N2" i="18"/>
  <c r="M2" i="18"/>
  <c r="L2" i="18"/>
  <c r="K2" i="18"/>
  <c r="J2" i="18"/>
  <c r="I2" i="18"/>
  <c r="H2" i="18"/>
  <c r="G2" i="18"/>
  <c r="F2" i="18"/>
  <c r="E4" i="17" l="1"/>
  <c r="E5" i="14" s="1"/>
  <c r="F36" i="5"/>
  <c r="E5" i="2" l="1"/>
  <c r="F11" i="17"/>
  <c r="F15" i="17" s="1"/>
  <c r="G11" i="17"/>
  <c r="G15" i="17" s="1"/>
  <c r="H11" i="17"/>
  <c r="H15" i="17" s="1"/>
  <c r="I11" i="17"/>
  <c r="I15" i="17" s="1"/>
  <c r="J11" i="17"/>
  <c r="K11" i="17"/>
  <c r="K15" i="17" s="1"/>
  <c r="L11" i="17"/>
  <c r="L15" i="17" s="1"/>
  <c r="M11" i="17"/>
  <c r="M15" i="17" s="1"/>
  <c r="N11" i="17"/>
  <c r="N15" i="17" s="1"/>
  <c r="O11" i="17"/>
  <c r="O15" i="17" s="1"/>
  <c r="P11" i="17"/>
  <c r="P15" i="17" s="1"/>
  <c r="J15" i="17"/>
  <c r="J7" i="17"/>
  <c r="K7" i="17" s="1"/>
  <c r="L7" i="17" s="1"/>
  <c r="M7" i="17" s="1"/>
  <c r="N7" i="17" s="1"/>
  <c r="O7" i="17" s="1"/>
  <c r="P7" i="17" s="1"/>
  <c r="E4" i="2" l="1"/>
  <c r="E5" i="3" s="1"/>
  <c r="E39" i="5"/>
  <c r="H22" i="2"/>
  <c r="F22" i="2"/>
  <c r="G22" i="2"/>
  <c r="I22" i="2"/>
  <c r="J22" i="2"/>
  <c r="K22" i="2"/>
  <c r="L22" i="2"/>
  <c r="M22" i="2"/>
  <c r="N22" i="2"/>
  <c r="O22" i="2"/>
  <c r="P22" i="2"/>
  <c r="P2" i="17"/>
  <c r="O2" i="17"/>
  <c r="N2" i="17"/>
  <c r="M2" i="17"/>
  <c r="L2" i="17"/>
  <c r="K2" i="17"/>
  <c r="J2" i="17"/>
  <c r="I2" i="17"/>
  <c r="H2" i="17"/>
  <c r="G2" i="17"/>
  <c r="F2" i="17"/>
  <c r="P2" i="5"/>
  <c r="O2" i="5"/>
  <c r="N2" i="5"/>
  <c r="M2" i="5"/>
  <c r="L2" i="5"/>
  <c r="K2" i="5"/>
  <c r="J2" i="5"/>
  <c r="I2" i="5"/>
  <c r="H2" i="5"/>
  <c r="G2" i="5"/>
  <c r="F2" i="5"/>
  <c r="P2" i="4"/>
  <c r="O2" i="4"/>
  <c r="N2" i="4"/>
  <c r="M2" i="4"/>
  <c r="L2" i="4"/>
  <c r="K2" i="4"/>
  <c r="J2" i="4"/>
  <c r="I2" i="4"/>
  <c r="H2" i="4"/>
  <c r="G2" i="4"/>
  <c r="F2" i="4"/>
  <c r="P11" i="3"/>
  <c r="P16" i="3" s="1"/>
  <c r="O11" i="3"/>
  <c r="O16" i="3" s="1"/>
  <c r="N11" i="3"/>
  <c r="M11" i="3"/>
  <c r="M16" i="3" s="1"/>
  <c r="L11" i="3"/>
  <c r="L16" i="3" s="1"/>
  <c r="K11" i="3"/>
  <c r="K16" i="3" s="1"/>
  <c r="J11" i="3"/>
  <c r="I11" i="3"/>
  <c r="I16" i="3" s="1"/>
  <c r="H11" i="3"/>
  <c r="H16" i="3" s="1"/>
  <c r="G11" i="3"/>
  <c r="F11" i="3"/>
  <c r="P2" i="3"/>
  <c r="O2" i="3"/>
  <c r="N2" i="3"/>
  <c r="M2" i="3"/>
  <c r="L2" i="3"/>
  <c r="K2" i="3"/>
  <c r="J2" i="3"/>
  <c r="I2" i="3"/>
  <c r="H2" i="3"/>
  <c r="G2" i="3"/>
  <c r="F2" i="3"/>
  <c r="P2" i="6"/>
  <c r="O2" i="6"/>
  <c r="N2" i="6"/>
  <c r="M2" i="6"/>
  <c r="L2" i="6"/>
  <c r="K2" i="6"/>
  <c r="J2" i="6"/>
  <c r="I2" i="6"/>
  <c r="H2" i="6"/>
  <c r="G2" i="6"/>
  <c r="F2" i="6"/>
  <c r="P2" i="2"/>
  <c r="O2" i="2"/>
  <c r="N2" i="2"/>
  <c r="M2" i="2"/>
  <c r="L2" i="2"/>
  <c r="K2" i="2"/>
  <c r="J2" i="2"/>
  <c r="I2" i="2"/>
  <c r="H2" i="2"/>
  <c r="G2" i="2"/>
  <c r="F2" i="2"/>
  <c r="G16" i="3" l="1"/>
  <c r="J12" i="10"/>
  <c r="J13" i="10"/>
  <c r="J14" i="10"/>
  <c r="I12" i="10"/>
  <c r="I13" i="10"/>
  <c r="I14" i="10"/>
  <c r="P14" i="10"/>
  <c r="P12" i="10"/>
  <c r="P13" i="10"/>
  <c r="L14" i="10"/>
  <c r="L12" i="10"/>
  <c r="L13" i="10"/>
  <c r="G13" i="10"/>
  <c r="G14" i="10"/>
  <c r="G12" i="10"/>
  <c r="N12" i="10"/>
  <c r="N13" i="10"/>
  <c r="N14" i="10"/>
  <c r="H14" i="10"/>
  <c r="H12" i="10"/>
  <c r="H13" i="10"/>
  <c r="M12" i="10"/>
  <c r="M13" i="10"/>
  <c r="M14" i="10"/>
  <c r="O13" i="10"/>
  <c r="O14" i="10"/>
  <c r="O12" i="10"/>
  <c r="K13" i="10"/>
  <c r="K14" i="10"/>
  <c r="K12" i="10"/>
  <c r="F12" i="10"/>
  <c r="F13" i="10"/>
  <c r="F14" i="10"/>
  <c r="E69" i="6"/>
  <c r="E67" i="6"/>
  <c r="E70" i="6"/>
  <c r="E68" i="6"/>
  <c r="O13" i="3"/>
  <c r="O15" i="3"/>
  <c r="O14" i="3"/>
  <c r="F15" i="3"/>
  <c r="F13" i="3"/>
  <c r="F14" i="3"/>
  <c r="J14" i="3"/>
  <c r="J15" i="3"/>
  <c r="J13" i="3"/>
  <c r="M15" i="3"/>
  <c r="M13" i="3"/>
  <c r="M14" i="3"/>
  <c r="I15" i="3"/>
  <c r="I14" i="3"/>
  <c r="I13" i="3"/>
  <c r="K13" i="3"/>
  <c r="K15" i="3"/>
  <c r="K14" i="3"/>
  <c r="N14" i="3"/>
  <c r="N15" i="3"/>
  <c r="N13" i="3"/>
  <c r="H14" i="3"/>
  <c r="H13" i="3"/>
  <c r="H15" i="3"/>
  <c r="F16" i="3"/>
  <c r="F100" i="4" s="1"/>
  <c r="J16" i="3"/>
  <c r="N16" i="3"/>
  <c r="P14" i="3"/>
  <c r="P13" i="3"/>
  <c r="P15" i="3"/>
  <c r="L14" i="3"/>
  <c r="L13" i="3"/>
  <c r="L15" i="3"/>
  <c r="G13" i="3"/>
  <c r="G15" i="3"/>
  <c r="G14" i="3"/>
  <c r="F98" i="4"/>
  <c r="F101" i="4"/>
  <c r="E4" i="3"/>
  <c r="E5" i="4" s="1"/>
  <c r="E38" i="5"/>
  <c r="F102" i="4" l="1"/>
  <c r="F99" i="4"/>
  <c r="F94" i="4"/>
  <c r="F93" i="4"/>
  <c r="F97" i="4"/>
  <c r="F96" i="4"/>
  <c r="F95" i="4"/>
  <c r="F90" i="4"/>
  <c r="F92" i="4"/>
  <c r="F91" i="4"/>
  <c r="F89" i="4"/>
  <c r="F88" i="4"/>
  <c r="F86" i="4"/>
  <c r="F87" i="4"/>
  <c r="F83" i="4"/>
  <c r="F84" i="4"/>
  <c r="F85" i="4"/>
  <c r="F39" i="5" l="1"/>
  <c r="F38" i="5"/>
  <c r="F69" i="6" l="1"/>
  <c r="F70" i="6"/>
  <c r="F68" i="6"/>
  <c r="F67" i="6"/>
  <c r="E4" i="4"/>
  <c r="E5" i="5" s="1"/>
  <c r="E4" i="5" l="1"/>
  <c r="E5" i="6" s="1"/>
  <c r="E4" i="6" l="1"/>
  <c r="E4" i="14" l="1"/>
  <c r="E5" i="10" s="1"/>
  <c r="E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</author>
  </authors>
  <commentList>
    <comment ref="A2" authorId="0" shapeId="0" xr:uid="{920A7190-9221-4D3E-89C8-005A09E55D0A}">
      <text>
        <r>
          <rPr>
            <sz val="9"/>
            <color indexed="81"/>
            <rFont val="Tahoma"/>
            <family val="2"/>
          </rPr>
          <t>Do not include in JSON export</t>
        </r>
      </text>
    </comment>
    <comment ref="E6" authorId="0" shapeId="0" xr:uid="{D53C5154-F90A-4876-BE3D-915ADED5CBA4}">
      <text>
        <r>
          <rPr>
            <sz val="9"/>
            <color indexed="81"/>
            <rFont val="Tahoma"/>
            <family val="2"/>
          </rPr>
          <t>Parameter values set at a higher point in the tree should prevail unless overwritten at a lower point in the tree (e.g. the discount rate would be 0.1 in subsequent calculations, unless set for a specific lower node).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</author>
    <author>Brad GRIFFIN</author>
  </authors>
  <commentList>
    <comment ref="A2" authorId="0" shapeId="0" xr:uid="{E8509A63-9368-45E8-81B1-F0ECB09192E5}">
      <text>
        <r>
          <rPr>
            <sz val="9"/>
            <color indexed="81"/>
            <rFont val="Tahoma"/>
            <family val="2"/>
          </rPr>
          <t>Do not include in JSON export</t>
        </r>
      </text>
    </comment>
    <comment ref="E8" authorId="0" shapeId="0" xr:uid="{85CEB142-2EE4-44A8-8740-0739B60D7774}">
      <text>
        <r>
          <rPr>
            <sz val="9"/>
            <color indexed="81"/>
            <rFont val="Tahoma"/>
            <family val="2"/>
          </rPr>
          <t>Parameter values set at a higher point in the tree should prevail unless overwritten at a lower point in the tree (e.g. the discount rate would be 0.1 in subsequent calculations, unless set for a specific lower node).</t>
        </r>
      </text>
    </comment>
    <comment ref="E13" authorId="1" shapeId="0" xr:uid="{B236B8CF-931E-495A-9A27-45D010413559}">
      <text>
        <r>
          <rPr>
            <sz val="9"/>
            <color indexed="81"/>
            <rFont val="Tahoma"/>
            <family val="2"/>
          </rPr>
          <t>I'd like to be able to apply policies that filter down to nodes below in the tree. Is it possible to apply this policy to any node/tech/end use that has these keywords (i.e. "building" and "shell" and "standard")?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</author>
    <author>Brad GRIFFIN</author>
  </authors>
  <commentList>
    <comment ref="A2" authorId="0" shapeId="0" xr:uid="{F4C6B0F3-B548-4C9F-BD5F-7D825320EF05}">
      <text>
        <r>
          <rPr>
            <sz val="9"/>
            <color indexed="81"/>
            <rFont val="Tahoma"/>
            <family val="2"/>
          </rPr>
          <t>Do not include in JSON export</t>
        </r>
      </text>
    </comment>
    <comment ref="E7" authorId="1" shapeId="0" xr:uid="{61874455-23AA-4E1A-8546-F6148D0ED612}">
      <text>
        <r>
          <rPr>
            <sz val="9"/>
            <color indexed="81"/>
            <rFont val="Tahoma"/>
            <family val="2"/>
          </rPr>
          <t>Multiplier for "End use supply" (i.e. demand how many units (of m2 floorspace) per unit supplied (household)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</author>
  </authors>
  <commentList>
    <comment ref="A2" authorId="0" shapeId="0" xr:uid="{9A8725AA-B9BA-45C4-B482-69E1E749742E}">
      <text>
        <r>
          <rPr>
            <sz val="9"/>
            <color indexed="81"/>
            <rFont val="Tahoma"/>
            <family val="2"/>
          </rPr>
          <t>Do not include in JSON export</t>
        </r>
      </text>
    </comment>
    <comment ref="E7" authorId="0" shapeId="0" xr:uid="{1CA68FDD-A745-4175-B9EB-5752D3677396}">
      <text>
        <r>
          <rPr>
            <sz val="9"/>
            <color indexed="81"/>
            <rFont val="Tahoma"/>
            <family val="2"/>
          </rPr>
          <t xml:space="preserve">Shares applied to m2 floorspace inherited from parent (due to m2/household used for end use demand).
Must add to 1.
Fixed Shares competition applies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</author>
    <author>Brad GRIFFIN</author>
  </authors>
  <commentList>
    <comment ref="A2" authorId="0" shapeId="0" xr:uid="{88C79A33-AB5A-4A1D-8FC0-84AD72731DB5}">
      <text>
        <r>
          <rPr>
            <sz val="9"/>
            <color indexed="81"/>
            <rFont val="Tahoma"/>
            <family val="2"/>
          </rPr>
          <t>Do not include in JSON export</t>
        </r>
      </text>
    </comment>
    <comment ref="B47" authorId="1" shapeId="0" xr:uid="{B0AB74F2-EB20-45CA-A0E6-F4E333B82FAA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B52" authorId="1" shapeId="0" xr:uid="{AF8ED3DD-76C3-4B21-A763-7B40EF35B962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B57" authorId="1" shapeId="0" xr:uid="{CA14948D-8B1D-4688-ABEF-94E674D0E9A9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B62" authorId="1" shapeId="0" xr:uid="{93CBA3DB-182B-4049-A736-88F211A4D4C9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B67" authorId="1" shapeId="0" xr:uid="{414CDAF3-A2DD-4BDD-A065-39291B1BFF92}">
      <text>
        <r>
          <rPr>
            <sz val="9"/>
            <color indexed="81"/>
            <rFont val="Tahoma"/>
            <family val="2"/>
          </rPr>
          <t>End use demanded for each technology per unit of demand (in this case, GJ of heating per m2 of floorspace for each shell type (e.g. Pre-1960)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</author>
    <author>Brad GRIFFIN</author>
  </authors>
  <commentList>
    <comment ref="A2" authorId="0" shapeId="0" xr:uid="{FE3B7C2C-F727-4FB6-B1E8-074A99329813}">
      <text>
        <r>
          <rPr>
            <sz val="9"/>
            <color indexed="81"/>
            <rFont val="Tahoma"/>
            <family val="2"/>
          </rPr>
          <t>Do not include in JSON export</t>
        </r>
      </text>
    </comment>
    <comment ref="B25" authorId="1" shapeId="0" xr:uid="{4ACCD5F0-768B-4146-AC2F-4940673D7F5C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B27" authorId="1" shapeId="0" xr:uid="{60BA9632-1835-49E0-BEA7-1AD974F2A6A3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B29" authorId="1" shapeId="0" xr:uid="{35E69A30-7298-41BC-A6D5-C1FAC33596C3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B31" authorId="1" shapeId="0" xr:uid="{01F8165E-44D2-4E6B-8846-0B0C6F3E4ACC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D33" authorId="1" shapeId="0" xr:uid="{190079D5-BF1D-43EA-BCC6-73F5B073E60E}">
      <text>
        <r>
          <rPr>
            <sz val="9"/>
            <color indexed="81"/>
            <rFont val="Tahoma"/>
            <family val="2"/>
          </rPr>
          <t>This is the inverse of efficiency (fuel use per GJ provided). It just happens that baseboard heating is 100% efficient. :)</t>
        </r>
      </text>
    </comment>
    <comment ref="D34" authorId="1" shapeId="0" xr:uid="{918B4565-DF1F-419C-9102-81A15131E4B6}">
      <text>
        <r>
          <rPr>
            <sz val="9"/>
            <color indexed="81"/>
            <rFont val="Tahoma"/>
            <family val="2"/>
          </rPr>
          <t>This ratio is just to pass along the GJ requirement (i.e. we want 1 GJ of heating, so require 1 GJ of furnace heating)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</author>
    <author>Brad GRIFFIN</author>
  </authors>
  <commentList>
    <comment ref="A2" authorId="0" shapeId="0" xr:uid="{427EDBF4-71FC-45E5-A5EC-CDF341489A1E}">
      <text>
        <r>
          <rPr>
            <sz val="9"/>
            <color indexed="81"/>
            <rFont val="Tahoma"/>
            <family val="2"/>
          </rPr>
          <t>Do not include in JSON export</t>
        </r>
      </text>
    </comment>
    <comment ref="B42" authorId="1" shapeId="0" xr:uid="{AC2D6676-4EE7-46A7-9F61-FD660A5A821A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B46" authorId="1" shapeId="0" xr:uid="{262EE66B-6096-4936-BFA3-085F12AE6636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B50" authorId="1" shapeId="0" xr:uid="{D1F42766-0C84-486C-B9AB-8387E4D5A46E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B54" authorId="1" shapeId="0" xr:uid="{98ED020F-B0FB-45B2-BC15-BC72567E4D44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D58" authorId="1" shapeId="0" xr:uid="{6B8540AE-3688-4C64-9B86-CADE87CB9CC2}">
      <text>
        <r>
          <rPr>
            <sz val="9"/>
            <color indexed="81"/>
            <rFont val="Tahoma"/>
            <family val="2"/>
          </rPr>
          <t>This is the inverse of efficiency (fuel use per GJ provided). It just happens that baseboard heating is 100% efficient. :)</t>
        </r>
      </text>
    </comment>
    <comment ref="D59" authorId="1" shapeId="0" xr:uid="{B2AA8E34-3983-4E14-86BB-23C07010F88B}">
      <text>
        <r>
          <rPr>
            <sz val="9"/>
            <color indexed="81"/>
            <rFont val="Tahoma"/>
            <family val="2"/>
          </rPr>
          <t>This is the inverse of efficiency (fuel use per GJ provided). It just happens that baseboard heating is 100% efficient. :)</t>
        </r>
      </text>
    </comment>
    <comment ref="D60" authorId="1" shapeId="0" xr:uid="{1B5FFA39-C086-4C01-B382-1EE0287F2C66}">
      <text>
        <r>
          <rPr>
            <sz val="9"/>
            <color indexed="81"/>
            <rFont val="Tahoma"/>
            <family val="2"/>
          </rPr>
          <t>This is the inverse of efficiency (fuel use per GJ provided). It just happens that baseboard heating is 100% efficient. :)</t>
        </r>
      </text>
    </comment>
    <comment ref="D61" authorId="1" shapeId="0" xr:uid="{6A2DA3D8-D793-4FA7-82D5-13327EB70B2F}">
      <text>
        <r>
          <rPr>
            <sz val="9"/>
            <color indexed="81"/>
            <rFont val="Tahoma"/>
            <family val="2"/>
          </rPr>
          <t>This is the inverse of efficiency (fuel use per GJ provided). It just happens that baseboard heating is 100% efficient. :)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</author>
    <author>Brad GRIFFIN</author>
  </authors>
  <commentList>
    <comment ref="A2" authorId="0" shapeId="0" xr:uid="{4C688E17-C3BA-43BA-8CFF-7C8B4B671EC5}">
      <text>
        <r>
          <rPr>
            <sz val="9"/>
            <color indexed="81"/>
            <rFont val="Tahoma"/>
            <family val="2"/>
          </rPr>
          <t>Do not include in JSON export</t>
        </r>
      </text>
    </comment>
    <comment ref="E6" authorId="1" shapeId="0" xr:uid="{503F9061-3435-443D-9265-03795D504B38}">
      <text>
        <r>
          <rPr>
            <sz val="9"/>
            <color indexed="81"/>
            <rFont val="Tahoma"/>
            <family val="2"/>
          </rPr>
          <t>Equal to total demand for electricity from all demand nodes</t>
        </r>
      </text>
    </comment>
    <comment ref="E19" authorId="1" shapeId="0" xr:uid="{8CBC480B-06B5-4C5D-A61A-DE29F8C631B5}">
      <text>
        <r>
          <rPr>
            <sz val="9"/>
            <color indexed="81"/>
            <rFont val="Tahoma"/>
            <family val="2"/>
          </rPr>
          <t>Multiplier for "End use supply" (i.e. demand how many units (of generation) per unit supplied (GJ electricity)</t>
        </r>
      </text>
    </comment>
    <comment ref="D20" authorId="1" shapeId="0" xr:uid="{F040DCB5-94D8-41A0-80BF-7138FBE4159F}">
      <text>
        <r>
          <rPr>
            <sz val="9"/>
            <color indexed="81"/>
            <rFont val="Tahoma"/>
            <family val="2"/>
          </rPr>
          <t>This ratio is just to pass along the GJ requirement (i.e. we want 1 GJ of electricity, so require 1 GJ of furnace generation)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</author>
  </authors>
  <commentList>
    <comment ref="A2" authorId="0" shapeId="0" xr:uid="{76961B58-6407-44AB-A039-9759CFED73C4}">
      <text>
        <r>
          <rPr>
            <sz val="9"/>
            <color indexed="81"/>
            <rFont val="Tahoma"/>
            <family val="2"/>
          </rPr>
          <t>Do not include in JSON export</t>
        </r>
      </text>
    </comment>
    <comment ref="E7" authorId="0" shapeId="0" xr:uid="{C2C0499C-D502-48C2-986B-45CECF60B893}">
      <text>
        <r>
          <rPr>
            <sz val="9"/>
            <color indexed="81"/>
            <rFont val="Tahoma"/>
            <family val="2"/>
          </rPr>
          <t>Shares applied to m2 floorspace inherited from parent (due to m2/household used for end use demand).
Must add to 1.</t>
        </r>
      </text>
    </comment>
  </commentList>
</comments>
</file>

<file path=xl/sharedStrings.xml><?xml version="1.0" encoding="utf-8"?>
<sst xmlns="http://schemas.openxmlformats.org/spreadsheetml/2006/main" count="887" uniqueCount="124">
  <si>
    <t>Residential</t>
  </si>
  <si>
    <t>Building</t>
  </si>
  <si>
    <t>Shell</t>
  </si>
  <si>
    <t>Heating</t>
  </si>
  <si>
    <t>Electricity</t>
  </si>
  <si>
    <t>Shoulder load</t>
  </si>
  <si>
    <t>Base load</t>
  </si>
  <si>
    <t>Peak load</t>
  </si>
  <si>
    <t>Generation</t>
  </si>
  <si>
    <t>Alberta</t>
  </si>
  <si>
    <t>Parent</t>
  </si>
  <si>
    <t>Branch</t>
  </si>
  <si>
    <t>Retrofit Variance</t>
  </si>
  <si>
    <t>Value</t>
  </si>
  <si>
    <t>Parameter</t>
  </si>
  <si>
    <t>Time</t>
  </si>
  <si>
    <t>Variance</t>
  </si>
  <si>
    <t>Years</t>
  </si>
  <si>
    <t>Price</t>
  </si>
  <si>
    <t>Diesel</t>
  </si>
  <si>
    <t>Light Fuel Oil</t>
  </si>
  <si>
    <t>Natural Gas</t>
  </si>
  <si>
    <t>Wood</t>
  </si>
  <si>
    <t>Unit</t>
  </si>
  <si>
    <t>2015$/GJ</t>
  </si>
  <si>
    <t>2015$/tCO2</t>
  </si>
  <si>
    <t>CO2</t>
  </si>
  <si>
    <t>CH4</t>
  </si>
  <si>
    <t>N2O</t>
  </si>
  <si>
    <t>Consumer Price Index</t>
  </si>
  <si>
    <t>Competition</t>
  </si>
  <si>
    <t>Exogenous</t>
  </si>
  <si>
    <t>Tech Compete</t>
  </si>
  <si>
    <t>Fixed Ratio</t>
  </si>
  <si>
    <t>Single Family Detached</t>
  </si>
  <si>
    <t>Single Family Attached</t>
  </si>
  <si>
    <t>Apartment</t>
  </si>
  <si>
    <t>Mobile</t>
  </si>
  <si>
    <t>Post-1960</t>
  </si>
  <si>
    <t>Pre-1960</t>
  </si>
  <si>
    <t>Standard</t>
  </si>
  <si>
    <t>R2000</t>
  </si>
  <si>
    <t>LEED</t>
  </si>
  <si>
    <t>Electric baseboard</t>
  </si>
  <si>
    <t>Furnace</t>
  </si>
  <si>
    <t>NG existing</t>
  </si>
  <si>
    <t>NG low efficiency</t>
  </si>
  <si>
    <t>NG high efficiency</t>
  </si>
  <si>
    <t>GJ</t>
  </si>
  <si>
    <t>v</t>
  </si>
  <si>
    <t>Capital Cost</t>
  </si>
  <si>
    <t>m2 floorspace</t>
  </si>
  <si>
    <t>Unavailable</t>
  </si>
  <si>
    <t>Available</t>
  </si>
  <si>
    <t>Lifetime</t>
  </si>
  <si>
    <t>Date</t>
  </si>
  <si>
    <t>Operating Cost</t>
  </si>
  <si>
    <t>r</t>
  </si>
  <si>
    <t>CPI</t>
  </si>
  <si>
    <t>Market share_Max</t>
  </si>
  <si>
    <t>Market share_Min</t>
  </si>
  <si>
    <t>Market penetration_Max</t>
  </si>
  <si>
    <t>Market penetration_Min</t>
  </si>
  <si>
    <t>Intangible Cost</t>
  </si>
  <si>
    <t>Percent</t>
  </si>
  <si>
    <t>***example - Stock</t>
  </si>
  <si>
    <t>total floorspace</t>
  </si>
  <si>
    <t>Population</t>
  </si>
  <si>
    <t>GDP</t>
  </si>
  <si>
    <t>m2 floorspace/household</t>
  </si>
  <si>
    <t>GJ/m2 floorspace</t>
  </si>
  <si>
    <t>household/person</t>
  </si>
  <si>
    <t>Ignore</t>
  </si>
  <si>
    <t>person/household</t>
  </si>
  <si>
    <t>household</t>
  </si>
  <si>
    <t>2015$ billion</t>
  </si>
  <si>
    <t>person</t>
  </si>
  <si>
    <t>total household</t>
  </si>
  <si>
    <t>Household</t>
  </si>
  <si>
    <t>NG combined cycle</t>
  </si>
  <si>
    <t>NG single cycle</t>
  </si>
  <si>
    <t>Hydro</t>
  </si>
  <si>
    <t>Wind</t>
  </si>
  <si>
    <t>Solar</t>
  </si>
  <si>
    <t>Fixed Shares</t>
  </si>
  <si>
    <t>Base year share</t>
  </si>
  <si>
    <t>GJ used / GJ provided</t>
  </si>
  <si>
    <t>Competition type</t>
  </si>
  <si>
    <t>Canada</t>
  </si>
  <si>
    <t>na</t>
  </si>
  <si>
    <t>Building_Shell_Standard</t>
  </si>
  <si>
    <t>Tree Map</t>
  </si>
  <si>
    <t>Node</t>
  </si>
  <si>
    <t>End use supply</t>
  </si>
  <si>
    <t>End use demand</t>
  </si>
  <si>
    <t>Share</t>
  </si>
  <si>
    <t>Social discount rate</t>
  </si>
  <si>
    <t>Risk rate</t>
  </si>
  <si>
    <t>Target</t>
  </si>
  <si>
    <t>Air conditioning</t>
  </si>
  <si>
    <t>Technology</t>
  </si>
  <si>
    <t>Natural Gas_existing</t>
  </si>
  <si>
    <t>Natural Gas_high efficiency</t>
  </si>
  <si>
    <t>Natural Gas_low efficiency</t>
  </si>
  <si>
    <t>Heat pump_air source</t>
  </si>
  <si>
    <t>Financial discount rate</t>
  </si>
  <si>
    <t>Natural gas</t>
  </si>
  <si>
    <t>2015$/m2 floorspace</t>
  </si>
  <si>
    <t>GHG</t>
  </si>
  <si>
    <t>Sector</t>
  </si>
  <si>
    <t>Fuel</t>
  </si>
  <si>
    <t>Commercial</t>
  </si>
  <si>
    <t>Region</t>
  </si>
  <si>
    <t>Region_code</t>
  </si>
  <si>
    <t>British Columbia</t>
  </si>
  <si>
    <t>CAN</t>
  </si>
  <si>
    <t>AB</t>
  </si>
  <si>
    <t>BC</t>
  </si>
  <si>
    <t>Transmission</t>
  </si>
  <si>
    <t>Winner Take All</t>
  </si>
  <si>
    <t>total generation</t>
  </si>
  <si>
    <t>Heat pump - air source</t>
  </si>
  <si>
    <t>Total buildings</t>
  </si>
  <si>
    <t>Total residential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</si>
</sst>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#,##0_ ;\-#,##0\ 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indexed="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166" fontId="4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1" applyFont="1" applyAlignment="1">
      <alignment readingOrder="2"/>
    </xf>
    <xf numFmtId="166" fontId="0" fillId="0" borderId="0" xfId="1" applyFont="1"/>
    <xf numFmtId="0" fontId="7" fillId="2" borderId="4" xfId="2" applyFont="1" applyFill="1" applyBorder="1"/>
    <xf numFmtId="0" fontId="7" fillId="3" borderId="4" xfId="2" applyFont="1" applyFill="1" applyBorder="1"/>
    <xf numFmtId="0" fontId="6" fillId="4" borderId="3" xfId="2" applyFont="1" applyFill="1" applyBorder="1"/>
    <xf numFmtId="0" fontId="0" fillId="0" borderId="0" xfId="0" applyFont="1"/>
    <xf numFmtId="0" fontId="0" fillId="8" borderId="0" xfId="0" applyFill="1"/>
    <xf numFmtId="0" fontId="0" fillId="8" borderId="7" xfId="0" applyFill="1" applyBorder="1"/>
    <xf numFmtId="0" fontId="0" fillId="9" borderId="1" xfId="0" applyFill="1" applyBorder="1"/>
    <xf numFmtId="0" fontId="0" fillId="9" borderId="0" xfId="0" applyFill="1"/>
    <xf numFmtId="0" fontId="0" fillId="9" borderId="2" xfId="0" applyFill="1" applyBorder="1"/>
    <xf numFmtId="0" fontId="0" fillId="9" borderId="5" xfId="0" applyFill="1" applyBorder="1"/>
    <xf numFmtId="0" fontId="0" fillId="9" borderId="0" xfId="0" applyFill="1" applyBorder="1"/>
    <xf numFmtId="0" fontId="1" fillId="9" borderId="1" xfId="0" applyFont="1" applyFill="1" applyBorder="1"/>
    <xf numFmtId="0" fontId="1" fillId="9" borderId="6" xfId="0" applyFont="1" applyFill="1" applyBorder="1"/>
    <xf numFmtId="0" fontId="6" fillId="10" borderId="3" xfId="2" applyFont="1" applyFill="1" applyBorder="1"/>
    <xf numFmtId="0" fontId="0" fillId="9" borderId="6" xfId="0" applyFill="1" applyBorder="1"/>
    <xf numFmtId="0" fontId="0" fillId="2" borderId="3" xfId="0" applyFill="1" applyBorder="1"/>
    <xf numFmtId="0" fontId="7" fillId="2" borderId="3" xfId="2" applyFont="1" applyFill="1" applyBorder="1"/>
    <xf numFmtId="0" fontId="0" fillId="8" borderId="0" xfId="0" applyFill="1" applyAlignment="1">
      <alignment horizontal="center"/>
    </xf>
    <xf numFmtId="0" fontId="0" fillId="8" borderId="7" xfId="0" applyFill="1" applyBorder="1" applyAlignment="1">
      <alignment horizontal="center"/>
    </xf>
    <xf numFmtId="0" fontId="0" fillId="0" borderId="0" xfId="0" applyAlignment="1">
      <alignment horizontal="center"/>
    </xf>
    <xf numFmtId="0" fontId="8" fillId="11" borderId="0" xfId="2" applyFont="1" applyFill="1" applyAlignment="1">
      <alignment horizontal="center"/>
    </xf>
    <xf numFmtId="0" fontId="9" fillId="11" borderId="0" xfId="2" applyFont="1" applyFill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7" xfId="0" applyFont="1" applyBorder="1"/>
    <xf numFmtId="0" fontId="2" fillId="5" borderId="7" xfId="0" applyFont="1" applyFill="1" applyBorder="1"/>
    <xf numFmtId="0" fontId="0" fillId="0" borderId="7" xfId="0" applyBorder="1" applyAlignment="1">
      <alignment horizontal="center"/>
    </xf>
    <xf numFmtId="0" fontId="0" fillId="0" borderId="7" xfId="0" applyBorder="1"/>
    <xf numFmtId="0" fontId="0" fillId="12" borderId="0" xfId="0" applyFill="1"/>
    <xf numFmtId="0" fontId="7" fillId="6" borderId="3" xfId="2" applyFont="1" applyFill="1" applyBorder="1"/>
    <xf numFmtId="0" fontId="6" fillId="7" borderId="3" xfId="2" applyFont="1" applyFill="1" applyBorder="1"/>
  </cellXfs>
  <cellStyles count="3">
    <cellStyle name="Comma" xfId="1" builtinId="3" customBuiltin="1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449E9-551D-4918-9891-B804DE91249B}">
  <sheetPr codeName="Sheet7">
    <tabColor theme="1" tint="0.499984740745262"/>
  </sheetPr>
  <dimension ref="A1:J6"/>
  <sheetViews>
    <sheetView zoomScale="85" zoomScaleNormal="85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6" bestFit="1" customWidth="1"/>
    <col min="2" max="2" width="3.140625" customWidth="1"/>
    <col min="3" max="3" width="16.5703125" bestFit="1" customWidth="1"/>
    <col min="4" max="4" width="11.85546875" customWidth="1"/>
    <col min="5" max="5" width="3.140625" customWidth="1"/>
    <col min="6" max="6" width="11.85546875" bestFit="1" customWidth="1"/>
    <col min="7" max="7" width="3.140625" customWidth="1"/>
    <col min="8" max="8" width="12.140625" bestFit="1" customWidth="1"/>
    <col min="9" max="9" width="3.140625" customWidth="1"/>
    <col min="11" max="11" width="3.140625" customWidth="1"/>
    <col min="13" max="13" width="3.140625" customWidth="1"/>
    <col min="15" max="15" width="3.140625" customWidth="1"/>
    <col min="17" max="17" width="3.140625" customWidth="1"/>
  </cols>
  <sheetData>
    <row r="1" spans="1:10" s="1" customFormat="1" x14ac:dyDescent="0.25">
      <c r="A1" s="1" t="s">
        <v>30</v>
      </c>
      <c r="C1" s="1" t="s">
        <v>112</v>
      </c>
      <c r="D1" s="1" t="s">
        <v>113</v>
      </c>
      <c r="F1" s="1" t="s">
        <v>109</v>
      </c>
      <c r="H1" s="1" t="s">
        <v>110</v>
      </c>
      <c r="J1" s="1" t="s">
        <v>108</v>
      </c>
    </row>
    <row r="2" spans="1:10" x14ac:dyDescent="0.25">
      <c r="A2" t="s">
        <v>31</v>
      </c>
      <c r="C2" t="s">
        <v>88</v>
      </c>
      <c r="D2" t="s">
        <v>115</v>
      </c>
      <c r="F2" t="s">
        <v>0</v>
      </c>
      <c r="H2" t="s">
        <v>4</v>
      </c>
      <c r="J2" t="s">
        <v>26</v>
      </c>
    </row>
    <row r="3" spans="1:10" x14ac:dyDescent="0.25">
      <c r="A3" t="s">
        <v>33</v>
      </c>
      <c r="C3" t="s">
        <v>9</v>
      </c>
      <c r="D3" t="s">
        <v>116</v>
      </c>
      <c r="F3" t="s">
        <v>111</v>
      </c>
      <c r="H3" t="s">
        <v>21</v>
      </c>
      <c r="J3" t="s">
        <v>27</v>
      </c>
    </row>
    <row r="4" spans="1:10" x14ac:dyDescent="0.25">
      <c r="A4" t="s">
        <v>84</v>
      </c>
      <c r="C4" t="s">
        <v>114</v>
      </c>
      <c r="D4" t="s">
        <v>117</v>
      </c>
      <c r="F4" t="s">
        <v>4</v>
      </c>
      <c r="J4" t="s">
        <v>28</v>
      </c>
    </row>
    <row r="5" spans="1:10" x14ac:dyDescent="0.25">
      <c r="A5" t="s">
        <v>32</v>
      </c>
    </row>
    <row r="6" spans="1:10" x14ac:dyDescent="0.25">
      <c r="A6" t="s">
        <v>119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199EB-96D0-4C95-9295-1DEC222573E8}">
  <sheetPr codeName="Sheet8">
    <tabColor theme="1"/>
  </sheetPr>
  <dimension ref="A1:N2"/>
  <sheetViews>
    <sheetView zoomScale="85" zoomScaleNormal="85" workbookViewId="0">
      <selection activeCell="C2" sqref="C2"/>
    </sheetView>
  </sheetViews>
  <sheetFormatPr defaultRowHeight="15" x14ac:dyDescent="0.25"/>
  <cols>
    <col min="1" max="1" width="10.28515625" bestFit="1" customWidth="1"/>
    <col min="2" max="3" width="6.85546875" bestFit="1" customWidth="1"/>
  </cols>
  <sheetData>
    <row r="1" spans="1:14" x14ac:dyDescent="0.25">
      <c r="A1" s="1" t="s">
        <v>14</v>
      </c>
      <c r="B1" s="1" t="s">
        <v>23</v>
      </c>
      <c r="C1" s="1" t="s">
        <v>13</v>
      </c>
    </row>
    <row r="2" spans="1:14" x14ac:dyDescent="0.25">
      <c r="A2" t="s">
        <v>15</v>
      </c>
      <c r="B2" t="s">
        <v>17</v>
      </c>
      <c r="D2">
        <v>2000</v>
      </c>
      <c r="E2">
        <v>2005</v>
      </c>
      <c r="F2">
        <v>2010</v>
      </c>
      <c r="G2">
        <v>2015</v>
      </c>
      <c r="H2">
        <v>2020</v>
      </c>
      <c r="I2">
        <v>2025</v>
      </c>
      <c r="J2">
        <v>2030</v>
      </c>
      <c r="K2">
        <v>2035</v>
      </c>
      <c r="L2">
        <v>2040</v>
      </c>
      <c r="M2">
        <v>2045</v>
      </c>
      <c r="N2">
        <v>2050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B7661-27A9-4C26-B369-D852A94BD896}">
  <sheetPr codeName="Sheet1">
    <tabColor theme="1"/>
    <outlinePr summaryBelow="0"/>
  </sheetPr>
  <dimension ref="B2:H46"/>
  <sheetViews>
    <sheetView tabSelected="1" zoomScale="85" zoomScaleNormal="85" workbookViewId="0"/>
  </sheetViews>
  <sheetFormatPr defaultRowHeight="15" outlineLevelRow="2" x14ac:dyDescent="0.25"/>
  <cols>
    <col min="1" max="1" width="2.85546875" style="14" customWidth="1"/>
    <col min="2" max="4" width="20.7109375" style="14" customWidth="1"/>
    <col min="5" max="5" width="28.7109375" style="14" bestFit="1" customWidth="1"/>
    <col min="6" max="6" width="18.5703125" style="14" bestFit="1" customWidth="1"/>
    <col min="7" max="7" width="18.42578125" style="14" bestFit="1" customWidth="1"/>
    <col min="8" max="16384" width="9.140625" style="14"/>
  </cols>
  <sheetData>
    <row r="2" spans="2:8" x14ac:dyDescent="0.25">
      <c r="B2" s="36" t="s">
        <v>88</v>
      </c>
      <c r="C2" s="13"/>
    </row>
    <row r="3" spans="2:8" x14ac:dyDescent="0.25">
      <c r="C3" s="35" t="s">
        <v>9</v>
      </c>
      <c r="D3" s="13"/>
    </row>
    <row r="4" spans="2:8" outlineLevel="1" x14ac:dyDescent="0.25">
      <c r="C4" s="13"/>
      <c r="D4" s="9" t="s">
        <v>0</v>
      </c>
      <c r="E4" s="13"/>
    </row>
    <row r="5" spans="2:8" outlineLevel="2" x14ac:dyDescent="0.25">
      <c r="C5" s="13"/>
      <c r="D5" s="13"/>
      <c r="E5" s="8" t="s">
        <v>1</v>
      </c>
      <c r="F5" s="13"/>
    </row>
    <row r="6" spans="2:8" outlineLevel="2" x14ac:dyDescent="0.25">
      <c r="C6" s="13"/>
      <c r="D6" s="13"/>
      <c r="E6" s="15" t="s">
        <v>34</v>
      </c>
      <c r="F6" s="13"/>
    </row>
    <row r="7" spans="2:8" outlineLevel="2" x14ac:dyDescent="0.25">
      <c r="C7" s="13"/>
      <c r="D7" s="13"/>
      <c r="E7" s="15" t="s">
        <v>35</v>
      </c>
      <c r="F7" s="13"/>
    </row>
    <row r="8" spans="2:8" outlineLevel="2" x14ac:dyDescent="0.25">
      <c r="C8" s="13"/>
      <c r="D8" s="13"/>
      <c r="E8" s="15" t="s">
        <v>36</v>
      </c>
      <c r="F8" s="13"/>
    </row>
    <row r="9" spans="2:8" outlineLevel="2" x14ac:dyDescent="0.25">
      <c r="C9" s="13"/>
      <c r="D9" s="13"/>
      <c r="E9" s="16" t="s">
        <v>37</v>
      </c>
      <c r="F9" s="13"/>
    </row>
    <row r="10" spans="2:8" outlineLevel="2" x14ac:dyDescent="0.25">
      <c r="C10" s="13"/>
      <c r="D10" s="13"/>
      <c r="E10" s="13"/>
      <c r="F10" s="8" t="s">
        <v>2</v>
      </c>
      <c r="G10" s="13"/>
    </row>
    <row r="11" spans="2:8" outlineLevel="2" x14ac:dyDescent="0.25">
      <c r="C11" s="13"/>
      <c r="D11" s="13"/>
      <c r="E11" s="13"/>
      <c r="F11" s="15" t="s">
        <v>39</v>
      </c>
      <c r="G11" s="13"/>
    </row>
    <row r="12" spans="2:8" outlineLevel="2" x14ac:dyDescent="0.25">
      <c r="C12" s="13"/>
      <c r="D12" s="13"/>
      <c r="E12" s="13"/>
      <c r="F12" s="15" t="s">
        <v>38</v>
      </c>
      <c r="G12" s="13"/>
    </row>
    <row r="13" spans="2:8" outlineLevel="2" x14ac:dyDescent="0.25">
      <c r="C13" s="13"/>
      <c r="D13" s="13"/>
      <c r="E13" s="13"/>
      <c r="F13" s="15" t="s">
        <v>40</v>
      </c>
      <c r="G13" s="13"/>
    </row>
    <row r="14" spans="2:8" outlineLevel="2" x14ac:dyDescent="0.25">
      <c r="C14" s="13"/>
      <c r="D14" s="13"/>
      <c r="E14" s="13"/>
      <c r="F14" s="15" t="s">
        <v>41</v>
      </c>
      <c r="G14" s="13"/>
    </row>
    <row r="15" spans="2:8" outlineLevel="2" x14ac:dyDescent="0.25">
      <c r="C15" s="13"/>
      <c r="D15" s="13"/>
      <c r="E15" s="13"/>
      <c r="F15" s="16" t="s">
        <v>42</v>
      </c>
      <c r="G15" s="13"/>
    </row>
    <row r="16" spans="2:8" outlineLevel="2" x14ac:dyDescent="0.25">
      <c r="C16" s="13"/>
      <c r="D16" s="13"/>
      <c r="E16" s="13"/>
      <c r="F16" s="17"/>
      <c r="G16" s="8" t="s">
        <v>3</v>
      </c>
      <c r="H16" s="17"/>
    </row>
    <row r="17" spans="3:8" outlineLevel="2" x14ac:dyDescent="0.25">
      <c r="C17" s="13"/>
      <c r="D17" s="13"/>
      <c r="E17" s="13"/>
      <c r="F17" s="17"/>
      <c r="G17" s="15" t="s">
        <v>43</v>
      </c>
      <c r="H17" s="17"/>
    </row>
    <row r="18" spans="3:8" outlineLevel="2" x14ac:dyDescent="0.25">
      <c r="C18" s="13"/>
      <c r="D18" s="13"/>
      <c r="E18" s="13"/>
      <c r="F18" s="17"/>
      <c r="G18" s="16" t="s">
        <v>44</v>
      </c>
      <c r="H18" s="17"/>
    </row>
    <row r="19" spans="3:8" outlineLevel="2" x14ac:dyDescent="0.25">
      <c r="C19" s="13"/>
      <c r="D19" s="13"/>
      <c r="E19" s="13"/>
      <c r="F19" s="17"/>
    </row>
    <row r="20" spans="3:8" outlineLevel="2" x14ac:dyDescent="0.25">
      <c r="C20" s="13"/>
      <c r="D20" s="13"/>
      <c r="E20" s="8" t="s">
        <v>44</v>
      </c>
      <c r="F20" s="17"/>
    </row>
    <row r="21" spans="3:8" outlineLevel="2" x14ac:dyDescent="0.25">
      <c r="C21" s="13"/>
      <c r="D21" s="13"/>
      <c r="E21" s="15" t="s">
        <v>45</v>
      </c>
      <c r="F21" s="17"/>
    </row>
    <row r="22" spans="3:8" outlineLevel="2" x14ac:dyDescent="0.25">
      <c r="C22" s="13"/>
      <c r="D22" s="13"/>
      <c r="E22" s="15" t="s">
        <v>46</v>
      </c>
      <c r="F22" s="17"/>
    </row>
    <row r="23" spans="3:8" outlineLevel="2" x14ac:dyDescent="0.25">
      <c r="C23" s="13"/>
      <c r="D23" s="13"/>
      <c r="E23" s="15" t="s">
        <v>47</v>
      </c>
      <c r="F23" s="17"/>
    </row>
    <row r="24" spans="3:8" outlineLevel="2" x14ac:dyDescent="0.25">
      <c r="C24" s="13"/>
      <c r="D24" s="13"/>
      <c r="E24" s="16" t="s">
        <v>121</v>
      </c>
      <c r="F24" s="17"/>
    </row>
    <row r="25" spans="3:8" outlineLevel="2" x14ac:dyDescent="0.25">
      <c r="C25" s="13"/>
      <c r="D25" s="13"/>
    </row>
    <row r="26" spans="3:8" outlineLevel="1" x14ac:dyDescent="0.25">
      <c r="C26" s="13"/>
      <c r="D26" s="13"/>
    </row>
    <row r="27" spans="3:8" outlineLevel="1" x14ac:dyDescent="0.25">
      <c r="C27" s="13"/>
      <c r="D27" s="20" t="s">
        <v>4</v>
      </c>
      <c r="E27" s="18"/>
    </row>
    <row r="28" spans="3:8" outlineLevel="2" x14ac:dyDescent="0.25">
      <c r="C28" s="13"/>
      <c r="D28" s="19"/>
      <c r="E28" s="23" t="s">
        <v>8</v>
      </c>
      <c r="F28" s="13"/>
    </row>
    <row r="29" spans="3:8" outlineLevel="2" x14ac:dyDescent="0.25">
      <c r="C29" s="13"/>
      <c r="D29" s="13"/>
      <c r="E29" s="21"/>
      <c r="F29" s="7" t="s">
        <v>6</v>
      </c>
    </row>
    <row r="30" spans="3:8" outlineLevel="2" x14ac:dyDescent="0.25">
      <c r="C30" s="13"/>
      <c r="D30" s="13"/>
      <c r="E30" s="13"/>
      <c r="F30" s="15" t="s">
        <v>79</v>
      </c>
    </row>
    <row r="31" spans="3:8" outlineLevel="2" x14ac:dyDescent="0.25">
      <c r="C31" s="13"/>
      <c r="D31" s="13"/>
      <c r="E31" s="13"/>
      <c r="F31" s="15" t="s">
        <v>80</v>
      </c>
    </row>
    <row r="32" spans="3:8" outlineLevel="2" x14ac:dyDescent="0.25">
      <c r="C32" s="13"/>
      <c r="D32" s="13"/>
      <c r="E32" s="13"/>
      <c r="F32" s="15" t="s">
        <v>81</v>
      </c>
    </row>
    <row r="33" spans="3:6" outlineLevel="2" x14ac:dyDescent="0.25">
      <c r="C33" s="13"/>
      <c r="D33" s="13"/>
      <c r="E33" s="13"/>
      <c r="F33" s="15" t="s">
        <v>82</v>
      </c>
    </row>
    <row r="34" spans="3:6" outlineLevel="2" x14ac:dyDescent="0.25">
      <c r="C34" s="13"/>
      <c r="D34" s="13"/>
      <c r="E34" s="13"/>
      <c r="F34" s="16" t="s">
        <v>83</v>
      </c>
    </row>
    <row r="35" spans="3:6" outlineLevel="2" x14ac:dyDescent="0.25">
      <c r="C35" s="13"/>
      <c r="D35" s="13"/>
      <c r="E35" s="13"/>
      <c r="F35" s="13"/>
    </row>
    <row r="36" spans="3:6" outlineLevel="2" x14ac:dyDescent="0.25">
      <c r="C36" s="13"/>
      <c r="D36" s="13"/>
      <c r="E36" s="13"/>
      <c r="F36" s="7" t="s">
        <v>5</v>
      </c>
    </row>
    <row r="37" spans="3:6" outlineLevel="2" x14ac:dyDescent="0.25">
      <c r="C37" s="13"/>
      <c r="D37" s="13"/>
      <c r="E37" s="13"/>
      <c r="F37" s="15" t="s">
        <v>79</v>
      </c>
    </row>
    <row r="38" spans="3:6" outlineLevel="2" x14ac:dyDescent="0.25">
      <c r="C38" s="13"/>
      <c r="D38" s="13"/>
      <c r="E38" s="13"/>
      <c r="F38" s="15" t="s">
        <v>80</v>
      </c>
    </row>
    <row r="39" spans="3:6" outlineLevel="2" x14ac:dyDescent="0.25">
      <c r="C39" s="13"/>
      <c r="D39" s="13"/>
      <c r="E39" s="13"/>
      <c r="F39" s="16" t="s">
        <v>81</v>
      </c>
    </row>
    <row r="40" spans="3:6" outlineLevel="2" x14ac:dyDescent="0.25">
      <c r="C40" s="13"/>
      <c r="D40" s="13"/>
      <c r="E40" s="13"/>
      <c r="F40" s="13"/>
    </row>
    <row r="41" spans="3:6" outlineLevel="2" x14ac:dyDescent="0.25">
      <c r="C41" s="13"/>
      <c r="D41" s="13"/>
      <c r="E41" s="13"/>
      <c r="F41" s="7" t="s">
        <v>7</v>
      </c>
    </row>
    <row r="42" spans="3:6" outlineLevel="2" x14ac:dyDescent="0.25">
      <c r="C42" s="13"/>
      <c r="D42" s="13"/>
      <c r="E42" s="13"/>
      <c r="F42" s="15" t="s">
        <v>79</v>
      </c>
    </row>
    <row r="43" spans="3:6" outlineLevel="2" x14ac:dyDescent="0.25">
      <c r="C43" s="13"/>
      <c r="D43" s="13"/>
      <c r="E43" s="13"/>
      <c r="F43" s="15" t="s">
        <v>80</v>
      </c>
    </row>
    <row r="44" spans="3:6" outlineLevel="2" x14ac:dyDescent="0.25">
      <c r="C44" s="13"/>
      <c r="D44" s="13"/>
      <c r="E44" s="13"/>
      <c r="F44" s="16" t="s">
        <v>81</v>
      </c>
    </row>
    <row r="45" spans="3:6" outlineLevel="2" x14ac:dyDescent="0.25">
      <c r="C45" s="13"/>
      <c r="D45" s="13"/>
      <c r="E45" s="13"/>
    </row>
    <row r="46" spans="3:6" outlineLevel="2" x14ac:dyDescent="0.25">
      <c r="E46" s="22" t="s">
        <v>118</v>
      </c>
    </row>
  </sheetData>
  <hyperlinks>
    <hyperlink ref="B2" location="Canada!A1" display="Canada" xr:uid="{588FD7D6-AF9D-47D2-81CB-80B55D263B6E}"/>
    <hyperlink ref="C3" location="Alberta!A1" display="Alberta" xr:uid="{94F84885-E936-4DEE-863F-0E800088A67C}"/>
    <hyperlink ref="D4" location="Residential!A1" display="Residential" xr:uid="{2D0F5FB6-39F1-496F-8F3A-526A619BAADE}"/>
    <hyperlink ref="E5" location="Building!A1" display="Building" xr:uid="{7BE1C4E7-00C3-4BF2-8B97-A1CE1766DE3C}"/>
    <hyperlink ref="E20" location="Furnace!A1" display="Furnace" xr:uid="{583FF82C-8BB9-48FB-8F46-D2B3058D0395}"/>
    <hyperlink ref="F10" location="Shell!A1" display="Shell" xr:uid="{63B04D49-C507-4362-8AEC-8AB18928AF50}"/>
    <hyperlink ref="G16" location="Heating!A1" display="Heating" xr:uid="{CC86797B-A390-4B40-81C2-D4D41C1D1E9E}"/>
    <hyperlink ref="D27" location="Electricity!A1" display="Electricity" xr:uid="{37779152-DABE-4F7A-977B-5A01C0C81BDE}"/>
    <hyperlink ref="E28" location="Generation!A1" display="Generation" xr:uid="{EF85BE4B-8F04-4F5E-8633-A732A0BC9E23}"/>
    <hyperlink ref="F29" location="'Base load'!A1" display="Base load" xr:uid="{3173FCB6-61F8-47ED-902E-E00868470993}"/>
    <hyperlink ref="F36" location="'Shoulder load'!A1" display="Shoulder load" xr:uid="{90FF9EC4-F0B0-4A72-8B7A-1B9D9E7363F2}"/>
    <hyperlink ref="F41" location="'Peak load'!A1" display="Peak load" xr:uid="{6571B55C-869C-47DB-81ED-EA1AEC1ECD86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2231A-B0BC-4AAE-9D28-507E42F91F86}">
  <sheetPr codeName="Sheet9">
    <tabColor theme="7" tint="-0.499984740745262"/>
  </sheetPr>
  <dimension ref="A1:P8"/>
  <sheetViews>
    <sheetView zoomScale="85" zoomScaleNormal="85" workbookViewId="0">
      <pane xSplit="5" ySplit="2" topLeftCell="F3" activePane="bottomRight" state="frozen"/>
      <selection sqref="A1:A1048576"/>
      <selection pane="topRight" sqref="A1:A1048576"/>
      <selection pane="bottomLeft" sqref="A1:A1048576"/>
      <selection pane="bottomRight" activeCell="F3" sqref="F3"/>
    </sheetView>
  </sheetViews>
  <sheetFormatPr defaultRowHeight="15" x14ac:dyDescent="0.25"/>
  <cols>
    <col min="1" max="1" width="6.7109375" style="26" bestFit="1" customWidth="1"/>
    <col min="2" max="2" width="21" bestFit="1" customWidth="1"/>
    <col min="3" max="3" width="21" customWidth="1"/>
    <col min="4" max="5" width="20" bestFit="1" customWidth="1"/>
    <col min="6" max="16" width="10.7109375" customWidth="1"/>
  </cols>
  <sheetData>
    <row r="1" spans="1:16" x14ac:dyDescent="0.25">
      <c r="B1" s="27" t="s">
        <v>91</v>
      </c>
    </row>
    <row r="2" spans="1:16" s="30" customFormat="1" x14ac:dyDescent="0.25">
      <c r="A2" s="29" t="s">
        <v>72</v>
      </c>
      <c r="B2" s="30" t="s">
        <v>14</v>
      </c>
      <c r="C2" s="30" t="s">
        <v>98</v>
      </c>
      <c r="D2" s="30" t="s">
        <v>23</v>
      </c>
      <c r="E2" s="30" t="s">
        <v>13</v>
      </c>
      <c r="F2" s="31">
        <f>Simulation!D$2</f>
        <v>2000</v>
      </c>
      <c r="G2" s="31">
        <f>Simulation!E$2</f>
        <v>2005</v>
      </c>
      <c r="H2" s="31">
        <f>Simulation!F$2</f>
        <v>2010</v>
      </c>
      <c r="I2" s="31">
        <f>Simulation!G$2</f>
        <v>2015</v>
      </c>
      <c r="J2" s="31">
        <f>Simulation!H$2</f>
        <v>2020</v>
      </c>
      <c r="K2" s="31">
        <f>Simulation!I$2</f>
        <v>2025</v>
      </c>
      <c r="L2" s="31">
        <f>Simulation!J$2</f>
        <v>2030</v>
      </c>
      <c r="M2" s="31">
        <f>Simulation!K$2</f>
        <v>2035</v>
      </c>
      <c r="N2" s="31">
        <f>Simulation!L$2</f>
        <v>2040</v>
      </c>
      <c r="O2" s="31">
        <f>Simulation!M$2</f>
        <v>2045</v>
      </c>
      <c r="P2" s="31">
        <f>Simulation!N$2</f>
        <v>2050</v>
      </c>
    </row>
    <row r="3" spans="1:16" s="11" customFormat="1" x14ac:dyDescent="0.25">
      <c r="A3" s="24"/>
      <c r="B3" s="11" t="s">
        <v>92</v>
      </c>
      <c r="E3" s="11" t="str">
        <f ca="1">MID(CELL("filename",B1),FIND("]",CELL("filename",B1))+1,255)</f>
        <v>Canada</v>
      </c>
    </row>
    <row r="4" spans="1:16" s="11" customFormat="1" x14ac:dyDescent="0.25">
      <c r="A4" s="24"/>
      <c r="B4" s="11" t="s">
        <v>11</v>
      </c>
      <c r="E4" s="11" t="str">
        <f ca="1">E3</f>
        <v>Canada</v>
      </c>
    </row>
    <row r="5" spans="1:16" s="12" customFormat="1" x14ac:dyDescent="0.25">
      <c r="A5" s="25"/>
      <c r="B5" s="12" t="s">
        <v>10</v>
      </c>
    </row>
    <row r="6" spans="1:16" x14ac:dyDescent="0.25">
      <c r="B6" t="s">
        <v>96</v>
      </c>
      <c r="D6" t="s">
        <v>64</v>
      </c>
      <c r="E6" t="s">
        <v>57</v>
      </c>
      <c r="F6">
        <v>0.2</v>
      </c>
    </row>
    <row r="7" spans="1:16" x14ac:dyDescent="0.25">
      <c r="B7" t="s">
        <v>87</v>
      </c>
      <c r="E7" t="s">
        <v>33</v>
      </c>
    </row>
    <row r="8" spans="1:16" x14ac:dyDescent="0.25">
      <c r="B8" t="s">
        <v>94</v>
      </c>
      <c r="C8" t="s">
        <v>9</v>
      </c>
      <c r="D8" t="s">
        <v>89</v>
      </c>
      <c r="F8">
        <v>1</v>
      </c>
    </row>
  </sheetData>
  <dataValidations count="1">
    <dataValidation type="list" allowBlank="1" showInputMessage="1" showErrorMessage="1" sqref="E7" xr:uid="{6E059059-D3A8-4BCB-97CF-8FC2C432E1CA}">
      <formula1>Competition</formula1>
    </dataValidation>
  </dataValidations>
  <hyperlinks>
    <hyperlink ref="B1" location="Map!A1" display="Tree Map" xr:uid="{80801207-B0D2-41D8-B946-950E845B10DC}"/>
  </hyperlink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4D828-D18E-4C60-921C-733DC3D0EF8A}">
  <sheetPr codeName="Sheet15">
    <tabColor rgb="FFFFC000"/>
  </sheetPr>
  <dimension ref="A1:P15"/>
  <sheetViews>
    <sheetView zoomScale="85" zoomScaleNormal="85" workbookViewId="0">
      <pane xSplit="5" ySplit="2" topLeftCell="F3" activePane="bottomRight" state="frozen"/>
      <selection activeCell="F22" sqref="F22"/>
      <selection pane="topRight" activeCell="F22" sqref="F22"/>
      <selection pane="bottomLeft" activeCell="F22" sqref="F22"/>
      <selection pane="bottomRight" activeCell="F3" sqref="F3"/>
    </sheetView>
  </sheetViews>
  <sheetFormatPr defaultRowHeight="15" x14ac:dyDescent="0.25"/>
  <cols>
    <col min="1" max="1" width="6.7109375" style="26" bestFit="1" customWidth="1"/>
    <col min="2" max="2" width="19.5703125" bestFit="1" customWidth="1"/>
    <col min="3" max="3" width="17" bestFit="1" customWidth="1"/>
    <col min="4" max="4" width="18.5703125" bestFit="1" customWidth="1"/>
    <col min="5" max="5" width="24.28515625" customWidth="1"/>
    <col min="6" max="16" width="10.7109375" customWidth="1"/>
  </cols>
  <sheetData>
    <row r="1" spans="1:16" x14ac:dyDescent="0.25">
      <c r="B1" s="28" t="s">
        <v>91</v>
      </c>
    </row>
    <row r="2" spans="1:16" s="30" customFormat="1" x14ac:dyDescent="0.25">
      <c r="A2" s="29" t="s">
        <v>72</v>
      </c>
      <c r="B2" s="30" t="s">
        <v>14</v>
      </c>
      <c r="C2" s="30" t="s">
        <v>98</v>
      </c>
      <c r="D2" s="30" t="s">
        <v>23</v>
      </c>
      <c r="E2" s="30" t="s">
        <v>13</v>
      </c>
      <c r="F2" s="31">
        <f>Simulation!D$2</f>
        <v>2000</v>
      </c>
      <c r="G2" s="31">
        <f>Simulation!E$2</f>
        <v>2005</v>
      </c>
      <c r="H2" s="31">
        <f>Simulation!F$2</f>
        <v>2010</v>
      </c>
      <c r="I2" s="31">
        <f>Simulation!G$2</f>
        <v>2015</v>
      </c>
      <c r="J2" s="31">
        <f>Simulation!H$2</f>
        <v>2020</v>
      </c>
      <c r="K2" s="31">
        <f>Simulation!I$2</f>
        <v>2025</v>
      </c>
      <c r="L2" s="31">
        <f>Simulation!J$2</f>
        <v>2030</v>
      </c>
      <c r="M2" s="31">
        <f>Simulation!K$2</f>
        <v>2035</v>
      </c>
      <c r="N2" s="31">
        <f>Simulation!L$2</f>
        <v>2040</v>
      </c>
      <c r="O2" s="31">
        <f>Simulation!M$2</f>
        <v>2045</v>
      </c>
      <c r="P2" s="31">
        <f>Simulation!N$2</f>
        <v>2050</v>
      </c>
    </row>
    <row r="3" spans="1:16" s="11" customFormat="1" x14ac:dyDescent="0.25">
      <c r="A3" s="24"/>
      <c r="B3" s="11" t="s">
        <v>92</v>
      </c>
      <c r="E3" s="11" t="str">
        <f ca="1">MID(CELL("filename",B1),FIND("]",CELL("filename",B1))+1,255)</f>
        <v>Alberta</v>
      </c>
    </row>
    <row r="4" spans="1:16" s="11" customFormat="1" x14ac:dyDescent="0.25">
      <c r="A4" s="24"/>
      <c r="B4" s="11" t="s">
        <v>11</v>
      </c>
      <c r="E4" s="11" t="str">
        <f ca="1">E5&amp;"_"&amp;E3</f>
        <v>Canada_Alberta</v>
      </c>
    </row>
    <row r="5" spans="1:16" s="12" customFormat="1" x14ac:dyDescent="0.25">
      <c r="A5" s="25"/>
      <c r="B5" s="12" t="s">
        <v>10</v>
      </c>
      <c r="E5" s="12" t="str">
        <f ca="1">Canada!$E$4</f>
        <v>Canada</v>
      </c>
    </row>
    <row r="6" spans="1:16" x14ac:dyDescent="0.25">
      <c r="B6" t="s">
        <v>93</v>
      </c>
      <c r="C6" t="s">
        <v>9</v>
      </c>
      <c r="D6" t="s">
        <v>76</v>
      </c>
      <c r="E6" t="s">
        <v>67</v>
      </c>
      <c r="F6" s="2">
        <v>2801421</v>
      </c>
      <c r="G6" s="2">
        <v>3223339</v>
      </c>
      <c r="H6" s="2">
        <v>3645257</v>
      </c>
      <c r="I6" s="2">
        <v>4067175</v>
      </c>
      <c r="J6" s="2">
        <v>4650000</v>
      </c>
      <c r="K6" s="2">
        <v>5000000</v>
      </c>
      <c r="L6" s="2">
        <v>5350000</v>
      </c>
      <c r="M6" s="2">
        <v>5700000</v>
      </c>
      <c r="N6" s="2">
        <v>6050000</v>
      </c>
      <c r="O6" s="2">
        <v>6400000</v>
      </c>
      <c r="P6" s="2">
        <v>6750000</v>
      </c>
    </row>
    <row r="7" spans="1:16" x14ac:dyDescent="0.25">
      <c r="B7" t="s">
        <v>93</v>
      </c>
      <c r="C7" t="s">
        <v>9</v>
      </c>
      <c r="D7" t="s">
        <v>75</v>
      </c>
      <c r="E7" t="s">
        <v>68</v>
      </c>
      <c r="F7">
        <v>211</v>
      </c>
      <c r="G7">
        <v>265</v>
      </c>
      <c r="H7">
        <v>290</v>
      </c>
      <c r="I7">
        <v>330</v>
      </c>
      <c r="J7">
        <f>I7*1.03</f>
        <v>339.90000000000003</v>
      </c>
      <c r="K7">
        <f t="shared" ref="K7:P7" si="0">J7*1.03</f>
        <v>350.09700000000004</v>
      </c>
      <c r="L7">
        <f t="shared" si="0"/>
        <v>360.59991000000002</v>
      </c>
      <c r="M7">
        <f t="shared" si="0"/>
        <v>371.41790730000002</v>
      </c>
      <c r="N7">
        <f t="shared" si="0"/>
        <v>382.56044451900004</v>
      </c>
      <c r="O7">
        <f t="shared" si="0"/>
        <v>394.03725785457004</v>
      </c>
      <c r="P7">
        <f t="shared" si="0"/>
        <v>405.85837559020717</v>
      </c>
    </row>
    <row r="8" spans="1:16" x14ac:dyDescent="0.25">
      <c r="B8" t="s">
        <v>96</v>
      </c>
      <c r="D8" t="s">
        <v>64</v>
      </c>
      <c r="E8" t="s">
        <v>57</v>
      </c>
      <c r="F8">
        <v>0.1</v>
      </c>
    </row>
    <row r="9" spans="1:16" x14ac:dyDescent="0.25">
      <c r="B9" t="s">
        <v>97</v>
      </c>
      <c r="D9" t="s">
        <v>64</v>
      </c>
      <c r="F9">
        <v>0.15</v>
      </c>
    </row>
    <row r="10" spans="1:16" x14ac:dyDescent="0.25">
      <c r="B10" t="s">
        <v>87</v>
      </c>
      <c r="E10" t="s">
        <v>33</v>
      </c>
    </row>
    <row r="11" spans="1:16" x14ac:dyDescent="0.25">
      <c r="B11" t="s">
        <v>94</v>
      </c>
      <c r="C11" t="s">
        <v>0</v>
      </c>
      <c r="D11" t="s">
        <v>71</v>
      </c>
      <c r="E11" t="s">
        <v>123</v>
      </c>
      <c r="F11" s="4">
        <f t="shared" ref="F11:P11" si="1">1/F12</f>
        <v>0.38461538461538458</v>
      </c>
      <c r="G11" s="4">
        <f t="shared" si="1"/>
        <v>0.38461538461538458</v>
      </c>
      <c r="H11" s="4">
        <f t="shared" si="1"/>
        <v>0.38461538461538458</v>
      </c>
      <c r="I11" s="4">
        <f t="shared" si="1"/>
        <v>0.38461538461538458</v>
      </c>
      <c r="J11" s="4">
        <f t="shared" si="1"/>
        <v>0.38461538461538458</v>
      </c>
      <c r="K11" s="4">
        <f t="shared" si="1"/>
        <v>0.38461538461538458</v>
      </c>
      <c r="L11" s="4">
        <f t="shared" si="1"/>
        <v>0.38461538461538458</v>
      </c>
      <c r="M11" s="4">
        <f t="shared" si="1"/>
        <v>0.38461538461538458</v>
      </c>
      <c r="N11" s="4">
        <f t="shared" si="1"/>
        <v>0.38461538461538458</v>
      </c>
      <c r="O11" s="4">
        <f t="shared" si="1"/>
        <v>0.38461538461538458</v>
      </c>
      <c r="P11" s="4">
        <f t="shared" si="1"/>
        <v>0.38461538461538458</v>
      </c>
    </row>
    <row r="12" spans="1:16" x14ac:dyDescent="0.25">
      <c r="A12" s="26">
        <v>1</v>
      </c>
      <c r="D12" t="s">
        <v>73</v>
      </c>
      <c r="F12">
        <v>2.6</v>
      </c>
      <c r="G12">
        <v>2.6</v>
      </c>
      <c r="H12">
        <v>2.6</v>
      </c>
      <c r="I12">
        <v>2.6</v>
      </c>
      <c r="J12">
        <v>2.6</v>
      </c>
      <c r="K12">
        <v>2.6</v>
      </c>
      <c r="L12">
        <v>2.6</v>
      </c>
      <c r="M12">
        <v>2.6</v>
      </c>
      <c r="N12">
        <v>2.6</v>
      </c>
      <c r="O12">
        <v>2.6</v>
      </c>
      <c r="P12">
        <v>2.6</v>
      </c>
    </row>
    <row r="13" spans="1:16" x14ac:dyDescent="0.25">
      <c r="B13" t="s">
        <v>59</v>
      </c>
      <c r="D13" t="s">
        <v>64</v>
      </c>
      <c r="E13" t="s">
        <v>90</v>
      </c>
      <c r="F13">
        <v>0.6</v>
      </c>
    </row>
    <row r="15" spans="1:16" x14ac:dyDescent="0.25">
      <c r="A15" s="26">
        <v>1</v>
      </c>
      <c r="B15" t="s">
        <v>65</v>
      </c>
      <c r="D15" t="s">
        <v>74</v>
      </c>
      <c r="E15" t="s">
        <v>77</v>
      </c>
      <c r="F15" s="6">
        <f>Alberta!F6*F11</f>
        <v>1077469.6153846153</v>
      </c>
      <c r="G15" s="5">
        <f>Alberta!G6*G11</f>
        <v>1239745.769230769</v>
      </c>
      <c r="H15" s="6">
        <f>Alberta!H6*H11</f>
        <v>1402021.923076923</v>
      </c>
      <c r="I15" s="6">
        <f>Alberta!I6*I11</f>
        <v>1564298.0769230768</v>
      </c>
      <c r="J15" s="6">
        <f>Alberta!J6*J11</f>
        <v>1788461.5384615383</v>
      </c>
      <c r="K15" s="6">
        <f>Alberta!K6*K11</f>
        <v>1923076.923076923</v>
      </c>
      <c r="L15" s="6">
        <f>Alberta!L6*L11</f>
        <v>2057692.3076923075</v>
      </c>
      <c r="M15" s="6">
        <f>Alberta!M6*M11</f>
        <v>2192307.692307692</v>
      </c>
      <c r="N15" s="6">
        <f>Alberta!N6*N11</f>
        <v>2326923.0769230765</v>
      </c>
      <c r="O15" s="6">
        <f>Alberta!O6*O11</f>
        <v>2461538.4615384615</v>
      </c>
      <c r="P15" s="6">
        <f>Alberta!P6*P11</f>
        <v>2596153.846153846</v>
      </c>
    </row>
  </sheetData>
  <dataValidations count="1">
    <dataValidation type="list" allowBlank="1" showInputMessage="1" showErrorMessage="1" sqref="E10" xr:uid="{D862190C-3692-4409-8BC4-F1451929385F}">
      <formula1>Competition</formula1>
    </dataValidation>
  </dataValidations>
  <hyperlinks>
    <hyperlink ref="B1" location="Map!A1" display="Tree Map" xr:uid="{9D017A3C-08BD-41E1-B66B-1FEC75FB7904}"/>
  </hyperlink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7CED8-9365-43A5-802D-9C54E4C44844}">
  <sheetPr codeName="Sheet2">
    <tabColor rgb="FF00B050"/>
  </sheetPr>
  <dimension ref="A1:P24"/>
  <sheetViews>
    <sheetView zoomScale="85" zoomScaleNormal="85" workbookViewId="0">
      <pane xSplit="5" ySplit="2" topLeftCell="F3" activePane="bottomRight" state="frozen"/>
      <selection activeCell="F22" sqref="F22"/>
      <selection pane="topRight" activeCell="F22" sqref="F22"/>
      <selection pane="bottomLeft" activeCell="F22" sqref="F22"/>
      <selection pane="bottomRight" activeCell="F3" sqref="F3"/>
    </sheetView>
  </sheetViews>
  <sheetFormatPr defaultRowHeight="15" x14ac:dyDescent="0.25"/>
  <cols>
    <col min="1" max="1" width="6.7109375" style="26" bestFit="1" customWidth="1"/>
    <col min="2" max="2" width="21" bestFit="1" customWidth="1"/>
    <col min="3" max="3" width="17" bestFit="1" customWidth="1"/>
    <col min="4" max="4" width="25.28515625" bestFit="1" customWidth="1"/>
    <col min="5" max="5" width="36.140625" bestFit="1" customWidth="1"/>
    <col min="6" max="16" width="11.7109375" customWidth="1"/>
  </cols>
  <sheetData>
    <row r="1" spans="1:16" x14ac:dyDescent="0.25">
      <c r="B1" s="28" t="s">
        <v>91</v>
      </c>
    </row>
    <row r="2" spans="1:16" s="30" customFormat="1" x14ac:dyDescent="0.25">
      <c r="A2" s="29" t="s">
        <v>72</v>
      </c>
      <c r="B2" s="30" t="s">
        <v>14</v>
      </c>
      <c r="C2" s="30" t="s">
        <v>98</v>
      </c>
      <c r="D2" s="30" t="s">
        <v>23</v>
      </c>
      <c r="E2" s="30" t="s">
        <v>13</v>
      </c>
      <c r="F2" s="31">
        <f>Simulation!D$2</f>
        <v>2000</v>
      </c>
      <c r="G2" s="31">
        <f>Simulation!E$2</f>
        <v>2005</v>
      </c>
      <c r="H2" s="31">
        <f>Simulation!F$2</f>
        <v>2010</v>
      </c>
      <c r="I2" s="31">
        <f>Simulation!G$2</f>
        <v>2015</v>
      </c>
      <c r="J2" s="31">
        <f>Simulation!H$2</f>
        <v>2020</v>
      </c>
      <c r="K2" s="31">
        <f>Simulation!I$2</f>
        <v>2025</v>
      </c>
      <c r="L2" s="31">
        <f>Simulation!J$2</f>
        <v>2030</v>
      </c>
      <c r="M2" s="31">
        <f>Simulation!K$2</f>
        <v>2035</v>
      </c>
      <c r="N2" s="31">
        <f>Simulation!L$2</f>
        <v>2040</v>
      </c>
      <c r="O2" s="31">
        <f>Simulation!M$2</f>
        <v>2045</v>
      </c>
      <c r="P2" s="31">
        <f>Simulation!N$2</f>
        <v>2050</v>
      </c>
    </row>
    <row r="3" spans="1:16" s="11" customFormat="1" x14ac:dyDescent="0.25">
      <c r="A3" s="24"/>
      <c r="B3" s="11" t="s">
        <v>92</v>
      </c>
      <c r="E3" s="11" t="str">
        <f ca="1">MID(CELL("filename",B1),FIND("]",CELL("filename",B1))+1,255)</f>
        <v>Residential</v>
      </c>
    </row>
    <row r="4" spans="1:16" s="11" customFormat="1" x14ac:dyDescent="0.25">
      <c r="A4" s="24"/>
      <c r="B4" s="11" t="s">
        <v>11</v>
      </c>
      <c r="E4" s="11" t="str">
        <f ca="1">E5&amp;"_"&amp;E3</f>
        <v>Canada_Alberta_Residential</v>
      </c>
    </row>
    <row r="5" spans="1:16" s="12" customFormat="1" x14ac:dyDescent="0.25">
      <c r="A5" s="25"/>
      <c r="B5" s="12" t="s">
        <v>10</v>
      </c>
      <c r="E5" s="12" t="str">
        <f ca="1">Alberta!$E$4</f>
        <v>Canada_Alberta</v>
      </c>
    </row>
    <row r="6" spans="1:16" x14ac:dyDescent="0.25">
      <c r="B6" t="s">
        <v>93</v>
      </c>
      <c r="C6" t="s">
        <v>0</v>
      </c>
      <c r="E6" t="s">
        <v>78</v>
      </c>
    </row>
    <row r="7" spans="1:16" x14ac:dyDescent="0.25">
      <c r="B7" t="s">
        <v>87</v>
      </c>
      <c r="E7" t="s">
        <v>33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</row>
    <row r="8" spans="1:16" x14ac:dyDescent="0.25">
      <c r="B8" t="s">
        <v>94</v>
      </c>
      <c r="C8" t="s">
        <v>1</v>
      </c>
      <c r="D8" t="s">
        <v>69</v>
      </c>
      <c r="E8" t="s">
        <v>122</v>
      </c>
      <c r="F8" s="3">
        <v>121</v>
      </c>
      <c r="G8" s="3">
        <v>134</v>
      </c>
      <c r="H8" s="3">
        <v>134.30000000000001</v>
      </c>
      <c r="I8" s="3">
        <v>134.6</v>
      </c>
      <c r="J8" s="3">
        <v>134.9</v>
      </c>
      <c r="K8" s="3">
        <v>135.19999999999999</v>
      </c>
      <c r="L8" s="3">
        <v>135.5</v>
      </c>
      <c r="M8" s="3">
        <v>135.80000000000001</v>
      </c>
      <c r="N8" s="3">
        <v>136.1</v>
      </c>
      <c r="O8" s="3">
        <v>136.4</v>
      </c>
      <c r="P8" s="3">
        <v>136.69999999999999</v>
      </c>
    </row>
    <row r="9" spans="1:16" x14ac:dyDescent="0.25">
      <c r="B9" t="s">
        <v>12</v>
      </c>
      <c r="E9" t="s">
        <v>49</v>
      </c>
      <c r="F9" s="3">
        <v>0.4</v>
      </c>
      <c r="G9" s="3"/>
      <c r="H9" s="3"/>
      <c r="I9" s="3"/>
      <c r="J9" s="3"/>
      <c r="K9" s="3"/>
      <c r="L9" s="3"/>
      <c r="M9" s="3"/>
      <c r="N9" s="3"/>
      <c r="O9" s="3"/>
      <c r="P9" s="3"/>
    </row>
    <row r="10" spans="1:16" x14ac:dyDescent="0.25">
      <c r="B10" t="s">
        <v>96</v>
      </c>
      <c r="D10" t="s">
        <v>64</v>
      </c>
      <c r="E10" t="s">
        <v>57</v>
      </c>
      <c r="F10" s="3">
        <v>0.1</v>
      </c>
      <c r="G10" s="3"/>
      <c r="H10" s="3"/>
      <c r="I10" s="3"/>
      <c r="J10" s="3"/>
      <c r="K10" s="3"/>
      <c r="L10" s="3"/>
      <c r="M10" s="3"/>
      <c r="N10" s="3"/>
      <c r="O10" s="3"/>
      <c r="P10" s="3"/>
    </row>
    <row r="11" spans="1:16" x14ac:dyDescent="0.25">
      <c r="B11" t="s">
        <v>97</v>
      </c>
      <c r="D11" t="s">
        <v>64</v>
      </c>
      <c r="F11" s="3">
        <v>0.15</v>
      </c>
      <c r="G11" s="3"/>
      <c r="H11" s="3"/>
      <c r="I11" s="3"/>
      <c r="J11" s="3"/>
      <c r="K11" s="3"/>
      <c r="L11" s="3"/>
      <c r="M11" s="3"/>
      <c r="N11" s="3"/>
      <c r="O11" s="3"/>
      <c r="P11" s="3"/>
    </row>
    <row r="12" spans="1:16" x14ac:dyDescent="0.25">
      <c r="B12" t="s">
        <v>29</v>
      </c>
      <c r="E12" t="s">
        <v>58</v>
      </c>
      <c r="F12" s="3">
        <v>1</v>
      </c>
      <c r="G12" s="3"/>
      <c r="H12" s="3"/>
      <c r="I12" s="3"/>
      <c r="J12" s="3"/>
      <c r="K12" s="3"/>
      <c r="L12" s="3"/>
      <c r="M12" s="3"/>
      <c r="N12" s="3"/>
      <c r="O12" s="3"/>
      <c r="P12" s="3"/>
    </row>
    <row r="13" spans="1:16" x14ac:dyDescent="0.25">
      <c r="B13" t="s">
        <v>18</v>
      </c>
      <c r="D13" t="s">
        <v>24</v>
      </c>
      <c r="E13" t="s">
        <v>19</v>
      </c>
      <c r="F13" s="3">
        <v>19</v>
      </c>
      <c r="G13" s="3">
        <v>25</v>
      </c>
      <c r="H13" s="3">
        <v>29</v>
      </c>
      <c r="I13" s="3">
        <v>32</v>
      </c>
      <c r="J13" s="3">
        <v>32.64</v>
      </c>
      <c r="K13" s="3">
        <v>33.2928</v>
      </c>
      <c r="L13" s="3">
        <v>33.958655999999998</v>
      </c>
      <c r="M13" s="3">
        <v>34.637829119999999</v>
      </c>
      <c r="N13" s="3">
        <v>35.330585702400001</v>
      </c>
      <c r="O13" s="3">
        <v>36.037197416448002</v>
      </c>
      <c r="P13" s="3">
        <v>36.757941364776961</v>
      </c>
    </row>
    <row r="14" spans="1:16" x14ac:dyDescent="0.25">
      <c r="B14" t="s">
        <v>18</v>
      </c>
      <c r="D14" t="s">
        <v>24</v>
      </c>
      <c r="E14" t="s">
        <v>20</v>
      </c>
      <c r="F14" s="3">
        <v>20</v>
      </c>
      <c r="G14" s="3">
        <v>26</v>
      </c>
      <c r="H14" s="3">
        <v>30</v>
      </c>
      <c r="I14" s="3">
        <v>33</v>
      </c>
      <c r="J14" s="3">
        <v>33.660000000000004</v>
      </c>
      <c r="K14" s="3">
        <v>34.333200000000005</v>
      </c>
      <c r="L14" s="3">
        <v>35.019864000000005</v>
      </c>
      <c r="M14" s="3">
        <v>35.72026128000001</v>
      </c>
      <c r="N14" s="3">
        <v>36.434666505600013</v>
      </c>
      <c r="O14" s="3">
        <v>37.163359835712015</v>
      </c>
      <c r="P14" s="3">
        <v>37.906627032426258</v>
      </c>
    </row>
    <row r="15" spans="1:16" x14ac:dyDescent="0.25">
      <c r="B15" t="s">
        <v>18</v>
      </c>
      <c r="D15" t="s">
        <v>24</v>
      </c>
      <c r="E15" t="s">
        <v>21</v>
      </c>
      <c r="F15" s="3">
        <v>11</v>
      </c>
      <c r="G15" s="3">
        <v>7</v>
      </c>
      <c r="H15" s="3">
        <v>4</v>
      </c>
      <c r="I15" s="3">
        <v>6</v>
      </c>
      <c r="J15" s="3">
        <v>6.12</v>
      </c>
      <c r="K15" s="3">
        <v>6.2423999999999999</v>
      </c>
      <c r="L15" s="3">
        <v>6.367248</v>
      </c>
      <c r="M15" s="3">
        <v>6.4945929600000003</v>
      </c>
      <c r="N15" s="3">
        <v>6.6244848192000001</v>
      </c>
      <c r="O15" s="3">
        <v>6.756974515584</v>
      </c>
      <c r="P15" s="3">
        <v>6.8921140058956798</v>
      </c>
    </row>
    <row r="16" spans="1:16" x14ac:dyDescent="0.25">
      <c r="B16" t="s">
        <v>18</v>
      </c>
      <c r="D16" t="s">
        <v>24</v>
      </c>
      <c r="E16" t="s">
        <v>4</v>
      </c>
      <c r="F16" s="3">
        <v>22</v>
      </c>
      <c r="G16" s="3">
        <v>26</v>
      </c>
      <c r="H16" s="3">
        <v>34</v>
      </c>
      <c r="I16" s="3">
        <v>31</v>
      </c>
      <c r="J16" s="3">
        <v>31.62</v>
      </c>
      <c r="K16" s="3">
        <v>32.252400000000002</v>
      </c>
      <c r="L16" s="3">
        <v>32.897448000000004</v>
      </c>
      <c r="M16" s="3">
        <v>33.555396960000003</v>
      </c>
      <c r="N16" s="3">
        <v>34.226504899200002</v>
      </c>
      <c r="O16" s="3">
        <v>34.911034997184004</v>
      </c>
      <c r="P16" s="3">
        <v>35.609255697127686</v>
      </c>
    </row>
    <row r="17" spans="1:16" x14ac:dyDescent="0.25">
      <c r="B17" t="s">
        <v>18</v>
      </c>
      <c r="D17" t="s">
        <v>24</v>
      </c>
      <c r="E17" t="s">
        <v>22</v>
      </c>
      <c r="F17" s="3">
        <v>12</v>
      </c>
      <c r="G17" s="3">
        <v>12</v>
      </c>
      <c r="H17" s="3">
        <v>12</v>
      </c>
      <c r="I17" s="3">
        <v>12</v>
      </c>
      <c r="J17" s="3">
        <v>12.24</v>
      </c>
      <c r="K17" s="3">
        <v>12.4848</v>
      </c>
      <c r="L17" s="3">
        <v>12.734496</v>
      </c>
      <c r="M17" s="3">
        <v>12.989185920000001</v>
      </c>
      <c r="N17" s="3">
        <v>13.2489696384</v>
      </c>
      <c r="O17" s="3">
        <v>13.513949031168</v>
      </c>
      <c r="P17" s="3">
        <v>13.78422801179136</v>
      </c>
    </row>
    <row r="18" spans="1:16" x14ac:dyDescent="0.25">
      <c r="B18" t="s">
        <v>18</v>
      </c>
      <c r="D18" t="s">
        <v>25</v>
      </c>
      <c r="E18" t="s">
        <v>26</v>
      </c>
      <c r="F18" s="3">
        <v>0</v>
      </c>
      <c r="G18" s="3">
        <v>0</v>
      </c>
      <c r="H18" s="3">
        <v>0</v>
      </c>
      <c r="I18" s="3">
        <v>0</v>
      </c>
      <c r="J18" s="3">
        <v>20</v>
      </c>
      <c r="K18" s="3">
        <v>50</v>
      </c>
      <c r="L18" s="3">
        <v>70</v>
      </c>
      <c r="M18" s="3">
        <v>70</v>
      </c>
      <c r="N18" s="3">
        <v>70</v>
      </c>
      <c r="O18" s="3">
        <v>70</v>
      </c>
      <c r="P18" s="3">
        <v>70</v>
      </c>
    </row>
    <row r="19" spans="1:16" x14ac:dyDescent="0.25">
      <c r="B19" t="s">
        <v>18</v>
      </c>
      <c r="D19" t="s">
        <v>25</v>
      </c>
      <c r="E19" t="s">
        <v>27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</row>
    <row r="20" spans="1:16" x14ac:dyDescent="0.25">
      <c r="B20" t="s">
        <v>18</v>
      </c>
      <c r="D20" t="s">
        <v>25</v>
      </c>
      <c r="E20" t="s">
        <v>28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</row>
    <row r="22" spans="1:16" x14ac:dyDescent="0.25">
      <c r="A22" s="26">
        <v>1</v>
      </c>
      <c r="B22" t="s">
        <v>65</v>
      </c>
      <c r="D22" t="s">
        <v>51</v>
      </c>
      <c r="E22" t="s">
        <v>66</v>
      </c>
      <c r="F22" s="6">
        <f>Alberta!F15*F8</f>
        <v>130373823.46153845</v>
      </c>
      <c r="G22" s="6">
        <f>Alberta!G15*G8</f>
        <v>166125933.07692304</v>
      </c>
      <c r="H22" s="6">
        <f>Alberta!H15*H8</f>
        <v>188291544.26923078</v>
      </c>
      <c r="I22" s="6">
        <f>Alberta!I15*I8</f>
        <v>210554521.15384611</v>
      </c>
      <c r="J22" s="6">
        <f>Alberta!J15*J8</f>
        <v>241263461.53846154</v>
      </c>
      <c r="K22" s="6">
        <f>Alberta!K15*K8</f>
        <v>259999999.99999997</v>
      </c>
      <c r="L22" s="6">
        <f>Alberta!L15*L8</f>
        <v>278817307.69230765</v>
      </c>
      <c r="M22" s="6">
        <f>Alberta!M15*M8</f>
        <v>297715384.61538458</v>
      </c>
      <c r="N22" s="6">
        <f>Alberta!N15*N8</f>
        <v>316694230.76923072</v>
      </c>
      <c r="O22" s="6">
        <f>Alberta!O15*O8</f>
        <v>335753846.15384614</v>
      </c>
      <c r="P22" s="6">
        <f>Alberta!P15*P8</f>
        <v>354894230.76923072</v>
      </c>
    </row>
    <row r="24" spans="1:16" x14ac:dyDescent="0.25">
      <c r="I24" s="2"/>
    </row>
  </sheetData>
  <dataValidations count="1">
    <dataValidation type="list" allowBlank="1" showInputMessage="1" showErrorMessage="1" sqref="E7" xr:uid="{7113B1D8-3C8F-441A-914A-24DBF248DFC7}">
      <formula1>Competition</formula1>
    </dataValidation>
  </dataValidations>
  <hyperlinks>
    <hyperlink ref="B1" location="Map!A1" display="Tree Map" xr:uid="{EAB17E65-F16F-4076-8592-16DD26270DFF}"/>
  </hyperlinks>
  <pageMargins left="0.7" right="0.7" top="0.75" bottom="0.75" header="0.3" footer="0.3"/>
  <pageSetup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BC97C-C45E-4AD7-8D5D-0514C0C0A944}">
  <sheetPr codeName="Sheet3">
    <tabColor rgb="FF92D050"/>
  </sheetPr>
  <dimension ref="A1:P16"/>
  <sheetViews>
    <sheetView zoomScale="85" zoomScaleNormal="85" workbookViewId="0">
      <pane xSplit="5" ySplit="2" topLeftCell="F3" activePane="bottomRight" state="frozen"/>
      <selection activeCell="F22" sqref="F22"/>
      <selection pane="topRight" activeCell="F22" sqref="F22"/>
      <selection pane="bottomLeft" activeCell="F22" sqref="F22"/>
      <selection pane="bottomRight" activeCell="F3" sqref="F3"/>
    </sheetView>
  </sheetViews>
  <sheetFormatPr defaultRowHeight="15" x14ac:dyDescent="0.25"/>
  <cols>
    <col min="1" max="1" width="6.7109375" style="26" bestFit="1" customWidth="1"/>
    <col min="2" max="2" width="18.85546875" bestFit="1" customWidth="1"/>
    <col min="3" max="4" width="17" bestFit="1" customWidth="1"/>
    <col min="5" max="5" width="45.140625" bestFit="1" customWidth="1"/>
    <col min="6" max="16" width="13.5703125" customWidth="1"/>
  </cols>
  <sheetData>
    <row r="1" spans="1:16" x14ac:dyDescent="0.25">
      <c r="B1" s="28" t="s">
        <v>91</v>
      </c>
    </row>
    <row r="2" spans="1:16" s="33" customFormat="1" x14ac:dyDescent="0.25">
      <c r="A2" s="29" t="s">
        <v>72</v>
      </c>
      <c r="B2" s="30" t="s">
        <v>14</v>
      </c>
      <c r="C2" s="30" t="s">
        <v>98</v>
      </c>
      <c r="D2" s="30" t="s">
        <v>23</v>
      </c>
      <c r="E2" s="30" t="s">
        <v>13</v>
      </c>
      <c r="F2" s="31">
        <f>Simulation!D$2</f>
        <v>2000</v>
      </c>
      <c r="G2" s="31">
        <f>Simulation!E$2</f>
        <v>2005</v>
      </c>
      <c r="H2" s="31">
        <f>Simulation!F$2</f>
        <v>2010</v>
      </c>
      <c r="I2" s="31">
        <f>Simulation!G$2</f>
        <v>2015</v>
      </c>
      <c r="J2" s="31">
        <f>Simulation!H$2</f>
        <v>2020</v>
      </c>
      <c r="K2" s="31">
        <f>Simulation!I$2</f>
        <v>2025</v>
      </c>
      <c r="L2" s="31">
        <f>Simulation!J$2</f>
        <v>2030</v>
      </c>
      <c r="M2" s="31">
        <f>Simulation!K$2</f>
        <v>2035</v>
      </c>
      <c r="N2" s="31">
        <f>Simulation!L$2</f>
        <v>2040</v>
      </c>
      <c r="O2" s="31">
        <f>Simulation!M$2</f>
        <v>2045</v>
      </c>
      <c r="P2" s="31">
        <f>Simulation!N$2</f>
        <v>2050</v>
      </c>
    </row>
    <row r="3" spans="1:16" s="11" customFormat="1" x14ac:dyDescent="0.25">
      <c r="A3" s="24"/>
      <c r="B3" s="11" t="s">
        <v>92</v>
      </c>
      <c r="E3" s="11" t="str">
        <f ca="1">MID(CELL("filename",B1),FIND("]",CELL("filename",B1))+1,255)</f>
        <v>Building</v>
      </c>
    </row>
    <row r="4" spans="1:16" s="11" customFormat="1" x14ac:dyDescent="0.25">
      <c r="A4" s="24"/>
      <c r="B4" s="11" t="s">
        <v>11</v>
      </c>
      <c r="E4" s="11" t="str">
        <f ca="1">E5&amp;"_"&amp;E3</f>
        <v>Canada_Alberta_Residential_Building</v>
      </c>
    </row>
    <row r="5" spans="1:16" s="12" customFormat="1" x14ac:dyDescent="0.25">
      <c r="A5" s="25"/>
      <c r="B5" s="12" t="s">
        <v>10</v>
      </c>
      <c r="E5" s="12" t="str">
        <f ca="1">Residential!$E$4</f>
        <v>Canada_Alberta_Residential</v>
      </c>
    </row>
    <row r="6" spans="1:16" x14ac:dyDescent="0.25">
      <c r="B6" t="s">
        <v>93</v>
      </c>
      <c r="C6" t="s">
        <v>1</v>
      </c>
      <c r="E6" t="s">
        <v>51</v>
      </c>
    </row>
    <row r="7" spans="1:16" x14ac:dyDescent="0.25">
      <c r="B7" t="s">
        <v>87</v>
      </c>
      <c r="E7" t="s">
        <v>84</v>
      </c>
    </row>
    <row r="8" spans="1:16" x14ac:dyDescent="0.25">
      <c r="B8" t="s">
        <v>94</v>
      </c>
      <c r="C8" t="s">
        <v>2</v>
      </c>
      <c r="D8" t="s">
        <v>95</v>
      </c>
      <c r="E8" t="s">
        <v>34</v>
      </c>
      <c r="F8" s="4">
        <v>0.719409242</v>
      </c>
      <c r="G8" s="4">
        <v>0.71950000000000003</v>
      </c>
      <c r="H8" s="4">
        <v>0.71899999999999997</v>
      </c>
      <c r="I8" s="4">
        <v>0.71850000000000003</v>
      </c>
      <c r="J8" s="4">
        <v>0.71799999999999997</v>
      </c>
      <c r="K8" s="4">
        <v>0.71750000000000003</v>
      </c>
      <c r="L8" s="4">
        <v>0.71699999999999997</v>
      </c>
      <c r="M8" s="4">
        <v>0.71650000000000003</v>
      </c>
      <c r="N8" s="4">
        <v>0.71599999999999997</v>
      </c>
      <c r="O8" s="4">
        <v>0.71550000000000002</v>
      </c>
      <c r="P8" s="4">
        <v>0.71500000000000097</v>
      </c>
    </row>
    <row r="9" spans="1:16" x14ac:dyDescent="0.25">
      <c r="B9" t="s">
        <v>94</v>
      </c>
      <c r="C9" t="s">
        <v>2</v>
      </c>
      <c r="D9" t="s">
        <v>95</v>
      </c>
      <c r="E9" t="s">
        <v>35</v>
      </c>
      <c r="F9" s="4">
        <v>0.1</v>
      </c>
      <c r="G9" s="4">
        <v>0.10100000000000001</v>
      </c>
      <c r="H9" s="4">
        <v>0.10199999999999999</v>
      </c>
      <c r="I9" s="4">
        <v>0.10299999999999999</v>
      </c>
      <c r="J9" s="4">
        <v>0.104</v>
      </c>
      <c r="K9" s="4">
        <v>0.105</v>
      </c>
      <c r="L9" s="4">
        <v>0.106</v>
      </c>
      <c r="M9" s="4">
        <v>0.107</v>
      </c>
      <c r="N9" s="4">
        <v>0.108</v>
      </c>
      <c r="O9" s="4">
        <v>0.109</v>
      </c>
      <c r="P9" s="4">
        <v>0.11</v>
      </c>
    </row>
    <row r="10" spans="1:16" x14ac:dyDescent="0.25">
      <c r="B10" t="s">
        <v>94</v>
      </c>
      <c r="C10" t="s">
        <v>2</v>
      </c>
      <c r="D10" t="s">
        <v>95</v>
      </c>
      <c r="E10" t="s">
        <v>36</v>
      </c>
      <c r="F10" s="4">
        <v>0.14000000000000001</v>
      </c>
      <c r="G10" s="4">
        <v>0.13950000000000001</v>
      </c>
      <c r="H10" s="4">
        <v>0.13900000000000001</v>
      </c>
      <c r="I10" s="4">
        <v>0.13850000000000001</v>
      </c>
      <c r="J10" s="4">
        <v>0.13800000000000001</v>
      </c>
      <c r="K10" s="4">
        <v>0.13750000000000001</v>
      </c>
      <c r="L10" s="4">
        <v>0.13700000000000001</v>
      </c>
      <c r="M10" s="4">
        <v>0.13650000000000001</v>
      </c>
      <c r="N10" s="4">
        <v>0.13600000000000001</v>
      </c>
      <c r="O10" s="4">
        <v>0.13550000000000001</v>
      </c>
      <c r="P10" s="4">
        <v>0.13500000000000001</v>
      </c>
    </row>
    <row r="11" spans="1:16" x14ac:dyDescent="0.25">
      <c r="B11" t="s">
        <v>94</v>
      </c>
      <c r="C11" t="s">
        <v>2</v>
      </c>
      <c r="D11" t="s">
        <v>95</v>
      </c>
      <c r="E11" t="s">
        <v>37</v>
      </c>
      <c r="F11" s="4">
        <f>1-SUM(F8:F10)</f>
        <v>4.0590758000000005E-2</v>
      </c>
      <c r="G11" s="4">
        <f t="shared" ref="G11:P11" si="0">1-SUM(G8:G10)</f>
        <v>4.0000000000000036E-2</v>
      </c>
      <c r="H11" s="4">
        <f t="shared" si="0"/>
        <v>4.0000000000000036E-2</v>
      </c>
      <c r="I11" s="4">
        <f t="shared" si="0"/>
        <v>4.0000000000000036E-2</v>
      </c>
      <c r="J11" s="4">
        <f t="shared" si="0"/>
        <v>4.0000000000000036E-2</v>
      </c>
      <c r="K11" s="4">
        <f t="shared" si="0"/>
        <v>4.0000000000000036E-2</v>
      </c>
      <c r="L11" s="4">
        <f t="shared" si="0"/>
        <v>4.0000000000000036E-2</v>
      </c>
      <c r="M11" s="4">
        <f t="shared" si="0"/>
        <v>4.0000000000000036E-2</v>
      </c>
      <c r="N11" s="4">
        <f t="shared" si="0"/>
        <v>4.0000000000000036E-2</v>
      </c>
      <c r="O11" s="4">
        <f t="shared" si="0"/>
        <v>4.0000000000000036E-2</v>
      </c>
      <c r="P11" s="4">
        <f t="shared" si="0"/>
        <v>3.9999999999999036E-2</v>
      </c>
    </row>
    <row r="13" spans="1:16" x14ac:dyDescent="0.25">
      <c r="A13" s="26">
        <v>1</v>
      </c>
      <c r="B13" t="s">
        <v>65</v>
      </c>
      <c r="D13" t="s">
        <v>51</v>
      </c>
      <c r="E13" t="s">
        <v>34</v>
      </c>
      <c r="F13" s="6">
        <f>Residential!F$22*F8</f>
        <v>93792133.513107195</v>
      </c>
      <c r="G13" s="6">
        <f>Residential!G$22*G8</f>
        <v>119527608.84884614</v>
      </c>
      <c r="H13" s="6">
        <f>Residential!H$22*H8</f>
        <v>135381620.32957694</v>
      </c>
      <c r="I13" s="6">
        <f>Residential!I$22*I8</f>
        <v>151283423.44903845</v>
      </c>
      <c r="J13" s="6">
        <f>Residential!J$22*J8</f>
        <v>173227165.38461536</v>
      </c>
      <c r="K13" s="6">
        <f>Residential!K$22*K8</f>
        <v>186550000</v>
      </c>
      <c r="L13" s="6">
        <f>Residential!L$22*L8</f>
        <v>199912009.61538458</v>
      </c>
      <c r="M13" s="6">
        <f>Residential!M$22*M8</f>
        <v>213313073.07692307</v>
      </c>
      <c r="N13" s="6">
        <f>Residential!N$22*N8</f>
        <v>226753069.23076919</v>
      </c>
      <c r="O13" s="6">
        <f>Residential!O$22*O8</f>
        <v>240231876.92307693</v>
      </c>
      <c r="P13" s="6">
        <f>Residential!P$22*P8</f>
        <v>253749375.0000003</v>
      </c>
    </row>
    <row r="14" spans="1:16" x14ac:dyDescent="0.25">
      <c r="A14" s="26">
        <v>1</v>
      </c>
      <c r="B14" t="s">
        <v>65</v>
      </c>
      <c r="D14" t="s">
        <v>51</v>
      </c>
      <c r="E14" t="s">
        <v>35</v>
      </c>
      <c r="F14" s="6">
        <f>Residential!F$22*F9</f>
        <v>13037382.346153846</v>
      </c>
      <c r="G14" s="6">
        <f>Residential!G$22*G9</f>
        <v>16778719.24076923</v>
      </c>
      <c r="H14" s="6">
        <f>Residential!H$22*H9</f>
        <v>19205737.515461538</v>
      </c>
      <c r="I14" s="6">
        <f>Residential!I$22*I9</f>
        <v>21687115.678846147</v>
      </c>
      <c r="J14" s="6">
        <f>Residential!J$22*J9</f>
        <v>25091400</v>
      </c>
      <c r="K14" s="6">
        <f>Residential!K$22*K9</f>
        <v>27299999.999999996</v>
      </c>
      <c r="L14" s="6">
        <f>Residential!L$22*L9</f>
        <v>29554634.615384609</v>
      </c>
      <c r="M14" s="6">
        <f>Residential!M$22*M9</f>
        <v>31855546.153846148</v>
      </c>
      <c r="N14" s="6">
        <f>Residential!N$22*N9</f>
        <v>34202976.92307692</v>
      </c>
      <c r="O14" s="6">
        <f>Residential!O$22*O9</f>
        <v>36597169.230769232</v>
      </c>
      <c r="P14" s="6">
        <f>Residential!P$22*P9</f>
        <v>39038365.384615377</v>
      </c>
    </row>
    <row r="15" spans="1:16" x14ac:dyDescent="0.25">
      <c r="A15" s="26">
        <v>1</v>
      </c>
      <c r="B15" t="s">
        <v>65</v>
      </c>
      <c r="D15" t="s">
        <v>51</v>
      </c>
      <c r="E15" t="s">
        <v>36</v>
      </c>
      <c r="F15" s="6">
        <f>Residential!F$22*F10</f>
        <v>18252335.284615386</v>
      </c>
      <c r="G15" s="6">
        <f>Residential!G$22*G10</f>
        <v>23174567.664230768</v>
      </c>
      <c r="H15" s="6">
        <f>Residential!H$22*H10</f>
        <v>26172524.653423082</v>
      </c>
      <c r="I15" s="6">
        <f>Residential!I$22*I10</f>
        <v>29161801.179807689</v>
      </c>
      <c r="J15" s="6">
        <f>Residential!J$22*J10</f>
        <v>33294357.692307696</v>
      </c>
      <c r="K15" s="6">
        <f>Residential!K$22*K10</f>
        <v>35750000</v>
      </c>
      <c r="L15" s="6">
        <f>Residential!L$22*L10</f>
        <v>38197971.153846152</v>
      </c>
      <c r="M15" s="6">
        <f>Residential!M$22*M10</f>
        <v>40638150</v>
      </c>
      <c r="N15" s="6">
        <f>Residential!N$22*N10</f>
        <v>43070415.384615384</v>
      </c>
      <c r="O15" s="6">
        <f>Residential!O$22*O10</f>
        <v>45494646.153846152</v>
      </c>
      <c r="P15" s="6">
        <f>Residential!P$22*P10</f>
        <v>47910721.153846152</v>
      </c>
    </row>
    <row r="16" spans="1:16" x14ac:dyDescent="0.25">
      <c r="A16" s="26">
        <v>1</v>
      </c>
      <c r="B16" t="s">
        <v>65</v>
      </c>
      <c r="D16" t="s">
        <v>51</v>
      </c>
      <c r="E16" t="s">
        <v>37</v>
      </c>
      <c r="F16" s="6">
        <f>Residential!F$22*F11</f>
        <v>5291972.3176620305</v>
      </c>
      <c r="G16" s="6">
        <f>Residential!G$22*G11</f>
        <v>6645037.323076928</v>
      </c>
      <c r="H16" s="6">
        <f>Residential!H$22*H11</f>
        <v>7531661.7707692385</v>
      </c>
      <c r="I16" s="6">
        <f>Residential!I$22*I11</f>
        <v>8422180.8461538516</v>
      </c>
      <c r="J16" s="6">
        <f>Residential!J$22*J11</f>
        <v>9650538.4615384694</v>
      </c>
      <c r="K16" s="6">
        <f>Residential!K$22*K11</f>
        <v>10400000.000000007</v>
      </c>
      <c r="L16" s="6">
        <f>Residential!L$22*L11</f>
        <v>11152692.307692315</v>
      </c>
      <c r="M16" s="6">
        <f>Residential!M$22*M11</f>
        <v>11908615.384615393</v>
      </c>
      <c r="N16" s="6">
        <f>Residential!N$22*N11</f>
        <v>12667769.230769239</v>
      </c>
      <c r="O16" s="6">
        <f>Residential!O$22*O11</f>
        <v>13430153.846153857</v>
      </c>
      <c r="P16" s="6">
        <f>Residential!P$22*P11</f>
        <v>14195769.230768887</v>
      </c>
    </row>
  </sheetData>
  <dataValidations count="1">
    <dataValidation type="list" allowBlank="1" showInputMessage="1" showErrorMessage="1" sqref="E7" xr:uid="{6E03538E-46DF-4673-95F4-23229F80A61C}">
      <formula1>Competition</formula1>
    </dataValidation>
  </dataValidations>
  <hyperlinks>
    <hyperlink ref="B1" location="Map!A1" display="Tree Map" xr:uid="{A39B0A72-6DA3-4F24-8D9B-D33E4645D791}"/>
  </hyperlink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3BE63-4367-4E55-88F7-A08793E0F95F}">
  <sheetPr codeName="Sheet4">
    <tabColor rgb="FF92D050"/>
  </sheetPr>
  <dimension ref="A1:P102"/>
  <sheetViews>
    <sheetView zoomScale="85" zoomScaleNormal="85" workbookViewId="0">
      <pane xSplit="5" ySplit="2" topLeftCell="F3" activePane="bottomRight" state="frozen"/>
      <selection activeCell="F22" sqref="F22"/>
      <selection pane="topRight" activeCell="F22" sqref="F22"/>
      <selection pane="bottomLeft" activeCell="F22" sqref="F22"/>
      <selection pane="bottomRight" activeCell="F3" sqref="F3"/>
    </sheetView>
  </sheetViews>
  <sheetFormatPr defaultRowHeight="15" x14ac:dyDescent="0.25"/>
  <cols>
    <col min="1" max="1" width="6.7109375" style="26" bestFit="1" customWidth="1"/>
    <col min="2" max="2" width="24.140625" bestFit="1" customWidth="1"/>
    <col min="3" max="3" width="16" bestFit="1" customWidth="1"/>
    <col min="4" max="4" width="20.28515625" bestFit="1" customWidth="1"/>
    <col min="5" max="5" width="51.28515625" bestFit="1" customWidth="1"/>
    <col min="6" max="16" width="10.7109375" customWidth="1"/>
  </cols>
  <sheetData>
    <row r="1" spans="1:16" x14ac:dyDescent="0.25">
      <c r="B1" s="28" t="s">
        <v>91</v>
      </c>
    </row>
    <row r="2" spans="1:16" s="33" customFormat="1" x14ac:dyDescent="0.25">
      <c r="A2" s="29" t="s">
        <v>72</v>
      </c>
      <c r="B2" s="30" t="s">
        <v>14</v>
      </c>
      <c r="C2" s="30" t="s">
        <v>98</v>
      </c>
      <c r="D2" s="30" t="s">
        <v>23</v>
      </c>
      <c r="E2" s="30" t="s">
        <v>13</v>
      </c>
      <c r="F2" s="31">
        <f>Simulation!D$2</f>
        <v>2000</v>
      </c>
      <c r="G2" s="31">
        <f>Simulation!E$2</f>
        <v>2005</v>
      </c>
      <c r="H2" s="31">
        <f>Simulation!F$2</f>
        <v>2010</v>
      </c>
      <c r="I2" s="31">
        <f>Simulation!G$2</f>
        <v>2015</v>
      </c>
      <c r="J2" s="31">
        <f>Simulation!H$2</f>
        <v>2020</v>
      </c>
      <c r="K2" s="31">
        <f>Simulation!I$2</f>
        <v>2025</v>
      </c>
      <c r="L2" s="31">
        <f>Simulation!J$2</f>
        <v>2030</v>
      </c>
      <c r="M2" s="31">
        <f>Simulation!K$2</f>
        <v>2035</v>
      </c>
      <c r="N2" s="31">
        <f>Simulation!L$2</f>
        <v>2040</v>
      </c>
      <c r="O2" s="31">
        <f>Simulation!M$2</f>
        <v>2045</v>
      </c>
      <c r="P2" s="31">
        <f>Simulation!N$2</f>
        <v>2050</v>
      </c>
    </row>
    <row r="3" spans="1:16" s="11" customFormat="1" x14ac:dyDescent="0.25">
      <c r="A3" s="24"/>
      <c r="B3" s="11" t="s">
        <v>92</v>
      </c>
      <c r="E3" s="11" t="str">
        <f ca="1">MID(CELL("filename",B1),FIND("]",CELL("filename",B1))+1,255)</f>
        <v>Shell</v>
      </c>
    </row>
    <row r="4" spans="1:16" s="11" customFormat="1" x14ac:dyDescent="0.25">
      <c r="A4" s="24"/>
      <c r="B4" s="11" t="s">
        <v>11</v>
      </c>
      <c r="E4" s="11" t="str">
        <f ca="1">E5&amp;"_"&amp;E3</f>
        <v>Canada_Alberta_Residential_Building_Shell</v>
      </c>
    </row>
    <row r="5" spans="1:16" s="12" customFormat="1" x14ac:dyDescent="0.25">
      <c r="A5" s="25"/>
      <c r="B5" s="12" t="s">
        <v>10</v>
      </c>
      <c r="E5" s="12" t="str">
        <f ca="1">Building!$E$4</f>
        <v>Canada_Alberta_Residential_Building</v>
      </c>
    </row>
    <row r="6" spans="1:16" x14ac:dyDescent="0.25">
      <c r="B6" t="s">
        <v>93</v>
      </c>
      <c r="C6" t="s">
        <v>2</v>
      </c>
      <c r="E6" t="s">
        <v>51</v>
      </c>
    </row>
    <row r="7" spans="1:16" x14ac:dyDescent="0.25">
      <c r="B7" t="s">
        <v>87</v>
      </c>
      <c r="E7" t="s">
        <v>32</v>
      </c>
    </row>
    <row r="8" spans="1:16" x14ac:dyDescent="0.25">
      <c r="B8" t="s">
        <v>16</v>
      </c>
      <c r="E8" t="s">
        <v>49</v>
      </c>
      <c r="F8">
        <v>10</v>
      </c>
    </row>
    <row r="9" spans="1:16" x14ac:dyDescent="0.25">
      <c r="B9" t="s">
        <v>100</v>
      </c>
      <c r="E9" t="s">
        <v>39</v>
      </c>
    </row>
    <row r="10" spans="1:16" x14ac:dyDescent="0.25">
      <c r="B10" t="s">
        <v>100</v>
      </c>
      <c r="E10" t="s">
        <v>38</v>
      </c>
    </row>
    <row r="11" spans="1:16" x14ac:dyDescent="0.25">
      <c r="B11" t="s">
        <v>100</v>
      </c>
      <c r="E11" t="s">
        <v>40</v>
      </c>
    </row>
    <row r="12" spans="1:16" x14ac:dyDescent="0.25">
      <c r="B12" t="s">
        <v>100</v>
      </c>
      <c r="E12" t="s">
        <v>41</v>
      </c>
    </row>
    <row r="13" spans="1:16" x14ac:dyDescent="0.25">
      <c r="B13" t="s">
        <v>100</v>
      </c>
      <c r="E13" t="s">
        <v>42</v>
      </c>
    </row>
    <row r="14" spans="1:16" x14ac:dyDescent="0.25">
      <c r="B14" t="s">
        <v>53</v>
      </c>
      <c r="D14" t="s">
        <v>55</v>
      </c>
      <c r="E14" t="s">
        <v>39</v>
      </c>
      <c r="F14">
        <v>1990</v>
      </c>
    </row>
    <row r="15" spans="1:16" x14ac:dyDescent="0.25">
      <c r="B15" t="s">
        <v>53</v>
      </c>
      <c r="D15" t="s">
        <v>55</v>
      </c>
      <c r="E15" t="s">
        <v>38</v>
      </c>
      <c r="F15">
        <v>1990</v>
      </c>
    </row>
    <row r="16" spans="1:16" x14ac:dyDescent="0.25">
      <c r="B16" t="s">
        <v>53</v>
      </c>
      <c r="D16" t="s">
        <v>55</v>
      </c>
      <c r="E16" t="s">
        <v>40</v>
      </c>
      <c r="F16">
        <v>2000</v>
      </c>
    </row>
    <row r="17" spans="2:6" x14ac:dyDescent="0.25">
      <c r="B17" t="s">
        <v>53</v>
      </c>
      <c r="D17" t="s">
        <v>55</v>
      </c>
      <c r="E17" t="s">
        <v>41</v>
      </c>
      <c r="F17">
        <v>2000</v>
      </c>
    </row>
    <row r="18" spans="2:6" x14ac:dyDescent="0.25">
      <c r="B18" t="s">
        <v>53</v>
      </c>
      <c r="D18" t="s">
        <v>55</v>
      </c>
      <c r="E18" t="s">
        <v>42</v>
      </c>
      <c r="F18">
        <v>2015</v>
      </c>
    </row>
    <row r="19" spans="2:6" x14ac:dyDescent="0.25">
      <c r="B19" t="s">
        <v>52</v>
      </c>
      <c r="D19" t="s">
        <v>55</v>
      </c>
      <c r="E19" t="s">
        <v>39</v>
      </c>
      <c r="F19">
        <v>2000</v>
      </c>
    </row>
    <row r="20" spans="2:6" x14ac:dyDescent="0.25">
      <c r="B20" t="s">
        <v>52</v>
      </c>
      <c r="D20" t="s">
        <v>55</v>
      </c>
      <c r="E20" t="s">
        <v>38</v>
      </c>
      <c r="F20">
        <v>2000</v>
      </c>
    </row>
    <row r="21" spans="2:6" x14ac:dyDescent="0.25">
      <c r="B21" t="s">
        <v>52</v>
      </c>
      <c r="D21" t="s">
        <v>55</v>
      </c>
      <c r="E21" t="s">
        <v>40</v>
      </c>
      <c r="F21">
        <v>2100</v>
      </c>
    </row>
    <row r="22" spans="2:6" x14ac:dyDescent="0.25">
      <c r="B22" t="s">
        <v>52</v>
      </c>
      <c r="D22" t="s">
        <v>55</v>
      </c>
      <c r="E22" t="s">
        <v>41</v>
      </c>
      <c r="F22">
        <v>2100</v>
      </c>
    </row>
    <row r="23" spans="2:6" x14ac:dyDescent="0.25">
      <c r="B23" t="s">
        <v>52</v>
      </c>
      <c r="D23" t="s">
        <v>55</v>
      </c>
      <c r="E23" t="s">
        <v>42</v>
      </c>
      <c r="F23">
        <v>2100</v>
      </c>
    </row>
    <row r="24" spans="2:6" x14ac:dyDescent="0.25">
      <c r="B24" t="s">
        <v>54</v>
      </c>
      <c r="D24" t="s">
        <v>17</v>
      </c>
      <c r="E24" t="s">
        <v>39</v>
      </c>
      <c r="F24">
        <v>25</v>
      </c>
    </row>
    <row r="25" spans="2:6" x14ac:dyDescent="0.25">
      <c r="B25" t="s">
        <v>54</v>
      </c>
      <c r="D25" t="s">
        <v>17</v>
      </c>
      <c r="E25" t="s">
        <v>38</v>
      </c>
      <c r="F25">
        <v>25</v>
      </c>
    </row>
    <row r="26" spans="2:6" x14ac:dyDescent="0.25">
      <c r="B26" t="s">
        <v>54</v>
      </c>
      <c r="D26" t="s">
        <v>17</v>
      </c>
      <c r="E26" t="s">
        <v>40</v>
      </c>
      <c r="F26">
        <v>25</v>
      </c>
    </row>
    <row r="27" spans="2:6" x14ac:dyDescent="0.25">
      <c r="B27" t="s">
        <v>54</v>
      </c>
      <c r="D27" t="s">
        <v>17</v>
      </c>
      <c r="E27" t="s">
        <v>41</v>
      </c>
      <c r="F27">
        <v>25</v>
      </c>
    </row>
    <row r="28" spans="2:6" x14ac:dyDescent="0.25">
      <c r="B28" t="s">
        <v>54</v>
      </c>
      <c r="D28" t="s">
        <v>17</v>
      </c>
      <c r="E28" t="s">
        <v>42</v>
      </c>
      <c r="F28">
        <v>25</v>
      </c>
    </row>
    <row r="29" spans="2:6" x14ac:dyDescent="0.25">
      <c r="B29" t="s">
        <v>105</v>
      </c>
      <c r="D29" t="s">
        <v>64</v>
      </c>
      <c r="E29" t="s">
        <v>39</v>
      </c>
      <c r="F29">
        <v>0.25</v>
      </c>
    </row>
    <row r="30" spans="2:6" x14ac:dyDescent="0.25">
      <c r="B30" t="s">
        <v>105</v>
      </c>
      <c r="D30" t="s">
        <v>64</v>
      </c>
      <c r="E30" t="s">
        <v>38</v>
      </c>
      <c r="F30">
        <v>0.25</v>
      </c>
    </row>
    <row r="31" spans="2:6" x14ac:dyDescent="0.25">
      <c r="B31" t="s">
        <v>105</v>
      </c>
      <c r="D31" t="s">
        <v>64</v>
      </c>
      <c r="E31" t="s">
        <v>40</v>
      </c>
      <c r="F31">
        <v>0.25</v>
      </c>
    </row>
    <row r="32" spans="2:6" x14ac:dyDescent="0.25">
      <c r="B32" t="s">
        <v>105</v>
      </c>
      <c r="D32" t="s">
        <v>64</v>
      </c>
      <c r="E32" t="s">
        <v>41</v>
      </c>
      <c r="F32">
        <v>0.25</v>
      </c>
    </row>
    <row r="33" spans="2:6" x14ac:dyDescent="0.25">
      <c r="B33" t="s">
        <v>105</v>
      </c>
      <c r="D33" t="s">
        <v>64</v>
      </c>
      <c r="E33" t="s">
        <v>42</v>
      </c>
      <c r="F33">
        <v>0.25</v>
      </c>
    </row>
    <row r="34" spans="2:6" x14ac:dyDescent="0.25">
      <c r="B34" t="s">
        <v>50</v>
      </c>
      <c r="D34" t="s">
        <v>107</v>
      </c>
      <c r="E34" t="s">
        <v>40</v>
      </c>
      <c r="F34">
        <v>200</v>
      </c>
    </row>
    <row r="35" spans="2:6" x14ac:dyDescent="0.25">
      <c r="B35" t="s">
        <v>50</v>
      </c>
      <c r="D35" t="s">
        <v>107</v>
      </c>
      <c r="E35" t="s">
        <v>41</v>
      </c>
      <c r="F35">
        <v>250</v>
      </c>
    </row>
    <row r="36" spans="2:6" x14ac:dyDescent="0.25">
      <c r="B36" t="s">
        <v>50</v>
      </c>
      <c r="D36" t="s">
        <v>107</v>
      </c>
      <c r="E36" t="s">
        <v>42</v>
      </c>
      <c r="F36">
        <v>300</v>
      </c>
    </row>
    <row r="37" spans="2:6" x14ac:dyDescent="0.25">
      <c r="B37" t="s">
        <v>56</v>
      </c>
      <c r="D37" t="s">
        <v>107</v>
      </c>
      <c r="E37" t="s">
        <v>39</v>
      </c>
    </row>
    <row r="38" spans="2:6" x14ac:dyDescent="0.25">
      <c r="B38" t="s">
        <v>56</v>
      </c>
      <c r="D38" t="s">
        <v>107</v>
      </c>
      <c r="E38" t="s">
        <v>38</v>
      </c>
    </row>
    <row r="39" spans="2:6" x14ac:dyDescent="0.25">
      <c r="B39" t="s">
        <v>56</v>
      </c>
      <c r="D39" t="s">
        <v>107</v>
      </c>
      <c r="E39" t="s">
        <v>40</v>
      </c>
    </row>
    <row r="40" spans="2:6" x14ac:dyDescent="0.25">
      <c r="B40" t="s">
        <v>56</v>
      </c>
      <c r="D40" t="s">
        <v>107</v>
      </c>
      <c r="E40" t="s">
        <v>41</v>
      </c>
    </row>
    <row r="41" spans="2:6" x14ac:dyDescent="0.25">
      <c r="B41" t="s">
        <v>56</v>
      </c>
      <c r="D41" t="s">
        <v>107</v>
      </c>
      <c r="E41" t="s">
        <v>42</v>
      </c>
    </row>
    <row r="42" spans="2:6" x14ac:dyDescent="0.25">
      <c r="B42" t="s">
        <v>63</v>
      </c>
      <c r="D42" t="s">
        <v>107</v>
      </c>
      <c r="E42" t="s">
        <v>39</v>
      </c>
    </row>
    <row r="43" spans="2:6" x14ac:dyDescent="0.25">
      <c r="B43" t="s">
        <v>63</v>
      </c>
      <c r="D43" t="s">
        <v>107</v>
      </c>
      <c r="E43" t="s">
        <v>38</v>
      </c>
    </row>
    <row r="44" spans="2:6" x14ac:dyDescent="0.25">
      <c r="B44" t="s">
        <v>63</v>
      </c>
      <c r="D44" t="s">
        <v>107</v>
      </c>
      <c r="E44" t="s">
        <v>40</v>
      </c>
    </row>
    <row r="45" spans="2:6" x14ac:dyDescent="0.25">
      <c r="B45" t="s">
        <v>63</v>
      </c>
      <c r="D45" t="s">
        <v>107</v>
      </c>
      <c r="E45" t="s">
        <v>41</v>
      </c>
    </row>
    <row r="46" spans="2:6" x14ac:dyDescent="0.25">
      <c r="B46" t="s">
        <v>63</v>
      </c>
      <c r="D46" t="s">
        <v>107</v>
      </c>
      <c r="E46" t="s">
        <v>42</v>
      </c>
    </row>
    <row r="47" spans="2:6" x14ac:dyDescent="0.25">
      <c r="B47" t="s">
        <v>59</v>
      </c>
      <c r="D47" t="s">
        <v>64</v>
      </c>
      <c r="E47" t="s">
        <v>39</v>
      </c>
      <c r="F47">
        <v>1</v>
      </c>
    </row>
    <row r="48" spans="2:6" x14ac:dyDescent="0.25">
      <c r="B48" t="s">
        <v>59</v>
      </c>
      <c r="D48" t="s">
        <v>64</v>
      </c>
      <c r="E48" t="s">
        <v>38</v>
      </c>
      <c r="F48">
        <v>1</v>
      </c>
    </row>
    <row r="49" spans="2:6" x14ac:dyDescent="0.25">
      <c r="B49" t="s">
        <v>59</v>
      </c>
      <c r="D49" t="s">
        <v>64</v>
      </c>
      <c r="E49" t="s">
        <v>40</v>
      </c>
      <c r="F49">
        <v>1</v>
      </c>
    </row>
    <row r="50" spans="2:6" x14ac:dyDescent="0.25">
      <c r="B50" t="s">
        <v>59</v>
      </c>
      <c r="D50" t="s">
        <v>64</v>
      </c>
      <c r="E50" t="s">
        <v>41</v>
      </c>
      <c r="F50">
        <v>1</v>
      </c>
    </row>
    <row r="51" spans="2:6" x14ac:dyDescent="0.25">
      <c r="B51" t="s">
        <v>59</v>
      </c>
      <c r="D51" t="s">
        <v>64</v>
      </c>
      <c r="E51" t="s">
        <v>42</v>
      </c>
      <c r="F51">
        <v>1</v>
      </c>
    </row>
    <row r="52" spans="2:6" x14ac:dyDescent="0.25">
      <c r="B52" t="s">
        <v>60</v>
      </c>
      <c r="D52" t="s">
        <v>64</v>
      </c>
      <c r="E52" t="s">
        <v>39</v>
      </c>
    </row>
    <row r="53" spans="2:6" x14ac:dyDescent="0.25">
      <c r="B53" t="s">
        <v>60</v>
      </c>
      <c r="D53" t="s">
        <v>64</v>
      </c>
      <c r="E53" t="s">
        <v>38</v>
      </c>
    </row>
    <row r="54" spans="2:6" x14ac:dyDescent="0.25">
      <c r="B54" t="s">
        <v>60</v>
      </c>
      <c r="D54" t="s">
        <v>64</v>
      </c>
      <c r="E54" t="s">
        <v>40</v>
      </c>
    </row>
    <row r="55" spans="2:6" x14ac:dyDescent="0.25">
      <c r="B55" t="s">
        <v>60</v>
      </c>
      <c r="D55" t="s">
        <v>64</v>
      </c>
      <c r="E55" t="s">
        <v>41</v>
      </c>
    </row>
    <row r="56" spans="2:6" x14ac:dyDescent="0.25">
      <c r="B56" t="s">
        <v>60</v>
      </c>
      <c r="D56" t="s">
        <v>64</v>
      </c>
      <c r="E56" t="s">
        <v>42</v>
      </c>
    </row>
    <row r="57" spans="2:6" x14ac:dyDescent="0.25">
      <c r="B57" t="s">
        <v>61</v>
      </c>
      <c r="D57" t="s">
        <v>64</v>
      </c>
      <c r="E57" t="s">
        <v>39</v>
      </c>
      <c r="F57">
        <v>1</v>
      </c>
    </row>
    <row r="58" spans="2:6" x14ac:dyDescent="0.25">
      <c r="B58" t="s">
        <v>61</v>
      </c>
      <c r="D58" t="s">
        <v>64</v>
      </c>
      <c r="E58" t="s">
        <v>38</v>
      </c>
      <c r="F58">
        <v>1</v>
      </c>
    </row>
    <row r="59" spans="2:6" x14ac:dyDescent="0.25">
      <c r="B59" t="s">
        <v>61</v>
      </c>
      <c r="D59" t="s">
        <v>64</v>
      </c>
      <c r="E59" t="s">
        <v>40</v>
      </c>
      <c r="F59">
        <v>1</v>
      </c>
    </row>
    <row r="60" spans="2:6" x14ac:dyDescent="0.25">
      <c r="B60" t="s">
        <v>61</v>
      </c>
      <c r="D60" t="s">
        <v>64</v>
      </c>
      <c r="E60" t="s">
        <v>41</v>
      </c>
      <c r="F60">
        <v>1</v>
      </c>
    </row>
    <row r="61" spans="2:6" x14ac:dyDescent="0.25">
      <c r="B61" t="s">
        <v>61</v>
      </c>
      <c r="D61" t="s">
        <v>64</v>
      </c>
      <c r="E61" t="s">
        <v>42</v>
      </c>
      <c r="F61">
        <v>1</v>
      </c>
    </row>
    <row r="62" spans="2:6" x14ac:dyDescent="0.25">
      <c r="B62" t="s">
        <v>62</v>
      </c>
      <c r="D62" t="s">
        <v>64</v>
      </c>
      <c r="E62" t="s">
        <v>39</v>
      </c>
    </row>
    <row r="63" spans="2:6" x14ac:dyDescent="0.25">
      <c r="B63" t="s">
        <v>62</v>
      </c>
      <c r="D63" t="s">
        <v>64</v>
      </c>
      <c r="E63" t="s">
        <v>38</v>
      </c>
    </row>
    <row r="64" spans="2:6" x14ac:dyDescent="0.25">
      <c r="B64" t="s">
        <v>62</v>
      </c>
      <c r="D64" t="s">
        <v>64</v>
      </c>
      <c r="E64" t="s">
        <v>40</v>
      </c>
    </row>
    <row r="65" spans="2:6" x14ac:dyDescent="0.25">
      <c r="B65" t="s">
        <v>62</v>
      </c>
      <c r="D65" t="s">
        <v>64</v>
      </c>
      <c r="E65" t="s">
        <v>41</v>
      </c>
    </row>
    <row r="66" spans="2:6" x14ac:dyDescent="0.25">
      <c r="B66" t="s">
        <v>62</v>
      </c>
      <c r="D66" t="s">
        <v>64</v>
      </c>
      <c r="E66" t="s">
        <v>42</v>
      </c>
    </row>
    <row r="67" spans="2:6" x14ac:dyDescent="0.25">
      <c r="B67" t="s">
        <v>94</v>
      </c>
      <c r="C67" t="s">
        <v>3</v>
      </c>
      <c r="D67" t="s">
        <v>70</v>
      </c>
      <c r="E67" t="s">
        <v>39</v>
      </c>
      <c r="F67" s="4">
        <v>0.997</v>
      </c>
    </row>
    <row r="68" spans="2:6" x14ac:dyDescent="0.25">
      <c r="B68" t="s">
        <v>94</v>
      </c>
      <c r="C68" t="s">
        <v>3</v>
      </c>
      <c r="D68" t="s">
        <v>70</v>
      </c>
      <c r="E68" t="s">
        <v>38</v>
      </c>
      <c r="F68" s="4">
        <v>0.63300000000000001</v>
      </c>
    </row>
    <row r="69" spans="2:6" x14ac:dyDescent="0.25">
      <c r="B69" t="s">
        <v>94</v>
      </c>
      <c r="C69" t="s">
        <v>3</v>
      </c>
      <c r="D69" t="s">
        <v>70</v>
      </c>
      <c r="E69" t="s">
        <v>40</v>
      </c>
      <c r="F69" s="4">
        <v>0.51500000000000001</v>
      </c>
    </row>
    <row r="70" spans="2:6" x14ac:dyDescent="0.25">
      <c r="B70" t="s">
        <v>94</v>
      </c>
      <c r="C70" t="s">
        <v>3</v>
      </c>
      <c r="D70" t="s">
        <v>70</v>
      </c>
      <c r="E70" t="s">
        <v>41</v>
      </c>
      <c r="F70" s="4">
        <v>0.36</v>
      </c>
    </row>
    <row r="71" spans="2:6" x14ac:dyDescent="0.25">
      <c r="B71" t="s">
        <v>94</v>
      </c>
      <c r="C71" t="s">
        <v>3</v>
      </c>
      <c r="D71" t="s">
        <v>70</v>
      </c>
      <c r="E71" t="s">
        <v>42</v>
      </c>
      <c r="F71" s="4">
        <v>0.309</v>
      </c>
    </row>
    <row r="72" spans="2:6" x14ac:dyDescent="0.25">
      <c r="B72" t="s">
        <v>94</v>
      </c>
      <c r="C72" t="s">
        <v>99</v>
      </c>
      <c r="D72" t="s">
        <v>70</v>
      </c>
      <c r="E72" t="s">
        <v>39</v>
      </c>
      <c r="F72" s="4">
        <v>0.109</v>
      </c>
    </row>
    <row r="73" spans="2:6" x14ac:dyDescent="0.25">
      <c r="B73" t="s">
        <v>94</v>
      </c>
      <c r="C73" t="s">
        <v>99</v>
      </c>
      <c r="D73" t="s">
        <v>70</v>
      </c>
      <c r="E73" t="s">
        <v>38</v>
      </c>
      <c r="F73" s="4">
        <v>6.9000000000000006E-2</v>
      </c>
    </row>
    <row r="74" spans="2:6" x14ac:dyDescent="0.25">
      <c r="B74" t="s">
        <v>94</v>
      </c>
      <c r="C74" t="s">
        <v>99</v>
      </c>
      <c r="D74" t="s">
        <v>70</v>
      </c>
      <c r="E74" t="s">
        <v>40</v>
      </c>
      <c r="F74" s="4">
        <v>5.6000000000000001E-2</v>
      </c>
    </row>
    <row r="75" spans="2:6" x14ac:dyDescent="0.25">
      <c r="B75" t="s">
        <v>94</v>
      </c>
      <c r="C75" t="s">
        <v>99</v>
      </c>
      <c r="D75" t="s">
        <v>70</v>
      </c>
      <c r="E75" t="s">
        <v>41</v>
      </c>
      <c r="F75" s="4">
        <v>3.9E-2</v>
      </c>
    </row>
    <row r="76" spans="2:6" x14ac:dyDescent="0.25">
      <c r="B76" t="s">
        <v>94</v>
      </c>
      <c r="C76" t="s">
        <v>99</v>
      </c>
      <c r="D76" t="s">
        <v>70</v>
      </c>
      <c r="E76" t="s">
        <v>42</v>
      </c>
      <c r="F76" s="4">
        <v>2.3E-2</v>
      </c>
    </row>
    <row r="77" spans="2:6" x14ac:dyDescent="0.25">
      <c r="B77" t="s">
        <v>85</v>
      </c>
      <c r="D77" t="s">
        <v>95</v>
      </c>
      <c r="E77" t="s">
        <v>39</v>
      </c>
      <c r="F77" s="4">
        <v>0.16700000000000001</v>
      </c>
    </row>
    <row r="78" spans="2:6" x14ac:dyDescent="0.25">
      <c r="B78" t="s">
        <v>85</v>
      </c>
      <c r="D78" t="s">
        <v>95</v>
      </c>
      <c r="E78" t="s">
        <v>38</v>
      </c>
      <c r="F78" s="4">
        <v>0.83299999999999996</v>
      </c>
    </row>
    <row r="79" spans="2:6" x14ac:dyDescent="0.25">
      <c r="B79" t="s">
        <v>85</v>
      </c>
      <c r="D79" t="s">
        <v>95</v>
      </c>
      <c r="E79" t="s">
        <v>40</v>
      </c>
      <c r="F79" s="4">
        <v>0</v>
      </c>
    </row>
    <row r="80" spans="2:6" x14ac:dyDescent="0.25">
      <c r="B80" t="s">
        <v>85</v>
      </c>
      <c r="D80" t="s">
        <v>95</v>
      </c>
      <c r="E80" t="s">
        <v>41</v>
      </c>
      <c r="F80" s="4">
        <v>0</v>
      </c>
    </row>
    <row r="81" spans="1:6" x14ac:dyDescent="0.25">
      <c r="B81" t="s">
        <v>85</v>
      </c>
      <c r="D81" t="s">
        <v>95</v>
      </c>
      <c r="E81" t="s">
        <v>42</v>
      </c>
      <c r="F81" s="4">
        <v>0</v>
      </c>
    </row>
    <row r="83" spans="1:6" x14ac:dyDescent="0.25">
      <c r="A83" s="26">
        <v>1</v>
      </c>
      <c r="B83" t="s">
        <v>65</v>
      </c>
      <c r="D83" t="s">
        <v>51</v>
      </c>
      <c r="E83" t="str">
        <f>Building!$E$13&amp;"_"&amp;$E$77</f>
        <v>Single Family Detached_Pre-1960</v>
      </c>
      <c r="F83" s="6">
        <f>Building!$F$13*$F$77</f>
        <v>15663286.296688903</v>
      </c>
    </row>
    <row r="84" spans="1:6" x14ac:dyDescent="0.25">
      <c r="A84" s="26">
        <v>1</v>
      </c>
      <c r="B84" t="s">
        <v>65</v>
      </c>
      <c r="D84" t="s">
        <v>51</v>
      </c>
      <c r="E84" t="str">
        <f>Building!$E$13&amp;"_"&amp;$E$78</f>
        <v>Single Family Detached_Post-1960</v>
      </c>
      <c r="F84" s="6">
        <f>Building!$F$13*$F$78</f>
        <v>78128847.216418296</v>
      </c>
    </row>
    <row r="85" spans="1:6" x14ac:dyDescent="0.25">
      <c r="A85" s="26">
        <v>1</v>
      </c>
      <c r="B85" t="s">
        <v>65</v>
      </c>
      <c r="D85" t="s">
        <v>51</v>
      </c>
      <c r="E85" t="str">
        <f>Building!$E$13&amp;"_"&amp;$E$79</f>
        <v>Single Family Detached_Standard</v>
      </c>
      <c r="F85" s="6">
        <f>Building!$F$13*$F$79</f>
        <v>0</v>
      </c>
    </row>
    <row r="86" spans="1:6" x14ac:dyDescent="0.25">
      <c r="A86" s="26">
        <v>1</v>
      </c>
      <c r="B86" t="s">
        <v>65</v>
      </c>
      <c r="D86" t="s">
        <v>51</v>
      </c>
      <c r="E86" t="str">
        <f>Building!$E$13&amp;"_"&amp;$E$80</f>
        <v>Single Family Detached_R2000</v>
      </c>
      <c r="F86" s="6">
        <f>Building!$F$13*$F$80</f>
        <v>0</v>
      </c>
    </row>
    <row r="87" spans="1:6" x14ac:dyDescent="0.25">
      <c r="A87" s="26">
        <v>1</v>
      </c>
      <c r="B87" t="s">
        <v>65</v>
      </c>
      <c r="D87" t="s">
        <v>51</v>
      </c>
      <c r="E87" t="str">
        <f>Building!$E$13&amp;"_"&amp;$E$81</f>
        <v>Single Family Detached_LEED</v>
      </c>
      <c r="F87" s="6">
        <f>Building!$F$13*$F$81</f>
        <v>0</v>
      </c>
    </row>
    <row r="88" spans="1:6" x14ac:dyDescent="0.25">
      <c r="A88" s="26">
        <v>1</v>
      </c>
      <c r="B88" t="s">
        <v>65</v>
      </c>
      <c r="D88" t="s">
        <v>51</v>
      </c>
      <c r="E88" t="str">
        <f>Building!$E$14&amp;"_"&amp;$E$77</f>
        <v>Single Family Attached_Pre-1960</v>
      </c>
      <c r="F88" s="6">
        <f>Building!$F$14*$F$77</f>
        <v>2177242.8518076926</v>
      </c>
    </row>
    <row r="89" spans="1:6" x14ac:dyDescent="0.25">
      <c r="A89" s="26">
        <v>1</v>
      </c>
      <c r="B89" t="s">
        <v>65</v>
      </c>
      <c r="D89" t="s">
        <v>51</v>
      </c>
      <c r="E89" t="str">
        <f>Building!$E$14&amp;"_"&amp;$E$78</f>
        <v>Single Family Attached_Post-1960</v>
      </c>
      <c r="F89" s="6">
        <f>Building!$F$14*$F$78</f>
        <v>10860139.494346153</v>
      </c>
    </row>
    <row r="90" spans="1:6" x14ac:dyDescent="0.25">
      <c r="A90" s="26">
        <v>1</v>
      </c>
      <c r="B90" t="s">
        <v>65</v>
      </c>
      <c r="D90" t="s">
        <v>51</v>
      </c>
      <c r="E90" t="str">
        <f>Building!$E$14&amp;"_"&amp;$E$79</f>
        <v>Single Family Attached_Standard</v>
      </c>
      <c r="F90" s="6">
        <f>Building!$F$14*$F$79</f>
        <v>0</v>
      </c>
    </row>
    <row r="91" spans="1:6" x14ac:dyDescent="0.25">
      <c r="A91" s="26">
        <v>1</v>
      </c>
      <c r="B91" t="s">
        <v>65</v>
      </c>
      <c r="D91" t="s">
        <v>51</v>
      </c>
      <c r="E91" t="str">
        <f>Building!$E$14&amp;"_"&amp;$E$80</f>
        <v>Single Family Attached_R2000</v>
      </c>
      <c r="F91" s="6">
        <f>Building!$F$14*$F$80</f>
        <v>0</v>
      </c>
    </row>
    <row r="92" spans="1:6" x14ac:dyDescent="0.25">
      <c r="A92" s="26">
        <v>1</v>
      </c>
      <c r="B92" t="s">
        <v>65</v>
      </c>
      <c r="D92" t="s">
        <v>51</v>
      </c>
      <c r="E92" t="str">
        <f>Building!$E$14&amp;"_"&amp;$E$81</f>
        <v>Single Family Attached_LEED</v>
      </c>
      <c r="F92" s="6">
        <f>Building!$F$14*$F$81</f>
        <v>0</v>
      </c>
    </row>
    <row r="93" spans="1:6" x14ac:dyDescent="0.25">
      <c r="A93" s="26">
        <v>1</v>
      </c>
      <c r="B93" t="s">
        <v>65</v>
      </c>
      <c r="D93" t="s">
        <v>51</v>
      </c>
      <c r="E93" t="str">
        <f>Building!$E$15&amp;"_"&amp;$E$77</f>
        <v>Apartment_Pre-1960</v>
      </c>
      <c r="F93" s="6">
        <f>Building!$F$15*$F$77</f>
        <v>3048139.9925307697</v>
      </c>
    </row>
    <row r="94" spans="1:6" x14ac:dyDescent="0.25">
      <c r="A94" s="26">
        <v>1</v>
      </c>
      <c r="B94" t="s">
        <v>65</v>
      </c>
      <c r="D94" t="s">
        <v>51</v>
      </c>
      <c r="E94" t="str">
        <f>Building!$E$15&amp;"_"&amp;$E$78</f>
        <v>Apartment_Post-1960</v>
      </c>
      <c r="F94" s="6">
        <f>Building!$F$15*$F$78</f>
        <v>15204195.292084616</v>
      </c>
    </row>
    <row r="95" spans="1:6" x14ac:dyDescent="0.25">
      <c r="A95" s="26">
        <v>1</v>
      </c>
      <c r="B95" t="s">
        <v>65</v>
      </c>
      <c r="D95" t="s">
        <v>51</v>
      </c>
      <c r="E95" t="str">
        <f>Building!$E$15&amp;"_"&amp;$E$79</f>
        <v>Apartment_Standard</v>
      </c>
      <c r="F95" s="6">
        <f>Building!$F$15*$F$79</f>
        <v>0</v>
      </c>
    </row>
    <row r="96" spans="1:6" x14ac:dyDescent="0.25">
      <c r="A96" s="26">
        <v>1</v>
      </c>
      <c r="B96" t="s">
        <v>65</v>
      </c>
      <c r="D96" t="s">
        <v>51</v>
      </c>
      <c r="E96" t="str">
        <f>Building!$E$15&amp;"_"&amp;$E$80</f>
        <v>Apartment_R2000</v>
      </c>
      <c r="F96" s="6">
        <f>Building!$F$15*$F$80</f>
        <v>0</v>
      </c>
    </row>
    <row r="97" spans="1:6" x14ac:dyDescent="0.25">
      <c r="A97" s="26">
        <v>1</v>
      </c>
      <c r="B97" t="s">
        <v>65</v>
      </c>
      <c r="D97" t="s">
        <v>51</v>
      </c>
      <c r="E97" t="str">
        <f>Building!$E$15&amp;"_"&amp;$E$81</f>
        <v>Apartment_LEED</v>
      </c>
      <c r="F97" s="6">
        <f>Building!$F$15*$F$81</f>
        <v>0</v>
      </c>
    </row>
    <row r="98" spans="1:6" x14ac:dyDescent="0.25">
      <c r="A98" s="26">
        <v>1</v>
      </c>
      <c r="B98" t="s">
        <v>65</v>
      </c>
      <c r="D98" t="s">
        <v>51</v>
      </c>
      <c r="E98" t="str">
        <f>Building!$E$16&amp;"_"&amp;$E$77</f>
        <v>Mobile_Pre-1960</v>
      </c>
      <c r="F98" s="6">
        <f>Building!$F$16*$F$77</f>
        <v>883759.37704955915</v>
      </c>
    </row>
    <row r="99" spans="1:6" x14ac:dyDescent="0.25">
      <c r="A99" s="26">
        <v>1</v>
      </c>
      <c r="B99" t="s">
        <v>65</v>
      </c>
      <c r="D99" t="s">
        <v>51</v>
      </c>
      <c r="E99" t="str">
        <f>Building!$E$16&amp;"_"&amp;$E$78</f>
        <v>Mobile_Post-1960</v>
      </c>
      <c r="F99" s="6">
        <f>Building!$F$16*$F$78</f>
        <v>4408212.9406124707</v>
      </c>
    </row>
    <row r="100" spans="1:6" x14ac:dyDescent="0.25">
      <c r="A100" s="26">
        <v>1</v>
      </c>
      <c r="B100" t="s">
        <v>65</v>
      </c>
      <c r="D100" t="s">
        <v>51</v>
      </c>
      <c r="E100" t="str">
        <f>Building!$E$16&amp;"_"&amp;$E$79</f>
        <v>Mobile_Standard</v>
      </c>
      <c r="F100" s="6">
        <f>Building!$F$16*$F$79</f>
        <v>0</v>
      </c>
    </row>
    <row r="101" spans="1:6" x14ac:dyDescent="0.25">
      <c r="A101" s="26">
        <v>1</v>
      </c>
      <c r="B101" t="s">
        <v>65</v>
      </c>
      <c r="D101" t="s">
        <v>51</v>
      </c>
      <c r="E101" t="str">
        <f>Building!$E$16&amp;"_"&amp;$E$80</f>
        <v>Mobile_R2000</v>
      </c>
      <c r="F101" s="6">
        <f>Building!$F$16*$F$80</f>
        <v>0</v>
      </c>
    </row>
    <row r="102" spans="1:6" x14ac:dyDescent="0.25">
      <c r="A102" s="26">
        <v>1</v>
      </c>
      <c r="B102" t="s">
        <v>65</v>
      </c>
      <c r="D102" t="s">
        <v>51</v>
      </c>
      <c r="E102" t="str">
        <f>Building!$E$16&amp;"_"&amp;$E$81</f>
        <v>Mobile_LEED</v>
      </c>
      <c r="F102" s="6">
        <f>Building!$F$16*$F$81</f>
        <v>0</v>
      </c>
    </row>
  </sheetData>
  <dataValidations count="1">
    <dataValidation type="list" allowBlank="1" showInputMessage="1" showErrorMessage="1" sqref="E7" xr:uid="{FFBA2D4C-910F-415A-891A-42A7954C3A21}">
      <formula1>Competition</formula1>
    </dataValidation>
  </dataValidations>
  <hyperlinks>
    <hyperlink ref="B1" location="Map!A1" display="Tree Map" xr:uid="{F2BAC4C0-6D32-4B27-8946-0E65E6B28A75}"/>
  </hyperlink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282CC-82C7-41FE-BC8B-2452DD8ECA1F}">
  <sheetPr codeName="Sheet5">
    <tabColor rgb="FF92D050"/>
  </sheetPr>
  <dimension ref="A1:P39"/>
  <sheetViews>
    <sheetView zoomScale="85" zoomScaleNormal="85" workbookViewId="0">
      <pane xSplit="5" ySplit="2" topLeftCell="F3" activePane="bottomRight" state="frozen"/>
      <selection activeCell="F22" sqref="F22"/>
      <selection pane="topRight" activeCell="F22" sqref="F22"/>
      <selection pane="bottomLeft" activeCell="F22" sqref="F22"/>
      <selection pane="bottomRight" activeCell="F3" sqref="F3"/>
    </sheetView>
  </sheetViews>
  <sheetFormatPr defaultRowHeight="15" x14ac:dyDescent="0.25"/>
  <cols>
    <col min="1" max="1" width="6.7109375" style="26" bestFit="1" customWidth="1"/>
    <col min="2" max="2" width="24.140625" bestFit="1" customWidth="1"/>
    <col min="3" max="3" width="9.85546875" bestFit="1" customWidth="1"/>
    <col min="4" max="4" width="21" bestFit="1" customWidth="1"/>
    <col min="5" max="5" width="59.85546875" bestFit="1" customWidth="1"/>
    <col min="6" max="16" width="10.7109375" customWidth="1"/>
  </cols>
  <sheetData>
    <row r="1" spans="1:16" x14ac:dyDescent="0.25">
      <c r="B1" s="28" t="s">
        <v>91</v>
      </c>
    </row>
    <row r="2" spans="1:16" s="33" customFormat="1" x14ac:dyDescent="0.25">
      <c r="A2" s="29" t="s">
        <v>72</v>
      </c>
      <c r="B2" s="30" t="s">
        <v>14</v>
      </c>
      <c r="C2" s="30" t="s">
        <v>98</v>
      </c>
      <c r="D2" s="30" t="s">
        <v>23</v>
      </c>
      <c r="E2" s="30" t="s">
        <v>13</v>
      </c>
      <c r="F2" s="31">
        <f>Simulation!D$2</f>
        <v>2000</v>
      </c>
      <c r="G2" s="31">
        <f>Simulation!E$2</f>
        <v>2005</v>
      </c>
      <c r="H2" s="31">
        <f>Simulation!F$2</f>
        <v>2010</v>
      </c>
      <c r="I2" s="31">
        <f>Simulation!G$2</f>
        <v>2015</v>
      </c>
      <c r="J2" s="31">
        <f>Simulation!H$2</f>
        <v>2020</v>
      </c>
      <c r="K2" s="31">
        <f>Simulation!I$2</f>
        <v>2025</v>
      </c>
      <c r="L2" s="31">
        <f>Simulation!J$2</f>
        <v>2030</v>
      </c>
      <c r="M2" s="31">
        <f>Simulation!K$2</f>
        <v>2035</v>
      </c>
      <c r="N2" s="31">
        <f>Simulation!L$2</f>
        <v>2040</v>
      </c>
      <c r="O2" s="31">
        <f>Simulation!M$2</f>
        <v>2045</v>
      </c>
      <c r="P2" s="31">
        <f>Simulation!N$2</f>
        <v>2050</v>
      </c>
    </row>
    <row r="3" spans="1:16" s="11" customFormat="1" x14ac:dyDescent="0.25">
      <c r="A3" s="24"/>
      <c r="B3" s="11" t="s">
        <v>92</v>
      </c>
      <c r="E3" s="11" t="str">
        <f ca="1">MID(CELL("filename",B1),FIND("]",CELL("filename",B1))+1,255)</f>
        <v>Heating</v>
      </c>
    </row>
    <row r="4" spans="1:16" s="11" customFormat="1" x14ac:dyDescent="0.25">
      <c r="A4" s="24"/>
      <c r="B4" s="11" t="s">
        <v>11</v>
      </c>
      <c r="E4" s="11" t="str">
        <f ca="1">E5&amp;"_"&amp;E3</f>
        <v>Canada_Alberta_Residential_Building_Shell_Heating</v>
      </c>
    </row>
    <row r="5" spans="1:16" s="12" customFormat="1" x14ac:dyDescent="0.25">
      <c r="A5" s="25"/>
      <c r="B5" s="12" t="s">
        <v>10</v>
      </c>
      <c r="E5" s="12" t="str">
        <f ca="1">Shell!$E$4</f>
        <v>Canada_Alberta_Residential_Building_Shell</v>
      </c>
    </row>
    <row r="6" spans="1:16" x14ac:dyDescent="0.25">
      <c r="B6" t="s">
        <v>93</v>
      </c>
      <c r="C6" t="s">
        <v>3</v>
      </c>
      <c r="E6" t="s">
        <v>48</v>
      </c>
    </row>
    <row r="7" spans="1:16" x14ac:dyDescent="0.25">
      <c r="B7" t="s">
        <v>87</v>
      </c>
      <c r="E7" t="s">
        <v>32</v>
      </c>
    </row>
    <row r="8" spans="1:16" x14ac:dyDescent="0.25">
      <c r="B8" t="s">
        <v>16</v>
      </c>
      <c r="E8" t="s">
        <v>49</v>
      </c>
      <c r="F8">
        <v>10</v>
      </c>
    </row>
    <row r="9" spans="1:16" x14ac:dyDescent="0.25">
      <c r="B9" t="s">
        <v>100</v>
      </c>
      <c r="E9" t="s">
        <v>43</v>
      </c>
    </row>
    <row r="10" spans="1:16" x14ac:dyDescent="0.25">
      <c r="B10" t="s">
        <v>100</v>
      </c>
      <c r="E10" t="s">
        <v>44</v>
      </c>
    </row>
    <row r="11" spans="1:16" x14ac:dyDescent="0.25">
      <c r="B11" t="s">
        <v>53</v>
      </c>
      <c r="D11" t="s">
        <v>55</v>
      </c>
      <c r="E11" t="s">
        <v>43</v>
      </c>
      <c r="F11">
        <v>1990</v>
      </c>
    </row>
    <row r="12" spans="1:16" x14ac:dyDescent="0.25">
      <c r="B12" t="s">
        <v>53</v>
      </c>
      <c r="D12" t="s">
        <v>55</v>
      </c>
      <c r="E12" t="s">
        <v>44</v>
      </c>
      <c r="F12">
        <v>1990</v>
      </c>
    </row>
    <row r="13" spans="1:16" x14ac:dyDescent="0.25">
      <c r="B13" t="s">
        <v>52</v>
      </c>
      <c r="D13" t="s">
        <v>55</v>
      </c>
      <c r="E13" t="s">
        <v>43</v>
      </c>
      <c r="F13">
        <v>2100</v>
      </c>
    </row>
    <row r="14" spans="1:16" x14ac:dyDescent="0.25">
      <c r="B14" t="s">
        <v>52</v>
      </c>
      <c r="D14" t="s">
        <v>55</v>
      </c>
      <c r="E14" t="s">
        <v>44</v>
      </c>
      <c r="F14">
        <v>2100</v>
      </c>
    </row>
    <row r="15" spans="1:16" x14ac:dyDescent="0.25">
      <c r="B15" t="s">
        <v>54</v>
      </c>
      <c r="D15" t="s">
        <v>17</v>
      </c>
      <c r="E15" t="s">
        <v>43</v>
      </c>
      <c r="F15">
        <v>25</v>
      </c>
    </row>
    <row r="16" spans="1:16" x14ac:dyDescent="0.25">
      <c r="B16" t="s">
        <v>54</v>
      </c>
      <c r="D16" t="s">
        <v>17</v>
      </c>
      <c r="E16" t="s">
        <v>44</v>
      </c>
      <c r="F16">
        <v>25</v>
      </c>
    </row>
    <row r="17" spans="2:6" x14ac:dyDescent="0.25">
      <c r="B17" t="s">
        <v>105</v>
      </c>
      <c r="D17" t="s">
        <v>64</v>
      </c>
      <c r="E17" t="s">
        <v>43</v>
      </c>
      <c r="F17">
        <v>0.25</v>
      </c>
    </row>
    <row r="18" spans="2:6" x14ac:dyDescent="0.25">
      <c r="B18" t="s">
        <v>105</v>
      </c>
      <c r="D18" t="s">
        <v>64</v>
      </c>
      <c r="E18" t="s">
        <v>44</v>
      </c>
      <c r="F18">
        <v>0.25</v>
      </c>
    </row>
    <row r="19" spans="2:6" x14ac:dyDescent="0.25">
      <c r="B19" t="s">
        <v>50</v>
      </c>
      <c r="D19" t="s">
        <v>24</v>
      </c>
      <c r="E19" t="s">
        <v>43</v>
      </c>
      <c r="F19">
        <v>15</v>
      </c>
    </row>
    <row r="20" spans="2:6" x14ac:dyDescent="0.25">
      <c r="B20" t="s">
        <v>50</v>
      </c>
      <c r="D20" t="s">
        <v>24</v>
      </c>
      <c r="E20" t="s">
        <v>44</v>
      </c>
      <c r="F20">
        <v>250</v>
      </c>
    </row>
    <row r="21" spans="2:6" x14ac:dyDescent="0.25">
      <c r="B21" t="s">
        <v>56</v>
      </c>
      <c r="D21" t="s">
        <v>24</v>
      </c>
      <c r="E21" t="s">
        <v>43</v>
      </c>
    </row>
    <row r="22" spans="2:6" x14ac:dyDescent="0.25">
      <c r="B22" t="s">
        <v>56</v>
      </c>
      <c r="D22" t="s">
        <v>24</v>
      </c>
      <c r="E22" t="s">
        <v>44</v>
      </c>
    </row>
    <row r="23" spans="2:6" x14ac:dyDescent="0.25">
      <c r="B23" t="s">
        <v>63</v>
      </c>
      <c r="D23" t="s">
        <v>24</v>
      </c>
      <c r="E23" t="s">
        <v>43</v>
      </c>
    </row>
    <row r="24" spans="2:6" x14ac:dyDescent="0.25">
      <c r="B24" t="s">
        <v>63</v>
      </c>
      <c r="D24" t="s">
        <v>24</v>
      </c>
      <c r="E24" t="s">
        <v>44</v>
      </c>
    </row>
    <row r="25" spans="2:6" x14ac:dyDescent="0.25">
      <c r="B25" t="s">
        <v>59</v>
      </c>
      <c r="D25" t="s">
        <v>64</v>
      </c>
      <c r="E25" t="s">
        <v>43</v>
      </c>
      <c r="F25">
        <v>1</v>
      </c>
    </row>
    <row r="26" spans="2:6" x14ac:dyDescent="0.25">
      <c r="B26" t="s">
        <v>59</v>
      </c>
      <c r="D26" t="s">
        <v>64</v>
      </c>
      <c r="E26" t="s">
        <v>44</v>
      </c>
      <c r="F26">
        <v>1</v>
      </c>
    </row>
    <row r="27" spans="2:6" x14ac:dyDescent="0.25">
      <c r="B27" t="s">
        <v>60</v>
      </c>
      <c r="D27" t="s">
        <v>64</v>
      </c>
      <c r="E27" t="s">
        <v>43</v>
      </c>
    </row>
    <row r="28" spans="2:6" x14ac:dyDescent="0.25">
      <c r="B28" t="s">
        <v>60</v>
      </c>
      <c r="D28" t="s">
        <v>64</v>
      </c>
      <c r="E28" t="s">
        <v>44</v>
      </c>
    </row>
    <row r="29" spans="2:6" x14ac:dyDescent="0.25">
      <c r="B29" t="s">
        <v>61</v>
      </c>
      <c r="D29" t="s">
        <v>64</v>
      </c>
      <c r="E29" t="s">
        <v>43</v>
      </c>
      <c r="F29">
        <v>1</v>
      </c>
    </row>
    <row r="30" spans="2:6" x14ac:dyDescent="0.25">
      <c r="B30" t="s">
        <v>61</v>
      </c>
      <c r="D30" t="s">
        <v>64</v>
      </c>
      <c r="E30" t="s">
        <v>44</v>
      </c>
      <c r="F30">
        <v>1</v>
      </c>
    </row>
    <row r="31" spans="2:6" x14ac:dyDescent="0.25">
      <c r="B31" t="s">
        <v>62</v>
      </c>
      <c r="D31" t="s">
        <v>64</v>
      </c>
      <c r="E31" t="s">
        <v>43</v>
      </c>
    </row>
    <row r="32" spans="2:6" x14ac:dyDescent="0.25">
      <c r="B32" t="s">
        <v>62</v>
      </c>
      <c r="D32" t="s">
        <v>64</v>
      </c>
      <c r="E32" t="s">
        <v>44</v>
      </c>
    </row>
    <row r="33" spans="1:7" x14ac:dyDescent="0.25">
      <c r="B33" t="s">
        <v>94</v>
      </c>
      <c r="C33" t="s">
        <v>4</v>
      </c>
      <c r="D33" t="s">
        <v>86</v>
      </c>
      <c r="E33" t="s">
        <v>43</v>
      </c>
      <c r="F33" s="4">
        <v>1</v>
      </c>
    </row>
    <row r="34" spans="1:7" x14ac:dyDescent="0.25">
      <c r="B34" t="s">
        <v>94</v>
      </c>
      <c r="C34" t="s">
        <v>44</v>
      </c>
      <c r="D34" s="10" t="s">
        <v>86</v>
      </c>
      <c r="E34" t="s">
        <v>44</v>
      </c>
      <c r="F34" s="4">
        <v>1</v>
      </c>
    </row>
    <row r="35" spans="1:7" x14ac:dyDescent="0.25">
      <c r="B35" t="s">
        <v>85</v>
      </c>
      <c r="D35" t="s">
        <v>95</v>
      </c>
      <c r="E35" t="s">
        <v>43</v>
      </c>
      <c r="F35" s="4">
        <v>5.5303779999999999E-3</v>
      </c>
    </row>
    <row r="36" spans="1:7" x14ac:dyDescent="0.25">
      <c r="B36" t="s">
        <v>85</v>
      </c>
      <c r="D36" t="s">
        <v>95</v>
      </c>
      <c r="E36" t="s">
        <v>44</v>
      </c>
      <c r="F36" s="4">
        <f>1-F35</f>
        <v>0.994469622</v>
      </c>
    </row>
    <row r="38" spans="1:7" x14ac:dyDescent="0.25">
      <c r="A38" s="26">
        <v>1</v>
      </c>
      <c r="B38" t="s">
        <v>65</v>
      </c>
      <c r="D38" t="s">
        <v>48</v>
      </c>
      <c r="E38" t="str">
        <f>Shell!$E$83&amp;"_"&amp;E35</f>
        <v>Single Family Detached_Pre-1960_Electric baseboard</v>
      </c>
      <c r="F38" s="6">
        <f>Shell!$F$83*F35</f>
        <v>86623.893942909781</v>
      </c>
      <c r="G38" s="6"/>
    </row>
    <row r="39" spans="1:7" x14ac:dyDescent="0.25">
      <c r="A39" s="26">
        <v>1</v>
      </c>
      <c r="B39" t="s">
        <v>65</v>
      </c>
      <c r="D39" t="s">
        <v>48</v>
      </c>
      <c r="E39" t="str">
        <f>Shell!$E$83&amp;"_"&amp;E36</f>
        <v>Single Family Detached_Pre-1960_Furnace</v>
      </c>
      <c r="F39" s="6">
        <f>Shell!$F$83*F36</f>
        <v>15576662.402745994</v>
      </c>
      <c r="G39" s="6"/>
    </row>
  </sheetData>
  <dataValidations count="1">
    <dataValidation type="list" allowBlank="1" showInputMessage="1" showErrorMessage="1" sqref="E7" xr:uid="{165EE8FF-880E-47A5-B1B1-71F35EBBCFEF}">
      <formula1>Competition</formula1>
    </dataValidation>
  </dataValidations>
  <hyperlinks>
    <hyperlink ref="B1" location="Map!A1" display="Tree Map" xr:uid="{1133CA01-4E07-49C5-B9E4-AD1FCB6D6A37}"/>
  </hyperlink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DAC61-ADF1-4127-9C8D-1E29DCBA60BB}">
  <sheetPr codeName="Sheet6">
    <tabColor rgb="FF92D050"/>
  </sheetPr>
  <dimension ref="A1:P70"/>
  <sheetViews>
    <sheetView zoomScale="85" zoomScaleNormal="85" workbookViewId="0">
      <pane xSplit="5" ySplit="2" topLeftCell="F3" activePane="bottomRight" state="frozen"/>
      <selection activeCell="F22" sqref="F22"/>
      <selection pane="topRight" activeCell="F22" sqref="F22"/>
      <selection pane="bottomLeft" activeCell="F22" sqref="F22"/>
      <selection pane="bottomRight" activeCell="F3" sqref="F3"/>
    </sheetView>
  </sheetViews>
  <sheetFormatPr defaultRowHeight="15" x14ac:dyDescent="0.25"/>
  <cols>
    <col min="1" max="1" width="6.7109375" style="26" bestFit="1" customWidth="1"/>
    <col min="2" max="2" width="24.140625" bestFit="1" customWidth="1"/>
    <col min="3" max="3" width="11.7109375" bestFit="1" customWidth="1"/>
    <col min="4" max="4" width="21" bestFit="1" customWidth="1"/>
    <col min="5" max="5" width="68.42578125" bestFit="1" customWidth="1"/>
    <col min="6" max="16" width="10.7109375" customWidth="1"/>
  </cols>
  <sheetData>
    <row r="1" spans="1:16" x14ac:dyDescent="0.25">
      <c r="B1" s="28" t="s">
        <v>91</v>
      </c>
    </row>
    <row r="2" spans="1:16" s="33" customFormat="1" x14ac:dyDescent="0.25">
      <c r="A2" s="29" t="s">
        <v>72</v>
      </c>
      <c r="B2" s="30" t="s">
        <v>14</v>
      </c>
      <c r="C2" s="30" t="s">
        <v>98</v>
      </c>
      <c r="D2" s="30" t="s">
        <v>23</v>
      </c>
      <c r="E2" s="30" t="s">
        <v>13</v>
      </c>
      <c r="F2" s="30">
        <f>Simulation!D$2</f>
        <v>2000</v>
      </c>
      <c r="G2" s="30">
        <f>Simulation!E$2</f>
        <v>2005</v>
      </c>
      <c r="H2" s="30">
        <f>Simulation!F$2</f>
        <v>2010</v>
      </c>
      <c r="I2" s="30">
        <f>Simulation!G$2</f>
        <v>2015</v>
      </c>
      <c r="J2" s="30">
        <f>Simulation!H$2</f>
        <v>2020</v>
      </c>
      <c r="K2" s="30">
        <f>Simulation!I$2</f>
        <v>2025</v>
      </c>
      <c r="L2" s="30">
        <f>Simulation!J$2</f>
        <v>2030</v>
      </c>
      <c r="M2" s="30">
        <f>Simulation!K$2</f>
        <v>2035</v>
      </c>
      <c r="N2" s="30">
        <f>Simulation!L$2</f>
        <v>2040</v>
      </c>
      <c r="O2" s="30">
        <f>Simulation!M$2</f>
        <v>2045</v>
      </c>
      <c r="P2" s="30">
        <f>Simulation!N$2</f>
        <v>2050</v>
      </c>
    </row>
    <row r="3" spans="1:16" s="11" customFormat="1" x14ac:dyDescent="0.25">
      <c r="A3" s="24"/>
      <c r="B3" s="11" t="s">
        <v>92</v>
      </c>
      <c r="E3" s="11" t="str">
        <f ca="1">MID(CELL("filename",B1),FIND("]",CELL("filename",B1))+1,255)</f>
        <v>Furnace</v>
      </c>
    </row>
    <row r="4" spans="1:16" s="11" customFormat="1" x14ac:dyDescent="0.25">
      <c r="A4" s="24"/>
      <c r="B4" s="11" t="s">
        <v>11</v>
      </c>
      <c r="E4" s="11" t="str">
        <f ca="1">E5&amp;"_"&amp;E3</f>
        <v>Canada_Alberta_Residential_Building_Shell_Heating_Furnace</v>
      </c>
    </row>
    <row r="5" spans="1:16" s="12" customFormat="1" x14ac:dyDescent="0.25">
      <c r="A5" s="25"/>
      <c r="B5" s="12" t="s">
        <v>10</v>
      </c>
      <c r="E5" s="12" t="str">
        <f ca="1">Heating!$E$4</f>
        <v>Canada_Alberta_Residential_Building_Shell_Heating</v>
      </c>
    </row>
    <row r="6" spans="1:16" x14ac:dyDescent="0.25">
      <c r="B6" t="s">
        <v>93</v>
      </c>
      <c r="C6" t="s">
        <v>44</v>
      </c>
      <c r="E6" t="s">
        <v>48</v>
      </c>
    </row>
    <row r="7" spans="1:16" x14ac:dyDescent="0.25">
      <c r="B7" t="s">
        <v>87</v>
      </c>
      <c r="E7" t="s">
        <v>32</v>
      </c>
    </row>
    <row r="8" spans="1:16" x14ac:dyDescent="0.25">
      <c r="B8" t="s">
        <v>16</v>
      </c>
      <c r="E8" t="s">
        <v>49</v>
      </c>
      <c r="F8">
        <v>10</v>
      </c>
    </row>
    <row r="9" spans="1:16" x14ac:dyDescent="0.25">
      <c r="B9" t="s">
        <v>96</v>
      </c>
      <c r="D9" t="s">
        <v>64</v>
      </c>
      <c r="E9" t="s">
        <v>57</v>
      </c>
      <c r="F9">
        <v>0.25</v>
      </c>
    </row>
    <row r="10" spans="1:16" x14ac:dyDescent="0.25">
      <c r="B10" t="s">
        <v>100</v>
      </c>
      <c r="E10" t="s">
        <v>101</v>
      </c>
    </row>
    <row r="11" spans="1:16" x14ac:dyDescent="0.25">
      <c r="B11" t="s">
        <v>100</v>
      </c>
      <c r="E11" t="s">
        <v>103</v>
      </c>
    </row>
    <row r="12" spans="1:16" x14ac:dyDescent="0.25">
      <c r="B12" t="s">
        <v>100</v>
      </c>
      <c r="E12" t="s">
        <v>102</v>
      </c>
    </row>
    <row r="13" spans="1:16" x14ac:dyDescent="0.25">
      <c r="B13" t="s">
        <v>100</v>
      </c>
      <c r="E13" t="s">
        <v>104</v>
      </c>
    </row>
    <row r="14" spans="1:16" x14ac:dyDescent="0.25">
      <c r="B14" t="s">
        <v>53</v>
      </c>
      <c r="D14" t="s">
        <v>55</v>
      </c>
      <c r="E14" t="s">
        <v>101</v>
      </c>
      <c r="F14">
        <v>1990</v>
      </c>
    </row>
    <row r="15" spans="1:16" x14ac:dyDescent="0.25">
      <c r="B15" t="s">
        <v>53</v>
      </c>
      <c r="D15" t="s">
        <v>55</v>
      </c>
      <c r="E15" t="s">
        <v>103</v>
      </c>
      <c r="F15">
        <v>2000</v>
      </c>
    </row>
    <row r="16" spans="1:16" x14ac:dyDescent="0.25">
      <c r="B16" t="s">
        <v>53</v>
      </c>
      <c r="D16" t="s">
        <v>55</v>
      </c>
      <c r="E16" t="s">
        <v>102</v>
      </c>
      <c r="F16">
        <v>2000</v>
      </c>
    </row>
    <row r="17" spans="2:6" x14ac:dyDescent="0.25">
      <c r="B17" t="s">
        <v>53</v>
      </c>
      <c r="D17" t="s">
        <v>55</v>
      </c>
      <c r="E17" t="s">
        <v>104</v>
      </c>
      <c r="F17">
        <v>2000</v>
      </c>
    </row>
    <row r="18" spans="2:6" x14ac:dyDescent="0.25">
      <c r="B18" t="s">
        <v>52</v>
      </c>
      <c r="D18" t="s">
        <v>55</v>
      </c>
      <c r="E18" t="s">
        <v>101</v>
      </c>
      <c r="F18">
        <v>2000</v>
      </c>
    </row>
    <row r="19" spans="2:6" x14ac:dyDescent="0.25">
      <c r="B19" t="s">
        <v>52</v>
      </c>
      <c r="D19" t="s">
        <v>55</v>
      </c>
      <c r="E19" t="s">
        <v>103</v>
      </c>
      <c r="F19">
        <v>2020</v>
      </c>
    </row>
    <row r="20" spans="2:6" x14ac:dyDescent="0.25">
      <c r="B20" t="s">
        <v>52</v>
      </c>
      <c r="D20" t="s">
        <v>55</v>
      </c>
      <c r="E20" t="s">
        <v>102</v>
      </c>
      <c r="F20">
        <v>2100</v>
      </c>
    </row>
    <row r="21" spans="2:6" x14ac:dyDescent="0.25">
      <c r="B21" t="s">
        <v>52</v>
      </c>
      <c r="D21" t="s">
        <v>55</v>
      </c>
      <c r="E21" t="s">
        <v>104</v>
      </c>
      <c r="F21">
        <v>2100</v>
      </c>
    </row>
    <row r="22" spans="2:6" x14ac:dyDescent="0.25">
      <c r="B22" t="s">
        <v>54</v>
      </c>
      <c r="D22" t="s">
        <v>17</v>
      </c>
      <c r="E22" t="s">
        <v>101</v>
      </c>
      <c r="F22">
        <v>18</v>
      </c>
    </row>
    <row r="23" spans="2:6" x14ac:dyDescent="0.25">
      <c r="B23" t="s">
        <v>54</v>
      </c>
      <c r="D23" t="s">
        <v>17</v>
      </c>
      <c r="E23" t="s">
        <v>103</v>
      </c>
      <c r="F23">
        <v>18</v>
      </c>
    </row>
    <row r="24" spans="2:6" x14ac:dyDescent="0.25">
      <c r="B24" t="s">
        <v>54</v>
      </c>
      <c r="D24" t="s">
        <v>17</v>
      </c>
      <c r="E24" t="s">
        <v>102</v>
      </c>
      <c r="F24">
        <v>18</v>
      </c>
    </row>
    <row r="25" spans="2:6" x14ac:dyDescent="0.25">
      <c r="B25" t="s">
        <v>54</v>
      </c>
      <c r="D25" t="s">
        <v>17</v>
      </c>
      <c r="E25" t="s">
        <v>104</v>
      </c>
      <c r="F25">
        <v>12</v>
      </c>
    </row>
    <row r="26" spans="2:6" x14ac:dyDescent="0.25">
      <c r="B26" t="s">
        <v>105</v>
      </c>
      <c r="D26" t="s">
        <v>64</v>
      </c>
      <c r="E26" t="s">
        <v>101</v>
      </c>
      <c r="F26">
        <v>0.25</v>
      </c>
    </row>
    <row r="27" spans="2:6" x14ac:dyDescent="0.25">
      <c r="B27" t="s">
        <v>105</v>
      </c>
      <c r="D27" t="s">
        <v>64</v>
      </c>
      <c r="E27" t="s">
        <v>103</v>
      </c>
      <c r="F27">
        <v>0.25</v>
      </c>
    </row>
    <row r="28" spans="2:6" x14ac:dyDescent="0.25">
      <c r="B28" t="s">
        <v>105</v>
      </c>
      <c r="D28" t="s">
        <v>64</v>
      </c>
      <c r="E28" t="s">
        <v>102</v>
      </c>
      <c r="F28">
        <v>0.25</v>
      </c>
    </row>
    <row r="29" spans="2:6" x14ac:dyDescent="0.25">
      <c r="B29" t="s">
        <v>105</v>
      </c>
      <c r="D29" t="s">
        <v>64</v>
      </c>
      <c r="E29" t="s">
        <v>104</v>
      </c>
      <c r="F29">
        <v>0.25</v>
      </c>
    </row>
    <row r="30" spans="2:6" x14ac:dyDescent="0.25">
      <c r="B30" t="s">
        <v>50</v>
      </c>
      <c r="D30" t="s">
        <v>24</v>
      </c>
      <c r="E30" t="s">
        <v>101</v>
      </c>
      <c r="F30">
        <v>0</v>
      </c>
    </row>
    <row r="31" spans="2:6" x14ac:dyDescent="0.25">
      <c r="B31" t="s">
        <v>50</v>
      </c>
      <c r="D31" t="s">
        <v>24</v>
      </c>
      <c r="E31" t="s">
        <v>103</v>
      </c>
      <c r="F31">
        <v>34</v>
      </c>
    </row>
    <row r="32" spans="2:6" x14ac:dyDescent="0.25">
      <c r="B32" t="s">
        <v>50</v>
      </c>
      <c r="D32" t="s">
        <v>24</v>
      </c>
      <c r="E32" t="s">
        <v>102</v>
      </c>
      <c r="F32">
        <v>41</v>
      </c>
    </row>
    <row r="33" spans="2:6" x14ac:dyDescent="0.25">
      <c r="B33" t="s">
        <v>50</v>
      </c>
      <c r="D33" t="s">
        <v>24</v>
      </c>
      <c r="E33" t="s">
        <v>104</v>
      </c>
      <c r="F33">
        <v>56</v>
      </c>
    </row>
    <row r="34" spans="2:6" x14ac:dyDescent="0.25">
      <c r="B34" t="s">
        <v>56</v>
      </c>
      <c r="D34" t="s">
        <v>24</v>
      </c>
      <c r="E34" t="s">
        <v>101</v>
      </c>
    </row>
    <row r="35" spans="2:6" x14ac:dyDescent="0.25">
      <c r="B35" t="s">
        <v>56</v>
      </c>
      <c r="D35" t="s">
        <v>24</v>
      </c>
      <c r="E35" t="s">
        <v>103</v>
      </c>
    </row>
    <row r="36" spans="2:6" x14ac:dyDescent="0.25">
      <c r="B36" t="s">
        <v>56</v>
      </c>
      <c r="D36" t="s">
        <v>24</v>
      </c>
      <c r="E36" t="s">
        <v>102</v>
      </c>
    </row>
    <row r="37" spans="2:6" x14ac:dyDescent="0.25">
      <c r="B37" t="s">
        <v>56</v>
      </c>
      <c r="D37" t="s">
        <v>24</v>
      </c>
      <c r="E37" t="s">
        <v>104</v>
      </c>
    </row>
    <row r="38" spans="2:6" x14ac:dyDescent="0.25">
      <c r="B38" t="s">
        <v>63</v>
      </c>
      <c r="D38" t="s">
        <v>24</v>
      </c>
      <c r="E38" t="s">
        <v>101</v>
      </c>
    </row>
    <row r="39" spans="2:6" x14ac:dyDescent="0.25">
      <c r="B39" t="s">
        <v>63</v>
      </c>
      <c r="D39" t="s">
        <v>24</v>
      </c>
      <c r="E39" t="s">
        <v>103</v>
      </c>
    </row>
    <row r="40" spans="2:6" x14ac:dyDescent="0.25">
      <c r="B40" t="s">
        <v>63</v>
      </c>
      <c r="D40" t="s">
        <v>24</v>
      </c>
      <c r="E40" t="s">
        <v>102</v>
      </c>
    </row>
    <row r="41" spans="2:6" x14ac:dyDescent="0.25">
      <c r="B41" t="s">
        <v>63</v>
      </c>
      <c r="D41" t="s">
        <v>24</v>
      </c>
      <c r="E41" t="s">
        <v>104</v>
      </c>
      <c r="F41">
        <v>5</v>
      </c>
    </row>
    <row r="42" spans="2:6" x14ac:dyDescent="0.25">
      <c r="B42" t="s">
        <v>59</v>
      </c>
      <c r="D42" t="s">
        <v>64</v>
      </c>
      <c r="E42" t="s">
        <v>101</v>
      </c>
      <c r="F42">
        <v>1</v>
      </c>
    </row>
    <row r="43" spans="2:6" x14ac:dyDescent="0.25">
      <c r="B43" t="s">
        <v>59</v>
      </c>
      <c r="D43" t="s">
        <v>64</v>
      </c>
      <c r="E43" t="s">
        <v>103</v>
      </c>
      <c r="F43">
        <v>1</v>
      </c>
    </row>
    <row r="44" spans="2:6" x14ac:dyDescent="0.25">
      <c r="B44" t="s">
        <v>59</v>
      </c>
      <c r="D44" t="s">
        <v>64</v>
      </c>
      <c r="E44" t="s">
        <v>102</v>
      </c>
      <c r="F44">
        <v>1</v>
      </c>
    </row>
    <row r="45" spans="2:6" x14ac:dyDescent="0.25">
      <c r="B45" t="s">
        <v>59</v>
      </c>
      <c r="D45" t="s">
        <v>64</v>
      </c>
      <c r="E45" t="s">
        <v>104</v>
      </c>
      <c r="F45">
        <v>1</v>
      </c>
    </row>
    <row r="46" spans="2:6" x14ac:dyDescent="0.25">
      <c r="B46" t="s">
        <v>60</v>
      </c>
      <c r="D46" t="s">
        <v>64</v>
      </c>
      <c r="E46" t="s">
        <v>101</v>
      </c>
    </row>
    <row r="47" spans="2:6" x14ac:dyDescent="0.25">
      <c r="B47" t="s">
        <v>60</v>
      </c>
      <c r="D47" t="s">
        <v>64</v>
      </c>
      <c r="E47" t="s">
        <v>103</v>
      </c>
    </row>
    <row r="48" spans="2:6" x14ac:dyDescent="0.25">
      <c r="B48" t="s">
        <v>60</v>
      </c>
      <c r="D48" t="s">
        <v>64</v>
      </c>
      <c r="E48" t="s">
        <v>102</v>
      </c>
    </row>
    <row r="49" spans="2:6" x14ac:dyDescent="0.25">
      <c r="B49" t="s">
        <v>60</v>
      </c>
      <c r="D49" t="s">
        <v>64</v>
      </c>
      <c r="E49" t="s">
        <v>104</v>
      </c>
    </row>
    <row r="50" spans="2:6" x14ac:dyDescent="0.25">
      <c r="B50" t="s">
        <v>61</v>
      </c>
      <c r="D50" t="s">
        <v>64</v>
      </c>
      <c r="E50" t="s">
        <v>101</v>
      </c>
      <c r="F50">
        <v>1</v>
      </c>
    </row>
    <row r="51" spans="2:6" x14ac:dyDescent="0.25">
      <c r="B51" t="s">
        <v>61</v>
      </c>
      <c r="D51" t="s">
        <v>64</v>
      </c>
      <c r="E51" t="s">
        <v>103</v>
      </c>
      <c r="F51">
        <v>1</v>
      </c>
    </row>
    <row r="52" spans="2:6" x14ac:dyDescent="0.25">
      <c r="B52" t="s">
        <v>61</v>
      </c>
      <c r="D52" t="s">
        <v>64</v>
      </c>
      <c r="E52" t="s">
        <v>102</v>
      </c>
      <c r="F52">
        <v>1</v>
      </c>
    </row>
    <row r="53" spans="2:6" x14ac:dyDescent="0.25">
      <c r="B53" t="s">
        <v>61</v>
      </c>
      <c r="D53" t="s">
        <v>64</v>
      </c>
      <c r="E53" t="s">
        <v>104</v>
      </c>
      <c r="F53">
        <v>1</v>
      </c>
    </row>
    <row r="54" spans="2:6" x14ac:dyDescent="0.25">
      <c r="B54" t="s">
        <v>62</v>
      </c>
      <c r="D54" t="s">
        <v>64</v>
      </c>
      <c r="E54" t="s">
        <v>101</v>
      </c>
    </row>
    <row r="55" spans="2:6" x14ac:dyDescent="0.25">
      <c r="B55" t="s">
        <v>62</v>
      </c>
      <c r="D55" t="s">
        <v>64</v>
      </c>
      <c r="E55" t="s">
        <v>103</v>
      </c>
    </row>
    <row r="56" spans="2:6" x14ac:dyDescent="0.25">
      <c r="B56" t="s">
        <v>62</v>
      </c>
      <c r="D56" t="s">
        <v>64</v>
      </c>
      <c r="E56" t="s">
        <v>102</v>
      </c>
    </row>
    <row r="57" spans="2:6" x14ac:dyDescent="0.25">
      <c r="B57" t="s">
        <v>62</v>
      </c>
      <c r="D57" t="s">
        <v>64</v>
      </c>
      <c r="E57" t="s">
        <v>104</v>
      </c>
    </row>
    <row r="58" spans="2:6" x14ac:dyDescent="0.25">
      <c r="B58" t="s">
        <v>94</v>
      </c>
      <c r="C58" t="s">
        <v>106</v>
      </c>
      <c r="D58" t="s">
        <v>86</v>
      </c>
      <c r="E58" t="s">
        <v>101</v>
      </c>
      <c r="F58">
        <v>1.613</v>
      </c>
    </row>
    <row r="59" spans="2:6" x14ac:dyDescent="0.25">
      <c r="B59" t="s">
        <v>94</v>
      </c>
      <c r="C59" t="s">
        <v>106</v>
      </c>
      <c r="D59" t="s">
        <v>86</v>
      </c>
      <c r="E59" t="s">
        <v>103</v>
      </c>
      <c r="F59">
        <v>1.266</v>
      </c>
    </row>
    <row r="60" spans="2:6" x14ac:dyDescent="0.25">
      <c r="B60" t="s">
        <v>94</v>
      </c>
      <c r="C60" t="s">
        <v>106</v>
      </c>
      <c r="D60" t="s">
        <v>86</v>
      </c>
      <c r="E60" t="s">
        <v>102</v>
      </c>
      <c r="F60">
        <v>1.111</v>
      </c>
    </row>
    <row r="61" spans="2:6" x14ac:dyDescent="0.25">
      <c r="B61" t="s">
        <v>94</v>
      </c>
      <c r="C61" t="s">
        <v>4</v>
      </c>
      <c r="D61" t="s">
        <v>86</v>
      </c>
      <c r="E61" t="s">
        <v>104</v>
      </c>
      <c r="F61">
        <v>0.52600000000000002</v>
      </c>
    </row>
    <row r="62" spans="2:6" x14ac:dyDescent="0.25">
      <c r="B62" t="s">
        <v>85</v>
      </c>
      <c r="D62" t="s">
        <v>95</v>
      </c>
      <c r="E62" t="s">
        <v>101</v>
      </c>
      <c r="F62" s="4">
        <v>0.71499999999999997</v>
      </c>
    </row>
    <row r="63" spans="2:6" x14ac:dyDescent="0.25">
      <c r="B63" t="s">
        <v>85</v>
      </c>
      <c r="D63" t="s">
        <v>95</v>
      </c>
      <c r="E63" t="s">
        <v>103</v>
      </c>
      <c r="F63" s="4">
        <v>0.27500000000000002</v>
      </c>
    </row>
    <row r="64" spans="2:6" x14ac:dyDescent="0.25">
      <c r="B64" t="s">
        <v>85</v>
      </c>
      <c r="D64" t="s">
        <v>95</v>
      </c>
      <c r="E64" t="s">
        <v>102</v>
      </c>
      <c r="F64" s="4">
        <v>0</v>
      </c>
    </row>
    <row r="65" spans="1:6" x14ac:dyDescent="0.25">
      <c r="B65" t="s">
        <v>85</v>
      </c>
      <c r="D65" t="s">
        <v>95</v>
      </c>
      <c r="E65" t="s">
        <v>104</v>
      </c>
      <c r="F65" s="4">
        <v>0.01</v>
      </c>
    </row>
    <row r="67" spans="1:6" x14ac:dyDescent="0.25">
      <c r="A67" s="26">
        <v>1</v>
      </c>
      <c r="B67" t="s">
        <v>65</v>
      </c>
      <c r="D67" t="s">
        <v>48</v>
      </c>
      <c r="E67" t="str">
        <f>Heating!$E$39&amp;"_"&amp;E62</f>
        <v>Single Family Detached_Pre-1960_Furnace_Natural Gas_existing</v>
      </c>
      <c r="F67" s="6">
        <f>Heating!$F$39*F62</f>
        <v>11137313.617963385</v>
      </c>
    </row>
    <row r="68" spans="1:6" x14ac:dyDescent="0.25">
      <c r="A68" s="26">
        <v>1</v>
      </c>
      <c r="B68" t="s">
        <v>65</v>
      </c>
      <c r="D68" t="s">
        <v>48</v>
      </c>
      <c r="E68" t="str">
        <f>Heating!$E$39&amp;"_"&amp;E63</f>
        <v>Single Family Detached_Pre-1960_Furnace_Natural Gas_low efficiency</v>
      </c>
      <c r="F68" s="6">
        <f>Heating!$F$39*F63</f>
        <v>4283582.1607551491</v>
      </c>
    </row>
    <row r="69" spans="1:6" x14ac:dyDescent="0.25">
      <c r="A69" s="26">
        <v>1</v>
      </c>
      <c r="B69" t="s">
        <v>65</v>
      </c>
      <c r="D69" t="s">
        <v>48</v>
      </c>
      <c r="E69" t="str">
        <f>Heating!$E$39&amp;"_"&amp;E64</f>
        <v>Single Family Detached_Pre-1960_Furnace_Natural Gas_high efficiency</v>
      </c>
      <c r="F69" s="6">
        <f>Heating!$F$39*F64</f>
        <v>0</v>
      </c>
    </row>
    <row r="70" spans="1:6" x14ac:dyDescent="0.25">
      <c r="A70" s="26">
        <v>1</v>
      </c>
      <c r="B70" t="s">
        <v>65</v>
      </c>
      <c r="D70" t="s">
        <v>48</v>
      </c>
      <c r="E70" t="str">
        <f>Heating!$E$39&amp;"_"&amp;E65</f>
        <v>Single Family Detached_Pre-1960_Furnace_Heat pump_air source</v>
      </c>
      <c r="F70" s="6">
        <f>Heating!$F$39*F65</f>
        <v>155766.62402745994</v>
      </c>
    </row>
  </sheetData>
  <dataValidations count="1">
    <dataValidation type="list" allowBlank="1" showInputMessage="1" showErrorMessage="1" sqref="E7" xr:uid="{ABACF783-3B09-4BF5-92D3-306A09CF30B7}">
      <formula1>Competition</formula1>
    </dataValidation>
  </dataValidations>
  <hyperlinks>
    <hyperlink ref="B1" location="Map!A1" display="Tree Map" xr:uid="{BBB6DC2C-30B3-44DD-95AB-FEDFA9188A00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AE9A3-5FD6-4B68-9ABF-417611FE90A8}">
  <sheetPr codeName="Sheet10">
    <tabColor rgb="FF002060"/>
  </sheetPr>
  <dimension ref="A1:P24"/>
  <sheetViews>
    <sheetView zoomScale="85" zoomScaleNormal="85" workbookViewId="0">
      <pane xSplit="5" ySplit="2" topLeftCell="F3" activePane="bottomRight" state="frozen"/>
      <selection activeCell="F22" sqref="F22"/>
      <selection pane="topRight" activeCell="F22" sqref="F22"/>
      <selection pane="bottomLeft" activeCell="F22" sqref="F22"/>
      <selection pane="bottomRight" activeCell="E5" sqref="E5"/>
    </sheetView>
  </sheetViews>
  <sheetFormatPr defaultRowHeight="15" x14ac:dyDescent="0.25"/>
  <cols>
    <col min="1" max="1" width="6.7109375" style="26" bestFit="1" customWidth="1"/>
    <col min="2" max="2" width="21" bestFit="1" customWidth="1"/>
    <col min="3" max="3" width="11.85546875" bestFit="1" customWidth="1"/>
    <col min="4" max="4" width="25.28515625" bestFit="1" customWidth="1"/>
    <col min="5" max="5" width="36.140625" bestFit="1" customWidth="1"/>
    <col min="6" max="16" width="11.7109375" customWidth="1"/>
  </cols>
  <sheetData>
    <row r="1" spans="1:16" x14ac:dyDescent="0.25">
      <c r="B1" s="28" t="s">
        <v>91</v>
      </c>
    </row>
    <row r="2" spans="1:16" s="30" customFormat="1" x14ac:dyDescent="0.25">
      <c r="A2" s="29" t="s">
        <v>72</v>
      </c>
      <c r="B2" s="30" t="s">
        <v>14</v>
      </c>
      <c r="C2" s="30" t="s">
        <v>98</v>
      </c>
      <c r="D2" s="30" t="s">
        <v>23</v>
      </c>
      <c r="E2" s="30" t="s">
        <v>13</v>
      </c>
      <c r="F2" s="31">
        <f>Simulation!D$2</f>
        <v>2000</v>
      </c>
      <c r="G2" s="31">
        <f>Simulation!E$2</f>
        <v>2005</v>
      </c>
      <c r="H2" s="31">
        <f>Simulation!F$2</f>
        <v>2010</v>
      </c>
      <c r="I2" s="31">
        <f>Simulation!G$2</f>
        <v>2015</v>
      </c>
      <c r="J2" s="31">
        <f>Simulation!H$2</f>
        <v>2020</v>
      </c>
      <c r="K2" s="31">
        <f>Simulation!I$2</f>
        <v>2025</v>
      </c>
      <c r="L2" s="31">
        <f>Simulation!J$2</f>
        <v>2030</v>
      </c>
      <c r="M2" s="31">
        <f>Simulation!K$2</f>
        <v>2035</v>
      </c>
      <c r="N2" s="31">
        <f>Simulation!L$2</f>
        <v>2040</v>
      </c>
      <c r="O2" s="31">
        <f>Simulation!M$2</f>
        <v>2045</v>
      </c>
      <c r="P2" s="31">
        <f>Simulation!N$2</f>
        <v>2050</v>
      </c>
    </row>
    <row r="3" spans="1:16" s="11" customFormat="1" x14ac:dyDescent="0.25">
      <c r="A3" s="24"/>
      <c r="B3" s="11" t="s">
        <v>92</v>
      </c>
      <c r="E3" s="11" t="str">
        <f ca="1">MID(CELL("filename",B1),FIND("]",CELL("filename",B1))+1,255)</f>
        <v>Electricity</v>
      </c>
    </row>
    <row r="4" spans="1:16" s="11" customFormat="1" x14ac:dyDescent="0.25">
      <c r="A4" s="24"/>
      <c r="B4" s="11" t="s">
        <v>11</v>
      </c>
      <c r="E4" s="11" t="str">
        <f ca="1">E5&amp;"_"&amp;E3</f>
        <v>Canada_Alberta_Electricity</v>
      </c>
    </row>
    <row r="5" spans="1:16" s="12" customFormat="1" x14ac:dyDescent="0.25">
      <c r="A5" s="25"/>
      <c r="B5" s="12" t="s">
        <v>10</v>
      </c>
      <c r="E5" s="12" t="str">
        <f ca="1">Alberta!$E$4</f>
        <v>Canada_Alberta</v>
      </c>
    </row>
    <row r="6" spans="1:16" x14ac:dyDescent="0.25">
      <c r="B6" t="s">
        <v>93</v>
      </c>
      <c r="C6" t="s">
        <v>4</v>
      </c>
      <c r="E6" t="s">
        <v>48</v>
      </c>
    </row>
    <row r="7" spans="1:16" x14ac:dyDescent="0.25">
      <c r="B7" t="s">
        <v>12</v>
      </c>
      <c r="E7" t="s">
        <v>49</v>
      </c>
      <c r="F7" s="3">
        <v>0.4</v>
      </c>
      <c r="G7" s="3"/>
      <c r="H7" s="3"/>
      <c r="I7" s="3"/>
      <c r="J7" s="3"/>
      <c r="K7" s="3"/>
      <c r="L7" s="3"/>
      <c r="M7" s="3"/>
      <c r="N7" s="3"/>
      <c r="O7" s="3"/>
      <c r="P7" s="3"/>
    </row>
    <row r="8" spans="1:16" x14ac:dyDescent="0.25">
      <c r="B8" t="s">
        <v>96</v>
      </c>
      <c r="D8" t="s">
        <v>64</v>
      </c>
      <c r="E8" t="s">
        <v>57</v>
      </c>
      <c r="F8" s="3">
        <v>0.1</v>
      </c>
      <c r="G8" s="3"/>
      <c r="H8" s="3"/>
      <c r="I8" s="3"/>
      <c r="J8" s="3"/>
      <c r="K8" s="3"/>
      <c r="L8" s="3"/>
      <c r="M8" s="3"/>
      <c r="N8" s="3"/>
      <c r="O8" s="3"/>
      <c r="P8" s="3"/>
    </row>
    <row r="9" spans="1:16" x14ac:dyDescent="0.25">
      <c r="B9" t="s">
        <v>97</v>
      </c>
      <c r="D9" t="s">
        <v>64</v>
      </c>
      <c r="F9" s="3">
        <v>0.1</v>
      </c>
      <c r="G9" s="3"/>
      <c r="H9" s="3"/>
      <c r="I9" s="3"/>
      <c r="J9" s="3"/>
      <c r="K9" s="3"/>
      <c r="L9" s="3"/>
      <c r="M9" s="3"/>
      <c r="N9" s="3"/>
      <c r="O9" s="3"/>
      <c r="P9" s="3"/>
    </row>
    <row r="10" spans="1:16" x14ac:dyDescent="0.25">
      <c r="B10" t="s">
        <v>29</v>
      </c>
      <c r="E10" t="s">
        <v>58</v>
      </c>
      <c r="F10" s="3">
        <v>1</v>
      </c>
      <c r="G10" s="3"/>
      <c r="H10" s="3"/>
      <c r="I10" s="3"/>
      <c r="J10" s="3"/>
      <c r="K10" s="3"/>
      <c r="L10" s="3"/>
      <c r="M10" s="3"/>
      <c r="N10" s="3"/>
      <c r="O10" s="3"/>
      <c r="P10" s="3"/>
    </row>
    <row r="11" spans="1:16" x14ac:dyDescent="0.25">
      <c r="B11" t="s">
        <v>18</v>
      </c>
      <c r="D11" t="s">
        <v>24</v>
      </c>
      <c r="E11" s="34" t="s">
        <v>19</v>
      </c>
      <c r="F11" s="3">
        <v>19</v>
      </c>
      <c r="G11" s="3">
        <v>25</v>
      </c>
      <c r="H11" s="3">
        <v>29</v>
      </c>
      <c r="I11" s="3">
        <v>32</v>
      </c>
      <c r="J11" s="3">
        <v>32.64</v>
      </c>
      <c r="K11" s="3">
        <v>33.2928</v>
      </c>
      <c r="L11" s="3">
        <v>33.958655999999998</v>
      </c>
      <c r="M11" s="3">
        <v>34.637829119999999</v>
      </c>
      <c r="N11" s="3">
        <v>35.330585702400001</v>
      </c>
      <c r="O11" s="3">
        <v>36.037197416448002</v>
      </c>
      <c r="P11" s="3">
        <v>36.757941364776961</v>
      </c>
    </row>
    <row r="12" spans="1:16" x14ac:dyDescent="0.25">
      <c r="B12" t="s">
        <v>18</v>
      </c>
      <c r="D12" t="s">
        <v>24</v>
      </c>
      <c r="E12" s="34" t="s">
        <v>20</v>
      </c>
      <c r="F12" s="3">
        <v>20</v>
      </c>
      <c r="G12" s="3">
        <v>26</v>
      </c>
      <c r="H12" s="3">
        <v>30</v>
      </c>
      <c r="I12" s="3">
        <v>33</v>
      </c>
      <c r="J12" s="3">
        <v>33.660000000000004</v>
      </c>
      <c r="K12" s="3">
        <v>34.333200000000005</v>
      </c>
      <c r="L12" s="3">
        <v>35.019864000000005</v>
      </c>
      <c r="M12" s="3">
        <v>35.72026128000001</v>
      </c>
      <c r="N12" s="3">
        <v>36.434666505600013</v>
      </c>
      <c r="O12" s="3">
        <v>37.163359835712015</v>
      </c>
      <c r="P12" s="3">
        <v>37.906627032426258</v>
      </c>
    </row>
    <row r="13" spans="1:16" x14ac:dyDescent="0.25">
      <c r="B13" t="s">
        <v>18</v>
      </c>
      <c r="D13" t="s">
        <v>24</v>
      </c>
      <c r="E13" s="34" t="s">
        <v>21</v>
      </c>
      <c r="F13" s="3">
        <v>11</v>
      </c>
      <c r="G13" s="3">
        <v>7</v>
      </c>
      <c r="H13" s="3">
        <v>4</v>
      </c>
      <c r="I13" s="3">
        <v>6</v>
      </c>
      <c r="J13" s="3">
        <v>6.12</v>
      </c>
      <c r="K13" s="3">
        <v>6.2423999999999999</v>
      </c>
      <c r="L13" s="3">
        <v>6.367248</v>
      </c>
      <c r="M13" s="3">
        <v>6.4945929600000003</v>
      </c>
      <c r="N13" s="3">
        <v>6.6244848192000001</v>
      </c>
      <c r="O13" s="3">
        <v>6.756974515584</v>
      </c>
      <c r="P13" s="3">
        <v>6.8921140058956798</v>
      </c>
    </row>
    <row r="14" spans="1:16" x14ac:dyDescent="0.25">
      <c r="B14" t="s">
        <v>18</v>
      </c>
      <c r="D14" t="s">
        <v>24</v>
      </c>
      <c r="E14" s="34" t="s">
        <v>4</v>
      </c>
      <c r="F14" s="3">
        <v>22</v>
      </c>
      <c r="G14" s="3">
        <v>26</v>
      </c>
      <c r="H14" s="3">
        <v>34</v>
      </c>
      <c r="I14" s="3">
        <v>31</v>
      </c>
      <c r="J14" s="3">
        <v>31.62</v>
      </c>
      <c r="K14" s="3">
        <v>32.252400000000002</v>
      </c>
      <c r="L14" s="3">
        <v>32.897448000000004</v>
      </c>
      <c r="M14" s="3">
        <v>33.555396960000003</v>
      </c>
      <c r="N14" s="3">
        <v>34.226504899200002</v>
      </c>
      <c r="O14" s="3">
        <v>34.911034997184004</v>
      </c>
      <c r="P14" s="3">
        <v>35.609255697127686</v>
      </c>
    </row>
    <row r="15" spans="1:16" x14ac:dyDescent="0.25">
      <c r="B15" t="s">
        <v>18</v>
      </c>
      <c r="D15" t="s">
        <v>24</v>
      </c>
      <c r="E15" s="34" t="s">
        <v>22</v>
      </c>
      <c r="F15" s="3">
        <v>12</v>
      </c>
      <c r="G15" s="3">
        <v>12</v>
      </c>
      <c r="H15" s="3">
        <v>12</v>
      </c>
      <c r="I15" s="3">
        <v>12</v>
      </c>
      <c r="J15" s="3">
        <v>12.24</v>
      </c>
      <c r="K15" s="3">
        <v>12.4848</v>
      </c>
      <c r="L15" s="3">
        <v>12.734496</v>
      </c>
      <c r="M15" s="3">
        <v>12.989185920000001</v>
      </c>
      <c r="N15" s="3">
        <v>13.2489696384</v>
      </c>
      <c r="O15" s="3">
        <v>13.513949031168</v>
      </c>
      <c r="P15" s="3">
        <v>13.78422801179136</v>
      </c>
    </row>
    <row r="16" spans="1:16" x14ac:dyDescent="0.25">
      <c r="B16" t="s">
        <v>18</v>
      </c>
      <c r="D16" t="s">
        <v>25</v>
      </c>
      <c r="E16" s="34" t="s">
        <v>26</v>
      </c>
      <c r="F16" s="3">
        <v>0</v>
      </c>
      <c r="G16" s="3">
        <v>0</v>
      </c>
      <c r="H16" s="3">
        <v>0</v>
      </c>
      <c r="I16" s="3">
        <v>0</v>
      </c>
      <c r="J16" s="3">
        <v>20</v>
      </c>
      <c r="K16" s="3">
        <v>50</v>
      </c>
      <c r="L16" s="3">
        <v>70</v>
      </c>
      <c r="M16" s="3">
        <v>70</v>
      </c>
      <c r="N16" s="3">
        <v>70</v>
      </c>
      <c r="O16" s="3">
        <v>70</v>
      </c>
      <c r="P16" s="3">
        <v>70</v>
      </c>
    </row>
    <row r="17" spans="1:16" x14ac:dyDescent="0.25">
      <c r="B17" t="s">
        <v>18</v>
      </c>
      <c r="D17" t="s">
        <v>25</v>
      </c>
      <c r="E17" s="34" t="s">
        <v>27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</row>
    <row r="18" spans="1:16" x14ac:dyDescent="0.25">
      <c r="B18" t="s">
        <v>18</v>
      </c>
      <c r="D18" t="s">
        <v>25</v>
      </c>
      <c r="E18" s="34" t="s">
        <v>28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</row>
    <row r="19" spans="1:16" x14ac:dyDescent="0.25">
      <c r="B19" t="s">
        <v>87</v>
      </c>
      <c r="E19" t="s">
        <v>33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</row>
    <row r="20" spans="1:16" x14ac:dyDescent="0.25">
      <c r="B20" t="s">
        <v>94</v>
      </c>
      <c r="C20" t="s">
        <v>8</v>
      </c>
      <c r="D20" s="10" t="s">
        <v>86</v>
      </c>
      <c r="F20" s="3">
        <v>1</v>
      </c>
      <c r="G20" s="3">
        <v>1</v>
      </c>
      <c r="H20" s="3">
        <v>1</v>
      </c>
      <c r="I20" s="3">
        <v>1</v>
      </c>
      <c r="J20" s="3">
        <v>1</v>
      </c>
      <c r="K20" s="3">
        <v>1</v>
      </c>
      <c r="L20" s="3">
        <v>1</v>
      </c>
      <c r="M20" s="3">
        <v>1</v>
      </c>
      <c r="N20" s="3">
        <v>1</v>
      </c>
      <c r="O20" s="3">
        <v>1</v>
      </c>
      <c r="P20" s="3">
        <v>1</v>
      </c>
    </row>
    <row r="22" spans="1:16" x14ac:dyDescent="0.25">
      <c r="A22" s="26">
        <v>1</v>
      </c>
      <c r="B22" t="s">
        <v>65</v>
      </c>
      <c r="D22" t="s">
        <v>48</v>
      </c>
      <c r="E22" t="s">
        <v>120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4" spans="1:16" x14ac:dyDescent="0.25">
      <c r="I24" s="2"/>
    </row>
  </sheetData>
  <dataValidations count="1">
    <dataValidation type="list" allowBlank="1" showInputMessage="1" showErrorMessage="1" sqref="E19" xr:uid="{E1434D44-00C1-4FEC-A92A-2C4B91023A0E}">
      <formula1>Competition</formula1>
    </dataValidation>
  </dataValidations>
  <hyperlinks>
    <hyperlink ref="B1" location="Map!A1" display="Tree Map" xr:uid="{41BD2D0F-6E54-470C-82CA-B85795D1CEE9}"/>
  </hyperlink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9C9A6-5BF7-4E68-A216-15D4025C23FF}">
  <sheetPr codeName="Sheet11">
    <tabColor rgb="FF00B0F0"/>
  </sheetPr>
  <dimension ref="A1:P20"/>
  <sheetViews>
    <sheetView zoomScale="85" zoomScaleNormal="85" workbookViewId="0">
      <pane xSplit="5" ySplit="5" topLeftCell="F6" activePane="bottomRight" state="frozen"/>
      <selection activeCell="F22" sqref="F22"/>
      <selection pane="topRight" activeCell="F22" sqref="F22"/>
      <selection pane="bottomLeft" activeCell="F22" sqref="F22"/>
      <selection pane="bottomRight" activeCell="E5" sqref="E5"/>
    </sheetView>
  </sheetViews>
  <sheetFormatPr defaultRowHeight="15" x14ac:dyDescent="0.25"/>
  <cols>
    <col min="1" max="1" width="6.7109375" style="26" bestFit="1" customWidth="1"/>
    <col min="2" max="2" width="18.85546875" bestFit="1" customWidth="1"/>
    <col min="3" max="3" width="14.28515625" bestFit="1" customWidth="1"/>
    <col min="4" max="4" width="17" bestFit="1" customWidth="1"/>
    <col min="5" max="5" width="45.140625" bestFit="1" customWidth="1"/>
    <col min="6" max="16" width="13.5703125" customWidth="1"/>
  </cols>
  <sheetData>
    <row r="1" spans="1:16" x14ac:dyDescent="0.25">
      <c r="B1" s="28" t="s">
        <v>91</v>
      </c>
    </row>
    <row r="2" spans="1:16" s="33" customFormat="1" x14ac:dyDescent="0.25">
      <c r="A2" s="29" t="s">
        <v>72</v>
      </c>
      <c r="B2" s="30" t="s">
        <v>14</v>
      </c>
      <c r="C2" s="30" t="s">
        <v>98</v>
      </c>
      <c r="D2" s="30" t="s">
        <v>23</v>
      </c>
      <c r="E2" s="30" t="s">
        <v>13</v>
      </c>
      <c r="F2" s="31">
        <f>Simulation!D$2</f>
        <v>2000</v>
      </c>
      <c r="G2" s="31">
        <f>Simulation!E$2</f>
        <v>2005</v>
      </c>
      <c r="H2" s="31">
        <f>Simulation!F$2</f>
        <v>2010</v>
      </c>
      <c r="I2" s="31">
        <f>Simulation!G$2</f>
        <v>2015</v>
      </c>
      <c r="J2" s="31">
        <f>Simulation!H$2</f>
        <v>2020</v>
      </c>
      <c r="K2" s="31">
        <f>Simulation!I$2</f>
        <v>2025</v>
      </c>
      <c r="L2" s="31">
        <f>Simulation!J$2</f>
        <v>2030</v>
      </c>
      <c r="M2" s="31">
        <f>Simulation!K$2</f>
        <v>2035</v>
      </c>
      <c r="N2" s="31">
        <f>Simulation!L$2</f>
        <v>2040</v>
      </c>
      <c r="O2" s="31">
        <f>Simulation!M$2</f>
        <v>2045</v>
      </c>
      <c r="P2" s="31">
        <f>Simulation!N$2</f>
        <v>2050</v>
      </c>
    </row>
    <row r="3" spans="1:16" s="11" customFormat="1" x14ac:dyDescent="0.25">
      <c r="A3" s="24"/>
      <c r="B3" s="11" t="s">
        <v>92</v>
      </c>
      <c r="E3" s="11" t="str">
        <f ca="1">MID(CELL("filename",B1),FIND("]",CELL("filename",B1))+1,255)</f>
        <v>Generation</v>
      </c>
    </row>
    <row r="4" spans="1:16" s="11" customFormat="1" x14ac:dyDescent="0.25">
      <c r="A4" s="24"/>
      <c r="B4" s="11" t="s">
        <v>11</v>
      </c>
      <c r="E4" s="11" t="str">
        <f ca="1">E5&amp;"_"&amp;E3</f>
        <v>Canada_Alberta_Electricity_Generation</v>
      </c>
    </row>
    <row r="5" spans="1:16" s="12" customFormat="1" x14ac:dyDescent="0.25">
      <c r="A5" s="25"/>
      <c r="B5" s="12" t="s">
        <v>10</v>
      </c>
      <c r="E5" s="12" t="str">
        <f ca="1">Electricity!$E$4</f>
        <v>Canada_Alberta_Electricity</v>
      </c>
    </row>
    <row r="6" spans="1:16" x14ac:dyDescent="0.25">
      <c r="B6" t="s">
        <v>93</v>
      </c>
      <c r="C6" t="s">
        <v>8</v>
      </c>
      <c r="E6" t="s">
        <v>48</v>
      </c>
    </row>
    <row r="7" spans="1:16" x14ac:dyDescent="0.25">
      <c r="B7" t="s">
        <v>87</v>
      </c>
      <c r="E7" t="s">
        <v>84</v>
      </c>
    </row>
    <row r="8" spans="1:16" x14ac:dyDescent="0.25">
      <c r="B8" t="s">
        <v>94</v>
      </c>
      <c r="C8" t="s">
        <v>6</v>
      </c>
      <c r="D8" t="s">
        <v>95</v>
      </c>
      <c r="E8" t="s">
        <v>6</v>
      </c>
      <c r="F8" s="4">
        <v>0.8</v>
      </c>
      <c r="G8" s="4">
        <v>0.8</v>
      </c>
      <c r="H8" s="4">
        <v>0.8</v>
      </c>
      <c r="I8" s="4">
        <v>0.8</v>
      </c>
      <c r="J8" s="4">
        <v>0.8</v>
      </c>
      <c r="K8" s="4">
        <v>0.8</v>
      </c>
      <c r="L8" s="4">
        <v>0.8</v>
      </c>
      <c r="M8" s="4">
        <v>0.8</v>
      </c>
      <c r="N8" s="4">
        <v>0.8</v>
      </c>
      <c r="O8" s="4">
        <v>0.8</v>
      </c>
      <c r="P8" s="4">
        <v>0.8</v>
      </c>
    </row>
    <row r="9" spans="1:16" x14ac:dyDescent="0.25">
      <c r="B9" t="s">
        <v>94</v>
      </c>
      <c r="C9" t="s">
        <v>5</v>
      </c>
      <c r="D9" t="s">
        <v>95</v>
      </c>
      <c r="E9" t="s">
        <v>5</v>
      </c>
      <c r="F9" s="4">
        <v>0.15</v>
      </c>
      <c r="G9" s="4">
        <v>0.15</v>
      </c>
      <c r="H9" s="4">
        <v>0.15</v>
      </c>
      <c r="I9" s="4">
        <v>0.15</v>
      </c>
      <c r="J9" s="4">
        <v>0.15</v>
      </c>
      <c r="K9" s="4">
        <v>0.15</v>
      </c>
      <c r="L9" s="4">
        <v>0.15</v>
      </c>
      <c r="M9" s="4">
        <v>0.15</v>
      </c>
      <c r="N9" s="4">
        <v>0.15</v>
      </c>
      <c r="O9" s="4">
        <v>0.15</v>
      </c>
      <c r="P9" s="4">
        <v>0.15</v>
      </c>
    </row>
    <row r="10" spans="1:16" x14ac:dyDescent="0.25">
      <c r="B10" t="s">
        <v>94</v>
      </c>
      <c r="C10" t="s">
        <v>7</v>
      </c>
      <c r="D10" t="s">
        <v>95</v>
      </c>
      <c r="E10" t="s">
        <v>7</v>
      </c>
      <c r="F10" s="4">
        <v>0.05</v>
      </c>
      <c r="G10" s="4">
        <v>0.05</v>
      </c>
      <c r="H10" s="4">
        <v>0.05</v>
      </c>
      <c r="I10" s="4">
        <v>0.05</v>
      </c>
      <c r="J10" s="4">
        <v>0.05</v>
      </c>
      <c r="K10" s="4">
        <v>0.05</v>
      </c>
      <c r="L10" s="4">
        <v>0.05</v>
      </c>
      <c r="M10" s="4">
        <v>0.05</v>
      </c>
      <c r="N10" s="4">
        <v>0.05</v>
      </c>
      <c r="O10" s="4">
        <v>0.05</v>
      </c>
      <c r="P10" s="4">
        <v>0.05</v>
      </c>
    </row>
    <row r="12" spans="1:16" x14ac:dyDescent="0.25">
      <c r="A12" s="26">
        <v>1</v>
      </c>
      <c r="B12" t="s">
        <v>65</v>
      </c>
      <c r="D12" t="s">
        <v>48</v>
      </c>
      <c r="E12" s="34" t="s">
        <v>6</v>
      </c>
      <c r="F12" s="6">
        <f>Residential!F$22*F8</f>
        <v>104299058.76923077</v>
      </c>
      <c r="G12" s="6">
        <f>Residential!G$22*G8</f>
        <v>132900746.46153843</v>
      </c>
      <c r="H12" s="6">
        <f>Residential!H$22*H8</f>
        <v>150633235.41538462</v>
      </c>
      <c r="I12" s="6">
        <f>Residential!I$22*I8</f>
        <v>168443616.9230769</v>
      </c>
      <c r="J12" s="6">
        <f>Residential!J$22*J8</f>
        <v>193010769.23076925</v>
      </c>
      <c r="K12" s="6">
        <f>Residential!K$22*K8</f>
        <v>208000000</v>
      </c>
      <c r="L12" s="6">
        <f>Residential!L$22*L8</f>
        <v>223053846.15384614</v>
      </c>
      <c r="M12" s="6">
        <f>Residential!M$22*M8</f>
        <v>238172307.69230768</v>
      </c>
      <c r="N12" s="6">
        <f>Residential!N$22*N8</f>
        <v>253355384.61538458</v>
      </c>
      <c r="O12" s="6">
        <f>Residential!O$22*O8</f>
        <v>268603076.92307693</v>
      </c>
      <c r="P12" s="6">
        <f>Residential!P$22*P8</f>
        <v>283915384.61538458</v>
      </c>
    </row>
    <row r="13" spans="1:16" x14ac:dyDescent="0.25">
      <c r="A13" s="26">
        <v>1</v>
      </c>
      <c r="B13" t="s">
        <v>65</v>
      </c>
      <c r="D13" t="s">
        <v>48</v>
      </c>
      <c r="E13" s="34" t="s">
        <v>5</v>
      </c>
      <c r="F13" s="6">
        <f>Residential!F$22*F9</f>
        <v>19556073.519230768</v>
      </c>
      <c r="G13" s="6">
        <f>Residential!G$22*G9</f>
        <v>24918889.961538456</v>
      </c>
      <c r="H13" s="6">
        <f>Residential!H$22*H9</f>
        <v>28243731.640384618</v>
      </c>
      <c r="I13" s="6">
        <f>Residential!I$22*I9</f>
        <v>31583178.173076916</v>
      </c>
      <c r="J13" s="6">
        <f>Residential!J$22*J9</f>
        <v>36189519.230769232</v>
      </c>
      <c r="K13" s="6">
        <f>Residential!K$22*K9</f>
        <v>38999999.999999993</v>
      </c>
      <c r="L13" s="6">
        <f>Residential!L$22*L9</f>
        <v>41822596.153846145</v>
      </c>
      <c r="M13" s="6">
        <f>Residential!M$22*M9</f>
        <v>44657307.692307688</v>
      </c>
      <c r="N13" s="6">
        <f>Residential!N$22*N9</f>
        <v>47504134.615384609</v>
      </c>
      <c r="O13" s="6">
        <f>Residential!O$22*O9</f>
        <v>50363076.92307692</v>
      </c>
      <c r="P13" s="6">
        <f>Residential!P$22*P9</f>
        <v>53234134.615384609</v>
      </c>
    </row>
    <row r="14" spans="1:16" x14ac:dyDescent="0.25">
      <c r="A14" s="26">
        <v>1</v>
      </c>
      <c r="B14" t="s">
        <v>65</v>
      </c>
      <c r="D14" t="s">
        <v>48</v>
      </c>
      <c r="E14" s="34" t="s">
        <v>7</v>
      </c>
      <c r="F14" s="6">
        <f>Residential!F$22*F10</f>
        <v>6518691.173076923</v>
      </c>
      <c r="G14" s="6">
        <f>Residential!G$22*G10</f>
        <v>8306296.6538461521</v>
      </c>
      <c r="H14" s="6">
        <f>Residential!H$22*H10</f>
        <v>9414577.2134615388</v>
      </c>
      <c r="I14" s="6">
        <f>Residential!I$22*I10</f>
        <v>10527726.057692306</v>
      </c>
      <c r="J14" s="6">
        <f>Residential!J$22*J10</f>
        <v>12063173.076923078</v>
      </c>
      <c r="K14" s="6">
        <f>Residential!K$22*K10</f>
        <v>13000000</v>
      </c>
      <c r="L14" s="6">
        <f>Residential!L$22*L10</f>
        <v>13940865.384615384</v>
      </c>
      <c r="M14" s="6">
        <f>Residential!M$22*M10</f>
        <v>14885769.23076923</v>
      </c>
      <c r="N14" s="6">
        <f>Residential!N$22*N10</f>
        <v>15834711.538461536</v>
      </c>
      <c r="O14" s="6">
        <f>Residential!O$22*O10</f>
        <v>16787692.307692308</v>
      </c>
      <c r="P14" s="6">
        <f>Residential!P$22*P10</f>
        <v>17744711.538461536</v>
      </c>
    </row>
    <row r="18" spans="6:6" x14ac:dyDescent="0.25">
      <c r="F18">
        <v>153365643.542</v>
      </c>
    </row>
    <row r="19" spans="6:6" x14ac:dyDescent="0.25">
      <c r="F19">
        <v>28756058.241999999</v>
      </c>
    </row>
    <row r="20" spans="6:6" x14ac:dyDescent="0.25">
      <c r="F20">
        <v>9585352.6879999992</v>
      </c>
    </row>
  </sheetData>
  <dataValidations count="1">
    <dataValidation type="list" allowBlank="1" showInputMessage="1" showErrorMessage="1" sqref="E7" xr:uid="{06F1E120-C31A-47A7-992D-EDC34107B0D1}">
      <formula1>Competition</formula1>
    </dataValidation>
  </dataValidations>
  <hyperlinks>
    <hyperlink ref="B1" location="Map!A1" display="Tree Map" xr:uid="{E2287D32-A879-488F-A492-4AC2AD65F111}"/>
  </hyperlink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A17C6-D908-46E8-A0AA-D7F5CA2DBEF6}">
  <sheetPr codeName="Sheet12">
    <tabColor rgb="FF00B0F0"/>
  </sheetPr>
  <dimension ref="A1:B2"/>
  <sheetViews>
    <sheetView zoomScale="85" zoomScaleNormal="85" workbookViewId="0">
      <selection activeCell="F22" sqref="F22"/>
    </sheetView>
  </sheetViews>
  <sheetFormatPr defaultRowHeight="15" x14ac:dyDescent="0.25"/>
  <cols>
    <col min="1" max="1" width="9.140625" style="26"/>
  </cols>
  <sheetData>
    <row r="1" spans="1:2" x14ac:dyDescent="0.25">
      <c r="B1" s="28" t="s">
        <v>91</v>
      </c>
    </row>
    <row r="2" spans="1:2" s="33" customFormat="1" x14ac:dyDescent="0.25">
      <c r="A2" s="32"/>
    </row>
  </sheetData>
  <hyperlinks>
    <hyperlink ref="B1" location="Map!A1" display="Tree Map" xr:uid="{36341833-54CC-40CA-89BD-53BF67427291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DF6ED-E543-44A6-9F9D-6D292AA35014}">
  <sheetPr codeName="Sheet13">
    <tabColor rgb="FF00B0F0"/>
  </sheetPr>
  <dimension ref="A1:B2"/>
  <sheetViews>
    <sheetView zoomScale="85" zoomScaleNormal="85" workbookViewId="0">
      <selection activeCell="F22" sqref="F22"/>
    </sheetView>
  </sheetViews>
  <sheetFormatPr defaultRowHeight="15" x14ac:dyDescent="0.25"/>
  <cols>
    <col min="1" max="1" width="9.140625" style="26"/>
  </cols>
  <sheetData>
    <row r="1" spans="1:2" x14ac:dyDescent="0.25">
      <c r="B1" s="28" t="s">
        <v>91</v>
      </c>
    </row>
    <row r="2" spans="1:2" s="33" customFormat="1" x14ac:dyDescent="0.25">
      <c r="A2" s="32"/>
    </row>
  </sheetData>
  <hyperlinks>
    <hyperlink ref="B1" location="Map!A1" display="Tree Map" xr:uid="{750EC499-AD9B-44A8-A901-C4FE844DACBD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A82F5-8A82-4F41-9F94-8452E1A3D732}">
  <sheetPr codeName="Sheet14">
    <tabColor rgb="FF00B0F0"/>
  </sheetPr>
  <dimension ref="A1:B2"/>
  <sheetViews>
    <sheetView zoomScale="85" zoomScaleNormal="85" workbookViewId="0">
      <selection activeCell="F22" sqref="F22"/>
    </sheetView>
  </sheetViews>
  <sheetFormatPr defaultRowHeight="15" x14ac:dyDescent="0.25"/>
  <cols>
    <col min="1" max="1" width="9.140625" style="26"/>
  </cols>
  <sheetData>
    <row r="1" spans="1:2" x14ac:dyDescent="0.25">
      <c r="B1" s="28" t="s">
        <v>91</v>
      </c>
    </row>
    <row r="2" spans="1:2" s="33" customFormat="1" x14ac:dyDescent="0.25">
      <c r="A2" s="32"/>
    </row>
  </sheetData>
  <hyperlinks>
    <hyperlink ref="B1" location="Map!A1" display="Tree Map" xr:uid="{A4225D51-2015-4796-9F57-3BBA03792C6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Lists</vt:lpstr>
      <vt:lpstr>Simulation</vt:lpstr>
      <vt:lpstr>Map</vt:lpstr>
      <vt:lpstr>Canada</vt:lpstr>
      <vt:lpstr>Alberta</vt:lpstr>
      <vt:lpstr>Residential</vt:lpstr>
      <vt:lpstr>Building</vt:lpstr>
      <vt:lpstr>Shell</vt:lpstr>
      <vt:lpstr>Heating</vt:lpstr>
      <vt:lpstr>Furnace</vt:lpstr>
      <vt:lpstr>Electricity</vt:lpstr>
      <vt:lpstr>Generation</vt:lpstr>
      <vt:lpstr>Base load</vt:lpstr>
      <vt:lpstr>Shoulder load</vt:lpstr>
      <vt:lpstr>Peak load</vt:lpstr>
      <vt:lpstr>Competition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</dc:creator>
  <cp:lastModifiedBy>Brad</cp:lastModifiedBy>
  <dcterms:created xsi:type="dcterms:W3CDTF">2019-06-05T23:49:53Z</dcterms:created>
  <dcterms:modified xsi:type="dcterms:W3CDTF">2019-06-27T21:11:35Z</dcterms:modified>
</cp:coreProperties>
</file>